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0105+" sheetId="1" state="visible" r:id="rId2"/>
    <sheet name="0106+" sheetId="2" state="visible" r:id="rId3"/>
    <sheet name="0107+" sheetId="3" state="visible" r:id="rId4"/>
    <sheet name="0108+" sheetId="4" state="visible" r:id="rId5"/>
    <sheet name="0109+" sheetId="5" state="visible" r:id="rId6"/>
  </sheets>
  <definedNames>
    <definedName function="false" hidden="false" localSheetId="0" name="_xlnm.Print_Area" vbProcedure="false">'0105+'!$A$1:$H$54</definedName>
    <definedName function="false" hidden="false" localSheetId="1" name="_xlnm.Print_Area" vbProcedure="false">'0106+'!$A$1:$H$49</definedName>
    <definedName function="false" hidden="false" localSheetId="2" name="_xlnm.Print_Area" vbProcedure="false">'0107+'!$A$1:$H$57</definedName>
    <definedName function="false" hidden="false" localSheetId="3" name="_xlnm.Print_Area" vbProcedure="false">'0108+'!$A$1:$H$47</definedName>
    <definedName function="false" hidden="false" localSheetId="4" name="_xlnm.Print_Area" vbProcedure="false">'0109+'!$A$1:$H$55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<sst xmlns="http://schemas.openxmlformats.org/spreadsheetml/2006/main" count="618" uniqueCount="184">
  <si>
    <t xml:space="preserve">     115年     1月   05日      午餐明細表</t>
  </si>
  <si>
    <r>
      <rPr>
        <sz val="12"/>
        <color rgb="FF000000"/>
        <rFont val="標楷體"/>
        <family val="4"/>
        <charset val="136"/>
      </rPr>
      <t xml:space="preserve">菜名</t>
    </r>
    <r>
      <rPr>
        <sz val="12"/>
        <color rgb="FFFF0000"/>
        <rFont val="標楷體"/>
        <family val="4"/>
        <charset val="136"/>
      </rPr>
      <t xml:space="preserve">(主)</t>
    </r>
  </si>
  <si>
    <t xml:space="preserve">食材</t>
  </si>
  <si>
    <t xml:space="preserve">數量</t>
  </si>
  <si>
    <t xml:space="preserve">單價</t>
  </si>
  <si>
    <t xml:space="preserve">訂貨數量</t>
  </si>
  <si>
    <t xml:space="preserve">金額</t>
  </si>
  <si>
    <t xml:space="preserve">備考</t>
  </si>
  <si>
    <t xml:space="preserve">炸雞腿</t>
  </si>
  <si>
    <t xml:space="preserve">棒腿</t>
  </si>
  <si>
    <t xml:space="preserve">斤</t>
  </si>
  <si>
    <t xml:space="preserve">酥炸粉</t>
  </si>
  <si>
    <t xml:space="preserve">包</t>
  </si>
  <si>
    <t xml:space="preserve">合      計</t>
  </si>
  <si>
    <r>
      <rPr>
        <sz val="12"/>
        <color rgb="FF000000"/>
        <rFont val="標楷體"/>
        <family val="4"/>
        <charset val="136"/>
      </rPr>
      <t xml:space="preserve">菜名</t>
    </r>
    <r>
      <rPr>
        <sz val="12"/>
        <color rgb="FF548235"/>
        <rFont val="標楷體"/>
        <family val="4"/>
        <charset val="136"/>
      </rPr>
      <t xml:space="preserve">(配1)</t>
    </r>
  </si>
  <si>
    <t xml:space="preserve">日式蒸蛋</t>
  </si>
  <si>
    <t xml:space="preserve">雞蛋</t>
  </si>
  <si>
    <t xml:space="preserve">生香菇</t>
  </si>
  <si>
    <t xml:space="preserve">冷凍玉米粒</t>
  </si>
  <si>
    <t xml:space="preserve">柴魚片</t>
  </si>
  <si>
    <t xml:space="preserve">火鍋魚板</t>
  </si>
  <si>
    <r>
      <rPr>
        <sz val="12"/>
        <color rgb="FF000000"/>
        <rFont val="標楷體"/>
        <family val="4"/>
        <charset val="136"/>
      </rPr>
      <t xml:space="preserve">菜名</t>
    </r>
    <r>
      <rPr>
        <sz val="12"/>
        <color rgb="FF548235"/>
        <rFont val="標楷體"/>
        <family val="4"/>
        <charset val="136"/>
      </rPr>
      <t xml:space="preserve">(配2)</t>
    </r>
  </si>
  <si>
    <t xml:space="preserve">青椒炒豆干</t>
  </si>
  <si>
    <t xml:space="preserve">青椒絲</t>
  </si>
  <si>
    <t xml:space="preserve">4*4豆干</t>
  </si>
  <si>
    <t xml:space="preserve">雪白菇</t>
  </si>
  <si>
    <t xml:space="preserve">雜貨</t>
  </si>
  <si>
    <t xml:space="preserve">辣椒</t>
  </si>
  <si>
    <t xml:space="preserve">薑</t>
  </si>
  <si>
    <t xml:space="preserve">半</t>
  </si>
  <si>
    <t xml:space="preserve">蒜仁</t>
  </si>
  <si>
    <t xml:space="preserve">青蔥</t>
  </si>
  <si>
    <t xml:space="preserve">蛋</t>
  </si>
  <si>
    <t xml:space="preserve">杏鮑菇</t>
  </si>
  <si>
    <t xml:space="preserve">素魚排</t>
  </si>
  <si>
    <t xml:space="preserve">水信花枝排</t>
  </si>
  <si>
    <t xml:space="preserve">件</t>
  </si>
  <si>
    <t xml:space="preserve">烏龍麵</t>
  </si>
  <si>
    <t xml:space="preserve">小籠包</t>
  </si>
  <si>
    <t xml:space="preserve">個</t>
  </si>
  <si>
    <t xml:space="preserve">鋁箔包飲料</t>
  </si>
  <si>
    <t xml:space="preserve">箱</t>
  </si>
  <si>
    <t xml:space="preserve">湯品</t>
  </si>
  <si>
    <t xml:space="preserve">味噌豆腐湯</t>
  </si>
  <si>
    <t xml:space="preserve">味噌</t>
  </si>
  <si>
    <t xml:space="preserve">盒</t>
  </si>
  <si>
    <t xml:space="preserve">4.3豆腐</t>
  </si>
  <si>
    <t xml:space="preserve">板</t>
  </si>
  <si>
    <t xml:space="preserve">青菜 水果</t>
  </si>
  <si>
    <t xml:space="preserve">柳丁</t>
  </si>
  <si>
    <t xml:space="preserve">高麗菜</t>
  </si>
  <si>
    <t xml:space="preserve">週三麵食</t>
  </si>
  <si>
    <t xml:space="preserve">起司豬排</t>
  </si>
  <si>
    <t xml:space="preserve">無骨香雞排</t>
  </si>
  <si>
    <t xml:space="preserve">匈牙利紅椒粉</t>
  </si>
  <si>
    <t xml:space="preserve">總      計</t>
  </si>
  <si>
    <t xml:space="preserve">後面補炸魚排</t>
  </si>
  <si>
    <t xml:space="preserve">廚餘量</t>
  </si>
  <si>
    <t xml:space="preserve">目視剩餘菜色</t>
  </si>
  <si>
    <t xml:space="preserve">今日用餐人數</t>
  </si>
  <si>
    <t xml:space="preserve">備註</t>
  </si>
  <si>
    <t xml:space="preserve">棒腿骨頭、青椒</t>
  </si>
  <si>
    <t xml:space="preserve">人事系統</t>
  </si>
  <si>
    <t xml:space="preserve">食材量預估
   260人</t>
  </si>
  <si>
    <t xml:space="preserve">計數器</t>
  </si>
  <si>
    <t xml:space="preserve">     115年      1月   06日      午餐明細表</t>
  </si>
  <si>
    <t xml:space="preserve">糖醋里肌</t>
  </si>
  <si>
    <t xml:space="preserve">里肌肉塊3*3</t>
  </si>
  <si>
    <t xml:space="preserve">鳳梨罐頭(大)</t>
  </si>
  <si>
    <t xml:space="preserve">罐</t>
  </si>
  <si>
    <t xml:space="preserve">去皮洋蔥</t>
  </si>
  <si>
    <t xml:space="preserve">麻辣臭豆腐</t>
  </si>
  <si>
    <t xml:space="preserve">臭豆腐</t>
  </si>
  <si>
    <t xml:space="preserve">20入/包</t>
  </si>
  <si>
    <t xml:space="preserve">鴨血</t>
  </si>
  <si>
    <r>
      <rPr>
        <sz val="12"/>
        <color rgb="FF000000"/>
        <rFont val="標楷體"/>
        <family val="4"/>
        <charset val="136"/>
      </rPr>
      <t xml:space="preserve">菜名(</t>
    </r>
    <r>
      <rPr>
        <sz val="12"/>
        <color rgb="FF548235"/>
        <rFont val="標楷體"/>
        <family val="4"/>
        <charset val="136"/>
      </rPr>
      <t xml:space="preserve">配2</t>
    </r>
    <r>
      <rPr>
        <sz val="12"/>
        <color rgb="FF000000"/>
        <rFont val="標楷體"/>
        <family val="4"/>
        <charset val="136"/>
      </rPr>
      <t xml:space="preserve">)</t>
    </r>
  </si>
  <si>
    <t xml:space="preserve">芽菜肉絲</t>
  </si>
  <si>
    <t xml:space="preserve">豆芽菜</t>
  </si>
  <si>
    <t xml:space="preserve">豬肉絲</t>
  </si>
  <si>
    <t xml:space="preserve">紅蘿蔔絲</t>
  </si>
  <si>
    <t xml:space="preserve">五穀米</t>
  </si>
  <si>
    <t xml:space="preserve">芥花油</t>
  </si>
  <si>
    <t xml:space="preserve">桶</t>
  </si>
  <si>
    <t xml:space="preserve">九層塔</t>
  </si>
  <si>
    <t xml:space="preserve">素食</t>
  </si>
  <si>
    <t xml:space="preserve">素肚</t>
  </si>
  <si>
    <t xml:space="preserve">大烹堡</t>
  </si>
  <si>
    <t xml:space="preserve">早餐</t>
  </si>
  <si>
    <t xml:space="preserve">雞翅</t>
  </si>
  <si>
    <t xml:space="preserve">晚餐</t>
  </si>
  <si>
    <t xml:space="preserve">綠豆薏仁湯</t>
  </si>
  <si>
    <t xml:space="preserve">庫存</t>
  </si>
  <si>
    <t xml:space="preserve">瓶</t>
  </si>
  <si>
    <t xml:space="preserve">油菜</t>
  </si>
  <si>
    <t xml:space="preserve">香蕉</t>
  </si>
  <si>
    <t xml:space="preserve">糖醋里肌、麻辣臭豆腐剩半盆</t>
  </si>
  <si>
    <t xml:space="preserve">食材量預估
 280人</t>
  </si>
  <si>
    <t xml:space="preserve">     115年      1月   07日      午餐明細表</t>
  </si>
  <si>
    <t xml:space="preserve">番茄肉醬麵</t>
  </si>
  <si>
    <t xml:space="preserve">絞肉</t>
  </si>
  <si>
    <t xml:space="preserve">番茄糊(大)</t>
  </si>
  <si>
    <t xml:space="preserve">番茄醬</t>
  </si>
  <si>
    <t xml:space="preserve">牛番茄</t>
  </si>
  <si>
    <t xml:space="preserve">螺旋麵</t>
  </si>
  <si>
    <t xml:space="preserve">焗烤馬鈴薯</t>
  </si>
  <si>
    <t xml:space="preserve">去皮馬鈴薯塊</t>
  </si>
  <si>
    <t xml:space="preserve">乳酪絲</t>
  </si>
  <si>
    <t xml:space="preserve">荷包蛋</t>
  </si>
  <si>
    <t xml:space="preserve">白麵線</t>
  </si>
  <si>
    <t xml:space="preserve">調理米酒</t>
  </si>
  <si>
    <t xml:space="preserve">醬油</t>
  </si>
  <si>
    <t xml:space="preserve">油膏</t>
  </si>
  <si>
    <t xml:space="preserve">香油</t>
  </si>
  <si>
    <t xml:space="preserve">沙拉油</t>
  </si>
  <si>
    <t xml:space="preserve">滷包</t>
  </si>
  <si>
    <t xml:space="preserve">洗選蛋</t>
  </si>
  <si>
    <t xml:space="preserve">玉米濃湯</t>
  </si>
  <si>
    <t xml:space="preserve">玉米醬</t>
  </si>
  <si>
    <t xml:space="preserve">玉米濃湯粉</t>
  </si>
  <si>
    <t xml:space="preserve">鮮奶油</t>
  </si>
  <si>
    <t xml:space="preserve">厚片土司</t>
  </si>
  <si>
    <t xml:space="preserve">條</t>
  </si>
  <si>
    <t xml:space="preserve">胡椒鹽</t>
  </si>
  <si>
    <t xml:space="preserve">蜂蜜</t>
  </si>
  <si>
    <t xml:space="preserve">味素</t>
  </si>
  <si>
    <t xml:space="preserve">白胡椒粉</t>
  </si>
  <si>
    <t xml:space="preserve">香酥雞塊</t>
  </si>
  <si>
    <t xml:space="preserve">麵</t>
  </si>
  <si>
    <t xml:space="preserve">     115年      1月   08日      午餐明細表</t>
  </si>
  <si>
    <t xml:space="preserve">三杯雞</t>
  </si>
  <si>
    <t xml:space="preserve">去骨雞腿丁3*3</t>
  </si>
  <si>
    <t xml:space="preserve">絲瓜油條</t>
  </si>
  <si>
    <t xml:space="preserve">去皮絲瓜</t>
  </si>
  <si>
    <t xml:space="preserve">油條</t>
  </si>
  <si>
    <t xml:space="preserve">根</t>
  </si>
  <si>
    <t xml:space="preserve">鮮木耳</t>
  </si>
  <si>
    <t xml:space="preserve">梅乾桂竹筍</t>
  </si>
  <si>
    <t xml:space="preserve">梅乾菜</t>
  </si>
  <si>
    <t xml:space="preserve">桂竹筍</t>
  </si>
  <si>
    <t xml:space="preserve">油麵</t>
  </si>
  <si>
    <t xml:space="preserve">豬肉片</t>
  </si>
  <si>
    <t xml:space="preserve">里肌肉排</t>
  </si>
  <si>
    <t xml:space="preserve">每日c</t>
  </si>
  <si>
    <t xml:space="preserve">鮪魚罐</t>
  </si>
  <si>
    <t xml:space="preserve">蘿蔔玉米湯</t>
  </si>
  <si>
    <t xml:space="preserve">白蘿蔔</t>
  </si>
  <si>
    <t xml:space="preserve">去殼玉米條</t>
  </si>
  <si>
    <t xml:space="preserve">雞骨架</t>
  </si>
  <si>
    <t xml:space="preserve">豬血糕</t>
  </si>
  <si>
    <t xml:space="preserve">食材量預估
  270-280人</t>
  </si>
  <si>
    <t xml:space="preserve">     115年      1月   09日      午餐明細表</t>
  </si>
  <si>
    <t xml:space="preserve">蒜泥肉片</t>
  </si>
  <si>
    <t xml:space="preserve">五花肉片</t>
  </si>
  <si>
    <t xml:space="preserve">蒜泥</t>
  </si>
  <si>
    <t xml:space="preserve">薑絲</t>
  </si>
  <si>
    <t xml:space="preserve">白菜滷</t>
  </si>
  <si>
    <t xml:space="preserve">大白菜</t>
  </si>
  <si>
    <t xml:space="preserve">蝦米</t>
  </si>
  <si>
    <t xml:space="preserve">乾香菇絲</t>
  </si>
  <si>
    <t xml:space="preserve">胡蘿蔔絲</t>
  </si>
  <si>
    <t xml:space="preserve">生豆皮</t>
  </si>
  <si>
    <t xml:space="preserve">芹香雞卷</t>
  </si>
  <si>
    <t xml:space="preserve">去葉芹菜</t>
  </si>
  <si>
    <t xml:space="preserve">雞卷</t>
  </si>
  <si>
    <t xml:space="preserve">胡蘿蔔</t>
  </si>
  <si>
    <t xml:space="preserve">滷蛋</t>
  </si>
  <si>
    <t xml:space="preserve">粒</t>
  </si>
  <si>
    <t xml:space="preserve">香腸</t>
  </si>
  <si>
    <t xml:space="preserve">五花絞肉</t>
  </si>
  <si>
    <t xml:space="preserve">荷蘭豆</t>
  </si>
  <si>
    <t xml:space="preserve">鍋貼</t>
  </si>
  <si>
    <t xml:space="preserve">香蒜抹醬</t>
  </si>
  <si>
    <t xml:space="preserve">金針排骨湯</t>
  </si>
  <si>
    <t xml:space="preserve">金針</t>
  </si>
  <si>
    <t xml:space="preserve">軟骨排</t>
  </si>
  <si>
    <t xml:space="preserve">鵝白菜</t>
  </si>
  <si>
    <t xml:space="preserve">透抽</t>
  </si>
  <si>
    <t xml:space="preserve">辣豆瓣</t>
  </si>
  <si>
    <t xml:space="preserve">皮蛋</t>
  </si>
  <si>
    <t xml:space="preserve">沙茶醬</t>
  </si>
  <si>
    <t xml:space="preserve">地瓜粉</t>
  </si>
  <si>
    <t xml:space="preserve">水餃</t>
  </si>
  <si>
    <t xml:space="preserve">x</t>
  </si>
  <si>
    <t xml:space="preserve">無統計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</si>
</sst>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#,##0"/>
  </numFmts>
  <fonts count="11">
    <font>
      <sz val="12"/>
      <color rgb="FF000000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rgb="FF0070C0"/>
      <name val="標楷體"/>
      <family val="4"/>
      <charset val="136"/>
    </font>
    <font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rgb="FF548235"/>
      <name val="標楷體"/>
      <family val="4"/>
      <charset val="136"/>
    </font>
    <font>
      <b val="true"/>
      <sz val="12"/>
      <color rgb="FFFF0000"/>
      <name val="標楷體"/>
      <family val="4"/>
      <charset val="136"/>
    </font>
    <font>
      <b val="true"/>
      <sz val="12"/>
      <color rgb="FFC55A11"/>
      <name val="標楷體"/>
      <family val="4"/>
      <charset val="136"/>
    </font>
    <font>
      <sz val="12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CBAD"/>
        <bgColor rgb="FFFFE699"/>
      </patternFill>
    </fill>
    <fill>
      <patternFill patternType="solid">
        <fgColor rgb="FFFBE5D6"/>
        <bgColor rgb="FFFFE699"/>
      </patternFill>
    </fill>
    <fill>
      <patternFill patternType="solid">
        <fgColor rgb="FFBDD7EE"/>
        <bgColor rgb="FFC5E0B4"/>
      </patternFill>
    </fill>
    <fill>
      <patternFill patternType="solid">
        <fgColor rgb="FFFFE699"/>
        <bgColor rgb="FFFBE5D6"/>
      </patternFill>
    </fill>
    <fill>
      <patternFill patternType="solid">
        <fgColor rgb="FFFFC000"/>
        <bgColor rgb="FFFF9900"/>
      </patternFill>
    </fill>
    <fill>
      <patternFill patternType="solid">
        <fgColor rgb="FFC5E0B4"/>
        <bgColor rgb="FFBDD7EE"/>
      </patternFill>
    </fill>
    <fill>
      <patternFill patternType="solid">
        <fgColor rgb="FFFFFFFF"/>
        <bgColor rgb="FFFBE5D6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5E0B4"/>
      <rgbColor rgb="FF808080"/>
      <rgbColor rgb="FF9999FF"/>
      <rgbColor rgb="FF993366"/>
      <rgbColor rgb="FFFBE5D6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453125" defaultRowHeight="16.5" zeroHeight="false" outlineLevelRow="0" outlineLevelCol="0"/>
  <cols>
    <col collapsed="false" customWidth="true" hidden="false" outlineLevel="0" max="2" min="1" style="0" width="15.63"/>
    <col collapsed="false" customWidth="true" hidden="false" outlineLevel="0" max="5" min="5" style="0" width="8.63"/>
    <col collapsed="false" customWidth="true" hidden="false" outlineLevel="0" max="6" min="6" style="0" width="3.63"/>
    <col collapsed="false" customWidth="true" hidden="false" outlineLevel="0" max="8" min="7" style="0" width="13.63"/>
  </cols>
  <sheetData>
    <row r="1" customFormat="false" ht="16.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6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</row>
    <row r="3" customFormat="false" ht="16.5" hidden="false" customHeight="false" outlineLevel="0" collapsed="false">
      <c r="A3" s="2" t="s">
        <v>8</v>
      </c>
      <c r="B3" s="2" t="s">
        <v>9</v>
      </c>
      <c r="C3" s="2" t="n">
        <v>260</v>
      </c>
      <c r="D3" s="2" t="n">
        <v>99</v>
      </c>
      <c r="E3" s="3" t="n">
        <v>64.65</v>
      </c>
      <c r="F3" s="2" t="s">
        <v>10</v>
      </c>
      <c r="G3" s="4" t="n">
        <f aca="false">D3*E3</f>
        <v>6400.35</v>
      </c>
      <c r="H3" s="2"/>
    </row>
    <row r="4" customFormat="false" ht="16.5" hidden="false" customHeight="false" outlineLevel="0" collapsed="false">
      <c r="A4" s="2"/>
      <c r="B4" s="2" t="s">
        <v>11</v>
      </c>
      <c r="C4" s="2" t="n">
        <v>5</v>
      </c>
      <c r="D4" s="2" t="n">
        <v>93</v>
      </c>
      <c r="E4" s="2" t="n">
        <v>5</v>
      </c>
      <c r="F4" s="2" t="s">
        <v>12</v>
      </c>
      <c r="G4" s="5"/>
      <c r="H4" s="2"/>
    </row>
    <row r="5" customFormat="false" ht="16.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6.5" hidden="false" customHeight="false" outlineLevel="0" collapsed="false">
      <c r="A6" s="2"/>
      <c r="B6" s="2"/>
      <c r="C6" s="2"/>
      <c r="D6" s="2"/>
      <c r="E6" s="6"/>
      <c r="F6" s="6"/>
      <c r="G6" s="6"/>
      <c r="H6" s="2"/>
    </row>
    <row r="7" customFormat="false" ht="16.5" hidden="false" customHeight="false" outlineLevel="0" collapsed="false">
      <c r="A7" s="2"/>
      <c r="B7" s="2" t="s">
        <v>13</v>
      </c>
      <c r="C7" s="2"/>
      <c r="D7" s="2"/>
      <c r="E7" s="6"/>
      <c r="F7" s="6"/>
      <c r="G7" s="7" t="n">
        <f aca="false">SUM(G3:G6)</f>
        <v>6400.35</v>
      </c>
      <c r="H7" s="2"/>
    </row>
    <row r="8" customFormat="false" ht="16.5" hidden="false" customHeight="false" outlineLevel="0" collapsed="false">
      <c r="A8" s="2" t="s">
        <v>14</v>
      </c>
      <c r="B8" s="2" t="s">
        <v>2</v>
      </c>
      <c r="C8" s="2" t="s">
        <v>3</v>
      </c>
      <c r="D8" s="2" t="s">
        <v>4</v>
      </c>
      <c r="E8" s="2" t="s">
        <v>5</v>
      </c>
      <c r="F8" s="2"/>
      <c r="G8" s="2" t="s">
        <v>6</v>
      </c>
      <c r="H8" s="2" t="s">
        <v>7</v>
      </c>
    </row>
    <row r="9" customFormat="false" ht="16.5" hidden="false" customHeight="false" outlineLevel="0" collapsed="false">
      <c r="A9" s="2" t="s">
        <v>15</v>
      </c>
      <c r="B9" s="2" t="s">
        <v>16</v>
      </c>
      <c r="C9" s="2" t="n">
        <v>1</v>
      </c>
      <c r="D9" s="2" t="n">
        <v>46.8</v>
      </c>
      <c r="E9" s="2" t="n">
        <v>20</v>
      </c>
      <c r="F9" s="2" t="s">
        <v>10</v>
      </c>
      <c r="G9" s="2" t="n">
        <f aca="false">D9*E9</f>
        <v>936</v>
      </c>
      <c r="H9" s="2"/>
    </row>
    <row r="10" customFormat="false" ht="16.5" hidden="false" customHeight="false" outlineLevel="0" collapsed="false">
      <c r="A10" s="2"/>
      <c r="B10" s="2" t="s">
        <v>17</v>
      </c>
      <c r="C10" s="2" t="n">
        <v>5</v>
      </c>
      <c r="D10" s="2" t="n">
        <v>150</v>
      </c>
      <c r="E10" s="2" t="n">
        <v>5</v>
      </c>
      <c r="F10" s="2" t="s">
        <v>10</v>
      </c>
      <c r="G10" s="2" t="n">
        <f aca="false">D10*E10</f>
        <v>750</v>
      </c>
      <c r="H10" s="2"/>
    </row>
    <row r="11" customFormat="false" ht="16.5" hidden="false" customHeight="false" outlineLevel="0" collapsed="false">
      <c r="A11" s="2"/>
      <c r="B11" s="2" t="s">
        <v>18</v>
      </c>
      <c r="C11" s="2" t="n">
        <v>6</v>
      </c>
      <c r="D11" s="2" t="n">
        <v>84</v>
      </c>
      <c r="E11" s="2" t="n">
        <v>6</v>
      </c>
      <c r="F11" s="2" t="s">
        <v>12</v>
      </c>
      <c r="G11" s="2" t="n">
        <f aca="false">D11*E11</f>
        <v>504</v>
      </c>
      <c r="H11" s="2"/>
    </row>
    <row r="12" customFormat="false" ht="16.5" hidden="false" customHeight="false" outlineLevel="0" collapsed="false">
      <c r="A12" s="2"/>
      <c r="B12" s="2" t="s">
        <v>19</v>
      </c>
      <c r="C12" s="2"/>
      <c r="D12" s="2" t="n">
        <v>327</v>
      </c>
      <c r="E12" s="2" t="n">
        <v>1</v>
      </c>
      <c r="F12" s="2" t="s">
        <v>12</v>
      </c>
      <c r="G12" s="2" t="n">
        <f aca="false">D12*E12</f>
        <v>327</v>
      </c>
      <c r="H12" s="2"/>
    </row>
    <row r="13" customFormat="false" ht="16.5" hidden="false" customHeight="false" outlineLevel="0" collapsed="false">
      <c r="A13" s="2"/>
      <c r="B13" s="2" t="s">
        <v>20</v>
      </c>
      <c r="C13" s="2" t="n">
        <v>3</v>
      </c>
      <c r="D13" s="2" t="n">
        <v>120</v>
      </c>
      <c r="E13" s="2" t="n">
        <v>3</v>
      </c>
      <c r="F13" s="2" t="s">
        <v>10</v>
      </c>
      <c r="G13" s="2" t="n">
        <f aca="false">D13*E13</f>
        <v>360</v>
      </c>
      <c r="H13" s="2"/>
    </row>
    <row r="14" customFormat="false" ht="16.5" hidden="false" customHeight="false" outlineLevel="0" collapsed="false">
      <c r="A14" s="2"/>
      <c r="B14" s="2" t="s">
        <v>13</v>
      </c>
      <c r="C14" s="2"/>
      <c r="D14" s="2"/>
      <c r="E14" s="6"/>
      <c r="F14" s="6"/>
      <c r="G14" s="7" t="n">
        <f aca="false">SUM(G9:G13)</f>
        <v>2877</v>
      </c>
      <c r="H14" s="2"/>
    </row>
    <row r="15" customFormat="false" ht="16.5" hidden="false" customHeight="false" outlineLevel="0" collapsed="false">
      <c r="A15" s="2" t="s">
        <v>21</v>
      </c>
      <c r="B15" s="2" t="s">
        <v>2</v>
      </c>
      <c r="C15" s="2" t="s">
        <v>3</v>
      </c>
      <c r="D15" s="2" t="s">
        <v>4</v>
      </c>
      <c r="E15" s="2" t="s">
        <v>5</v>
      </c>
      <c r="F15" s="2"/>
      <c r="G15" s="2" t="s">
        <v>6</v>
      </c>
      <c r="H15" s="2" t="s">
        <v>7</v>
      </c>
    </row>
    <row r="16" customFormat="false" ht="16.5" hidden="false" customHeight="false" outlineLevel="0" collapsed="false">
      <c r="A16" s="2" t="s">
        <v>22</v>
      </c>
      <c r="B16" s="2" t="s">
        <v>23</v>
      </c>
      <c r="C16" s="2" t="n">
        <v>25</v>
      </c>
      <c r="D16" s="2" t="n">
        <v>27.36</v>
      </c>
      <c r="E16" s="2" t="n">
        <v>25</v>
      </c>
      <c r="F16" s="2" t="s">
        <v>10</v>
      </c>
      <c r="G16" s="2" t="n">
        <f aca="false">D16*E16</f>
        <v>684</v>
      </c>
      <c r="H16" s="2"/>
    </row>
    <row r="17" customFormat="false" ht="16.5" hidden="false" customHeight="false" outlineLevel="0" collapsed="false">
      <c r="A17" s="2"/>
      <c r="B17" s="2" t="s">
        <v>24</v>
      </c>
      <c r="C17" s="2" t="n">
        <v>15</v>
      </c>
      <c r="D17" s="2" t="n">
        <v>45</v>
      </c>
      <c r="E17" s="2" t="n">
        <v>15</v>
      </c>
      <c r="F17" s="2" t="s">
        <v>10</v>
      </c>
      <c r="G17" s="2" t="n">
        <f aca="false">D17*E17</f>
        <v>675</v>
      </c>
      <c r="H17" s="2"/>
    </row>
    <row r="18" customFormat="false" ht="16.5" hidden="false" customHeight="false" outlineLevel="0" collapsed="false">
      <c r="A18" s="2"/>
      <c r="B18" s="2" t="s">
        <v>25</v>
      </c>
      <c r="C18" s="2" t="n">
        <v>8</v>
      </c>
      <c r="D18" s="2" t="n">
        <v>150</v>
      </c>
      <c r="E18" s="2" t="n">
        <v>8</v>
      </c>
      <c r="F18" s="2" t="s">
        <v>10</v>
      </c>
      <c r="G18" s="2" t="n">
        <f aca="false">D18*E18</f>
        <v>1200</v>
      </c>
      <c r="H18" s="2"/>
    </row>
    <row r="19" customFormat="false" ht="16.5" hidden="false" customHeight="false" outlineLevel="0" collapsed="false">
      <c r="A19" s="2"/>
      <c r="B19" s="2"/>
      <c r="C19" s="2"/>
      <c r="D19" s="2"/>
      <c r="E19" s="6"/>
      <c r="F19" s="6"/>
      <c r="G19" s="2" t="n">
        <f aca="false">D19*E19</f>
        <v>0</v>
      </c>
      <c r="H19" s="2"/>
    </row>
    <row r="20" customFormat="false" ht="16.5" hidden="false" customHeight="false" outlineLevel="0" collapsed="false">
      <c r="A20" s="2"/>
      <c r="B20" s="2"/>
      <c r="C20" s="2"/>
      <c r="D20" s="2"/>
      <c r="E20" s="6"/>
      <c r="F20" s="6"/>
      <c r="G20" s="2" t="n">
        <f aca="false">D20*E20</f>
        <v>0</v>
      </c>
      <c r="H20" s="2"/>
    </row>
    <row r="21" customFormat="false" ht="16.5" hidden="false" customHeight="false" outlineLevel="0" collapsed="false">
      <c r="A21" s="2"/>
      <c r="B21" s="2"/>
      <c r="C21" s="2"/>
      <c r="D21" s="2"/>
      <c r="E21" s="6"/>
      <c r="F21" s="6"/>
      <c r="G21" s="2"/>
      <c r="H21" s="2"/>
    </row>
    <row r="22" customFormat="false" ht="16.5" hidden="false" customHeight="false" outlineLevel="0" collapsed="false">
      <c r="A22" s="2"/>
      <c r="B22" s="2" t="s">
        <v>13</v>
      </c>
      <c r="C22" s="2"/>
      <c r="D22" s="2"/>
      <c r="E22" s="6"/>
      <c r="F22" s="6"/>
      <c r="G22" s="7" t="n">
        <f aca="false">SUM(G16:G21)</f>
        <v>2559</v>
      </c>
      <c r="H22" s="2"/>
    </row>
    <row r="23" customFormat="false" ht="16.5" hidden="false" customHeight="false" outlineLevel="0" collapsed="false">
      <c r="A23" s="8" t="s">
        <v>26</v>
      </c>
      <c r="B23" s="2" t="s">
        <v>2</v>
      </c>
      <c r="C23" s="2" t="s">
        <v>3</v>
      </c>
      <c r="D23" s="2" t="s">
        <v>4</v>
      </c>
      <c r="E23" s="2" t="s">
        <v>5</v>
      </c>
      <c r="F23" s="2"/>
      <c r="G23" s="2" t="s">
        <v>6</v>
      </c>
      <c r="H23" s="2" t="s">
        <v>7</v>
      </c>
    </row>
    <row r="24" customFormat="false" ht="16.5" hidden="false" customHeight="false" outlineLevel="0" collapsed="false">
      <c r="A24" s="2"/>
      <c r="B24" s="2" t="s">
        <v>27</v>
      </c>
      <c r="C24" s="2" t="n">
        <v>2</v>
      </c>
      <c r="D24" s="2" t="n">
        <v>150</v>
      </c>
      <c r="E24" s="2" t="n">
        <v>2</v>
      </c>
      <c r="F24" s="2" t="s">
        <v>10</v>
      </c>
      <c r="G24" s="2" t="n">
        <f aca="false">D24*E24</f>
        <v>300</v>
      </c>
      <c r="H24" s="2"/>
    </row>
    <row r="25" customFormat="false" ht="16.5" hidden="false" customHeight="false" outlineLevel="0" collapsed="false">
      <c r="A25" s="2"/>
      <c r="B25" s="2" t="s">
        <v>28</v>
      </c>
      <c r="C25" s="2" t="s">
        <v>29</v>
      </c>
      <c r="D25" s="2" t="n">
        <v>94.5</v>
      </c>
      <c r="E25" s="2" t="n">
        <v>0.5</v>
      </c>
      <c r="F25" s="2" t="s">
        <v>10</v>
      </c>
      <c r="G25" s="2" t="n">
        <f aca="false">D25*E25</f>
        <v>47.25</v>
      </c>
      <c r="H25" s="2"/>
    </row>
    <row r="26" customFormat="false" ht="16.5" hidden="false" customHeight="false" outlineLevel="0" collapsed="false">
      <c r="A26" s="2"/>
      <c r="B26" s="2" t="s">
        <v>30</v>
      </c>
      <c r="C26" s="2" t="n">
        <v>8</v>
      </c>
      <c r="D26" s="2" t="n">
        <v>96.9</v>
      </c>
      <c r="E26" s="2" t="n">
        <v>8</v>
      </c>
      <c r="F26" s="2" t="s">
        <v>10</v>
      </c>
      <c r="G26" s="2" t="n">
        <f aca="false">D26*E26</f>
        <v>775.2</v>
      </c>
      <c r="H26" s="2"/>
    </row>
    <row r="27" customFormat="false" ht="16.5" hidden="false" customHeight="false" outlineLevel="0" collapsed="false">
      <c r="A27" s="2"/>
      <c r="B27" s="2" t="s">
        <v>31</v>
      </c>
      <c r="C27" s="2" t="n">
        <v>4</v>
      </c>
      <c r="D27" s="2" t="n">
        <v>36</v>
      </c>
      <c r="E27" s="2" t="n">
        <v>4</v>
      </c>
      <c r="F27" s="2" t="s">
        <v>10</v>
      </c>
      <c r="G27" s="5" t="n">
        <f aca="false">D27*E27</f>
        <v>144</v>
      </c>
      <c r="H27" s="2"/>
    </row>
    <row r="28" customFormat="false" ht="16.5" hidden="false" customHeight="false" outlineLevel="0" collapsed="false">
      <c r="A28" s="2"/>
      <c r="B28" s="2" t="s">
        <v>32</v>
      </c>
      <c r="C28" s="2" t="n">
        <v>1</v>
      </c>
      <c r="D28" s="2" t="n">
        <v>46.8</v>
      </c>
      <c r="E28" s="2" t="n">
        <v>20</v>
      </c>
      <c r="F28" s="6" t="s">
        <v>10</v>
      </c>
      <c r="G28" s="2" t="n">
        <f aca="false">D28*E28</f>
        <v>936</v>
      </c>
      <c r="H28" s="2"/>
    </row>
    <row r="29" customFormat="false" ht="16.5" hidden="false" customHeight="false" outlineLevel="0" collapsed="false">
      <c r="A29" s="2"/>
      <c r="B29" s="2" t="s">
        <v>33</v>
      </c>
      <c r="C29" s="2" t="n">
        <v>4</v>
      </c>
      <c r="D29" s="2" t="n">
        <v>105</v>
      </c>
      <c r="E29" s="2" t="n">
        <v>4</v>
      </c>
      <c r="F29" s="2" t="s">
        <v>10</v>
      </c>
      <c r="G29" s="5" t="n">
        <f aca="false">D29*E29</f>
        <v>420</v>
      </c>
      <c r="H29" s="2"/>
    </row>
    <row r="30" customFormat="false" ht="16.5" hidden="false" customHeight="false" outlineLevel="0" collapsed="false">
      <c r="A30" s="2"/>
      <c r="B30" s="2" t="s">
        <v>34</v>
      </c>
      <c r="C30" s="2" t="n">
        <v>1</v>
      </c>
      <c r="D30" s="2" t="n">
        <v>120</v>
      </c>
      <c r="E30" s="2" t="n">
        <v>5</v>
      </c>
      <c r="F30" s="2" t="s">
        <v>10</v>
      </c>
      <c r="G30" s="5" t="n">
        <f aca="false">D30*E30</f>
        <v>600</v>
      </c>
      <c r="H30" s="2"/>
    </row>
    <row r="31" customFormat="false" ht="16.5" hidden="false" customHeight="false" outlineLevel="0" collapsed="false">
      <c r="A31" s="2"/>
      <c r="B31" s="2" t="s">
        <v>35</v>
      </c>
      <c r="C31" s="2" t="n">
        <v>1</v>
      </c>
      <c r="D31" s="2" t="n">
        <v>650</v>
      </c>
      <c r="E31" s="2" t="n">
        <v>1</v>
      </c>
      <c r="F31" s="2" t="s">
        <v>36</v>
      </c>
      <c r="G31" s="5" t="n">
        <f aca="false">D31*E31</f>
        <v>650</v>
      </c>
      <c r="H31" s="2"/>
    </row>
    <row r="32" customFormat="false" ht="16.5" hidden="false" customHeight="false" outlineLevel="0" collapsed="false">
      <c r="A32" s="2"/>
      <c r="B32" s="2" t="s">
        <v>37</v>
      </c>
      <c r="C32" s="2" t="n">
        <v>8</v>
      </c>
      <c r="D32" s="2" t="n">
        <v>21</v>
      </c>
      <c r="E32" s="2" t="n">
        <v>8</v>
      </c>
      <c r="F32" s="2" t="s">
        <v>10</v>
      </c>
      <c r="G32" s="5" t="n">
        <f aca="false">D32*E32</f>
        <v>168</v>
      </c>
      <c r="H32" s="2"/>
    </row>
    <row r="33" customFormat="false" ht="16.5" hidden="false" customHeight="false" outlineLevel="0" collapsed="false">
      <c r="A33" s="2"/>
      <c r="B33" s="2" t="s">
        <v>38</v>
      </c>
      <c r="C33" s="2" t="n">
        <v>1</v>
      </c>
      <c r="D33" s="2" t="n">
        <v>4.5</v>
      </c>
      <c r="E33" s="2" t="n">
        <v>50</v>
      </c>
      <c r="F33" s="2" t="s">
        <v>39</v>
      </c>
      <c r="G33" s="5" t="n">
        <f aca="false">D33*E33</f>
        <v>225</v>
      </c>
      <c r="H33" s="2"/>
    </row>
    <row r="34" customFormat="false" ht="16.5" hidden="false" customHeight="false" outlineLevel="0" collapsed="false">
      <c r="A34" s="2"/>
      <c r="B34" s="2" t="s">
        <v>40</v>
      </c>
      <c r="C34" s="2" t="n">
        <v>1</v>
      </c>
      <c r="D34" s="2" t="n">
        <v>264</v>
      </c>
      <c r="E34" s="2" t="n">
        <v>1</v>
      </c>
      <c r="F34" s="2" t="s">
        <v>41</v>
      </c>
      <c r="G34" s="5" t="n">
        <f aca="false">D34*E34</f>
        <v>264</v>
      </c>
      <c r="H34" s="2"/>
    </row>
    <row r="35" customFormat="false" ht="16.5" hidden="false" customHeight="false" outlineLevel="0" collapsed="false">
      <c r="A35" s="2"/>
      <c r="B35" s="2" t="s">
        <v>13</v>
      </c>
      <c r="C35" s="2"/>
      <c r="D35" s="2"/>
      <c r="E35" s="2"/>
      <c r="F35" s="2"/>
      <c r="G35" s="9" t="n">
        <f aca="false">SUM(G24:G34)</f>
        <v>4529.45</v>
      </c>
      <c r="H35" s="2"/>
    </row>
    <row r="36" customFormat="false" ht="16.5" hidden="false" customHeight="false" outlineLevel="0" collapsed="false">
      <c r="A36" s="2" t="s">
        <v>42</v>
      </c>
      <c r="B36" s="2" t="s">
        <v>2</v>
      </c>
      <c r="C36" s="2" t="s">
        <v>3</v>
      </c>
      <c r="D36" s="2" t="s">
        <v>4</v>
      </c>
      <c r="E36" s="2" t="s">
        <v>5</v>
      </c>
      <c r="F36" s="2"/>
      <c r="G36" s="2" t="s">
        <v>6</v>
      </c>
      <c r="H36" s="2" t="s">
        <v>7</v>
      </c>
    </row>
    <row r="37" customFormat="false" ht="16.5" hidden="false" customHeight="false" outlineLevel="0" collapsed="false">
      <c r="A37" s="2" t="s">
        <v>43</v>
      </c>
      <c r="B37" s="2" t="s">
        <v>44</v>
      </c>
      <c r="C37" s="2" t="n">
        <v>1</v>
      </c>
      <c r="D37" s="2" t="n">
        <v>187</v>
      </c>
      <c r="E37" s="2" t="n">
        <v>1</v>
      </c>
      <c r="F37" s="2" t="s">
        <v>45</v>
      </c>
      <c r="G37" s="2" t="n">
        <f aca="false">D37*E37</f>
        <v>187</v>
      </c>
      <c r="H37" s="2"/>
    </row>
    <row r="38" customFormat="false" ht="16.5" hidden="false" customHeight="false" outlineLevel="0" collapsed="false">
      <c r="A38" s="2"/>
      <c r="B38" s="2" t="s">
        <v>46</v>
      </c>
      <c r="C38" s="2" t="n">
        <v>4</v>
      </c>
      <c r="D38" s="2" t="n">
        <v>180</v>
      </c>
      <c r="E38" s="2" t="n">
        <v>4</v>
      </c>
      <c r="F38" s="2" t="s">
        <v>47</v>
      </c>
      <c r="G38" s="2" t="n">
        <f aca="false">D38*E38</f>
        <v>720</v>
      </c>
      <c r="H38" s="2"/>
    </row>
    <row r="39" customFormat="false" ht="16.5" hidden="false" customHeight="fals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6.5" hidden="false" customHeight="false" outlineLevel="0" collapsed="false">
      <c r="A40" s="2"/>
      <c r="B40" s="2"/>
      <c r="C40" s="2"/>
      <c r="D40" s="2"/>
      <c r="E40" s="6"/>
      <c r="F40" s="6"/>
      <c r="G40" s="10" t="n">
        <f aca="false">SUM(G37:G39)</f>
        <v>907</v>
      </c>
      <c r="H40" s="2"/>
    </row>
    <row r="41" customFormat="false" ht="16.5" hidden="false" customHeight="false" outlineLevel="0" collapsed="false">
      <c r="A41" s="2" t="s">
        <v>48</v>
      </c>
      <c r="B41" s="2" t="s">
        <v>2</v>
      </c>
      <c r="C41" s="2" t="s">
        <v>3</v>
      </c>
      <c r="D41" s="2" t="s">
        <v>4</v>
      </c>
      <c r="E41" s="6" t="s">
        <v>5</v>
      </c>
      <c r="F41" s="6"/>
      <c r="G41" s="6" t="s">
        <v>6</v>
      </c>
      <c r="H41" s="2" t="s">
        <v>7</v>
      </c>
    </row>
    <row r="42" customFormat="false" ht="16.5" hidden="false" customHeight="false" outlineLevel="0" collapsed="false">
      <c r="A42" s="2"/>
      <c r="B42" s="2" t="s">
        <v>49</v>
      </c>
      <c r="C42" s="2"/>
      <c r="D42" s="2" t="n">
        <v>36.48</v>
      </c>
      <c r="E42" s="2" t="n">
        <v>50.33</v>
      </c>
      <c r="F42" s="2" t="s">
        <v>10</v>
      </c>
      <c r="G42" s="5" t="n">
        <f aca="false">D42*E42</f>
        <v>1836.0384</v>
      </c>
      <c r="H42" s="2"/>
    </row>
    <row r="43" customFormat="false" ht="16.5" hidden="false" customHeight="false" outlineLevel="0" collapsed="false">
      <c r="A43" s="2"/>
      <c r="B43" s="2" t="s">
        <v>50</v>
      </c>
      <c r="C43" s="2"/>
      <c r="D43" s="2" t="n">
        <v>7.14</v>
      </c>
      <c r="E43" s="2" t="n">
        <v>75</v>
      </c>
      <c r="F43" s="2" t="s">
        <v>10</v>
      </c>
      <c r="G43" s="5" t="n">
        <f aca="false">D43*E43</f>
        <v>535.5</v>
      </c>
      <c r="H43" s="2"/>
    </row>
    <row r="44" customFormat="false" ht="16.5" hidden="false" customHeight="false" outlineLevel="0" collapsed="false">
      <c r="A44" s="2"/>
      <c r="B44" s="2" t="s">
        <v>13</v>
      </c>
      <c r="C44" s="2"/>
      <c r="D44" s="2"/>
      <c r="E44" s="6"/>
      <c r="F44" s="6"/>
      <c r="G44" s="7" t="n">
        <f aca="false">SUM(G42:G43)</f>
        <v>2371.5384</v>
      </c>
      <c r="H44" s="11"/>
    </row>
    <row r="45" customFormat="false" ht="16.5" hidden="false" customHeight="false" outlineLevel="0" collapsed="false">
      <c r="A45" s="12" t="s">
        <v>51</v>
      </c>
      <c r="B45" s="2" t="s">
        <v>2</v>
      </c>
      <c r="C45" s="2" t="s">
        <v>3</v>
      </c>
      <c r="D45" s="2" t="s">
        <v>4</v>
      </c>
      <c r="E45" s="2" t="s">
        <v>5</v>
      </c>
      <c r="F45" s="2"/>
      <c r="G45" s="2" t="s">
        <v>6</v>
      </c>
      <c r="H45" s="2"/>
    </row>
    <row r="46" customFormat="false" ht="16.5" hidden="false" customHeight="false" outlineLevel="0" collapsed="false">
      <c r="A46" s="2"/>
      <c r="B46" s="2" t="s">
        <v>52</v>
      </c>
      <c r="C46" s="2"/>
      <c r="D46" s="2" t="n">
        <v>1250</v>
      </c>
      <c r="E46" s="2" t="n">
        <v>1</v>
      </c>
      <c r="F46" s="2" t="s">
        <v>36</v>
      </c>
      <c r="G46" s="5" t="n">
        <f aca="false">D46*E46</f>
        <v>1250</v>
      </c>
      <c r="H46" s="2"/>
    </row>
    <row r="47" customFormat="false" ht="16.5" hidden="false" customHeight="false" outlineLevel="0" collapsed="false">
      <c r="A47" s="2"/>
      <c r="B47" s="2" t="s">
        <v>53</v>
      </c>
      <c r="C47" s="2"/>
      <c r="D47" s="2" t="n">
        <v>1236</v>
      </c>
      <c r="E47" s="2" t="n">
        <v>1</v>
      </c>
      <c r="F47" s="2" t="s">
        <v>36</v>
      </c>
      <c r="G47" s="5" t="n">
        <f aca="false">D47*E47</f>
        <v>1236</v>
      </c>
      <c r="H47" s="2"/>
    </row>
    <row r="48" customFormat="false" ht="16.5" hidden="false" customHeight="false" outlineLevel="0" collapsed="false">
      <c r="A48" s="2"/>
      <c r="B48" s="2" t="s">
        <v>54</v>
      </c>
      <c r="C48" s="2"/>
      <c r="D48" s="2" t="n">
        <v>510</v>
      </c>
      <c r="E48" s="2" t="n">
        <v>1</v>
      </c>
      <c r="F48" s="2" t="s">
        <v>12</v>
      </c>
      <c r="G48" s="5" t="n">
        <f aca="false">D48*E48</f>
        <v>510</v>
      </c>
      <c r="H48" s="2"/>
    </row>
    <row r="49" customFormat="false" ht="16.5" hidden="false" customHeight="false" outlineLevel="0" collapsed="false">
      <c r="A49" s="2"/>
      <c r="B49" s="2"/>
      <c r="C49" s="2"/>
      <c r="D49" s="2"/>
      <c r="E49" s="2"/>
      <c r="F49" s="2"/>
      <c r="G49" s="5"/>
      <c r="H49" s="2"/>
    </row>
    <row r="50" customFormat="false" ht="16.5" hidden="false" customHeight="false" outlineLevel="0" collapsed="false">
      <c r="A50" s="2"/>
      <c r="B50" s="2" t="s">
        <v>13</v>
      </c>
      <c r="C50" s="2"/>
      <c r="D50" s="2"/>
      <c r="E50" s="6"/>
      <c r="F50" s="6"/>
      <c r="G50" s="7" t="n">
        <f aca="false">SUM(G46:G49)</f>
        <v>2996</v>
      </c>
      <c r="H50" s="2"/>
    </row>
    <row r="51" customFormat="false" ht="17.25" hidden="false" customHeight="false" outlineLevel="0" collapsed="false">
      <c r="A51" s="2"/>
      <c r="B51" s="13" t="s">
        <v>55</v>
      </c>
      <c r="C51" s="13"/>
      <c r="D51" s="13"/>
      <c r="E51" s="14"/>
      <c r="F51" s="14"/>
      <c r="G51" s="15" t="n">
        <f aca="false">G50+G44+G40+G22+G14+G7+G35</f>
        <v>22640.3384</v>
      </c>
      <c r="H51" s="16" t="s">
        <v>56</v>
      </c>
    </row>
    <row r="52" customFormat="false" ht="16.5" hidden="false" customHeight="false" outlineLevel="0" collapsed="false">
      <c r="A52" s="17" t="s">
        <v>57</v>
      </c>
      <c r="B52" s="18" t="s">
        <v>58</v>
      </c>
      <c r="C52" s="18"/>
      <c r="D52" s="18"/>
      <c r="E52" s="19" t="s">
        <v>59</v>
      </c>
      <c r="F52" s="19"/>
      <c r="G52" s="19"/>
      <c r="H52" s="20" t="s">
        <v>60</v>
      </c>
    </row>
    <row r="53" customFormat="false" ht="16.5" hidden="false" customHeight="true" outlineLevel="0" collapsed="false">
      <c r="A53" s="17"/>
      <c r="B53" s="21" t="s">
        <v>61</v>
      </c>
      <c r="C53" s="21"/>
      <c r="D53" s="21"/>
      <c r="E53" s="22" t="s">
        <v>62</v>
      </c>
      <c r="F53" s="23"/>
      <c r="G53" s="23"/>
      <c r="H53" s="24" t="s">
        <v>63</v>
      </c>
    </row>
    <row r="54" customFormat="false" ht="17.25" hidden="false" customHeight="false" outlineLevel="0" collapsed="false">
      <c r="A54" s="17"/>
      <c r="B54" s="21"/>
      <c r="C54" s="21"/>
      <c r="D54" s="21"/>
      <c r="E54" s="25" t="s">
        <v>64</v>
      </c>
      <c r="F54" s="26" t="n">
        <v>270</v>
      </c>
      <c r="G54" s="26"/>
      <c r="H54" s="24"/>
    </row>
  </sheetData>
  <mergeCells count="23">
    <mergeCell ref="A1:H1"/>
    <mergeCell ref="A3:A7"/>
    <mergeCell ref="B7:D7"/>
    <mergeCell ref="A9:A14"/>
    <mergeCell ref="B14:D14"/>
    <mergeCell ref="A16:A22"/>
    <mergeCell ref="B22:D22"/>
    <mergeCell ref="A24:A35"/>
    <mergeCell ref="B35:D35"/>
    <mergeCell ref="A37:A40"/>
    <mergeCell ref="B40:D40"/>
    <mergeCell ref="A42:A44"/>
    <mergeCell ref="B44:D44"/>
    <mergeCell ref="A46:A50"/>
    <mergeCell ref="B50:D50"/>
    <mergeCell ref="B51:D51"/>
    <mergeCell ref="A52:A54"/>
    <mergeCell ref="B52:D52"/>
    <mergeCell ref="E52:G52"/>
    <mergeCell ref="B53:D54"/>
    <mergeCell ref="F53:G53"/>
    <mergeCell ref="H53:H54"/>
    <mergeCell ref="F54:G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453125" defaultRowHeight="16.5" zeroHeight="false" outlineLevelRow="0" outlineLevelCol="0"/>
  <cols>
    <col collapsed="false" customWidth="true" hidden="false" outlineLevel="0" max="2" min="1" style="0" width="15.63"/>
    <col collapsed="false" customWidth="true" hidden="false" outlineLevel="0" max="5" min="5" style="0" width="8.63"/>
    <col collapsed="false" customWidth="true" hidden="false" outlineLevel="0" max="6" min="6" style="0" width="3.63"/>
    <col collapsed="false" customWidth="true" hidden="false" outlineLevel="0" max="8" min="7" style="0" width="13.63"/>
    <col collapsed="false" customWidth="true" hidden="false" outlineLevel="0" max="9" min="9" style="0" width="13.51"/>
  </cols>
  <sheetData>
    <row r="1" customFormat="false" ht="16.5" hidden="false" customHeight="false" outlineLevel="0" collapsed="false">
      <c r="A1" s="1" t="s">
        <v>65</v>
      </c>
      <c r="B1" s="1"/>
      <c r="C1" s="1"/>
      <c r="D1" s="1"/>
      <c r="E1" s="1"/>
      <c r="F1" s="1"/>
      <c r="G1" s="1"/>
      <c r="H1" s="1"/>
    </row>
    <row r="2" customFormat="false" ht="16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</row>
    <row r="3" customFormat="false" ht="16.5" hidden="false" customHeight="false" outlineLevel="0" collapsed="false">
      <c r="A3" s="2" t="s">
        <v>66</v>
      </c>
      <c r="B3" s="2" t="s">
        <v>67</v>
      </c>
      <c r="C3" s="2" t="n">
        <v>50</v>
      </c>
      <c r="D3" s="2" t="n">
        <v>183</v>
      </c>
      <c r="E3" s="2" t="n">
        <v>50</v>
      </c>
      <c r="F3" s="2" t="s">
        <v>10</v>
      </c>
      <c r="G3" s="5" t="n">
        <f aca="false">D3*E3</f>
        <v>9150</v>
      </c>
      <c r="H3" s="2"/>
    </row>
    <row r="4" customFormat="false" ht="16.5" hidden="false" customHeight="false" outlineLevel="0" collapsed="false">
      <c r="A4" s="2"/>
      <c r="B4" s="2" t="s">
        <v>68</v>
      </c>
      <c r="C4" s="2" t="n">
        <v>3</v>
      </c>
      <c r="D4" s="2" t="n">
        <v>276</v>
      </c>
      <c r="E4" s="2" t="n">
        <v>3</v>
      </c>
      <c r="F4" s="2" t="s">
        <v>69</v>
      </c>
      <c r="G4" s="5" t="n">
        <f aca="false">D4*E4</f>
        <v>828</v>
      </c>
      <c r="H4" s="2"/>
    </row>
    <row r="5" customFormat="false" ht="16.5" hidden="false" customHeight="false" outlineLevel="0" collapsed="false">
      <c r="A5" s="2"/>
      <c r="B5" s="2" t="s">
        <v>70</v>
      </c>
      <c r="C5" s="2" t="n">
        <v>6</v>
      </c>
      <c r="D5" s="2" t="n">
        <v>30.6</v>
      </c>
      <c r="E5" s="2" t="n">
        <v>6</v>
      </c>
      <c r="F5" s="2" t="s">
        <v>10</v>
      </c>
      <c r="G5" s="5" t="n">
        <f aca="false">D5*E5</f>
        <v>183.6</v>
      </c>
      <c r="H5" s="2"/>
    </row>
    <row r="6" customFormat="false" ht="16.5" hidden="false" customHeight="false" outlineLevel="0" collapsed="false">
      <c r="A6" s="2"/>
      <c r="B6" s="2"/>
      <c r="C6" s="2"/>
      <c r="D6" s="2"/>
      <c r="E6" s="6"/>
      <c r="F6" s="6"/>
      <c r="G6" s="5" t="n">
        <f aca="false">D6*E6</f>
        <v>0</v>
      </c>
      <c r="H6" s="2"/>
    </row>
    <row r="7" customFormat="false" ht="16.5" hidden="false" customHeight="false" outlineLevel="0" collapsed="false">
      <c r="A7" s="2"/>
      <c r="B7" s="2" t="s">
        <v>13</v>
      </c>
      <c r="C7" s="2"/>
      <c r="D7" s="2"/>
      <c r="E7" s="6"/>
      <c r="F7" s="6"/>
      <c r="G7" s="7" t="n">
        <f aca="false">SUM(G3:G6)</f>
        <v>10161.6</v>
      </c>
      <c r="H7" s="2"/>
    </row>
    <row r="8" customFormat="false" ht="16.5" hidden="false" customHeight="false" outlineLevel="0" collapsed="false">
      <c r="A8" s="2" t="s">
        <v>14</v>
      </c>
      <c r="B8" s="2" t="s">
        <v>2</v>
      </c>
      <c r="C8" s="2" t="s">
        <v>3</v>
      </c>
      <c r="D8" s="2" t="s">
        <v>4</v>
      </c>
      <c r="E8" s="2" t="s">
        <v>5</v>
      </c>
      <c r="F8" s="2"/>
      <c r="G8" s="2" t="s">
        <v>6</v>
      </c>
      <c r="H8" s="2" t="s">
        <v>7</v>
      </c>
    </row>
    <row r="9" customFormat="false" ht="16.5" hidden="false" customHeight="false" outlineLevel="0" collapsed="false">
      <c r="A9" s="2" t="s">
        <v>71</v>
      </c>
      <c r="B9" s="2" t="s">
        <v>72</v>
      </c>
      <c r="C9" s="2" t="n">
        <v>270</v>
      </c>
      <c r="D9" s="2" t="n">
        <v>118</v>
      </c>
      <c r="E9" s="2" t="n">
        <v>14</v>
      </c>
      <c r="F9" s="2" t="s">
        <v>12</v>
      </c>
      <c r="G9" s="2" t="n">
        <f aca="false">D9*E9</f>
        <v>1652</v>
      </c>
      <c r="H9" s="2" t="s">
        <v>73</v>
      </c>
    </row>
    <row r="10" customFormat="false" ht="16.5" hidden="false" customHeight="false" outlineLevel="0" collapsed="false">
      <c r="A10" s="2"/>
      <c r="B10" s="2" t="s">
        <v>74</v>
      </c>
      <c r="C10" s="2" t="n">
        <v>40</v>
      </c>
      <c r="D10" s="2" t="n">
        <v>11</v>
      </c>
      <c r="E10" s="2" t="n">
        <v>40</v>
      </c>
      <c r="F10" s="2" t="s">
        <v>39</v>
      </c>
      <c r="G10" s="2" t="n">
        <f aca="false">D10*E10</f>
        <v>440</v>
      </c>
      <c r="H10" s="2"/>
    </row>
    <row r="11" customFormat="false" ht="16.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customFormat="false" ht="16.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6.5" hidden="false" customHeight="false" outlineLevel="0" collapsed="false">
      <c r="A14" s="2"/>
      <c r="B14" s="2" t="s">
        <v>13</v>
      </c>
      <c r="C14" s="2"/>
      <c r="D14" s="2"/>
      <c r="E14" s="6"/>
      <c r="F14" s="6"/>
      <c r="G14" s="7" t="n">
        <f aca="false">SUM(G9:G13)</f>
        <v>2092</v>
      </c>
      <c r="H14" s="2"/>
    </row>
    <row r="15" customFormat="false" ht="16.5" hidden="false" customHeight="false" outlineLevel="0" collapsed="false">
      <c r="A15" s="2" t="s">
        <v>75</v>
      </c>
      <c r="B15" s="2" t="s">
        <v>2</v>
      </c>
      <c r="C15" s="2" t="s">
        <v>3</v>
      </c>
      <c r="D15" s="2" t="s">
        <v>4</v>
      </c>
      <c r="E15" s="2" t="s">
        <v>5</v>
      </c>
      <c r="F15" s="2"/>
      <c r="G15" s="2" t="s">
        <v>6</v>
      </c>
      <c r="H15" s="2" t="s">
        <v>7</v>
      </c>
    </row>
    <row r="16" customFormat="false" ht="16.5" hidden="false" customHeight="false" outlineLevel="0" collapsed="false">
      <c r="A16" s="2" t="s">
        <v>76</v>
      </c>
      <c r="B16" s="2" t="s">
        <v>77</v>
      </c>
      <c r="C16" s="2" t="n">
        <v>45</v>
      </c>
      <c r="D16" s="2" t="n">
        <v>11.7</v>
      </c>
      <c r="E16" s="2" t="n">
        <v>45</v>
      </c>
      <c r="F16" s="2" t="s">
        <v>10</v>
      </c>
      <c r="G16" s="2" t="n">
        <f aca="false">D16*E16</f>
        <v>526.5</v>
      </c>
      <c r="H16" s="2"/>
    </row>
    <row r="17" customFormat="false" ht="16.5" hidden="false" customHeight="false" outlineLevel="0" collapsed="false">
      <c r="A17" s="2"/>
      <c r="B17" s="2" t="s">
        <v>78</v>
      </c>
      <c r="C17" s="2" t="n">
        <v>15</v>
      </c>
      <c r="D17" s="2" t="n">
        <v>141</v>
      </c>
      <c r="E17" s="2" t="n">
        <v>15</v>
      </c>
      <c r="F17" s="2" t="s">
        <v>10</v>
      </c>
      <c r="G17" s="2" t="n">
        <f aca="false">D17*E17</f>
        <v>2115</v>
      </c>
      <c r="H17" s="2"/>
    </row>
    <row r="18" customFormat="false" ht="16.5" hidden="false" customHeight="false" outlineLevel="0" collapsed="false">
      <c r="A18" s="2"/>
      <c r="B18" s="2" t="s">
        <v>79</v>
      </c>
      <c r="C18" s="2" t="n">
        <v>3</v>
      </c>
      <c r="D18" s="2" t="n">
        <v>14.82</v>
      </c>
      <c r="E18" s="2" t="n">
        <v>3</v>
      </c>
      <c r="F18" s="2" t="s">
        <v>10</v>
      </c>
      <c r="G18" s="5" t="n">
        <f aca="false">D18*E18</f>
        <v>44.46</v>
      </c>
      <c r="H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 t="n">
        <f aca="false">D19*E19</f>
        <v>0</v>
      </c>
      <c r="H19" s="2"/>
    </row>
    <row r="20" customFormat="false" ht="16.5" hidden="false" customHeight="false" outlineLevel="0" collapsed="false">
      <c r="A20" s="2"/>
      <c r="B20" s="2"/>
      <c r="C20" s="2"/>
      <c r="D20" s="2"/>
      <c r="E20" s="2"/>
      <c r="F20" s="2"/>
      <c r="G20" s="6"/>
      <c r="H20" s="2"/>
    </row>
    <row r="21" customFormat="false" ht="16.5" hidden="false" customHeight="false" outlineLevel="0" collapsed="false">
      <c r="A21" s="2"/>
      <c r="B21" s="2" t="s">
        <v>13</v>
      </c>
      <c r="C21" s="2"/>
      <c r="D21" s="2"/>
      <c r="E21" s="6"/>
      <c r="F21" s="6"/>
      <c r="G21" s="7" t="n">
        <f aca="false">SUM(G16:G20)</f>
        <v>2685.96</v>
      </c>
      <c r="H21" s="2"/>
    </row>
    <row r="22" customFormat="false" ht="16.5" hidden="false" customHeight="false" outlineLevel="0" collapsed="false">
      <c r="A22" s="8" t="s">
        <v>26</v>
      </c>
      <c r="B22" s="2" t="s">
        <v>2</v>
      </c>
      <c r="C22" s="2" t="s">
        <v>3</v>
      </c>
      <c r="D22" s="2" t="s">
        <v>4</v>
      </c>
      <c r="E22" s="2" t="s">
        <v>5</v>
      </c>
      <c r="F22" s="2"/>
      <c r="G22" s="2" t="s">
        <v>6</v>
      </c>
      <c r="H22" s="2" t="s">
        <v>7</v>
      </c>
    </row>
    <row r="23" customFormat="false" ht="16.5" hidden="false" customHeight="false" outlineLevel="0" collapsed="false">
      <c r="A23" s="2"/>
      <c r="B23" s="2" t="s">
        <v>80</v>
      </c>
      <c r="C23" s="2" t="n">
        <v>20</v>
      </c>
      <c r="D23" s="2" t="n">
        <v>60</v>
      </c>
      <c r="E23" s="2" t="n">
        <v>20</v>
      </c>
      <c r="F23" s="2" t="s">
        <v>10</v>
      </c>
      <c r="G23" s="2" t="n">
        <f aca="false">D23*E23</f>
        <v>1200</v>
      </c>
      <c r="H23" s="2"/>
    </row>
    <row r="24" customFormat="false" ht="16.5" hidden="false" customHeight="false" outlineLevel="0" collapsed="false">
      <c r="A24" s="2"/>
      <c r="B24" s="2" t="s">
        <v>81</v>
      </c>
      <c r="C24" s="2" t="n">
        <v>2</v>
      </c>
      <c r="D24" s="2" t="n">
        <v>530</v>
      </c>
      <c r="E24" s="2" t="n">
        <v>8</v>
      </c>
      <c r="F24" s="2" t="s">
        <v>82</v>
      </c>
      <c r="G24" s="2" t="n">
        <f aca="false">D24*E24</f>
        <v>4240</v>
      </c>
      <c r="H24" s="2"/>
    </row>
    <row r="25" customFormat="false" ht="16.5" hidden="false" customHeight="false" outlineLevel="0" collapsed="false">
      <c r="A25" s="2"/>
      <c r="B25" s="2"/>
      <c r="C25" s="2"/>
      <c r="D25" s="2"/>
      <c r="E25" s="2"/>
      <c r="F25" s="2"/>
      <c r="G25" s="2" t="n">
        <f aca="false">D25*E25</f>
        <v>0</v>
      </c>
      <c r="H25" s="2"/>
    </row>
    <row r="26" customFormat="false" ht="16.5" hidden="false" customHeight="false" outlineLevel="0" collapsed="false">
      <c r="A26" s="2"/>
      <c r="B26" s="2" t="s">
        <v>83</v>
      </c>
      <c r="C26" s="2" t="n">
        <v>0.2</v>
      </c>
      <c r="D26" s="2" t="n">
        <v>40.8</v>
      </c>
      <c r="E26" s="2" t="n">
        <v>0.3</v>
      </c>
      <c r="F26" s="2" t="s">
        <v>10</v>
      </c>
      <c r="G26" s="2" t="n">
        <f aca="false">D26*E26</f>
        <v>12.24</v>
      </c>
      <c r="H26" s="2" t="s">
        <v>84</v>
      </c>
    </row>
    <row r="27" customFormat="false" ht="16.5" hidden="false" customHeight="false" outlineLevel="0" collapsed="false">
      <c r="A27" s="2"/>
      <c r="B27" s="2" t="s">
        <v>85</v>
      </c>
      <c r="C27" s="2" t="n">
        <v>7</v>
      </c>
      <c r="D27" s="2" t="n">
        <v>85</v>
      </c>
      <c r="E27" s="27" t="n">
        <v>2</v>
      </c>
      <c r="F27" s="2" t="s">
        <v>10</v>
      </c>
      <c r="G27" s="2" t="n">
        <f aca="false">D27*E27</f>
        <v>170</v>
      </c>
      <c r="H27" s="2" t="s">
        <v>84</v>
      </c>
    </row>
    <row r="28" customFormat="false" ht="16.5" hidden="false" customHeight="false" outlineLevel="0" collapsed="false">
      <c r="A28" s="2"/>
      <c r="B28" s="2" t="s">
        <v>86</v>
      </c>
      <c r="C28" s="2" t="n">
        <v>20</v>
      </c>
      <c r="D28" s="2" t="n">
        <v>12</v>
      </c>
      <c r="E28" s="2" t="n">
        <v>20</v>
      </c>
      <c r="F28" s="6" t="s">
        <v>39</v>
      </c>
      <c r="G28" s="2" t="n">
        <f aca="false">D28*E28</f>
        <v>240</v>
      </c>
      <c r="H28" s="2" t="s">
        <v>87</v>
      </c>
    </row>
    <row r="29" customFormat="false" ht="16.5" hidden="false" customHeight="false" outlineLevel="0" collapsed="false">
      <c r="A29" s="2"/>
      <c r="B29" s="2" t="s">
        <v>88</v>
      </c>
      <c r="C29" s="2" t="n">
        <v>35</v>
      </c>
      <c r="D29" s="2" t="n">
        <v>78</v>
      </c>
      <c r="E29" s="2" t="n">
        <v>5.97</v>
      </c>
      <c r="F29" s="6" t="s">
        <v>10</v>
      </c>
      <c r="G29" s="2" t="n">
        <f aca="false">D29*E29</f>
        <v>465.66</v>
      </c>
      <c r="H29" s="2" t="s">
        <v>89</v>
      </c>
    </row>
    <row r="30" customFormat="false" ht="16.5" hidden="false" customHeight="false" outlineLevel="0" collapsed="false">
      <c r="A30" s="2"/>
      <c r="B30" s="2" t="s">
        <v>13</v>
      </c>
      <c r="C30" s="2"/>
      <c r="D30" s="2"/>
      <c r="E30" s="6"/>
      <c r="F30" s="6"/>
      <c r="G30" s="10" t="n">
        <f aca="false">SUM(G23:G29)</f>
        <v>6327.9</v>
      </c>
      <c r="H30" s="2"/>
    </row>
    <row r="31" customFormat="false" ht="16.5" hidden="false" customHeight="false" outlineLevel="0" collapsed="false">
      <c r="A31" s="2" t="s">
        <v>42</v>
      </c>
      <c r="B31" s="2" t="s">
        <v>2</v>
      </c>
      <c r="C31" s="2" t="s">
        <v>3</v>
      </c>
      <c r="D31" s="2" t="s">
        <v>4</v>
      </c>
      <c r="E31" s="2" t="s">
        <v>5</v>
      </c>
      <c r="F31" s="2"/>
      <c r="G31" s="2" t="s">
        <v>6</v>
      </c>
      <c r="H31" s="2" t="s">
        <v>7</v>
      </c>
    </row>
    <row r="32" customFormat="false" ht="16.5" hidden="false" customHeight="false" outlineLevel="0" collapsed="false">
      <c r="A32" s="2" t="s">
        <v>90</v>
      </c>
      <c r="B32" s="2"/>
      <c r="C32" s="2"/>
      <c r="D32" s="2"/>
      <c r="E32" s="2"/>
      <c r="F32" s="2" t="s">
        <v>82</v>
      </c>
      <c r="G32" s="2" t="n">
        <f aca="false">D32*E32</f>
        <v>0</v>
      </c>
      <c r="H32" s="2" t="s">
        <v>91</v>
      </c>
    </row>
    <row r="33" customFormat="false" ht="16.5" hidden="false" customHeight="false" outlineLevel="0" collapsed="false">
      <c r="A33" s="2"/>
      <c r="B33" s="2"/>
      <c r="C33" s="2"/>
      <c r="D33" s="2"/>
      <c r="E33" s="2"/>
      <c r="F33" s="2" t="s">
        <v>92</v>
      </c>
      <c r="G33" s="2"/>
      <c r="H33" s="2"/>
    </row>
    <row r="34" customFormat="false" ht="16.5" hidden="false" customHeight="false" outlineLevel="0" collapsed="false">
      <c r="A34" s="2"/>
      <c r="B34" s="2"/>
      <c r="C34" s="2"/>
      <c r="D34" s="2"/>
      <c r="E34" s="2"/>
      <c r="F34" s="2" t="s">
        <v>12</v>
      </c>
      <c r="G34" s="2"/>
      <c r="H34" s="2"/>
    </row>
    <row r="35" customFormat="false" ht="16.5" hidden="false" customHeight="false" outlineLevel="0" collapsed="false">
      <c r="A35" s="2"/>
      <c r="B35" s="2" t="s">
        <v>13</v>
      </c>
      <c r="C35" s="2"/>
      <c r="D35" s="2"/>
      <c r="E35" s="6"/>
      <c r="F35" s="6"/>
      <c r="G35" s="10" t="n">
        <f aca="false">SUM(G32:G34)</f>
        <v>0</v>
      </c>
      <c r="H35" s="2"/>
    </row>
    <row r="36" customFormat="false" ht="16.5" hidden="false" customHeight="false" outlineLevel="0" collapsed="false">
      <c r="A36" s="2" t="s">
        <v>48</v>
      </c>
      <c r="B36" s="2" t="s">
        <v>2</v>
      </c>
      <c r="C36" s="2" t="s">
        <v>3</v>
      </c>
      <c r="D36" s="2" t="s">
        <v>4</v>
      </c>
      <c r="E36" s="6" t="s">
        <v>5</v>
      </c>
      <c r="F36" s="6"/>
      <c r="G36" s="6" t="s">
        <v>6</v>
      </c>
      <c r="H36" s="2" t="s">
        <v>7</v>
      </c>
    </row>
    <row r="37" customFormat="false" ht="16.5" hidden="false" customHeight="false" outlineLevel="0" collapsed="false">
      <c r="A37" s="2"/>
      <c r="B37" s="2" t="s">
        <v>93</v>
      </c>
      <c r="C37" s="2"/>
      <c r="D37" s="2" t="n">
        <v>11.7</v>
      </c>
      <c r="E37" s="2" t="n">
        <v>75</v>
      </c>
      <c r="F37" s="2" t="s">
        <v>10</v>
      </c>
      <c r="G37" s="5" t="n">
        <f aca="false">D37*E37</f>
        <v>877.5</v>
      </c>
      <c r="H37" s="2"/>
    </row>
    <row r="38" customFormat="false" ht="16.5" hidden="false" customHeight="false" outlineLevel="0" collapsed="false">
      <c r="A38" s="2"/>
      <c r="B38" s="2" t="s">
        <v>94</v>
      </c>
      <c r="C38" s="2"/>
      <c r="D38" s="2" t="n">
        <v>46.08</v>
      </c>
      <c r="E38" s="2" t="n">
        <v>75</v>
      </c>
      <c r="F38" s="2" t="s">
        <v>10</v>
      </c>
      <c r="G38" s="5" t="n">
        <f aca="false">D38*E38</f>
        <v>3456</v>
      </c>
      <c r="H38" s="2"/>
    </row>
    <row r="39" customFormat="false" ht="16.5" hidden="false" customHeight="false" outlineLevel="0" collapsed="false">
      <c r="A39" s="2"/>
      <c r="B39" s="2" t="s">
        <v>13</v>
      </c>
      <c r="C39" s="2"/>
      <c r="D39" s="2"/>
      <c r="E39" s="6"/>
      <c r="F39" s="6"/>
      <c r="G39" s="7" t="n">
        <f aca="false">SUM(G37:G38)</f>
        <v>4333.5</v>
      </c>
      <c r="H39" s="11"/>
    </row>
    <row r="40" customFormat="false" ht="16.5" hidden="false" customHeight="false" outlineLevel="0" collapsed="false">
      <c r="A40" s="12" t="s">
        <v>51</v>
      </c>
      <c r="B40" s="2" t="s">
        <v>2</v>
      </c>
      <c r="C40" s="2" t="s">
        <v>3</v>
      </c>
      <c r="D40" s="2" t="s">
        <v>4</v>
      </c>
      <c r="E40" s="2" t="s">
        <v>5</v>
      </c>
      <c r="F40" s="2"/>
      <c r="G40" s="2" t="s">
        <v>6</v>
      </c>
      <c r="H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6.5" hidden="false" customHeight="false" outlineLevel="0" collapsed="false">
      <c r="A43" s="2"/>
      <c r="B43" s="2"/>
      <c r="C43" s="2"/>
      <c r="D43" s="2"/>
      <c r="E43" s="2"/>
      <c r="F43" s="2"/>
      <c r="G43" s="2"/>
      <c r="H43" s="2"/>
    </row>
    <row r="44" customFormat="false" ht="16.5" hidden="false" customHeight="false" outlineLevel="0" collapsed="false">
      <c r="A44" s="2"/>
      <c r="B44" s="2"/>
      <c r="C44" s="2"/>
      <c r="D44" s="2"/>
      <c r="E44" s="2"/>
      <c r="F44" s="2"/>
      <c r="G44" s="2"/>
      <c r="H44" s="2"/>
    </row>
    <row r="45" customFormat="false" ht="16.5" hidden="false" customHeight="false" outlineLevel="0" collapsed="false">
      <c r="A45" s="2"/>
      <c r="B45" s="2" t="s">
        <v>13</v>
      </c>
      <c r="C45" s="2"/>
      <c r="D45" s="2"/>
      <c r="E45" s="6"/>
      <c r="F45" s="6"/>
      <c r="G45" s="28" t="n">
        <f aca="false">SUM(G41:G44)</f>
        <v>0</v>
      </c>
      <c r="H45" s="2"/>
    </row>
    <row r="46" customFormat="false" ht="17.25" hidden="false" customHeight="false" outlineLevel="0" collapsed="false">
      <c r="A46" s="2"/>
      <c r="B46" s="13" t="s">
        <v>55</v>
      </c>
      <c r="C46" s="13"/>
      <c r="D46" s="13"/>
      <c r="E46" s="14"/>
      <c r="F46" s="14"/>
      <c r="G46" s="15" t="n">
        <f aca="false">G45+G39+G35+G21+G14+G7+G30</f>
        <v>25600.96</v>
      </c>
      <c r="H46" s="2"/>
    </row>
    <row r="47" customFormat="false" ht="16.5" hidden="false" customHeight="false" outlineLevel="0" collapsed="false">
      <c r="A47" s="17" t="s">
        <v>57</v>
      </c>
      <c r="B47" s="18" t="s">
        <v>58</v>
      </c>
      <c r="C47" s="18"/>
      <c r="D47" s="18"/>
      <c r="E47" s="19" t="s">
        <v>59</v>
      </c>
      <c r="F47" s="19"/>
      <c r="G47" s="19"/>
      <c r="H47" s="20" t="s">
        <v>60</v>
      </c>
    </row>
    <row r="48" customFormat="false" ht="16.5" hidden="false" customHeight="true" outlineLevel="0" collapsed="false">
      <c r="A48" s="17"/>
      <c r="B48" s="21" t="s">
        <v>95</v>
      </c>
      <c r="C48" s="21"/>
      <c r="D48" s="21"/>
      <c r="E48" s="22" t="s">
        <v>62</v>
      </c>
      <c r="F48" s="23"/>
      <c r="G48" s="23"/>
      <c r="H48" s="24" t="s">
        <v>96</v>
      </c>
    </row>
    <row r="49" customFormat="false" ht="17.25" hidden="false" customHeight="false" outlineLevel="0" collapsed="false">
      <c r="A49" s="17"/>
      <c r="B49" s="21"/>
      <c r="C49" s="21"/>
      <c r="D49" s="21"/>
      <c r="E49" s="25" t="s">
        <v>64</v>
      </c>
      <c r="F49" s="26" t="n">
        <v>265</v>
      </c>
      <c r="G49" s="26"/>
      <c r="H49" s="24"/>
    </row>
  </sheetData>
  <mergeCells count="24">
    <mergeCell ref="A1:H1"/>
    <mergeCell ref="A3:A7"/>
    <mergeCell ref="B7:D7"/>
    <mergeCell ref="A9:A14"/>
    <mergeCell ref="B14:D14"/>
    <mergeCell ref="A16:A21"/>
    <mergeCell ref="B21:D21"/>
    <mergeCell ref="A23:A30"/>
    <mergeCell ref="B30:D30"/>
    <mergeCell ref="A32:A35"/>
    <mergeCell ref="H32:H34"/>
    <mergeCell ref="B35:D35"/>
    <mergeCell ref="A37:A39"/>
    <mergeCell ref="B39:D39"/>
    <mergeCell ref="A41:A45"/>
    <mergeCell ref="B45:D45"/>
    <mergeCell ref="B46:D46"/>
    <mergeCell ref="A47:A49"/>
    <mergeCell ref="B47:D47"/>
    <mergeCell ref="E47:G47"/>
    <mergeCell ref="B48:D49"/>
    <mergeCell ref="F48:G48"/>
    <mergeCell ref="H48:H49"/>
    <mergeCell ref="F49:G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453125" defaultRowHeight="16.5" zeroHeight="false" outlineLevelRow="0" outlineLevelCol="0"/>
  <cols>
    <col collapsed="false" customWidth="true" hidden="false" outlineLevel="0" max="2" min="1" style="0" width="15.63"/>
    <col collapsed="false" customWidth="true" hidden="false" outlineLevel="0" max="5" min="5" style="0" width="8.63"/>
    <col collapsed="false" customWidth="true" hidden="false" outlineLevel="0" max="6" min="6" style="0" width="3.63"/>
    <col collapsed="false" customWidth="true" hidden="false" outlineLevel="0" max="8" min="7" style="0" width="13.63"/>
    <col collapsed="false" customWidth="true" hidden="false" outlineLevel="0" max="9" min="9" style="0" width="13.51"/>
  </cols>
  <sheetData>
    <row r="1" customFormat="false" ht="16.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  <c r="H1" s="1"/>
    </row>
    <row r="2" customFormat="false" ht="16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</row>
    <row r="3" customFormat="false" ht="16.5" hidden="false" customHeight="false" outlineLevel="0" collapsed="false">
      <c r="A3" s="2" t="s">
        <v>98</v>
      </c>
      <c r="B3" s="2" t="s">
        <v>99</v>
      </c>
      <c r="C3" s="2" t="n">
        <v>25</v>
      </c>
      <c r="D3" s="2" t="n">
        <v>117</v>
      </c>
      <c r="E3" s="2" t="n">
        <v>25</v>
      </c>
      <c r="F3" s="2" t="s">
        <v>10</v>
      </c>
      <c r="G3" s="5" t="n">
        <f aca="false">D3*E3</f>
        <v>2925</v>
      </c>
      <c r="H3" s="2"/>
    </row>
    <row r="4" customFormat="false" ht="16.5" hidden="false" customHeight="false" outlineLevel="0" collapsed="false">
      <c r="A4" s="2"/>
      <c r="B4" s="2" t="s">
        <v>100</v>
      </c>
      <c r="C4" s="2" t="n">
        <v>1</v>
      </c>
      <c r="D4" s="2" t="n">
        <v>420</v>
      </c>
      <c r="E4" s="2" t="n">
        <v>1</v>
      </c>
      <c r="F4" s="2" t="s">
        <v>82</v>
      </c>
      <c r="G4" s="5" t="n">
        <f aca="false">D4*E4</f>
        <v>420</v>
      </c>
      <c r="H4" s="2"/>
    </row>
    <row r="5" customFormat="false" ht="16.5" hidden="false" customHeight="false" outlineLevel="0" collapsed="false">
      <c r="A5" s="2"/>
      <c r="B5" s="2" t="s">
        <v>101</v>
      </c>
      <c r="C5" s="2" t="n">
        <v>1</v>
      </c>
      <c r="D5" s="2" t="n">
        <v>273</v>
      </c>
      <c r="E5" s="2" t="n">
        <v>1</v>
      </c>
      <c r="F5" s="2" t="s">
        <v>82</v>
      </c>
      <c r="G5" s="5" t="n">
        <f aca="false">D5*E5</f>
        <v>273</v>
      </c>
      <c r="H5" s="2"/>
    </row>
    <row r="6" customFormat="false" ht="16.5" hidden="false" customHeight="false" outlineLevel="0" collapsed="false">
      <c r="A6" s="2"/>
      <c r="B6" s="2" t="s">
        <v>102</v>
      </c>
      <c r="C6" s="2" t="n">
        <v>8</v>
      </c>
      <c r="D6" s="2" t="n">
        <v>29.7</v>
      </c>
      <c r="E6" s="6" t="n">
        <v>8</v>
      </c>
      <c r="F6" s="6" t="s">
        <v>10</v>
      </c>
      <c r="G6" s="5" t="n">
        <f aca="false">D6*E6</f>
        <v>237.6</v>
      </c>
      <c r="H6" s="2"/>
    </row>
    <row r="7" customFormat="false" ht="16.5" hidden="false" customHeight="false" outlineLevel="0" collapsed="false">
      <c r="A7" s="2"/>
      <c r="B7" s="2" t="s">
        <v>103</v>
      </c>
      <c r="C7" s="2" t="n">
        <v>40</v>
      </c>
      <c r="D7" s="2" t="n">
        <v>45</v>
      </c>
      <c r="E7" s="6" t="n">
        <v>40</v>
      </c>
      <c r="F7" s="2" t="s">
        <v>12</v>
      </c>
      <c r="G7" s="5" t="n">
        <f aca="false">D7*E7</f>
        <v>1800</v>
      </c>
      <c r="H7" s="2"/>
    </row>
    <row r="8" customFormat="false" ht="16.5" hidden="false" customHeight="false" outlineLevel="0" collapsed="false">
      <c r="A8" s="2"/>
      <c r="B8" s="2"/>
      <c r="C8" s="2"/>
      <c r="D8" s="2"/>
      <c r="E8" s="6"/>
      <c r="F8" s="2"/>
      <c r="G8" s="6"/>
      <c r="H8" s="2"/>
    </row>
    <row r="9" customFormat="false" ht="16.5" hidden="false" customHeight="false" outlineLevel="0" collapsed="false">
      <c r="A9" s="2"/>
      <c r="B9" s="2" t="s">
        <v>13</v>
      </c>
      <c r="C9" s="2"/>
      <c r="D9" s="2"/>
      <c r="E9" s="6"/>
      <c r="F9" s="6"/>
      <c r="G9" s="7" t="n">
        <f aca="false">SUM(G3:G8)</f>
        <v>5655.6</v>
      </c>
      <c r="H9" s="2"/>
    </row>
    <row r="10" customFormat="false" ht="16.5" hidden="false" customHeight="false" outlineLevel="0" collapsed="false">
      <c r="A10" s="2" t="s">
        <v>14</v>
      </c>
      <c r="B10" s="2" t="s">
        <v>2</v>
      </c>
      <c r="C10" s="2" t="s">
        <v>3</v>
      </c>
      <c r="D10" s="2" t="s">
        <v>4</v>
      </c>
      <c r="E10" s="2" t="s">
        <v>5</v>
      </c>
      <c r="F10" s="2"/>
      <c r="G10" s="2" t="s">
        <v>6</v>
      </c>
      <c r="H10" s="2" t="s">
        <v>7</v>
      </c>
    </row>
    <row r="11" customFormat="false" ht="16.5" hidden="false" customHeight="false" outlineLevel="0" collapsed="false">
      <c r="A11" s="2" t="s">
        <v>104</v>
      </c>
      <c r="B11" s="2" t="s">
        <v>105</v>
      </c>
      <c r="C11" s="2" t="n">
        <v>45</v>
      </c>
      <c r="D11" s="2" t="n">
        <v>33.06</v>
      </c>
      <c r="E11" s="29" t="n">
        <v>45</v>
      </c>
      <c r="F11" s="2" t="s">
        <v>10</v>
      </c>
      <c r="G11" s="5" t="n">
        <f aca="false">D11*E11</f>
        <v>1487.7</v>
      </c>
      <c r="H11" s="2"/>
    </row>
    <row r="12" customFormat="false" ht="16.5" hidden="false" customHeight="false" outlineLevel="0" collapsed="false">
      <c r="A12" s="2"/>
      <c r="B12" s="2" t="s">
        <v>106</v>
      </c>
      <c r="C12" s="2" t="n">
        <v>5</v>
      </c>
      <c r="D12" s="2" t="n">
        <v>360</v>
      </c>
      <c r="E12" s="2" t="n">
        <v>5</v>
      </c>
      <c r="F12" s="2" t="s">
        <v>12</v>
      </c>
      <c r="G12" s="2" t="n">
        <f aca="false">D12*E12</f>
        <v>1800</v>
      </c>
      <c r="H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 t="n">
        <f aca="false">D13*E13</f>
        <v>0</v>
      </c>
      <c r="H13" s="2"/>
    </row>
    <row r="14" customFormat="false" ht="16.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6.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6.5" hidden="false" customHeight="false" outlineLevel="0" collapsed="false">
      <c r="A16" s="2"/>
      <c r="B16" s="2" t="s">
        <v>13</v>
      </c>
      <c r="C16" s="2"/>
      <c r="D16" s="2"/>
      <c r="E16" s="6"/>
      <c r="F16" s="6"/>
      <c r="G16" s="7" t="n">
        <f aca="false">SUM(G11:G15)</f>
        <v>3287.7</v>
      </c>
      <c r="H16" s="2"/>
    </row>
    <row r="17" customFormat="false" ht="16.5" hidden="false" customHeight="false" outlineLevel="0" collapsed="false">
      <c r="A17" s="2" t="s">
        <v>21</v>
      </c>
      <c r="B17" s="2" t="s">
        <v>2</v>
      </c>
      <c r="C17" s="2" t="s">
        <v>3</v>
      </c>
      <c r="D17" s="2" t="s">
        <v>4</v>
      </c>
      <c r="E17" s="2" t="s">
        <v>5</v>
      </c>
      <c r="F17" s="2"/>
      <c r="G17" s="2" t="s">
        <v>6</v>
      </c>
      <c r="H17" s="2" t="s">
        <v>7</v>
      </c>
    </row>
    <row r="18" customFormat="false" ht="16.5" hidden="false" customHeight="false" outlineLevel="0" collapsed="false">
      <c r="A18" s="2" t="s">
        <v>107</v>
      </c>
      <c r="B18" s="2" t="s">
        <v>16</v>
      </c>
      <c r="C18" s="2" t="n">
        <v>1</v>
      </c>
      <c r="D18" s="2" t="n">
        <v>46.8</v>
      </c>
      <c r="E18" s="2" t="n">
        <v>20</v>
      </c>
      <c r="F18" s="2" t="s">
        <v>10</v>
      </c>
      <c r="G18" s="2" t="n">
        <f aca="false">D18*E18</f>
        <v>936</v>
      </c>
      <c r="H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6.5" hidden="false" customHeight="false" outlineLevel="0" collapsed="false">
      <c r="A20" s="2"/>
      <c r="B20" s="2" t="s">
        <v>13</v>
      </c>
      <c r="C20" s="2"/>
      <c r="D20" s="2"/>
      <c r="E20" s="6"/>
      <c r="F20" s="6"/>
      <c r="G20" s="10" t="n">
        <f aca="false">SUM(G18:G19)</f>
        <v>936</v>
      </c>
      <c r="H20" s="2"/>
    </row>
    <row r="21" customFormat="false" ht="16.5" hidden="false" customHeight="false" outlineLevel="0" collapsed="false">
      <c r="A21" s="8" t="s">
        <v>26</v>
      </c>
      <c r="B21" s="2" t="s">
        <v>2</v>
      </c>
      <c r="C21" s="2" t="s">
        <v>3</v>
      </c>
      <c r="D21" s="2" t="s">
        <v>4</v>
      </c>
      <c r="E21" s="2" t="s">
        <v>5</v>
      </c>
      <c r="F21" s="2"/>
      <c r="G21" s="2" t="s">
        <v>6</v>
      </c>
      <c r="H21" s="2" t="s">
        <v>7</v>
      </c>
    </row>
    <row r="22" customFormat="false" ht="16.5" hidden="false" customHeight="false" outlineLevel="0" collapsed="false">
      <c r="A22" s="2"/>
      <c r="B22" s="2" t="s">
        <v>108</v>
      </c>
      <c r="C22" s="2" t="n">
        <v>3</v>
      </c>
      <c r="D22" s="2" t="n">
        <v>73.8</v>
      </c>
      <c r="E22" s="2" t="n">
        <v>3</v>
      </c>
      <c r="F22" s="2" t="s">
        <v>10</v>
      </c>
      <c r="G22" s="2" t="n">
        <f aca="false">D22*E22</f>
        <v>221.4</v>
      </c>
      <c r="H22" s="2"/>
    </row>
    <row r="23" customFormat="false" ht="16.5" hidden="false" customHeight="false" outlineLevel="0" collapsed="false">
      <c r="A23" s="2"/>
      <c r="B23" s="2" t="s">
        <v>109</v>
      </c>
      <c r="C23" s="2"/>
      <c r="D23" s="2" t="n">
        <v>37</v>
      </c>
      <c r="E23" s="2" t="n">
        <v>20</v>
      </c>
      <c r="F23" s="2" t="s">
        <v>92</v>
      </c>
      <c r="G23" s="2" t="n">
        <f aca="false">D23*E23</f>
        <v>740</v>
      </c>
      <c r="H23" s="2"/>
    </row>
    <row r="24" customFormat="false" ht="16.5" hidden="false" customHeight="false" outlineLevel="0" collapsed="false">
      <c r="A24" s="2"/>
      <c r="B24" s="2" t="s">
        <v>44</v>
      </c>
      <c r="C24" s="2"/>
      <c r="D24" s="2" t="n">
        <v>187</v>
      </c>
      <c r="E24" s="2" t="n">
        <v>1</v>
      </c>
      <c r="F24" s="2" t="s">
        <v>36</v>
      </c>
      <c r="G24" s="2" t="n">
        <f aca="false">D24*E24</f>
        <v>187</v>
      </c>
      <c r="H24" s="2"/>
    </row>
    <row r="25" customFormat="false" ht="16.5" hidden="false" customHeight="false" outlineLevel="0" collapsed="false">
      <c r="A25" s="2"/>
      <c r="B25" s="2" t="s">
        <v>110</v>
      </c>
      <c r="C25" s="2"/>
      <c r="D25" s="2" t="n">
        <v>255</v>
      </c>
      <c r="E25" s="2" t="n">
        <v>2</v>
      </c>
      <c r="F25" s="2" t="s">
        <v>82</v>
      </c>
      <c r="G25" s="2" t="n">
        <f aca="false">D25*E25</f>
        <v>510</v>
      </c>
      <c r="H25" s="2"/>
    </row>
    <row r="26" customFormat="false" ht="16.5" hidden="false" customHeight="false" outlineLevel="0" collapsed="false">
      <c r="A26" s="2"/>
      <c r="B26" s="2" t="s">
        <v>111</v>
      </c>
      <c r="C26" s="2" t="n">
        <v>1</v>
      </c>
      <c r="D26" s="2" t="n">
        <v>270</v>
      </c>
      <c r="E26" s="2" t="n">
        <v>1</v>
      </c>
      <c r="F26" s="2" t="s">
        <v>82</v>
      </c>
      <c r="G26" s="6" t="n">
        <f aca="false">D26*E26</f>
        <v>270</v>
      </c>
      <c r="H26" s="2"/>
    </row>
    <row r="27" customFormat="false" ht="16.5" hidden="false" customHeight="false" outlineLevel="0" collapsed="false">
      <c r="A27" s="2"/>
      <c r="B27" s="2" t="s">
        <v>112</v>
      </c>
      <c r="C27" s="2"/>
      <c r="D27" s="2" t="n">
        <v>362</v>
      </c>
      <c r="E27" s="2" t="n">
        <v>2</v>
      </c>
      <c r="F27" s="6" t="s">
        <v>82</v>
      </c>
      <c r="G27" s="6" t="n">
        <f aca="false">D27*E27</f>
        <v>724</v>
      </c>
      <c r="H27" s="2"/>
    </row>
    <row r="28" customFormat="false" ht="16.5" hidden="false" customHeight="false" outlineLevel="0" collapsed="false">
      <c r="A28" s="2"/>
      <c r="B28" s="2" t="s">
        <v>99</v>
      </c>
      <c r="C28" s="2"/>
      <c r="D28" s="2" t="n">
        <v>117</v>
      </c>
      <c r="E28" s="2" t="n">
        <v>10</v>
      </c>
      <c r="F28" s="2" t="s">
        <v>10</v>
      </c>
      <c r="G28" s="2" t="n">
        <f aca="false">D28*E28</f>
        <v>1170</v>
      </c>
      <c r="H28" s="2"/>
    </row>
    <row r="29" customFormat="false" ht="16.5" hidden="false" customHeight="false" outlineLevel="0" collapsed="false">
      <c r="A29" s="2"/>
      <c r="B29" s="2" t="s">
        <v>113</v>
      </c>
      <c r="C29" s="2"/>
      <c r="D29" s="2" t="n">
        <v>1188</v>
      </c>
      <c r="E29" s="2" t="n">
        <v>1</v>
      </c>
      <c r="F29" s="2" t="s">
        <v>82</v>
      </c>
      <c r="G29" s="2" t="n">
        <f aca="false">D29*E29</f>
        <v>1188</v>
      </c>
      <c r="H29" s="2"/>
    </row>
    <row r="30" customFormat="false" ht="16.5" hidden="false" customHeight="false" outlineLevel="0" collapsed="false">
      <c r="A30" s="2"/>
      <c r="B30" s="2" t="s">
        <v>114</v>
      </c>
      <c r="C30" s="2"/>
      <c r="D30" s="2" t="n">
        <v>138</v>
      </c>
      <c r="E30" s="2" t="n">
        <v>1</v>
      </c>
      <c r="F30" s="2" t="s">
        <v>12</v>
      </c>
      <c r="G30" s="2" t="n">
        <f aca="false">D30*E30</f>
        <v>138</v>
      </c>
      <c r="H30" s="2"/>
    </row>
    <row r="31" customFormat="false" ht="16.5" hidden="false" customHeight="false" outlineLevel="0" collapsed="false">
      <c r="A31" s="2"/>
      <c r="B31" s="2" t="s">
        <v>115</v>
      </c>
      <c r="C31" s="2"/>
      <c r="D31" s="2" t="n">
        <v>46.8</v>
      </c>
      <c r="E31" s="2" t="n">
        <v>20</v>
      </c>
      <c r="F31" s="2" t="s">
        <v>10</v>
      </c>
      <c r="G31" s="2" t="n">
        <f aca="false">D31*E31</f>
        <v>936</v>
      </c>
      <c r="H31" s="2"/>
    </row>
    <row r="32" customFormat="false" ht="16.5" hidden="false" customHeight="false" outlineLevel="0" collapsed="false">
      <c r="A32" s="2"/>
      <c r="B32" s="2" t="s">
        <v>70</v>
      </c>
      <c r="C32" s="2"/>
      <c r="D32" s="2" t="n">
        <v>23.46</v>
      </c>
      <c r="E32" s="2" t="n">
        <v>5</v>
      </c>
      <c r="F32" s="2" t="s">
        <v>10</v>
      </c>
      <c r="G32" s="2" t="n">
        <f aca="false">D32*E32</f>
        <v>117.3</v>
      </c>
      <c r="H32" s="2"/>
    </row>
    <row r="33" customFormat="false" ht="16.5" hidden="false" customHeight="false" outlineLevel="0" collapsed="false">
      <c r="A33" s="2"/>
      <c r="B33" s="2" t="s">
        <v>13</v>
      </c>
      <c r="C33" s="2"/>
      <c r="D33" s="2"/>
      <c r="E33" s="6"/>
      <c r="F33" s="6"/>
      <c r="G33" s="7" t="n">
        <f aca="false">SUM(G22:G32)</f>
        <v>6201.7</v>
      </c>
      <c r="H33" s="2"/>
    </row>
    <row r="34" customFormat="false" ht="16.5" hidden="false" customHeight="false" outlineLevel="0" collapsed="false">
      <c r="A34" s="2" t="s">
        <v>42</v>
      </c>
      <c r="B34" s="2" t="s">
        <v>2</v>
      </c>
      <c r="C34" s="2" t="s">
        <v>3</v>
      </c>
      <c r="D34" s="2" t="s">
        <v>4</v>
      </c>
      <c r="E34" s="2" t="s">
        <v>5</v>
      </c>
      <c r="F34" s="2"/>
      <c r="G34" s="2" t="s">
        <v>6</v>
      </c>
      <c r="H34" s="2" t="s">
        <v>7</v>
      </c>
    </row>
    <row r="35" customFormat="false" ht="16.5" hidden="false" customHeight="false" outlineLevel="0" collapsed="false">
      <c r="A35" s="2" t="s">
        <v>116</v>
      </c>
      <c r="B35" s="2" t="s">
        <v>117</v>
      </c>
      <c r="C35" s="2" t="n">
        <v>1</v>
      </c>
      <c r="D35" s="2" t="n">
        <v>275</v>
      </c>
      <c r="E35" s="2" t="n">
        <v>1</v>
      </c>
      <c r="F35" s="2" t="s">
        <v>82</v>
      </c>
      <c r="G35" s="2" t="n">
        <f aca="false">D35*E35</f>
        <v>275</v>
      </c>
      <c r="H35" s="2"/>
    </row>
    <row r="36" customFormat="false" ht="16.5" hidden="false" customHeight="false" outlineLevel="0" collapsed="false">
      <c r="A36" s="2"/>
      <c r="B36" s="2" t="s">
        <v>118</v>
      </c>
      <c r="C36" s="2" t="n">
        <v>1</v>
      </c>
      <c r="D36" s="2" t="n">
        <v>187</v>
      </c>
      <c r="E36" s="2" t="n">
        <v>1</v>
      </c>
      <c r="F36" s="2" t="s">
        <v>12</v>
      </c>
      <c r="G36" s="2" t="n">
        <f aca="false">D36*E36</f>
        <v>187</v>
      </c>
      <c r="H36" s="2"/>
    </row>
    <row r="37" customFormat="false" ht="16.5" hidden="false" customHeight="false" outlineLevel="0" collapsed="false">
      <c r="A37" s="2"/>
      <c r="B37" s="2" t="s">
        <v>18</v>
      </c>
      <c r="C37" s="2" t="n">
        <v>8</v>
      </c>
      <c r="D37" s="2" t="n">
        <v>84</v>
      </c>
      <c r="E37" s="2" t="n">
        <v>8</v>
      </c>
      <c r="F37" s="2" t="s">
        <v>12</v>
      </c>
      <c r="G37" s="2" t="n">
        <f aca="false">D37*E37</f>
        <v>672</v>
      </c>
      <c r="H37" s="2"/>
    </row>
    <row r="38" customFormat="false" ht="16.5" hidden="false" customHeight="false" outlineLevel="0" collapsed="false">
      <c r="A38" s="2"/>
      <c r="B38" s="2" t="s">
        <v>119</v>
      </c>
      <c r="C38" s="2" t="n">
        <v>4</v>
      </c>
      <c r="D38" s="2" t="n">
        <v>270</v>
      </c>
      <c r="E38" s="2" t="n">
        <v>4</v>
      </c>
      <c r="F38" s="2" t="s">
        <v>92</v>
      </c>
      <c r="G38" s="2" t="n">
        <f aca="false">D38*E38</f>
        <v>1080</v>
      </c>
      <c r="H38" s="2"/>
    </row>
    <row r="39" customFormat="false" ht="16.5" hidden="false" customHeight="false" outlineLevel="0" collapsed="false">
      <c r="A39" s="2"/>
      <c r="B39" s="2" t="s">
        <v>70</v>
      </c>
      <c r="C39" s="2" t="n">
        <v>5</v>
      </c>
      <c r="D39" s="2" t="n">
        <v>23.46</v>
      </c>
      <c r="E39" s="2" t="n">
        <v>5</v>
      </c>
      <c r="F39" s="2" t="s">
        <v>10</v>
      </c>
      <c r="G39" s="5" t="n">
        <f aca="false">D39*E39</f>
        <v>117.3</v>
      </c>
      <c r="H39" s="2"/>
    </row>
    <row r="40" customFormat="false" ht="16.5" hidden="false" customHeight="false" outlineLevel="0" collapsed="false">
      <c r="A40" s="2"/>
      <c r="B40" s="2" t="s">
        <v>13</v>
      </c>
      <c r="C40" s="2"/>
      <c r="D40" s="2"/>
      <c r="E40" s="6"/>
      <c r="F40" s="6"/>
      <c r="G40" s="7" t="n">
        <f aca="false">SUM(G35:G39)</f>
        <v>2331.3</v>
      </c>
      <c r="H40" s="2"/>
      <c r="Q40" s="30"/>
    </row>
    <row r="41" customFormat="false" ht="16.5" hidden="false" customHeight="false" outlineLevel="0" collapsed="false">
      <c r="A41" s="2" t="s">
        <v>48</v>
      </c>
      <c r="B41" s="2" t="s">
        <v>2</v>
      </c>
      <c r="C41" s="2" t="s">
        <v>3</v>
      </c>
      <c r="D41" s="2" t="s">
        <v>4</v>
      </c>
      <c r="E41" s="6" t="s">
        <v>5</v>
      </c>
      <c r="F41" s="6"/>
      <c r="G41" s="6" t="s">
        <v>6</v>
      </c>
      <c r="H41" s="2" t="s">
        <v>7</v>
      </c>
      <c r="Q41" s="30"/>
    </row>
    <row r="42" customFormat="false" ht="16.5" hidden="false" customHeight="false" outlineLevel="0" collapsed="false">
      <c r="A42" s="2"/>
      <c r="B42" s="2" t="s">
        <v>50</v>
      </c>
      <c r="C42" s="2"/>
      <c r="D42" s="2" t="n">
        <v>8.16</v>
      </c>
      <c r="E42" s="2" t="n">
        <v>75</v>
      </c>
      <c r="F42" s="2" t="s">
        <v>10</v>
      </c>
      <c r="G42" s="2" t="n">
        <f aca="false">D42*E42</f>
        <v>612</v>
      </c>
      <c r="H42" s="2"/>
      <c r="Q42" s="30"/>
    </row>
    <row r="43" customFormat="false" ht="16.5" hidden="false" customHeight="false" outlineLevel="0" collapsed="false">
      <c r="A43" s="2"/>
      <c r="B43" s="2" t="s">
        <v>49</v>
      </c>
      <c r="C43" s="2"/>
      <c r="D43" s="2" t="n">
        <v>39.36</v>
      </c>
      <c r="E43" s="2" t="n">
        <v>56.67</v>
      </c>
      <c r="F43" s="2" t="s">
        <v>10</v>
      </c>
      <c r="G43" s="5" t="n">
        <f aca="false">D43*E43</f>
        <v>2230.5312</v>
      </c>
      <c r="H43" s="2"/>
    </row>
    <row r="44" customFormat="false" ht="16.5" hidden="false" customHeight="false" outlineLevel="0" collapsed="false">
      <c r="A44" s="2"/>
      <c r="B44" s="2" t="s">
        <v>13</v>
      </c>
      <c r="C44" s="2"/>
      <c r="D44" s="2"/>
      <c r="E44" s="6"/>
      <c r="F44" s="6"/>
      <c r="G44" s="7" t="n">
        <f aca="false">SUM(G42:G43)</f>
        <v>2842.5312</v>
      </c>
      <c r="H44" s="11"/>
    </row>
    <row r="45" customFormat="false" ht="16.5" hidden="false" customHeight="false" outlineLevel="0" collapsed="false">
      <c r="A45" s="2"/>
      <c r="B45" s="2" t="s">
        <v>2</v>
      </c>
      <c r="C45" s="2" t="s">
        <v>3</v>
      </c>
      <c r="D45" s="2" t="s">
        <v>4</v>
      </c>
      <c r="E45" s="2" t="s">
        <v>5</v>
      </c>
      <c r="F45" s="2"/>
      <c r="G45" s="2" t="s">
        <v>6</v>
      </c>
      <c r="H45" s="2"/>
    </row>
    <row r="46" customFormat="false" ht="16.5" hidden="false" customHeight="false" outlineLevel="0" collapsed="false">
      <c r="A46" s="12" t="s">
        <v>51</v>
      </c>
      <c r="B46" s="2" t="s">
        <v>120</v>
      </c>
      <c r="C46" s="2"/>
      <c r="D46" s="2" t="n">
        <v>60</v>
      </c>
      <c r="E46" s="2" t="n">
        <v>3</v>
      </c>
      <c r="F46" s="2" t="s">
        <v>121</v>
      </c>
      <c r="G46" s="2" t="n">
        <f aca="false">D46*E46</f>
        <v>180</v>
      </c>
      <c r="H46" s="2"/>
      <c r="Q46" s="30"/>
    </row>
    <row r="47" customFormat="false" ht="16.5" hidden="false" customHeight="false" outlineLevel="0" collapsed="false">
      <c r="A47" s="31"/>
      <c r="B47" s="2" t="s">
        <v>122</v>
      </c>
      <c r="C47" s="2"/>
      <c r="D47" s="2" t="n">
        <v>120</v>
      </c>
      <c r="E47" s="2" t="n">
        <v>1</v>
      </c>
      <c r="F47" s="2" t="s">
        <v>45</v>
      </c>
      <c r="G47" s="2" t="n">
        <f aca="false">D47*E47</f>
        <v>120</v>
      </c>
      <c r="H47" s="2"/>
      <c r="Q47" s="30"/>
    </row>
    <row r="48" customFormat="false" ht="16.5" hidden="false" customHeight="false" outlineLevel="0" collapsed="false">
      <c r="A48" s="31"/>
      <c r="B48" s="2" t="s">
        <v>123</v>
      </c>
      <c r="C48" s="2"/>
      <c r="D48" s="2" t="n">
        <v>480</v>
      </c>
      <c r="E48" s="2" t="n">
        <v>1</v>
      </c>
      <c r="F48" s="2" t="s">
        <v>82</v>
      </c>
      <c r="G48" s="2" t="n">
        <f aca="false">D48*E48</f>
        <v>480</v>
      </c>
      <c r="H48" s="2"/>
      <c r="Q48" s="30"/>
    </row>
    <row r="49" customFormat="false" ht="16.5" hidden="false" customHeight="false" outlineLevel="0" collapsed="false">
      <c r="A49" s="31"/>
      <c r="B49" s="2" t="s">
        <v>124</v>
      </c>
      <c r="C49" s="2"/>
      <c r="D49" s="2" t="n">
        <v>235</v>
      </c>
      <c r="E49" s="2" t="n">
        <v>2</v>
      </c>
      <c r="F49" s="2" t="s">
        <v>45</v>
      </c>
      <c r="G49" s="2" t="n">
        <f aca="false">D49*E49</f>
        <v>470</v>
      </c>
      <c r="H49" s="2"/>
      <c r="Q49" s="30"/>
    </row>
    <row r="50" customFormat="false" ht="16.5" hidden="false" customHeight="false" outlineLevel="0" collapsed="false">
      <c r="A50" s="31"/>
      <c r="B50" s="2" t="s">
        <v>125</v>
      </c>
      <c r="C50" s="2"/>
      <c r="D50" s="6" t="n">
        <v>120</v>
      </c>
      <c r="E50" s="6" t="n">
        <v>1</v>
      </c>
      <c r="F50" s="6" t="s">
        <v>45</v>
      </c>
      <c r="G50" s="2" t="n">
        <f aca="false">D50*E50</f>
        <v>120</v>
      </c>
      <c r="H50" s="2"/>
    </row>
    <row r="51" customFormat="false" ht="16.5" hidden="false" customHeight="false" outlineLevel="0" collapsed="false">
      <c r="A51" s="31"/>
      <c r="B51" s="2" t="s">
        <v>101</v>
      </c>
      <c r="C51" s="2" t="n">
        <v>1</v>
      </c>
      <c r="D51" s="2" t="n">
        <v>273</v>
      </c>
      <c r="E51" s="2" t="n">
        <v>1</v>
      </c>
      <c r="F51" s="2" t="s">
        <v>82</v>
      </c>
      <c r="G51" s="5" t="n">
        <f aca="false">D51*E51</f>
        <v>273</v>
      </c>
      <c r="H51" s="2"/>
    </row>
    <row r="52" customFormat="false" ht="16.5" hidden="false" customHeight="false" outlineLevel="0" collapsed="false">
      <c r="A52" s="31"/>
      <c r="B52" s="2" t="s">
        <v>126</v>
      </c>
      <c r="C52" s="2"/>
      <c r="D52" s="2" t="n">
        <v>82.8</v>
      </c>
      <c r="E52" s="2" t="n">
        <v>45</v>
      </c>
      <c r="F52" s="2" t="s">
        <v>10</v>
      </c>
      <c r="G52" s="5" t="n">
        <f aca="false">D52*E52</f>
        <v>3726</v>
      </c>
      <c r="H52" s="2"/>
    </row>
    <row r="53" customFormat="false" ht="16.5" hidden="false" customHeight="false" outlineLevel="0" collapsed="false">
      <c r="A53" s="31"/>
      <c r="B53" s="2" t="s">
        <v>13</v>
      </c>
      <c r="C53" s="2"/>
      <c r="D53" s="2"/>
      <c r="E53" s="6"/>
      <c r="F53" s="6"/>
      <c r="G53" s="7" t="n">
        <f aca="false">SUM(G46:G52)</f>
        <v>5369</v>
      </c>
      <c r="H53" s="2"/>
    </row>
    <row r="54" customFormat="false" ht="17.25" hidden="false" customHeight="false" outlineLevel="0" collapsed="false">
      <c r="A54" s="31"/>
      <c r="B54" s="13" t="s">
        <v>55</v>
      </c>
      <c r="C54" s="13"/>
      <c r="D54" s="13"/>
      <c r="E54" s="14"/>
      <c r="F54" s="14"/>
      <c r="G54" s="15" t="n">
        <f aca="false">G53+G44+G40+G20+G16+G9+G33</f>
        <v>26623.8312</v>
      </c>
      <c r="H54" s="2"/>
    </row>
    <row r="55" customFormat="false" ht="16.5" hidden="false" customHeight="false" outlineLevel="0" collapsed="false">
      <c r="A55" s="17" t="s">
        <v>57</v>
      </c>
      <c r="B55" s="18" t="s">
        <v>58</v>
      </c>
      <c r="C55" s="18"/>
      <c r="D55" s="18"/>
      <c r="E55" s="19" t="s">
        <v>59</v>
      </c>
      <c r="F55" s="19"/>
      <c r="G55" s="19"/>
      <c r="H55" s="20" t="s">
        <v>60</v>
      </c>
    </row>
    <row r="56" customFormat="false" ht="16.5" hidden="false" customHeight="true" outlineLevel="0" collapsed="false">
      <c r="A56" s="17"/>
      <c r="B56" s="21" t="s">
        <v>127</v>
      </c>
      <c r="C56" s="21"/>
      <c r="D56" s="21"/>
      <c r="E56" s="22" t="s">
        <v>62</v>
      </c>
      <c r="F56" s="23"/>
      <c r="G56" s="23"/>
      <c r="H56" s="24" t="s">
        <v>96</v>
      </c>
    </row>
    <row r="57" customFormat="false" ht="17.25" hidden="false" customHeight="false" outlineLevel="0" collapsed="false">
      <c r="A57" s="17"/>
      <c r="B57" s="21"/>
      <c r="C57" s="21"/>
      <c r="D57" s="21"/>
      <c r="E57" s="25" t="s">
        <v>64</v>
      </c>
      <c r="F57" s="26" t="n">
        <v>270</v>
      </c>
      <c r="G57" s="26"/>
      <c r="H57" s="24"/>
    </row>
  </sheetData>
  <mergeCells count="23">
    <mergeCell ref="A1:H1"/>
    <mergeCell ref="A3:A9"/>
    <mergeCell ref="B9:D9"/>
    <mergeCell ref="A11:A16"/>
    <mergeCell ref="B16:D16"/>
    <mergeCell ref="A18:A20"/>
    <mergeCell ref="B20:D20"/>
    <mergeCell ref="A22:A33"/>
    <mergeCell ref="B33:D33"/>
    <mergeCell ref="A35:A40"/>
    <mergeCell ref="B40:D40"/>
    <mergeCell ref="A42:A45"/>
    <mergeCell ref="B44:D44"/>
    <mergeCell ref="A47:A54"/>
    <mergeCell ref="B53:D53"/>
    <mergeCell ref="B54:D54"/>
    <mergeCell ref="A55:A57"/>
    <mergeCell ref="B55:D55"/>
    <mergeCell ref="E55:G55"/>
    <mergeCell ref="B56:D57"/>
    <mergeCell ref="F56:G56"/>
    <mergeCell ref="H56:H57"/>
    <mergeCell ref="F57:G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453125" defaultRowHeight="16.5" zeroHeight="false" outlineLevelRow="0" outlineLevelCol="0"/>
  <cols>
    <col collapsed="false" customWidth="true" hidden="false" outlineLevel="0" max="2" min="1" style="0" width="15.63"/>
    <col collapsed="false" customWidth="true" hidden="false" outlineLevel="0" max="5" min="5" style="0" width="8.63"/>
    <col collapsed="false" customWidth="true" hidden="false" outlineLevel="0" max="6" min="6" style="0" width="3.63"/>
    <col collapsed="false" customWidth="true" hidden="false" outlineLevel="0" max="8" min="7" style="0" width="13.63"/>
    <col collapsed="false" customWidth="true" hidden="false" outlineLevel="0" max="9" min="9" style="0" width="13.51"/>
  </cols>
  <sheetData>
    <row r="1" customFormat="false" ht="16.5" hidden="false" customHeight="false" outlineLevel="0" collapsed="false">
      <c r="A1" s="1" t="s">
        <v>128</v>
      </c>
      <c r="B1" s="1"/>
      <c r="C1" s="1"/>
      <c r="D1" s="1"/>
      <c r="E1" s="1"/>
      <c r="F1" s="1"/>
      <c r="G1" s="1"/>
      <c r="H1" s="1"/>
    </row>
    <row r="2" customFormat="false" ht="16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</row>
    <row r="3" customFormat="false" ht="16.5" hidden="false" customHeight="false" outlineLevel="0" collapsed="false">
      <c r="A3" s="2" t="s">
        <v>129</v>
      </c>
      <c r="B3" s="2" t="s">
        <v>130</v>
      </c>
      <c r="C3" s="2" t="n">
        <v>60</v>
      </c>
      <c r="D3" s="2" t="n">
        <v>168</v>
      </c>
      <c r="E3" s="2" t="n">
        <v>60</v>
      </c>
      <c r="F3" s="2" t="s">
        <v>10</v>
      </c>
      <c r="G3" s="5" t="n">
        <f aca="false">D3*E3</f>
        <v>10080</v>
      </c>
      <c r="H3" s="2"/>
    </row>
    <row r="4" customFormat="false" ht="16.5" hidden="false" customHeight="false" outlineLevel="0" collapsed="false">
      <c r="A4" s="2"/>
      <c r="B4" s="2" t="s">
        <v>83</v>
      </c>
      <c r="C4" s="2" t="n">
        <v>1</v>
      </c>
      <c r="D4" s="2" t="n">
        <v>61.2</v>
      </c>
      <c r="E4" s="2" t="n">
        <v>1</v>
      </c>
      <c r="F4" s="2" t="s">
        <v>10</v>
      </c>
      <c r="G4" s="5" t="n">
        <f aca="false">D4*E4</f>
        <v>61.2</v>
      </c>
      <c r="H4" s="2"/>
    </row>
    <row r="5" customFormat="false" ht="16.5" hidden="false" customHeight="false" outlineLevel="0" collapsed="false">
      <c r="A5" s="2"/>
      <c r="B5" s="2" t="s">
        <v>28</v>
      </c>
      <c r="C5" s="2" t="n">
        <v>1</v>
      </c>
      <c r="D5" s="2" t="n">
        <v>119.7</v>
      </c>
      <c r="E5" s="2" t="n">
        <v>1</v>
      </c>
      <c r="F5" s="2" t="s">
        <v>10</v>
      </c>
      <c r="G5" s="5" t="n">
        <f aca="false">D5*E5</f>
        <v>119.7</v>
      </c>
      <c r="H5" s="2"/>
    </row>
    <row r="6" customFormat="false" ht="16.5" hidden="false" customHeight="false" outlineLevel="0" collapsed="false">
      <c r="A6" s="2"/>
      <c r="B6" s="2" t="s">
        <v>33</v>
      </c>
      <c r="C6" s="2" t="n">
        <v>5</v>
      </c>
      <c r="D6" s="2" t="n">
        <v>105</v>
      </c>
      <c r="E6" s="6" t="n">
        <v>5</v>
      </c>
      <c r="F6" s="6" t="s">
        <v>10</v>
      </c>
      <c r="G6" s="5" t="n">
        <f aca="false">D6*E6</f>
        <v>525</v>
      </c>
      <c r="H6" s="2"/>
    </row>
    <row r="7" customFormat="false" ht="16.5" hidden="false" customHeight="false" outlineLevel="0" collapsed="false">
      <c r="A7" s="2"/>
      <c r="B7" s="3" t="s">
        <v>70</v>
      </c>
      <c r="C7" s="2" t="n">
        <v>6</v>
      </c>
      <c r="D7" s="2" t="n">
        <v>23.46</v>
      </c>
      <c r="E7" s="6" t="n">
        <v>6</v>
      </c>
      <c r="F7" s="6" t="s">
        <v>10</v>
      </c>
      <c r="G7" s="5" t="n">
        <f aca="false">D7*E7</f>
        <v>140.76</v>
      </c>
      <c r="H7" s="2"/>
    </row>
    <row r="8" customFormat="false" ht="16.5" hidden="false" customHeight="false" outlineLevel="0" collapsed="false">
      <c r="A8" s="2"/>
      <c r="B8" s="2" t="s">
        <v>13</v>
      </c>
      <c r="C8" s="2"/>
      <c r="D8" s="2"/>
      <c r="E8" s="6"/>
      <c r="F8" s="6"/>
      <c r="G8" s="7" t="n">
        <f aca="false">SUM(G3:G7)</f>
        <v>10926.66</v>
      </c>
      <c r="H8" s="2"/>
    </row>
    <row r="9" customFormat="false" ht="16.5" hidden="false" customHeight="false" outlineLevel="0" collapsed="false">
      <c r="A9" s="2" t="s">
        <v>14</v>
      </c>
      <c r="B9" s="2" t="s">
        <v>2</v>
      </c>
      <c r="C9" s="2" t="s">
        <v>3</v>
      </c>
      <c r="D9" s="2" t="s">
        <v>4</v>
      </c>
      <c r="E9" s="2" t="s">
        <v>5</v>
      </c>
      <c r="F9" s="2"/>
      <c r="G9" s="2" t="s">
        <v>6</v>
      </c>
      <c r="H9" s="2" t="s">
        <v>7</v>
      </c>
    </row>
    <row r="10" customFormat="false" ht="16.5" hidden="false" customHeight="false" outlineLevel="0" collapsed="false">
      <c r="A10" s="2" t="s">
        <v>131</v>
      </c>
      <c r="B10" s="32" t="s">
        <v>132</v>
      </c>
      <c r="C10" s="2" t="n">
        <v>50</v>
      </c>
      <c r="D10" s="2" t="n">
        <v>46.92</v>
      </c>
      <c r="E10" s="2" t="n">
        <v>50</v>
      </c>
      <c r="F10" s="2" t="s">
        <v>10</v>
      </c>
      <c r="G10" s="2" t="n">
        <f aca="false">D10*E10</f>
        <v>2346</v>
      </c>
      <c r="H10" s="2"/>
    </row>
    <row r="11" customFormat="false" ht="16.5" hidden="false" customHeight="false" outlineLevel="0" collapsed="false">
      <c r="A11" s="2"/>
      <c r="B11" s="2" t="s">
        <v>133</v>
      </c>
      <c r="C11" s="2" t="n">
        <v>35</v>
      </c>
      <c r="D11" s="2" t="n">
        <v>20</v>
      </c>
      <c r="E11" s="2" t="n">
        <v>35</v>
      </c>
      <c r="F11" s="2" t="s">
        <v>134</v>
      </c>
      <c r="G11" s="2" t="n">
        <f aca="false">D11*E11</f>
        <v>700</v>
      </c>
      <c r="H11" s="2"/>
    </row>
    <row r="12" customFormat="false" ht="16.5" hidden="false" customHeight="false" outlineLevel="0" collapsed="false">
      <c r="A12" s="2"/>
      <c r="B12" s="2" t="s">
        <v>135</v>
      </c>
      <c r="C12" s="2"/>
      <c r="D12" s="2" t="n">
        <v>100</v>
      </c>
      <c r="E12" s="2" t="n">
        <v>4</v>
      </c>
      <c r="F12" s="2" t="s">
        <v>10</v>
      </c>
      <c r="G12" s="2" t="n">
        <f aca="false">D12*E12</f>
        <v>400</v>
      </c>
      <c r="H12" s="2"/>
    </row>
    <row r="13" customFormat="false" ht="16.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6.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customFormat="false" ht="16.5" hidden="false" customHeight="false" outlineLevel="0" collapsed="false">
      <c r="A15" s="2"/>
      <c r="B15" s="2" t="s">
        <v>13</v>
      </c>
      <c r="C15" s="2"/>
      <c r="D15" s="2"/>
      <c r="E15" s="6"/>
      <c r="F15" s="6"/>
      <c r="G15" s="7" t="n">
        <f aca="false">SUM(G10:G14)</f>
        <v>3446</v>
      </c>
      <c r="H15" s="2"/>
    </row>
    <row r="16" customFormat="false" ht="16.5" hidden="false" customHeight="false" outlineLevel="0" collapsed="false">
      <c r="A16" s="2" t="s">
        <v>21</v>
      </c>
      <c r="B16" s="2" t="s">
        <v>2</v>
      </c>
      <c r="C16" s="2" t="s">
        <v>3</v>
      </c>
      <c r="D16" s="2" t="s">
        <v>4</v>
      </c>
      <c r="E16" s="2" t="s">
        <v>5</v>
      </c>
      <c r="F16" s="2"/>
      <c r="G16" s="2" t="s">
        <v>6</v>
      </c>
      <c r="H16" s="2" t="s">
        <v>7</v>
      </c>
    </row>
    <row r="17" customFormat="false" ht="16.5" hidden="false" customHeight="false" outlineLevel="0" collapsed="false">
      <c r="A17" s="2" t="s">
        <v>136</v>
      </c>
      <c r="B17" s="2" t="s">
        <v>137</v>
      </c>
      <c r="C17" s="2" t="n">
        <v>10</v>
      </c>
      <c r="D17" s="2" t="n">
        <v>84</v>
      </c>
      <c r="E17" s="3" t="n">
        <v>2.5</v>
      </c>
      <c r="F17" s="2" t="s">
        <v>10</v>
      </c>
      <c r="G17" s="2" t="n">
        <f aca="false">D17*E17</f>
        <v>210</v>
      </c>
      <c r="H17" s="2"/>
    </row>
    <row r="18" customFormat="false" ht="16.5" hidden="false" customHeight="false" outlineLevel="0" collapsed="false">
      <c r="A18" s="2"/>
      <c r="B18" s="2" t="s">
        <v>138</v>
      </c>
      <c r="C18" s="2" t="n">
        <v>40</v>
      </c>
      <c r="D18" s="2" t="n">
        <v>82.55</v>
      </c>
      <c r="E18" s="2" t="n">
        <v>40</v>
      </c>
      <c r="F18" s="2" t="s">
        <v>10</v>
      </c>
      <c r="G18" s="2" t="n">
        <f aca="false">D18*E18</f>
        <v>3302</v>
      </c>
      <c r="H18" s="2"/>
    </row>
    <row r="19" customFormat="false" ht="16.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6.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6.5" hidden="false" customHeight="false" outlineLevel="0" collapsed="false">
      <c r="A21" s="2"/>
      <c r="B21" s="2" t="s">
        <v>13</v>
      </c>
      <c r="C21" s="2"/>
      <c r="D21" s="2"/>
      <c r="E21" s="6"/>
      <c r="F21" s="6"/>
      <c r="G21" s="10" t="n">
        <f aca="false">SUM(G17:G20)</f>
        <v>3512</v>
      </c>
      <c r="H21" s="2"/>
    </row>
    <row r="22" customFormat="false" ht="16.5" hidden="false" customHeight="false" outlineLevel="0" collapsed="false">
      <c r="A22" s="8" t="s">
        <v>26</v>
      </c>
      <c r="B22" s="2" t="s">
        <v>2</v>
      </c>
      <c r="C22" s="2" t="s">
        <v>3</v>
      </c>
      <c r="D22" s="2" t="s">
        <v>4</v>
      </c>
      <c r="E22" s="2" t="s">
        <v>5</v>
      </c>
      <c r="F22" s="2"/>
      <c r="G22" s="2" t="s">
        <v>6</v>
      </c>
      <c r="H22" s="2" t="s">
        <v>7</v>
      </c>
    </row>
    <row r="23" customFormat="false" ht="16.5" hidden="false" customHeight="false" outlineLevel="0" collapsed="false">
      <c r="A23" s="2"/>
      <c r="B23" s="2" t="s">
        <v>139</v>
      </c>
      <c r="C23" s="2" t="n">
        <v>8</v>
      </c>
      <c r="D23" s="2" t="n">
        <v>22.8</v>
      </c>
      <c r="E23" s="2" t="n">
        <v>8</v>
      </c>
      <c r="F23" s="2" t="s">
        <v>10</v>
      </c>
      <c r="G23" s="2" t="n">
        <f aca="false">D23*E23</f>
        <v>182.4</v>
      </c>
      <c r="H23" s="2"/>
    </row>
    <row r="24" customFormat="false" ht="16.5" hidden="false" customHeight="false" outlineLevel="0" collapsed="false">
      <c r="A24" s="2"/>
      <c r="B24" s="2" t="s">
        <v>140</v>
      </c>
      <c r="C24" s="2" t="n">
        <v>4</v>
      </c>
      <c r="D24" s="2" t="n">
        <v>141</v>
      </c>
      <c r="E24" s="2" t="n">
        <v>4</v>
      </c>
      <c r="F24" s="2" t="s">
        <v>10</v>
      </c>
      <c r="G24" s="2" t="n">
        <f aca="false">D24*E24</f>
        <v>564</v>
      </c>
      <c r="H24" s="2"/>
    </row>
    <row r="25" customFormat="false" ht="16.5" hidden="false" customHeight="false" outlineLevel="0" collapsed="false">
      <c r="A25" s="2"/>
      <c r="B25" s="2" t="s">
        <v>141</v>
      </c>
      <c r="C25" s="2" t="n">
        <v>35</v>
      </c>
      <c r="D25" s="2" t="n">
        <v>183</v>
      </c>
      <c r="E25" s="3" t="n">
        <v>5.17</v>
      </c>
      <c r="F25" s="2" t="s">
        <v>10</v>
      </c>
      <c r="G25" s="2" t="n">
        <f aca="false">D25*E25</f>
        <v>946.11</v>
      </c>
      <c r="H25" s="2"/>
    </row>
    <row r="26" customFormat="false" ht="16.5" hidden="false" customHeight="false" outlineLevel="0" collapsed="false">
      <c r="A26" s="2"/>
      <c r="B26" s="2" t="s">
        <v>142</v>
      </c>
      <c r="C26" s="2"/>
      <c r="D26" s="2" t="n">
        <v>12</v>
      </c>
      <c r="E26" s="2" t="n">
        <v>24</v>
      </c>
      <c r="F26" s="2" t="s">
        <v>92</v>
      </c>
      <c r="G26" s="2" t="n">
        <f aca="false">D26*E26</f>
        <v>288</v>
      </c>
      <c r="H26" s="2"/>
    </row>
    <row r="27" customFormat="false" ht="16.5" hidden="false" customHeight="false" outlineLevel="0" collapsed="false">
      <c r="A27" s="2"/>
      <c r="B27" s="2" t="s">
        <v>143</v>
      </c>
      <c r="C27" s="2"/>
      <c r="D27" s="2" t="n">
        <v>70</v>
      </c>
      <c r="E27" s="2" t="n">
        <v>3</v>
      </c>
      <c r="F27" s="2" t="s">
        <v>69</v>
      </c>
      <c r="G27" s="2" t="n">
        <f aca="false">D27*E27</f>
        <v>210</v>
      </c>
      <c r="H27" s="2"/>
    </row>
    <row r="28" customFormat="false" ht="16.5" hidden="false" customHeight="false" outlineLevel="0" collapsed="false">
      <c r="A28" s="2"/>
      <c r="B28" s="2" t="s">
        <v>13</v>
      </c>
      <c r="C28" s="2"/>
      <c r="D28" s="2"/>
      <c r="E28" s="6"/>
      <c r="F28" s="6"/>
      <c r="G28" s="7" t="n">
        <f aca="false">SUM(G23:G27)</f>
        <v>2190.51</v>
      </c>
      <c r="H28" s="2"/>
    </row>
    <row r="29" customFormat="false" ht="16.5" hidden="false" customHeight="false" outlineLevel="0" collapsed="false">
      <c r="A29" s="2" t="s">
        <v>42</v>
      </c>
      <c r="B29" s="2" t="s">
        <v>2</v>
      </c>
      <c r="C29" s="2" t="s">
        <v>3</v>
      </c>
      <c r="D29" s="2" t="s">
        <v>4</v>
      </c>
      <c r="E29" s="2" t="s">
        <v>5</v>
      </c>
      <c r="F29" s="2"/>
      <c r="G29" s="2" t="s">
        <v>6</v>
      </c>
      <c r="H29" s="2" t="s">
        <v>7</v>
      </c>
    </row>
    <row r="30" customFormat="false" ht="16.5" hidden="false" customHeight="false" outlineLevel="0" collapsed="false">
      <c r="A30" s="2" t="s">
        <v>144</v>
      </c>
      <c r="B30" s="2" t="s">
        <v>145</v>
      </c>
      <c r="C30" s="2" t="n">
        <v>20</v>
      </c>
      <c r="D30" s="2" t="n">
        <v>13.5</v>
      </c>
      <c r="E30" s="2" t="n">
        <v>20</v>
      </c>
      <c r="F30" s="0" t="s">
        <v>10</v>
      </c>
      <c r="G30" s="2" t="n">
        <f aca="false">D30*E30</f>
        <v>270</v>
      </c>
      <c r="H30" s="2"/>
    </row>
    <row r="31" customFormat="false" ht="16.5" hidden="false" customHeight="false" outlineLevel="0" collapsed="false">
      <c r="A31" s="2"/>
      <c r="B31" s="2" t="s">
        <v>146</v>
      </c>
      <c r="C31" s="2" t="n">
        <v>15</v>
      </c>
      <c r="D31" s="2" t="n">
        <v>41.82</v>
      </c>
      <c r="E31" s="2" t="n">
        <v>15</v>
      </c>
      <c r="F31" s="2" t="s">
        <v>10</v>
      </c>
      <c r="G31" s="2" t="n">
        <f aca="false">D31*E31</f>
        <v>627.3</v>
      </c>
      <c r="H31" s="2"/>
    </row>
    <row r="32" customFormat="false" ht="16.5" hidden="false" customHeight="false" outlineLevel="0" collapsed="false">
      <c r="A32" s="2"/>
      <c r="B32" s="2" t="s">
        <v>147</v>
      </c>
      <c r="C32" s="2" t="n">
        <v>5</v>
      </c>
      <c r="D32" s="2" t="n">
        <v>27</v>
      </c>
      <c r="E32" s="2" t="n">
        <v>5</v>
      </c>
      <c r="F32" s="2" t="s">
        <v>10</v>
      </c>
      <c r="G32" s="2" t="n">
        <f aca="false">D32*E32</f>
        <v>135</v>
      </c>
      <c r="H32" s="2"/>
    </row>
    <row r="33" customFormat="false" ht="16.5" hidden="false" customHeight="false" outlineLevel="0" collapsed="false">
      <c r="A33" s="2"/>
      <c r="B33" s="2"/>
      <c r="C33" s="2"/>
      <c r="D33" s="2"/>
      <c r="E33" s="6"/>
      <c r="F33" s="6"/>
      <c r="G33" s="7" t="n">
        <f aca="false">SUM(G30:G32)</f>
        <v>1032.3</v>
      </c>
      <c r="H33" s="2"/>
    </row>
    <row r="34" customFormat="false" ht="16.5" hidden="false" customHeight="false" outlineLevel="0" collapsed="false">
      <c r="A34" s="2" t="s">
        <v>48</v>
      </c>
      <c r="B34" s="2" t="s">
        <v>2</v>
      </c>
      <c r="C34" s="2" t="s">
        <v>3</v>
      </c>
      <c r="D34" s="2" t="s">
        <v>4</v>
      </c>
      <c r="E34" s="6" t="s">
        <v>5</v>
      </c>
      <c r="F34" s="6"/>
      <c r="G34" s="6" t="s">
        <v>6</v>
      </c>
      <c r="H34" s="2" t="s">
        <v>7</v>
      </c>
    </row>
    <row r="35" customFormat="false" ht="16.5" hidden="false" customHeight="false" outlineLevel="0" collapsed="false">
      <c r="A35" s="2"/>
      <c r="B35" s="2" t="s">
        <v>50</v>
      </c>
      <c r="C35" s="2"/>
      <c r="D35" s="2" t="n">
        <v>10.2</v>
      </c>
      <c r="E35" s="2" t="n">
        <v>76.5</v>
      </c>
      <c r="F35" s="2" t="s">
        <v>10</v>
      </c>
      <c r="G35" s="5" t="n">
        <f aca="false">D35*E35</f>
        <v>780.3</v>
      </c>
      <c r="H35" s="2"/>
    </row>
    <row r="36" customFormat="false" ht="16.5" hidden="false" customHeight="false" outlineLevel="0" collapsed="false">
      <c r="A36" s="2"/>
      <c r="B36" s="2" t="s">
        <v>94</v>
      </c>
      <c r="C36" s="2"/>
      <c r="D36" s="2" t="n">
        <v>49.92</v>
      </c>
      <c r="E36" s="2" t="n">
        <v>75</v>
      </c>
      <c r="F36" s="2" t="s">
        <v>10</v>
      </c>
      <c r="G36" s="5" t="n">
        <f aca="false">D36*E36</f>
        <v>3744</v>
      </c>
      <c r="H36" s="2"/>
    </row>
    <row r="37" customFormat="false" ht="16.5" hidden="false" customHeight="false" outlineLevel="0" collapsed="false">
      <c r="A37" s="2"/>
      <c r="B37" s="2" t="s">
        <v>13</v>
      </c>
      <c r="C37" s="2"/>
      <c r="D37" s="2"/>
      <c r="E37" s="6"/>
      <c r="F37" s="6"/>
      <c r="G37" s="7" t="n">
        <f aca="false">SUM(G35:G36)</f>
        <v>4524.3</v>
      </c>
      <c r="H37" s="11"/>
    </row>
    <row r="38" customFormat="false" ht="16.5" hidden="false" customHeight="false" outlineLevel="0" collapsed="false">
      <c r="A38" s="12" t="s">
        <v>51</v>
      </c>
      <c r="B38" s="2" t="s">
        <v>2</v>
      </c>
      <c r="C38" s="2" t="s">
        <v>3</v>
      </c>
      <c r="D38" s="2" t="s">
        <v>4</v>
      </c>
      <c r="E38" s="2" t="s">
        <v>5</v>
      </c>
      <c r="F38" s="2"/>
      <c r="G38" s="2" t="s">
        <v>6</v>
      </c>
      <c r="H38" s="2"/>
    </row>
    <row r="39" customFormat="false" ht="16.5" hidden="false" customHeight="false" outlineLevel="0" collapsed="false">
      <c r="A39" s="2"/>
      <c r="B39" s="2" t="s">
        <v>148</v>
      </c>
      <c r="C39" s="2"/>
      <c r="D39" s="2" t="n">
        <v>52.8</v>
      </c>
      <c r="E39" s="2" t="n">
        <v>10</v>
      </c>
      <c r="F39" s="2" t="s">
        <v>10</v>
      </c>
      <c r="G39" s="2" t="n">
        <f aca="false">D39*E39</f>
        <v>528</v>
      </c>
      <c r="H39" s="2"/>
    </row>
    <row r="40" customFormat="false" ht="16.5" hidden="false" customHeight="false" outlineLevel="0" collapsed="false">
      <c r="A40" s="2"/>
      <c r="B40" s="2" t="s">
        <v>70</v>
      </c>
      <c r="C40" s="2"/>
      <c r="D40" s="2" t="n">
        <v>23.46</v>
      </c>
      <c r="E40" s="2" t="n">
        <v>10</v>
      </c>
      <c r="F40" s="2" t="s">
        <v>10</v>
      </c>
      <c r="G40" s="2" t="n">
        <f aca="false">D40*E40</f>
        <v>234.6</v>
      </c>
      <c r="H40" s="2"/>
    </row>
    <row r="41" customFormat="false" ht="16.5" hidden="false" customHeight="false" outlineLevel="0" collapsed="false">
      <c r="A41" s="2"/>
      <c r="B41" s="2"/>
      <c r="C41" s="2"/>
      <c r="D41" s="2"/>
      <c r="E41" s="2"/>
      <c r="F41" s="2"/>
      <c r="G41" s="2"/>
      <c r="H41" s="2"/>
    </row>
    <row r="42" customFormat="false" ht="16.5" hidden="false" customHeight="false" outlineLevel="0" collapsed="false">
      <c r="A42" s="2"/>
      <c r="B42" s="2"/>
      <c r="C42" s="2"/>
      <c r="D42" s="2"/>
      <c r="E42" s="2"/>
      <c r="F42" s="2"/>
      <c r="G42" s="2"/>
      <c r="H42" s="2"/>
    </row>
    <row r="43" customFormat="false" ht="16.5" hidden="false" customHeight="false" outlineLevel="0" collapsed="false">
      <c r="A43" s="2"/>
      <c r="B43" s="2" t="s">
        <v>13</v>
      </c>
      <c r="C43" s="2"/>
      <c r="D43" s="2"/>
      <c r="E43" s="6"/>
      <c r="F43" s="6"/>
      <c r="G43" s="7" t="n">
        <f aca="false">SUM(G39:G42)</f>
        <v>762.6</v>
      </c>
      <c r="H43" s="2"/>
    </row>
    <row r="44" customFormat="false" ht="17.25" hidden="false" customHeight="false" outlineLevel="0" collapsed="false">
      <c r="A44" s="2"/>
      <c r="B44" s="13" t="s">
        <v>55</v>
      </c>
      <c r="C44" s="13"/>
      <c r="D44" s="13"/>
      <c r="E44" s="14"/>
      <c r="F44" s="14"/>
      <c r="G44" s="15" t="n">
        <f aca="false">G43+G37+G33+G21+G15+G8+G28</f>
        <v>26394.37</v>
      </c>
      <c r="H44" s="2"/>
    </row>
    <row r="45" customFormat="false" ht="16.5" hidden="false" customHeight="false" outlineLevel="0" collapsed="false">
      <c r="A45" s="17" t="s">
        <v>57</v>
      </c>
      <c r="B45" s="18" t="s">
        <v>58</v>
      </c>
      <c r="C45" s="18"/>
      <c r="D45" s="18"/>
      <c r="E45" s="19" t="s">
        <v>59</v>
      </c>
      <c r="F45" s="19"/>
      <c r="G45" s="19"/>
      <c r="H45" s="20" t="s">
        <v>60</v>
      </c>
    </row>
    <row r="46" customFormat="false" ht="16.5" hidden="false" customHeight="true" outlineLevel="0" collapsed="false">
      <c r="A46" s="17"/>
      <c r="B46" s="21"/>
      <c r="C46" s="21"/>
      <c r="D46" s="21"/>
      <c r="E46" s="22" t="s">
        <v>62</v>
      </c>
      <c r="F46" s="23"/>
      <c r="G46" s="23"/>
      <c r="H46" s="24" t="s">
        <v>149</v>
      </c>
    </row>
    <row r="47" customFormat="false" ht="17.25" hidden="false" customHeight="false" outlineLevel="0" collapsed="false">
      <c r="A47" s="17"/>
      <c r="B47" s="21"/>
      <c r="C47" s="21"/>
      <c r="D47" s="21"/>
      <c r="E47" s="25" t="s">
        <v>64</v>
      </c>
      <c r="F47" s="26" t="n">
        <v>260</v>
      </c>
      <c r="G47" s="26"/>
      <c r="H47" s="24"/>
    </row>
  </sheetData>
  <mergeCells count="23">
    <mergeCell ref="A1:H1"/>
    <mergeCell ref="A3:A8"/>
    <mergeCell ref="B8:D8"/>
    <mergeCell ref="A10:A15"/>
    <mergeCell ref="B15:D15"/>
    <mergeCell ref="A17:A21"/>
    <mergeCell ref="B21:D21"/>
    <mergeCell ref="A23:A28"/>
    <mergeCell ref="B28:D28"/>
    <mergeCell ref="A30:A33"/>
    <mergeCell ref="B33:D33"/>
    <mergeCell ref="A35:A37"/>
    <mergeCell ref="B37:D37"/>
    <mergeCell ref="A39:A43"/>
    <mergeCell ref="B43:D43"/>
    <mergeCell ref="B44:D44"/>
    <mergeCell ref="A45:A47"/>
    <mergeCell ref="B45:D45"/>
    <mergeCell ref="E45:G45"/>
    <mergeCell ref="B46:D47"/>
    <mergeCell ref="F46:G46"/>
    <mergeCell ref="H46:H47"/>
    <mergeCell ref="F47:G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453125" defaultRowHeight="16.5" zeroHeight="false" outlineLevelRow="0" outlineLevelCol="0"/>
  <cols>
    <col collapsed="false" customWidth="true" hidden="false" outlineLevel="0" max="2" min="1" style="0" width="15.63"/>
    <col collapsed="false" customWidth="true" hidden="false" outlineLevel="0" max="5" min="5" style="0" width="8.63"/>
    <col collapsed="false" customWidth="true" hidden="false" outlineLevel="0" max="6" min="6" style="0" width="3.63"/>
    <col collapsed="false" customWidth="true" hidden="false" outlineLevel="0" max="8" min="7" style="0" width="13.63"/>
    <col collapsed="false" customWidth="true" hidden="false" outlineLevel="0" max="9" min="9" style="0" width="13.51"/>
  </cols>
  <sheetData>
    <row r="1" customFormat="false" ht="16.5" hidden="false" customHeight="false" outlineLevel="0" collapsed="false">
      <c r="A1" s="1" t="s">
        <v>150</v>
      </c>
      <c r="B1" s="1"/>
      <c r="C1" s="1"/>
      <c r="D1" s="1"/>
      <c r="E1" s="1"/>
      <c r="F1" s="1"/>
      <c r="G1" s="1"/>
      <c r="H1" s="1"/>
    </row>
    <row r="2" customFormat="false" ht="16.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/>
      <c r="G2" s="2" t="s">
        <v>6</v>
      </c>
      <c r="H2" s="2" t="s">
        <v>7</v>
      </c>
    </row>
    <row r="3" customFormat="false" ht="16.5" hidden="false" customHeight="false" outlineLevel="0" collapsed="false">
      <c r="A3" s="2" t="s">
        <v>151</v>
      </c>
      <c r="B3" s="2" t="s">
        <v>140</v>
      </c>
      <c r="C3" s="2" t="n">
        <v>30</v>
      </c>
      <c r="D3" s="2" t="n">
        <v>141</v>
      </c>
      <c r="E3" s="2" t="n">
        <v>30</v>
      </c>
      <c r="F3" s="2" t="s">
        <v>10</v>
      </c>
      <c r="G3" s="5" t="n">
        <f aca="false">D3*E3</f>
        <v>4230</v>
      </c>
      <c r="H3" s="2"/>
    </row>
    <row r="4" customFormat="false" ht="16.5" hidden="false" customHeight="false" outlineLevel="0" collapsed="false">
      <c r="A4" s="2"/>
      <c r="B4" s="2" t="s">
        <v>152</v>
      </c>
      <c r="C4" s="2" t="n">
        <v>15</v>
      </c>
      <c r="D4" s="2" t="n">
        <v>177</v>
      </c>
      <c r="E4" s="2" t="n">
        <v>15</v>
      </c>
      <c r="F4" s="2" t="s">
        <v>10</v>
      </c>
      <c r="G4" s="5" t="n">
        <f aca="false">D4*E4</f>
        <v>2655</v>
      </c>
      <c r="H4" s="2"/>
    </row>
    <row r="5" customFormat="false" ht="16.5" hidden="false" customHeight="false" outlineLevel="0" collapsed="false">
      <c r="A5" s="2"/>
      <c r="B5" s="2" t="s">
        <v>153</v>
      </c>
      <c r="C5" s="2" t="n">
        <v>2</v>
      </c>
      <c r="D5" s="2" t="n">
        <v>108</v>
      </c>
      <c r="E5" s="2" t="n">
        <v>2</v>
      </c>
      <c r="F5" s="2" t="s">
        <v>10</v>
      </c>
      <c r="G5" s="5" t="n">
        <f aca="false">D5*E5</f>
        <v>216</v>
      </c>
      <c r="H5" s="2"/>
    </row>
    <row r="6" customFormat="false" ht="16.5" hidden="false" customHeight="false" outlineLevel="0" collapsed="false">
      <c r="A6" s="2"/>
      <c r="B6" s="2" t="s">
        <v>154</v>
      </c>
      <c r="C6" s="2" t="n">
        <v>1.5</v>
      </c>
      <c r="D6" s="2" t="n">
        <v>119.7</v>
      </c>
      <c r="E6" s="6" t="n">
        <v>1.5</v>
      </c>
      <c r="F6" s="6" t="s">
        <v>10</v>
      </c>
      <c r="G6" s="5" t="n">
        <f aca="false">D6*E6</f>
        <v>179.55</v>
      </c>
      <c r="H6" s="2"/>
    </row>
    <row r="7" customFormat="false" ht="16.5" hidden="false" customHeight="false" outlineLevel="0" collapsed="false">
      <c r="A7" s="2"/>
      <c r="B7" s="2" t="s">
        <v>70</v>
      </c>
      <c r="C7" s="2" t="n">
        <v>5</v>
      </c>
      <c r="D7" s="2" t="n">
        <v>23.46</v>
      </c>
      <c r="E7" s="6" t="n">
        <v>5</v>
      </c>
      <c r="F7" s="6" t="s">
        <v>10</v>
      </c>
      <c r="G7" s="5" t="n">
        <f aca="false">D7*E7</f>
        <v>117.3</v>
      </c>
      <c r="H7" s="2"/>
    </row>
    <row r="8" customFormat="false" ht="16.5" hidden="false" customHeight="false" outlineLevel="0" collapsed="false">
      <c r="A8" s="2"/>
      <c r="B8" s="2" t="s">
        <v>13</v>
      </c>
      <c r="C8" s="2"/>
      <c r="D8" s="2"/>
      <c r="E8" s="6"/>
      <c r="F8" s="6"/>
      <c r="G8" s="7" t="n">
        <f aca="false">SUM(G3:G7)</f>
        <v>7397.85</v>
      </c>
      <c r="H8" s="2"/>
    </row>
    <row r="9" customFormat="false" ht="16.5" hidden="false" customHeight="false" outlineLevel="0" collapsed="false">
      <c r="A9" s="2" t="s">
        <v>14</v>
      </c>
      <c r="B9" s="2" t="s">
        <v>2</v>
      </c>
      <c r="C9" s="2" t="s">
        <v>3</v>
      </c>
      <c r="D9" s="2" t="s">
        <v>4</v>
      </c>
      <c r="E9" s="2" t="s">
        <v>5</v>
      </c>
      <c r="F9" s="2"/>
      <c r="G9" s="2" t="s">
        <v>6</v>
      </c>
      <c r="H9" s="2" t="s">
        <v>7</v>
      </c>
    </row>
    <row r="10" customFormat="false" ht="16.5" hidden="false" customHeight="false" outlineLevel="0" collapsed="false">
      <c r="A10" s="2" t="s">
        <v>155</v>
      </c>
      <c r="B10" s="2" t="s">
        <v>156</v>
      </c>
      <c r="C10" s="2" t="n">
        <v>50</v>
      </c>
      <c r="D10" s="2" t="n">
        <v>28.56</v>
      </c>
      <c r="E10" s="2" t="n">
        <v>51</v>
      </c>
      <c r="F10" s="2" t="s">
        <v>10</v>
      </c>
      <c r="G10" s="5" t="n">
        <f aca="false">D10*E10</f>
        <v>1456.56</v>
      </c>
      <c r="H10" s="2"/>
    </row>
    <row r="11" customFormat="false" ht="16.5" hidden="false" customHeight="false" outlineLevel="0" collapsed="false">
      <c r="A11" s="2"/>
      <c r="B11" s="2" t="s">
        <v>157</v>
      </c>
      <c r="C11" s="2" t="n">
        <v>1</v>
      </c>
      <c r="D11" s="2" t="n">
        <v>666.6</v>
      </c>
      <c r="E11" s="2" t="n">
        <v>1</v>
      </c>
      <c r="F11" s="2" t="s">
        <v>10</v>
      </c>
      <c r="G11" s="5" t="n">
        <f aca="false">D11*E11</f>
        <v>666.6</v>
      </c>
      <c r="H11" s="2"/>
    </row>
    <row r="12" customFormat="false" ht="16.5" hidden="false" customHeight="false" outlineLevel="0" collapsed="false">
      <c r="A12" s="2"/>
      <c r="B12" s="2" t="s">
        <v>158</v>
      </c>
      <c r="C12" s="2" t="n">
        <v>1</v>
      </c>
      <c r="D12" s="2" t="n">
        <v>1125</v>
      </c>
      <c r="E12" s="2" t="n">
        <v>1</v>
      </c>
      <c r="F12" s="2" t="s">
        <v>10</v>
      </c>
      <c r="G12" s="5" t="n">
        <f aca="false">D12*E12</f>
        <v>1125</v>
      </c>
      <c r="H12" s="2"/>
    </row>
    <row r="13" customFormat="false" ht="16.5" hidden="false" customHeight="false" outlineLevel="0" collapsed="false">
      <c r="A13" s="2"/>
      <c r="B13" s="2" t="s">
        <v>159</v>
      </c>
      <c r="C13" s="2" t="n">
        <v>3</v>
      </c>
      <c r="D13" s="2" t="n">
        <v>19.38</v>
      </c>
      <c r="E13" s="2" t="n">
        <v>2</v>
      </c>
      <c r="F13" s="2" t="s">
        <v>10</v>
      </c>
      <c r="G13" s="5" t="n">
        <f aca="false">D13*E13</f>
        <v>38.76</v>
      </c>
      <c r="H13" s="2"/>
    </row>
    <row r="14" customFormat="false" ht="16.5" hidden="false" customHeight="false" outlineLevel="0" collapsed="false">
      <c r="A14" s="2"/>
      <c r="B14" s="2" t="s">
        <v>160</v>
      </c>
      <c r="C14" s="2" t="n">
        <v>5</v>
      </c>
      <c r="D14" s="2" t="n">
        <v>123</v>
      </c>
      <c r="E14" s="2" t="n">
        <v>5</v>
      </c>
      <c r="F14" s="2" t="s">
        <v>10</v>
      </c>
      <c r="G14" s="5" t="n">
        <f aca="false">D14*E14</f>
        <v>615</v>
      </c>
      <c r="H14" s="2"/>
    </row>
    <row r="15" customFormat="false" ht="16.5" hidden="false" customHeight="false" outlineLevel="0" collapsed="false">
      <c r="A15" s="2"/>
      <c r="B15" s="32"/>
      <c r="C15" s="2"/>
      <c r="D15" s="2"/>
      <c r="E15" s="2"/>
      <c r="F15" s="2"/>
      <c r="G15" s="2"/>
      <c r="H15" s="2"/>
    </row>
    <row r="16" customFormat="false" ht="16.5" hidden="false" customHeight="false" outlineLevel="0" collapsed="false">
      <c r="A16" s="2"/>
      <c r="B16" s="2" t="s">
        <v>13</v>
      </c>
      <c r="C16" s="2"/>
      <c r="D16" s="2"/>
      <c r="E16" s="6"/>
      <c r="F16" s="6"/>
      <c r="G16" s="7" t="n">
        <f aca="false">SUM(G10:G15)</f>
        <v>3901.92</v>
      </c>
      <c r="H16" s="2"/>
    </row>
    <row r="17" customFormat="false" ht="16.5" hidden="false" customHeight="false" outlineLevel="0" collapsed="false">
      <c r="A17" s="2" t="s">
        <v>21</v>
      </c>
      <c r="B17" s="2" t="s">
        <v>2</v>
      </c>
      <c r="C17" s="2" t="s">
        <v>3</v>
      </c>
      <c r="D17" s="2" t="s">
        <v>4</v>
      </c>
      <c r="E17" s="2" t="s">
        <v>5</v>
      </c>
      <c r="F17" s="2"/>
      <c r="G17" s="2" t="s">
        <v>6</v>
      </c>
      <c r="H17" s="2" t="s">
        <v>7</v>
      </c>
    </row>
    <row r="18" customFormat="false" ht="16.5" hidden="false" customHeight="false" outlineLevel="0" collapsed="false">
      <c r="A18" s="2" t="s">
        <v>161</v>
      </c>
      <c r="B18" s="2" t="s">
        <v>162</v>
      </c>
      <c r="C18" s="2" t="n">
        <v>8</v>
      </c>
      <c r="D18" s="2" t="n">
        <v>28.56</v>
      </c>
      <c r="E18" s="2" t="n">
        <v>8</v>
      </c>
      <c r="F18" s="2" t="s">
        <v>10</v>
      </c>
      <c r="G18" s="5" t="n">
        <f aca="false">D18*E18</f>
        <v>228.48</v>
      </c>
      <c r="H18" s="2"/>
    </row>
    <row r="19" customFormat="false" ht="16.5" hidden="false" customHeight="false" outlineLevel="0" collapsed="false">
      <c r="A19" s="2"/>
      <c r="B19" s="2" t="s">
        <v>163</v>
      </c>
      <c r="C19" s="2" t="n">
        <v>30</v>
      </c>
      <c r="D19" s="2" t="n">
        <v>50</v>
      </c>
      <c r="E19" s="2" t="n">
        <v>30</v>
      </c>
      <c r="F19" s="2" t="s">
        <v>10</v>
      </c>
      <c r="G19" s="5" t="n">
        <f aca="false">D19*E19</f>
        <v>1500</v>
      </c>
      <c r="H19" s="2"/>
    </row>
    <row r="20" customFormat="false" ht="16.5" hidden="false" customHeight="false" outlineLevel="0" collapsed="false">
      <c r="A20" s="2"/>
      <c r="B20" s="2" t="s">
        <v>164</v>
      </c>
      <c r="C20" s="2" t="n">
        <v>3</v>
      </c>
      <c r="D20" s="2" t="n">
        <v>15.3</v>
      </c>
      <c r="E20" s="2" t="n">
        <v>3</v>
      </c>
      <c r="F20" s="2" t="s">
        <v>10</v>
      </c>
      <c r="G20" s="5" t="n">
        <f aca="false">D20*E20</f>
        <v>45.9</v>
      </c>
      <c r="H20" s="2"/>
    </row>
    <row r="21" customFormat="false" ht="16.5" hidden="false" customHeight="false" outlineLevel="0" collapsed="false">
      <c r="A21" s="2"/>
      <c r="B21" s="2"/>
      <c r="C21" s="2"/>
      <c r="D21" s="2"/>
      <c r="E21" s="6"/>
      <c r="F21" s="6"/>
      <c r="G21" s="2"/>
      <c r="H21" s="2"/>
    </row>
    <row r="22" customFormat="false" ht="16.5" hidden="false" customHeight="false" outlineLevel="0" collapsed="false">
      <c r="A22" s="2"/>
      <c r="B22" s="2" t="s">
        <v>13</v>
      </c>
      <c r="C22" s="2"/>
      <c r="D22" s="2"/>
      <c r="E22" s="6"/>
      <c r="F22" s="6"/>
      <c r="G22" s="7" t="n">
        <f aca="false">SUM(G18:G21)</f>
        <v>1774.38</v>
      </c>
      <c r="H22" s="2"/>
    </row>
    <row r="23" customFormat="false" ht="16.5" hidden="false" customHeight="false" outlineLevel="0" collapsed="false">
      <c r="A23" s="8" t="s">
        <v>26</v>
      </c>
      <c r="B23" s="2" t="s">
        <v>2</v>
      </c>
      <c r="C23" s="2" t="s">
        <v>3</v>
      </c>
      <c r="D23" s="2" t="s">
        <v>4</v>
      </c>
      <c r="E23" s="2" t="s">
        <v>5</v>
      </c>
      <c r="F23" s="2"/>
      <c r="G23" s="2" t="s">
        <v>6</v>
      </c>
      <c r="H23" s="2" t="s">
        <v>7</v>
      </c>
    </row>
    <row r="24" customFormat="false" ht="16.5" hidden="false" customHeight="false" outlineLevel="0" collapsed="false">
      <c r="A24" s="8"/>
      <c r="B24" s="32" t="s">
        <v>165</v>
      </c>
      <c r="C24" s="2" t="n">
        <v>20</v>
      </c>
      <c r="D24" s="2" t="n">
        <v>10</v>
      </c>
      <c r="E24" s="2" t="n">
        <v>20</v>
      </c>
      <c r="F24" s="2" t="s">
        <v>166</v>
      </c>
      <c r="G24" s="2" t="n">
        <f aca="false">D24*E24</f>
        <v>200</v>
      </c>
      <c r="H24" s="2"/>
    </row>
    <row r="25" customFormat="false" ht="16.5" hidden="false" customHeight="false" outlineLevel="0" collapsed="false">
      <c r="A25" s="8"/>
      <c r="B25" s="2" t="s">
        <v>167</v>
      </c>
      <c r="C25" s="2" t="n">
        <v>30</v>
      </c>
      <c r="D25" s="2" t="n">
        <v>132</v>
      </c>
      <c r="E25" s="3" t="n">
        <v>2</v>
      </c>
      <c r="F25" s="2" t="s">
        <v>10</v>
      </c>
      <c r="G25" s="2" t="n">
        <f aca="false">D25*E25</f>
        <v>264</v>
      </c>
      <c r="H25" s="2"/>
    </row>
    <row r="26" customFormat="false" ht="16.5" hidden="false" customHeight="false" outlineLevel="0" collapsed="false">
      <c r="A26" s="8"/>
      <c r="B26" s="2" t="s">
        <v>168</v>
      </c>
      <c r="C26" s="2" t="n">
        <v>4</v>
      </c>
      <c r="D26" s="2" t="n">
        <v>295</v>
      </c>
      <c r="E26" s="2" t="n">
        <v>2.4</v>
      </c>
      <c r="F26" s="2" t="s">
        <v>10</v>
      </c>
      <c r="G26" s="2" t="n">
        <f aca="false">D26*E26</f>
        <v>708</v>
      </c>
      <c r="H26" s="2"/>
    </row>
    <row r="27" customFormat="false" ht="16.5" hidden="false" customHeight="false" outlineLevel="0" collapsed="false">
      <c r="A27" s="8"/>
      <c r="B27" s="2" t="s">
        <v>17</v>
      </c>
      <c r="C27" s="2" t="s">
        <v>29</v>
      </c>
      <c r="D27" s="2" t="n">
        <v>250</v>
      </c>
      <c r="E27" s="2" t="n">
        <v>0.3</v>
      </c>
      <c r="F27" s="2" t="s">
        <v>10</v>
      </c>
      <c r="G27" s="2" t="n">
        <f aca="false">D27*E27</f>
        <v>75</v>
      </c>
      <c r="H27" s="2"/>
    </row>
    <row r="28" customFormat="false" ht="16.5" hidden="false" customHeight="false" outlineLevel="0" collapsed="false">
      <c r="A28" s="8"/>
      <c r="B28" s="2" t="s">
        <v>169</v>
      </c>
      <c r="C28" s="2"/>
      <c r="D28" s="2" t="n">
        <v>90</v>
      </c>
      <c r="E28" s="2" t="n">
        <v>1</v>
      </c>
      <c r="F28" s="2" t="s">
        <v>10</v>
      </c>
      <c r="G28" s="2" t="n">
        <f aca="false">D28*E28</f>
        <v>90</v>
      </c>
      <c r="H28" s="2"/>
    </row>
    <row r="29" customFormat="false" ht="16.5" hidden="false" customHeight="false" outlineLevel="0" collapsed="false">
      <c r="A29" s="8"/>
      <c r="B29" s="2" t="s">
        <v>170</v>
      </c>
      <c r="C29" s="2"/>
      <c r="D29" s="2" t="n">
        <v>4.5</v>
      </c>
      <c r="E29" s="2" t="n">
        <v>50</v>
      </c>
      <c r="F29" s="2" t="s">
        <v>39</v>
      </c>
      <c r="G29" s="2" t="n">
        <f aca="false">D29*E29</f>
        <v>225</v>
      </c>
      <c r="H29" s="2"/>
    </row>
    <row r="30" customFormat="false" ht="16.5" hidden="false" customHeight="false" outlineLevel="0" collapsed="false">
      <c r="A30" s="8"/>
      <c r="B30" s="2" t="s">
        <v>171</v>
      </c>
      <c r="C30" s="2"/>
      <c r="D30" s="2" t="n">
        <v>300</v>
      </c>
      <c r="E30" s="2" t="n">
        <v>1</v>
      </c>
      <c r="F30" s="2" t="s">
        <v>69</v>
      </c>
      <c r="G30" s="2" t="n">
        <f aca="false">D30*E30</f>
        <v>300</v>
      </c>
      <c r="H30" s="2"/>
    </row>
    <row r="31" customFormat="false" ht="16.5" hidden="false" customHeight="false" outlineLevel="0" collapsed="false">
      <c r="A31" s="8"/>
      <c r="B31" s="2" t="s">
        <v>13</v>
      </c>
      <c r="C31" s="2"/>
      <c r="D31" s="2"/>
      <c r="E31" s="6"/>
      <c r="F31" s="6"/>
      <c r="G31" s="10" t="n">
        <f aca="false">SUM(G24:G30)</f>
        <v>1862</v>
      </c>
      <c r="H31" s="2"/>
    </row>
    <row r="32" customFormat="false" ht="16.5" hidden="false" customHeight="false" outlineLevel="0" collapsed="false">
      <c r="A32" s="2" t="s">
        <v>42</v>
      </c>
      <c r="B32" s="2" t="s">
        <v>2</v>
      </c>
      <c r="C32" s="2" t="s">
        <v>3</v>
      </c>
      <c r="D32" s="2" t="s">
        <v>4</v>
      </c>
      <c r="E32" s="2" t="s">
        <v>5</v>
      </c>
      <c r="F32" s="2"/>
      <c r="G32" s="2" t="s">
        <v>6</v>
      </c>
      <c r="H32" s="2" t="s">
        <v>7</v>
      </c>
    </row>
    <row r="33" customFormat="false" ht="16.5" hidden="false" customHeight="false" outlineLevel="0" collapsed="false">
      <c r="A33" s="2" t="s">
        <v>172</v>
      </c>
      <c r="B33" s="2" t="s">
        <v>173</v>
      </c>
      <c r="C33" s="2" t="s">
        <v>91</v>
      </c>
      <c r="D33" s="2"/>
      <c r="E33" s="2"/>
      <c r="F33" s="2"/>
      <c r="G33" s="2"/>
      <c r="H33" s="2"/>
    </row>
    <row r="34" customFormat="false" ht="16.5" hidden="false" customHeight="false" outlineLevel="0" collapsed="false">
      <c r="A34" s="2"/>
      <c r="B34" s="2" t="s">
        <v>174</v>
      </c>
      <c r="C34" s="2" t="n">
        <v>15</v>
      </c>
      <c r="D34" s="2" t="n">
        <v>141</v>
      </c>
      <c r="E34" s="2" t="n">
        <v>15</v>
      </c>
      <c r="F34" s="2" t="s">
        <v>10</v>
      </c>
      <c r="G34" s="2" t="n">
        <f aca="false">D34*E34</f>
        <v>2115</v>
      </c>
      <c r="H34" s="2"/>
    </row>
    <row r="35" customFormat="false" ht="16.5" hidden="false" customHeight="fals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6.5" hidden="false" customHeight="false" outlineLevel="0" collapsed="false">
      <c r="A36" s="2"/>
      <c r="B36" s="2"/>
      <c r="C36" s="2"/>
      <c r="D36" s="2"/>
      <c r="E36" s="6"/>
      <c r="F36" s="6"/>
      <c r="G36" s="10" t="n">
        <f aca="false">SUM(G33:G35)</f>
        <v>2115</v>
      </c>
      <c r="H36" s="2"/>
    </row>
    <row r="37" customFormat="false" ht="16.5" hidden="false" customHeight="false" outlineLevel="0" collapsed="false">
      <c r="A37" s="2" t="s">
        <v>48</v>
      </c>
      <c r="B37" s="2" t="s">
        <v>2</v>
      </c>
      <c r="C37" s="2" t="s">
        <v>3</v>
      </c>
      <c r="D37" s="2" t="s">
        <v>4</v>
      </c>
      <c r="E37" s="6" t="s">
        <v>5</v>
      </c>
      <c r="F37" s="6"/>
      <c r="G37" s="6" t="s">
        <v>6</v>
      </c>
      <c r="H37" s="2" t="s">
        <v>7</v>
      </c>
    </row>
    <row r="38" customFormat="false" ht="16.5" hidden="false" customHeight="false" outlineLevel="0" collapsed="false">
      <c r="A38" s="2"/>
      <c r="B38" s="2" t="s">
        <v>175</v>
      </c>
      <c r="C38" s="2"/>
      <c r="D38" s="2" t="n">
        <v>27</v>
      </c>
      <c r="E38" s="2" t="n">
        <v>70</v>
      </c>
      <c r="F38" s="2" t="s">
        <v>10</v>
      </c>
      <c r="G38" s="5" t="n">
        <f aca="false">D38*E38</f>
        <v>1890</v>
      </c>
      <c r="H38" s="2"/>
    </row>
    <row r="39" customFormat="false" ht="16.5" hidden="false" customHeight="false" outlineLevel="0" collapsed="false">
      <c r="A39" s="2"/>
      <c r="B39" s="2" t="s">
        <v>49</v>
      </c>
      <c r="C39" s="2"/>
      <c r="D39" s="2" t="n">
        <v>41.28</v>
      </c>
      <c r="E39" s="2" t="n">
        <v>53.5</v>
      </c>
      <c r="F39" s="2" t="s">
        <v>10</v>
      </c>
      <c r="G39" s="5" t="n">
        <f aca="false">D39*E39</f>
        <v>2208.48</v>
      </c>
      <c r="H39" s="2"/>
    </row>
    <row r="40" customFormat="false" ht="16.5" hidden="false" customHeight="false" outlineLevel="0" collapsed="false">
      <c r="A40" s="2"/>
      <c r="B40" s="2" t="s">
        <v>13</v>
      </c>
      <c r="C40" s="2"/>
      <c r="D40" s="2"/>
      <c r="E40" s="6"/>
      <c r="F40" s="6"/>
      <c r="G40" s="7" t="n">
        <f aca="false">SUM(G38:G39)</f>
        <v>4098.48</v>
      </c>
      <c r="H40" s="11"/>
    </row>
    <row r="41" customFormat="false" ht="16.5" hidden="false" customHeight="false" outlineLevel="0" collapsed="false">
      <c r="A41" s="12" t="s">
        <v>51</v>
      </c>
      <c r="B41" s="2" t="s">
        <v>2</v>
      </c>
      <c r="C41" s="2" t="s">
        <v>3</v>
      </c>
      <c r="D41" s="2" t="s">
        <v>4</v>
      </c>
      <c r="E41" s="2" t="s">
        <v>5</v>
      </c>
      <c r="F41" s="2"/>
      <c r="G41" s="2" t="s">
        <v>6</v>
      </c>
      <c r="H41" s="2"/>
    </row>
    <row r="42" customFormat="false" ht="16.5" hidden="false" customHeight="false" outlineLevel="0" collapsed="false">
      <c r="A42" s="2"/>
      <c r="B42" s="2" t="s">
        <v>176</v>
      </c>
      <c r="C42" s="2"/>
      <c r="D42" s="2" t="n">
        <v>260</v>
      </c>
      <c r="E42" s="2" t="n">
        <v>1</v>
      </c>
      <c r="F42" s="2" t="s">
        <v>10</v>
      </c>
      <c r="G42" s="2" t="n">
        <f aca="false">E42*D42</f>
        <v>260</v>
      </c>
      <c r="H42" s="2"/>
    </row>
    <row r="43" customFormat="false" ht="16.5" hidden="false" customHeight="false" outlineLevel="0" collapsed="false">
      <c r="A43" s="2"/>
      <c r="B43" s="2" t="s">
        <v>177</v>
      </c>
      <c r="C43" s="2"/>
      <c r="D43" s="2" t="n">
        <v>300</v>
      </c>
      <c r="E43" s="2" t="n">
        <v>1</v>
      </c>
      <c r="F43" s="2" t="s">
        <v>82</v>
      </c>
      <c r="G43" s="2" t="n">
        <f aca="false">E43*D43</f>
        <v>300</v>
      </c>
      <c r="H43" s="2"/>
    </row>
    <row r="44" customFormat="false" ht="16.5" hidden="false" customHeight="false" outlineLevel="0" collapsed="false">
      <c r="A44" s="2"/>
      <c r="B44" s="2" t="s">
        <v>178</v>
      </c>
      <c r="C44" s="2"/>
      <c r="D44" s="2" t="n">
        <v>12</v>
      </c>
      <c r="E44" s="2" t="n">
        <v>5</v>
      </c>
      <c r="F44" s="2" t="s">
        <v>39</v>
      </c>
      <c r="G44" s="2" t="n">
        <f aca="false">E44*D44</f>
        <v>60</v>
      </c>
      <c r="H44" s="2"/>
    </row>
    <row r="45" customFormat="false" ht="16.5" hidden="false" customHeight="false" outlineLevel="0" collapsed="false">
      <c r="A45" s="2"/>
      <c r="B45" s="2" t="s">
        <v>99</v>
      </c>
      <c r="C45" s="2"/>
      <c r="D45" s="2" t="n">
        <v>117</v>
      </c>
      <c r="E45" s="2" t="n">
        <v>0.5</v>
      </c>
      <c r="F45" s="2" t="s">
        <v>10</v>
      </c>
      <c r="G45" s="2" t="n">
        <f aca="false">E45*D45</f>
        <v>58.5</v>
      </c>
      <c r="H45" s="2"/>
    </row>
    <row r="46" customFormat="false" ht="16.5" hidden="false" customHeight="false" outlineLevel="0" collapsed="false">
      <c r="A46" s="2"/>
      <c r="B46" s="2" t="s">
        <v>152</v>
      </c>
      <c r="C46" s="2"/>
      <c r="D46" s="2" t="n">
        <v>177</v>
      </c>
      <c r="E46" s="2" t="n">
        <v>10</v>
      </c>
      <c r="F46" s="2" t="s">
        <v>10</v>
      </c>
      <c r="G46" s="2" t="n">
        <f aca="false">E46*D46</f>
        <v>1770</v>
      </c>
      <c r="H46" s="2"/>
    </row>
    <row r="47" customFormat="false" ht="16.5" hidden="false" customHeight="false" outlineLevel="0" collapsed="false">
      <c r="A47" s="2"/>
      <c r="B47" s="2" t="s">
        <v>179</v>
      </c>
      <c r="C47" s="2"/>
      <c r="D47" s="2" t="n">
        <v>687</v>
      </c>
      <c r="E47" s="2" t="n">
        <v>1</v>
      </c>
      <c r="F47" s="2" t="s">
        <v>82</v>
      </c>
      <c r="G47" s="2" t="n">
        <f aca="false">E47*D47</f>
        <v>687</v>
      </c>
      <c r="H47" s="2"/>
    </row>
    <row r="48" customFormat="false" ht="16.5" hidden="false" customHeight="false" outlineLevel="0" collapsed="false">
      <c r="A48" s="2"/>
      <c r="B48" s="2" t="s">
        <v>180</v>
      </c>
      <c r="C48" s="33"/>
      <c r="D48" s="2" t="n">
        <v>760</v>
      </c>
      <c r="E48" s="2" t="n">
        <v>1</v>
      </c>
      <c r="F48" s="2" t="s">
        <v>12</v>
      </c>
      <c r="G48" s="2" t="n">
        <f aca="false">E48*D48</f>
        <v>760</v>
      </c>
      <c r="H48" s="2"/>
    </row>
    <row r="49" customFormat="false" ht="16.5" hidden="false" customHeight="false" outlineLevel="0" collapsed="false">
      <c r="A49" s="2"/>
      <c r="B49" s="2" t="s">
        <v>181</v>
      </c>
      <c r="C49" s="2"/>
      <c r="D49" s="2" t="n">
        <v>125</v>
      </c>
      <c r="E49" s="2" t="n">
        <v>12</v>
      </c>
      <c r="F49" s="2" t="s">
        <v>12</v>
      </c>
      <c r="G49" s="2" t="n">
        <f aca="false">E49*D49</f>
        <v>1500</v>
      </c>
      <c r="H49" s="2"/>
    </row>
    <row r="50" customFormat="false" ht="16.5" hidden="false" customHeight="false" outlineLevel="0" collapsed="false">
      <c r="A50" s="2"/>
      <c r="B50" s="2" t="s">
        <v>30</v>
      </c>
      <c r="C50" s="2"/>
      <c r="D50" s="2" t="n">
        <v>96.9</v>
      </c>
      <c r="E50" s="2" t="n">
        <v>5</v>
      </c>
      <c r="F50" s="2" t="s">
        <v>10</v>
      </c>
      <c r="G50" s="2" t="n">
        <f aca="false">E50*D50</f>
        <v>484.5</v>
      </c>
      <c r="H50" s="2"/>
    </row>
    <row r="51" customFormat="false" ht="16.5" hidden="false" customHeight="false" outlineLevel="0" collapsed="false">
      <c r="A51" s="2"/>
      <c r="B51" s="2" t="s">
        <v>13</v>
      </c>
      <c r="C51" s="2"/>
      <c r="D51" s="2"/>
      <c r="E51" s="6"/>
      <c r="F51" s="6"/>
      <c r="G51" s="7" t="n">
        <f aca="false">SUM(G42:G50)</f>
        <v>5880</v>
      </c>
      <c r="H51" s="2"/>
    </row>
    <row r="52" customFormat="false" ht="17.25" hidden="false" customHeight="false" outlineLevel="0" collapsed="false">
      <c r="A52" s="2"/>
      <c r="B52" s="13" t="s">
        <v>55</v>
      </c>
      <c r="C52" s="13"/>
      <c r="D52" s="13"/>
      <c r="E52" s="14"/>
      <c r="F52" s="14"/>
      <c r="G52" s="15" t="n">
        <f aca="false">G51+G40+G36+G22+G16+G8+G31</f>
        <v>27029.63</v>
      </c>
      <c r="H52" s="2"/>
    </row>
    <row r="53" customFormat="false" ht="16.5" hidden="false" customHeight="false" outlineLevel="0" collapsed="false">
      <c r="A53" s="17" t="s">
        <v>57</v>
      </c>
      <c r="B53" s="18" t="s">
        <v>58</v>
      </c>
      <c r="C53" s="18"/>
      <c r="D53" s="18"/>
      <c r="E53" s="19" t="s">
        <v>59</v>
      </c>
      <c r="F53" s="19"/>
      <c r="G53" s="19"/>
      <c r="H53" s="20" t="s">
        <v>60</v>
      </c>
    </row>
    <row r="54" customFormat="false" ht="16.5" hidden="false" customHeight="true" outlineLevel="0" collapsed="false">
      <c r="A54" s="17"/>
      <c r="B54" s="21" t="s">
        <v>182</v>
      </c>
      <c r="C54" s="21"/>
      <c r="D54" s="21"/>
      <c r="E54" s="22" t="s">
        <v>62</v>
      </c>
      <c r="F54" s="23"/>
      <c r="G54" s="23"/>
      <c r="H54" s="24" t="s">
        <v>96</v>
      </c>
    </row>
    <row r="55" customFormat="false" ht="17.25" hidden="false" customHeight="false" outlineLevel="0" collapsed="false">
      <c r="A55" s="17"/>
      <c r="B55" s="21"/>
      <c r="C55" s="21"/>
      <c r="D55" s="21"/>
      <c r="E55" s="25" t="s">
        <v>64</v>
      </c>
      <c r="F55" s="26" t="s">
        <v>183</v>
      </c>
      <c r="G55" s="26"/>
      <c r="H55" s="24"/>
    </row>
  </sheetData>
  <mergeCells count="23">
    <mergeCell ref="A1:H1"/>
    <mergeCell ref="A3:A8"/>
    <mergeCell ref="B8:D8"/>
    <mergeCell ref="A10:A16"/>
    <mergeCell ref="B16:D16"/>
    <mergeCell ref="A18:A22"/>
    <mergeCell ref="B22:D22"/>
    <mergeCell ref="A24:A31"/>
    <mergeCell ref="B31:D31"/>
    <mergeCell ref="A33:A36"/>
    <mergeCell ref="B36:D36"/>
    <mergeCell ref="A38:A40"/>
    <mergeCell ref="B40:D40"/>
    <mergeCell ref="A42:A51"/>
    <mergeCell ref="B51:D51"/>
    <mergeCell ref="B52:D52"/>
    <mergeCell ref="A53:A55"/>
    <mergeCell ref="B53:D53"/>
    <mergeCell ref="E53:G53"/>
    <mergeCell ref="B54:D55"/>
    <mergeCell ref="F54:G54"/>
    <mergeCell ref="H54:H55"/>
    <mergeCell ref="F55:G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LibreOffice/7.5.8.2$Windows_X86_64 LibreOffice_project/f718d63693263970429a68f568db6046aaa9df01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2025-02-19T17:01:12Z</dcterms:created>
  <dc:creator>劉語璇</dc:creator>
  <dc:description/>
  <dc:language>zh-TW</dc:language>
  <cp:lastModifiedBy/>
  <cp:lastPrinted>2026-01-12T00:53:03Z</cp:lastPrinted>
  <dcterms:modified xsi:type="dcterms:W3CDTF">2026-02-26T15:46:04Z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