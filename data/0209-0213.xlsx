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柯伊秀♡\★★伙房專區★★\午餐明細表\115年度\2月份\"/>
    </mc:Choice>
  </mc:AlternateContent>
  <bookViews>
    <workbookView xWindow="0" yWindow="0" windowWidth="28800" windowHeight="12255" activeTab="4"/>
  </bookViews>
  <sheets>
    <sheet name="0209" sheetId="1" r:id="rId1"/>
    <sheet name="0210" sheetId="2" r:id="rId2"/>
    <sheet name="0211" sheetId="3" r:id="rId3"/>
    <sheet name="0212" sheetId="4" r:id="rId4"/>
    <sheet name="0213" sheetId="5" r:id="rId5"/>
  </sheets>
  <definedNames>
    <definedName name="_xlnm.Print_Area" localSheetId="0">'0209'!$A$1:$H$51</definedName>
    <definedName name="_xlnm.Print_Area" localSheetId="1">'0210'!$A$1:$H$52</definedName>
    <definedName name="_xlnm.Print_Area" localSheetId="2">'0211'!$A$1:$H$65</definedName>
    <definedName name="_xlnm.Print_Area" localSheetId="3">'0212'!$A$1:$H$46</definedName>
    <definedName name="_xlnm.Print_Area" localSheetId="4">'0213'!$A$1:$H$57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4" i="5" l="1"/>
  <c r="G38" i="5" l="1"/>
  <c r="G37" i="5"/>
  <c r="G36" i="5"/>
  <c r="G35" i="5"/>
  <c r="G34" i="5"/>
  <c r="G33" i="5"/>
  <c r="G32" i="5"/>
  <c r="G31" i="5"/>
  <c r="G19" i="5"/>
  <c r="G20" i="5"/>
  <c r="G21" i="5"/>
  <c r="G18" i="5"/>
  <c r="G53" i="5"/>
  <c r="G50" i="5"/>
  <c r="G51" i="5"/>
  <c r="G52" i="5"/>
  <c r="G47" i="5"/>
  <c r="G46" i="5"/>
  <c r="G45" i="5"/>
  <c r="G16" i="5"/>
  <c r="G11" i="5"/>
  <c r="G12" i="5"/>
  <c r="G10" i="5"/>
  <c r="G25" i="5"/>
  <c r="G26" i="5"/>
  <c r="G27" i="5"/>
  <c r="G28" i="5"/>
  <c r="G29" i="5"/>
  <c r="G30" i="5"/>
  <c r="G24" i="5"/>
  <c r="G49" i="5"/>
  <c r="G4" i="5"/>
  <c r="G3" i="5"/>
  <c r="G43" i="4"/>
  <c r="G34" i="4"/>
  <c r="G35" i="4" l="1"/>
  <c r="G38" i="4"/>
  <c r="G27" i="4"/>
  <c r="G23" i="4"/>
  <c r="G24" i="4"/>
  <c r="G25" i="4"/>
  <c r="G26" i="4"/>
  <c r="G22" i="4"/>
  <c r="G20" i="4"/>
  <c r="G17" i="4"/>
  <c r="G18" i="4"/>
  <c r="G19" i="4"/>
  <c r="G16" i="4"/>
  <c r="G32" i="4"/>
  <c r="G30" i="4"/>
  <c r="G29" i="4"/>
  <c r="G14" i="4"/>
  <c r="G10" i="4"/>
  <c r="G11" i="4"/>
  <c r="G9" i="4"/>
  <c r="G3" i="4"/>
  <c r="G46" i="3" l="1"/>
  <c r="G42" i="3"/>
  <c r="G41" i="3"/>
  <c r="G40" i="3"/>
  <c r="G39" i="3"/>
  <c r="G38" i="3"/>
  <c r="G37" i="3"/>
  <c r="G36" i="3"/>
  <c r="G35" i="3"/>
  <c r="G60" i="3"/>
  <c r="G59" i="3"/>
  <c r="G58" i="3"/>
  <c r="G15" i="3"/>
  <c r="G19" i="3"/>
  <c r="G22" i="3" s="1"/>
  <c r="G34" i="3"/>
  <c r="G33" i="3"/>
  <c r="G32" i="3"/>
  <c r="G31" i="3"/>
  <c r="G30" i="3"/>
  <c r="G4" i="3"/>
  <c r="G5" i="3"/>
  <c r="G6" i="3"/>
  <c r="G7" i="3"/>
  <c r="G40" i="2"/>
  <c r="G45" i="2" l="1"/>
  <c r="G46" i="2"/>
  <c r="G47" i="2"/>
  <c r="G16" i="2"/>
  <c r="G17" i="2"/>
  <c r="G18" i="2"/>
  <c r="G19" i="2"/>
  <c r="G20" i="2"/>
  <c r="G21" i="2"/>
  <c r="G22" i="2"/>
  <c r="G27" i="2"/>
  <c r="G34" i="2"/>
  <c r="G35" i="2"/>
  <c r="G36" i="2"/>
  <c r="G44" i="2"/>
  <c r="G43" i="2"/>
  <c r="G48" i="2" s="1"/>
  <c r="G26" i="2"/>
  <c r="G28" i="2"/>
  <c r="G29" i="2"/>
  <c r="G4" i="2"/>
  <c r="G5" i="2"/>
  <c r="G6" i="2"/>
  <c r="G7" i="2"/>
  <c r="G30" i="1" l="1"/>
  <c r="G17" i="1"/>
  <c r="G18" i="1"/>
  <c r="G19" i="1"/>
  <c r="G20" i="1"/>
  <c r="G4" i="1"/>
  <c r="G5" i="1"/>
  <c r="G6" i="1"/>
  <c r="G7" i="1"/>
  <c r="G50" i="3" l="1"/>
  <c r="G49" i="3"/>
  <c r="G12" i="3"/>
  <c r="G13" i="3"/>
  <c r="G14" i="3"/>
  <c r="G11" i="3"/>
  <c r="G17" i="3" s="1"/>
  <c r="G29" i="3"/>
  <c r="G28" i="3"/>
  <c r="G25" i="3"/>
  <c r="G26" i="3"/>
  <c r="G27" i="3"/>
  <c r="G24" i="3"/>
  <c r="G43" i="3" s="1"/>
  <c r="G45" i="3"/>
  <c r="G3" i="3"/>
  <c r="G9" i="3" s="1"/>
  <c r="G54" i="3"/>
  <c r="G55" i="3"/>
  <c r="G56" i="3"/>
  <c r="G57" i="3"/>
  <c r="G53" i="3"/>
  <c r="G61" i="3" l="1"/>
  <c r="G25" i="2"/>
  <c r="G31" i="2" s="1"/>
  <c r="G11" i="2"/>
  <c r="G10" i="2"/>
  <c r="G15" i="2"/>
  <c r="G23" i="2" s="1"/>
  <c r="G33" i="2"/>
  <c r="G3" i="2"/>
  <c r="G8" i="2" s="1"/>
  <c r="G39" i="2"/>
  <c r="G13" i="2" l="1"/>
  <c r="G44" i="1"/>
  <c r="G45" i="1"/>
  <c r="G3" i="1"/>
  <c r="G8" i="1" s="1"/>
  <c r="G43" i="1" l="1"/>
  <c r="G47" i="1" s="1"/>
  <c r="G16" i="1"/>
  <c r="G21" i="1" s="1"/>
  <c r="G39" i="1"/>
  <c r="G41" i="1" s="1"/>
  <c r="G29" i="1"/>
  <c r="G28" i="1"/>
  <c r="G25" i="1" l="1"/>
  <c r="G26" i="1"/>
  <c r="G27" i="1"/>
  <c r="G24" i="1"/>
  <c r="G23" i="1"/>
  <c r="G11" i="1"/>
  <c r="G12" i="1"/>
  <c r="G10" i="1"/>
  <c r="G32" i="1" l="1"/>
  <c r="G14" i="1"/>
  <c r="G48" i="1" s="1"/>
  <c r="G43" i="5"/>
  <c r="G22" i="5"/>
  <c r="G8" i="5"/>
  <c r="G42" i="4"/>
  <c r="G36" i="4"/>
  <c r="G7" i="4"/>
  <c r="G51" i="3"/>
  <c r="G47" i="3"/>
  <c r="G41" i="2"/>
  <c r="G37" i="2"/>
  <c r="G37" i="1"/>
  <c r="G62" i="3" l="1"/>
  <c r="G49" i="2"/>
</calcChain>
</file>

<file path=xl/sharedStrings.xml><?xml version="1.0" encoding="utf-8"?>
<sst xmlns="http://schemas.openxmlformats.org/spreadsheetml/2006/main" count="643" uniqueCount="242">
  <si>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</si>
  <si>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</si>
  <si>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</si>
  <si>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</si>
  <si>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</si>
  <si>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</si>
  <si>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</si>
  <si>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</si>
  <si>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</si>
  <si>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</si>
  <si>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</si>
  <si>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</si>
  <si>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</si>
  <si>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</si>
  <si>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</si>
  <si>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合      計</t>
    <phoneticPr fontId="2" type="noConversion"/>
  </si>
  <si>
    <t>斤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</si>
  <si>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</si>
  <si>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</si>
  <si>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</si>
  <si>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</si>
  <si>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</si>
  <si>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</si>
  <si>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小籠包</t>
    <phoneticPr fontId="2" type="noConversion"/>
  </si>
  <si>
    <t>五穀米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</si>
  <si>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</si>
  <si>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</si>
  <si>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</si>
  <si>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辣椒</t>
    <phoneticPr fontId="2" type="noConversion"/>
  </si>
  <si>
    <t>斤</t>
    <phoneticPr fontId="2" type="noConversion"/>
  </si>
  <si>
    <t>件</t>
    <phoneticPr fontId="2" type="noConversion"/>
  </si>
  <si>
    <t>薑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</si>
  <si>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</si>
  <si>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芥花油</t>
    <phoneticPr fontId="2" type="noConversion"/>
  </si>
  <si>
    <t>合      計</t>
    <phoneticPr fontId="2" type="noConversion"/>
  </si>
  <si>
    <t>杏鮑菇</t>
    <phoneticPr fontId="2" type="noConversion"/>
  </si>
  <si>
    <t>半</t>
    <phoneticPr fontId="2" type="noConversion"/>
  </si>
  <si>
    <t>電訊科技中心(安康營區)     115年     02月   9日      午餐明細表</t>
    <phoneticPr fontId="2" type="noConversion"/>
  </si>
  <si>
    <t>電訊科技中心(安康營區)     115年      02月   10日      午餐明細表</t>
    <phoneticPr fontId="2" type="noConversion"/>
  </si>
  <si>
    <t>電訊科技中心(安康營區)     115年      02月   11日      午餐明細表</t>
    <phoneticPr fontId="2" type="noConversion"/>
  </si>
  <si>
    <t>電訊科技中心(安康營區)     115年      02月   12日      午餐明細表</t>
    <phoneticPr fontId="2" type="noConversion"/>
  </si>
  <si>
    <t>電訊科技中心(安康營區)     115年      2月   13日      午餐明細表</t>
    <phoneticPr fontId="2" type="noConversion"/>
  </si>
  <si>
    <t>椒麻肉片</t>
    <phoneticPr fontId="2" type="noConversion"/>
  </si>
  <si>
    <t>涼拌海帶根</t>
    <phoneticPr fontId="2" type="noConversion"/>
  </si>
  <si>
    <t>鐵板豆腐</t>
    <phoneticPr fontId="2" type="noConversion"/>
  </si>
  <si>
    <t>味噌貢丸</t>
    <phoneticPr fontId="2" type="noConversion"/>
  </si>
  <si>
    <t>斤</t>
  </si>
  <si>
    <t>豬肉片</t>
    <phoneticPr fontId="2" type="noConversion"/>
  </si>
  <si>
    <t>五花肉片</t>
    <phoneticPr fontId="2" type="noConversion"/>
  </si>
  <si>
    <t>花椒油</t>
    <phoneticPr fontId="2" type="noConversion"/>
  </si>
  <si>
    <t>去皮洋蔥</t>
    <phoneticPr fontId="2" type="noConversion"/>
  </si>
  <si>
    <t>碎花生</t>
    <phoneticPr fontId="2" type="noConversion"/>
  </si>
  <si>
    <t>海帶根</t>
    <phoneticPr fontId="2" type="noConversion"/>
  </si>
  <si>
    <t>薑絲</t>
    <phoneticPr fontId="2" type="noConversion"/>
  </si>
  <si>
    <t>胡蘿蔔絲</t>
    <phoneticPr fontId="2" type="noConversion"/>
  </si>
  <si>
    <t>乳瑪琳</t>
    <phoneticPr fontId="2" type="noConversion"/>
  </si>
  <si>
    <t>紅椒</t>
    <phoneticPr fontId="2" type="noConversion"/>
  </si>
  <si>
    <t>黃椒</t>
    <phoneticPr fontId="2" type="noConversion"/>
  </si>
  <si>
    <t>小三角油豆腐</t>
    <phoneticPr fontId="2" type="noConversion"/>
  </si>
  <si>
    <t>川耳</t>
    <phoneticPr fontId="2" type="noConversion"/>
  </si>
  <si>
    <t>罐</t>
    <phoneticPr fontId="2" type="noConversion"/>
  </si>
  <si>
    <t>味噌</t>
    <phoneticPr fontId="2" type="noConversion"/>
  </si>
  <si>
    <t>小貢丸</t>
    <phoneticPr fontId="2" type="noConversion"/>
  </si>
  <si>
    <t>庫存</t>
    <phoneticPr fontId="2" type="noConversion"/>
  </si>
  <si>
    <t>泰式檸檬魚</t>
    <phoneticPr fontId="2" type="noConversion"/>
  </si>
  <si>
    <t>冷盤雙拼</t>
    <phoneticPr fontId="2" type="noConversion"/>
  </si>
  <si>
    <t>燴三鮮</t>
    <phoneticPr fontId="2" type="noConversion"/>
  </si>
  <si>
    <t>火鍋</t>
    <phoneticPr fontId="2" type="noConversion"/>
  </si>
  <si>
    <t>魚露</t>
    <phoneticPr fontId="2" type="noConversion"/>
  </si>
  <si>
    <t>檸檬汁</t>
    <phoneticPr fontId="2" type="noConversion"/>
  </si>
  <si>
    <t>鱸魚(處理好)</t>
    <phoneticPr fontId="2" type="noConversion"/>
  </si>
  <si>
    <t>薑</t>
    <phoneticPr fontId="2" type="noConversion"/>
  </si>
  <si>
    <t>檸檬</t>
    <phoneticPr fontId="2" type="noConversion"/>
  </si>
  <si>
    <t>粒</t>
    <phoneticPr fontId="2" type="noConversion"/>
  </si>
  <si>
    <t>隻</t>
    <phoneticPr fontId="2" type="noConversion"/>
  </si>
  <si>
    <t>瓶</t>
    <phoneticPr fontId="2" type="noConversion"/>
  </si>
  <si>
    <t>肉羹麵</t>
    <phoneticPr fontId="2" type="noConversion"/>
  </si>
  <si>
    <t>滷味</t>
    <phoneticPr fontId="2" type="noConversion"/>
  </si>
  <si>
    <t>酥炸柳葉魚</t>
    <phoneticPr fontId="2" type="noConversion"/>
  </si>
  <si>
    <t>油麵</t>
    <phoneticPr fontId="2" type="noConversion"/>
  </si>
  <si>
    <t>肉羹</t>
    <phoneticPr fontId="2" type="noConversion"/>
  </si>
  <si>
    <t>大白菜</t>
    <phoneticPr fontId="2" type="noConversion"/>
  </si>
  <si>
    <t>木耳絲</t>
    <phoneticPr fontId="2" type="noConversion"/>
  </si>
  <si>
    <t>白蘿蔔</t>
    <phoneticPr fontId="2" type="noConversion"/>
  </si>
  <si>
    <t>蘭花干</t>
    <phoneticPr fontId="2" type="noConversion"/>
  </si>
  <si>
    <t>鳥蛋</t>
    <phoneticPr fontId="2" type="noConversion"/>
  </si>
  <si>
    <t>海帶結</t>
    <phoneticPr fontId="2" type="noConversion"/>
  </si>
  <si>
    <t>鑫鑫腸</t>
    <phoneticPr fontId="2" type="noConversion"/>
  </si>
  <si>
    <t>柳葉魚</t>
    <phoneticPr fontId="2" type="noConversion"/>
  </si>
  <si>
    <t>雞翅</t>
    <phoneticPr fontId="2" type="noConversion"/>
  </si>
  <si>
    <t>香腸</t>
    <phoneticPr fontId="2" type="noConversion"/>
  </si>
  <si>
    <t>條</t>
    <phoneticPr fontId="2" type="noConversion"/>
  </si>
  <si>
    <t>紅燒豬腳</t>
    <phoneticPr fontId="2" type="noConversion"/>
  </si>
  <si>
    <t>黃瓜炒素雞</t>
    <phoneticPr fontId="2" type="noConversion"/>
  </si>
  <si>
    <t>日式蒸蛋</t>
    <phoneticPr fontId="2" type="noConversion"/>
  </si>
  <si>
    <t>冬瓜蛤蠣</t>
    <phoneticPr fontId="2" type="noConversion"/>
  </si>
  <si>
    <t>豬腳丁</t>
    <phoneticPr fontId="2" type="noConversion"/>
  </si>
  <si>
    <t>小黃瓜</t>
    <phoneticPr fontId="2" type="noConversion"/>
  </si>
  <si>
    <t>素雞切片</t>
    <phoneticPr fontId="2" type="noConversion"/>
  </si>
  <si>
    <t>雞蛋</t>
    <phoneticPr fontId="2" type="noConversion"/>
  </si>
  <si>
    <t>火鍋魚板</t>
    <phoneticPr fontId="2" type="noConversion"/>
  </si>
  <si>
    <t>生香菇</t>
    <phoneticPr fontId="2" type="noConversion"/>
  </si>
  <si>
    <t>鯛魚片</t>
    <phoneticPr fontId="2" type="noConversion"/>
  </si>
  <si>
    <t>去皮冬瓜</t>
    <phoneticPr fontId="2" type="noConversion"/>
  </si>
  <si>
    <t>蛤蠣</t>
    <phoneticPr fontId="2" type="noConversion"/>
  </si>
  <si>
    <t>王子麵</t>
    <phoneticPr fontId="2" type="noConversion"/>
  </si>
  <si>
    <t>炸豆皮</t>
    <phoneticPr fontId="2" type="noConversion"/>
  </si>
  <si>
    <t>個</t>
    <phoneticPr fontId="2" type="noConversion"/>
  </si>
  <si>
    <t>包</t>
    <phoneticPr fontId="2" type="noConversion"/>
  </si>
  <si>
    <t>花雕雞</t>
    <phoneticPr fontId="2" type="noConversion"/>
  </si>
  <si>
    <t>絲瓜菇菇</t>
    <phoneticPr fontId="2" type="noConversion"/>
  </si>
  <si>
    <t>木耳炒肉絲</t>
    <phoneticPr fontId="2" type="noConversion"/>
  </si>
  <si>
    <t>海帶芽蛋花湯</t>
    <phoneticPr fontId="2" type="noConversion"/>
  </si>
  <si>
    <t>乾海芽</t>
    <phoneticPr fontId="2" type="noConversion"/>
  </si>
  <si>
    <t>花雕酒</t>
    <phoneticPr fontId="2" type="noConversion"/>
  </si>
  <si>
    <t>去骨雞腿丁3*3</t>
    <phoneticPr fontId="2" type="noConversion"/>
  </si>
  <si>
    <t>去皮絲瓜</t>
    <phoneticPr fontId="2" type="noConversion"/>
  </si>
  <si>
    <t>雪白菇</t>
    <phoneticPr fontId="2" type="noConversion"/>
  </si>
  <si>
    <t>豬肉絲</t>
    <phoneticPr fontId="2" type="noConversion"/>
  </si>
  <si>
    <t>半</t>
    <phoneticPr fontId="2" type="noConversion"/>
  </si>
  <si>
    <t>五花絞肉</t>
    <phoneticPr fontId="2" type="noConversion"/>
  </si>
  <si>
    <t>滷蛋</t>
    <phoneticPr fontId="2" type="noConversion"/>
  </si>
  <si>
    <t>烏龍麵</t>
    <phoneticPr fontId="2" type="noConversion"/>
  </si>
  <si>
    <t>斤</t>
    <phoneticPr fontId="2" type="noConversion"/>
  </si>
  <si>
    <t>高麗菜</t>
    <phoneticPr fontId="2" type="noConversion"/>
  </si>
  <si>
    <t>黑胡椒醬</t>
    <phoneticPr fontId="2" type="noConversion"/>
  </si>
  <si>
    <t>桶</t>
    <phoneticPr fontId="2" type="noConversion"/>
  </si>
  <si>
    <t>芭芒柳</t>
    <phoneticPr fontId="2" type="noConversion"/>
  </si>
  <si>
    <t>瓶</t>
    <phoneticPr fontId="2" type="noConversion"/>
  </si>
  <si>
    <t>蘋果</t>
    <phoneticPr fontId="2" type="noConversion"/>
  </si>
  <si>
    <t>個</t>
    <phoneticPr fontId="2" type="noConversion"/>
  </si>
  <si>
    <t>廚餘量</t>
    <phoneticPr fontId="2" type="noConversion"/>
  </si>
  <si>
    <t>目視剩餘菜色</t>
    <phoneticPr fontId="2" type="noConversion"/>
  </si>
  <si>
    <t>今日用餐人數</t>
    <phoneticPr fontId="2" type="noConversion"/>
  </si>
  <si>
    <t>備註</t>
    <phoneticPr fontId="2" type="noConversion"/>
  </si>
  <si>
    <t>人事系統</t>
    <phoneticPr fontId="2" type="noConversion"/>
  </si>
  <si>
    <t>食材量預估
     人</t>
    <phoneticPr fontId="2" type="noConversion"/>
  </si>
  <si>
    <t>計數器</t>
    <phoneticPr fontId="2" type="noConversion"/>
  </si>
  <si>
    <t>無統計</t>
    <phoneticPr fontId="2" type="noConversion"/>
  </si>
  <si>
    <t>手工白麵線</t>
    <phoneticPr fontId="2" type="noConversion"/>
  </si>
  <si>
    <t>鳥蛋</t>
    <phoneticPr fontId="2" type="noConversion"/>
  </si>
  <si>
    <t>魷魚花</t>
    <phoneticPr fontId="2" type="noConversion"/>
  </si>
  <si>
    <t>鮮木耳</t>
    <phoneticPr fontId="2" type="noConversion"/>
  </si>
  <si>
    <t>盒裝豆腐</t>
    <phoneticPr fontId="2" type="noConversion"/>
  </si>
  <si>
    <t>盤</t>
    <phoneticPr fontId="2" type="noConversion"/>
  </si>
  <si>
    <t>香菜</t>
    <phoneticPr fontId="2" type="noConversion"/>
  </si>
  <si>
    <t>蒜仁</t>
    <phoneticPr fontId="2" type="noConversion"/>
  </si>
  <si>
    <t>去皮洋蔥</t>
    <phoneticPr fontId="2" type="noConversion"/>
  </si>
  <si>
    <t>薑泥</t>
    <phoneticPr fontId="2" type="noConversion"/>
  </si>
  <si>
    <t>荷蘭豆</t>
    <phoneticPr fontId="2" type="noConversion"/>
  </si>
  <si>
    <t>小黃瓜</t>
    <phoneticPr fontId="2" type="noConversion"/>
  </si>
  <si>
    <t>油雞腿</t>
    <phoneticPr fontId="2" type="noConversion"/>
  </si>
  <si>
    <t>支</t>
    <phoneticPr fontId="2" type="noConversion"/>
  </si>
  <si>
    <t>素火鍋料</t>
    <phoneticPr fontId="2" type="noConversion"/>
  </si>
  <si>
    <t>火鍋料</t>
    <phoneticPr fontId="2" type="noConversion"/>
  </si>
  <si>
    <t>肉片</t>
    <phoneticPr fontId="2" type="noConversion"/>
  </si>
  <si>
    <t>小豬包</t>
    <phoneticPr fontId="2" type="noConversion"/>
  </si>
  <si>
    <t>透抽</t>
    <phoneticPr fontId="2" type="noConversion"/>
  </si>
  <si>
    <t>玉米筍</t>
    <phoneticPr fontId="2" type="noConversion"/>
  </si>
  <si>
    <t>罐</t>
    <phoneticPr fontId="2" type="noConversion"/>
  </si>
  <si>
    <t>桶</t>
    <phoneticPr fontId="2" type="noConversion"/>
  </si>
  <si>
    <t>草蝦仁</t>
    <phoneticPr fontId="2" type="noConversion"/>
  </si>
  <si>
    <t>素肉片</t>
    <phoneticPr fontId="2" type="noConversion"/>
  </si>
  <si>
    <t>麻油猴頭菇</t>
    <phoneticPr fontId="2" type="noConversion"/>
  </si>
  <si>
    <t>流沙包</t>
    <phoneticPr fontId="2" type="noConversion"/>
  </si>
  <si>
    <t>包</t>
    <phoneticPr fontId="2" type="noConversion"/>
  </si>
  <si>
    <t>組</t>
    <phoneticPr fontId="2" type="noConversion"/>
  </si>
  <si>
    <t>各剩一盆供回打
(鐵板豆腐剩8分滿)</t>
    <phoneticPr fontId="2" type="noConversion"/>
  </si>
  <si>
    <t>茂谷柑</t>
    <phoneticPr fontId="2" type="noConversion"/>
  </si>
  <si>
    <t>斤</t>
    <phoneticPr fontId="2" type="noConversion"/>
  </si>
  <si>
    <t>個</t>
    <phoneticPr fontId="2" type="noConversion"/>
  </si>
  <si>
    <t>洗選蛋</t>
    <phoneticPr fontId="2" type="noConversion"/>
  </si>
  <si>
    <t>高麗菜</t>
    <phoneticPr fontId="2" type="noConversion"/>
  </si>
  <si>
    <t>辣椒</t>
    <phoneticPr fontId="2" type="noConversion"/>
  </si>
  <si>
    <t>老薑</t>
    <phoneticPr fontId="2" type="noConversion"/>
  </si>
  <si>
    <t>薑絲</t>
    <phoneticPr fontId="2" type="noConversion"/>
  </si>
  <si>
    <t>青蔥</t>
    <phoneticPr fontId="2" type="noConversion"/>
  </si>
  <si>
    <t>非基改味噌</t>
    <phoneticPr fontId="2" type="noConversion"/>
  </si>
  <si>
    <t>件</t>
    <phoneticPr fontId="2" type="noConversion"/>
  </si>
  <si>
    <t>去皮洋蔥</t>
    <phoneticPr fontId="2" type="noConversion"/>
  </si>
  <si>
    <t>金蘭醬油</t>
    <phoneticPr fontId="2" type="noConversion"/>
  </si>
  <si>
    <t>桶</t>
    <phoneticPr fontId="2" type="noConversion"/>
  </si>
  <si>
    <t>素蠔油</t>
    <phoneticPr fontId="2" type="noConversion"/>
  </si>
  <si>
    <t>厚片土司</t>
    <phoneticPr fontId="2" type="noConversion"/>
  </si>
  <si>
    <t>條</t>
    <phoneticPr fontId="2" type="noConversion"/>
  </si>
  <si>
    <t>無骨豬排</t>
    <phoneticPr fontId="2" type="noConversion"/>
  </si>
  <si>
    <t>辣豆瓣</t>
    <phoneticPr fontId="2" type="noConversion"/>
  </si>
  <si>
    <t>花枝排</t>
    <phoneticPr fontId="2" type="noConversion"/>
  </si>
  <si>
    <t>冷凍青花菜</t>
    <phoneticPr fontId="2" type="noConversion"/>
  </si>
  <si>
    <t>包</t>
    <phoneticPr fontId="2" type="noConversion"/>
  </si>
  <si>
    <t>飛馬胡椒鹽</t>
    <phoneticPr fontId="2" type="noConversion"/>
  </si>
  <si>
    <t>盒</t>
    <phoneticPr fontId="2" type="noConversion"/>
  </si>
  <si>
    <t>樹子</t>
    <phoneticPr fontId="2" type="noConversion"/>
  </si>
  <si>
    <t>烹大師</t>
    <phoneticPr fontId="2" type="noConversion"/>
  </si>
  <si>
    <t>三好米</t>
    <phoneticPr fontId="2" type="noConversion"/>
  </si>
  <si>
    <t>黑麻油</t>
    <phoneticPr fontId="2" type="noConversion"/>
  </si>
  <si>
    <t>香油</t>
    <phoneticPr fontId="2" type="noConversion"/>
  </si>
  <si>
    <t>白胡椒粉</t>
    <phoneticPr fontId="2" type="noConversion"/>
  </si>
  <si>
    <t>黑胡椒醬</t>
    <phoneticPr fontId="2" type="noConversion"/>
  </si>
  <si>
    <t>番茄醬</t>
    <phoneticPr fontId="2" type="noConversion"/>
  </si>
  <si>
    <t>沙茶醬</t>
    <phoneticPr fontId="2" type="noConversion"/>
  </si>
  <si>
    <t>烏醋</t>
    <phoneticPr fontId="2" type="noConversion"/>
  </si>
  <si>
    <t>人數預估 320人</t>
    <phoneticPr fontId="2" type="noConversion"/>
  </si>
  <si>
    <t>約220</t>
    <phoneticPr fontId="2" type="noConversion"/>
  </si>
  <si>
    <t>油菜</t>
    <phoneticPr fontId="2" type="noConversion"/>
  </si>
  <si>
    <t>斤</t>
    <phoneticPr fontId="2" type="noConversion"/>
  </si>
  <si>
    <t>沙拉油</t>
    <phoneticPr fontId="2" type="noConversion"/>
  </si>
  <si>
    <t>桶</t>
    <phoneticPr fontId="2" type="noConversion"/>
  </si>
  <si>
    <t>鋁箔包</t>
    <phoneticPr fontId="2" type="noConversion"/>
  </si>
  <si>
    <t>瓶</t>
    <phoneticPr fontId="2" type="noConversion"/>
  </si>
  <si>
    <t>大亨堡</t>
    <phoneticPr fontId="2" type="noConversion"/>
  </si>
  <si>
    <t>個</t>
    <phoneticPr fontId="2" type="noConversion"/>
  </si>
  <si>
    <t>香蕉</t>
    <phoneticPr fontId="2" type="noConversion"/>
  </si>
  <si>
    <t>很平均</t>
    <phoneticPr fontId="2" type="noConversion"/>
  </si>
  <si>
    <t>差不多</t>
    <phoneticPr fontId="2" type="noConversion"/>
  </si>
  <si>
    <t>鍋貼</t>
    <phoneticPr fontId="2" type="noConversion"/>
  </si>
  <si>
    <t>個</t>
    <phoneticPr fontId="2" type="noConversion"/>
  </si>
  <si>
    <t>玉米片</t>
    <phoneticPr fontId="2" type="noConversion"/>
  </si>
  <si>
    <t>盒</t>
    <phoneticPr fontId="2" type="noConversion"/>
  </si>
  <si>
    <t>水餃</t>
    <phoneticPr fontId="2" type="noConversion"/>
  </si>
  <si>
    <t>包</t>
    <phoneticPr fontId="2" type="noConversion"/>
  </si>
  <si>
    <t>吐司</t>
    <phoneticPr fontId="2" type="noConversion"/>
  </si>
  <si>
    <t>條</t>
    <phoneticPr fontId="2" type="noConversion"/>
  </si>
  <si>
    <t>厚片土司</t>
    <phoneticPr fontId="2" type="noConversion"/>
  </si>
  <si>
    <t>白細砂糖</t>
    <phoneticPr fontId="2" type="noConversion"/>
  </si>
  <si>
    <t>鮮奶油</t>
    <phoneticPr fontId="2" type="noConversion"/>
  </si>
  <si>
    <t>鵝白菜</t>
    <phoneticPr fontId="2" type="noConversion"/>
  </si>
  <si>
    <t>斤</t>
    <phoneticPr fontId="2" type="noConversion"/>
  </si>
  <si>
    <t>蘋果</t>
    <phoneticPr fontId="2" type="noConversion"/>
  </si>
  <si>
    <t>顆</t>
    <phoneticPr fontId="2" type="noConversion"/>
  </si>
  <si>
    <t>調理米酒</t>
    <phoneticPr fontId="2" type="noConversion"/>
  </si>
  <si>
    <t>瓶</t>
    <phoneticPr fontId="2" type="noConversion"/>
  </si>
  <si>
    <t>蒜仁</t>
    <phoneticPr fontId="2" type="noConversion"/>
  </si>
  <si>
    <t>辣椒</t>
    <phoneticPr fontId="2" type="noConversion"/>
  </si>
  <si>
    <t>青蔥</t>
    <phoneticPr fontId="2" type="noConversion"/>
  </si>
  <si>
    <t>油膏</t>
    <phoneticPr fontId="2" type="noConversion"/>
  </si>
  <si>
    <t>桶</t>
    <phoneticPr fontId="2" type="noConversion"/>
  </si>
  <si>
    <t>醬油</t>
    <phoneticPr fontId="2" type="noConversion"/>
  </si>
  <si>
    <t>金針</t>
    <phoneticPr fontId="2" type="noConversion"/>
  </si>
  <si>
    <t>洗選蛋</t>
    <phoneticPr fontId="2" type="noConversion"/>
  </si>
  <si>
    <t>各剩一盆供回打</t>
    <phoneticPr fontId="2" type="noConversion"/>
  </si>
  <si>
    <t>約200人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</si>
</sst>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15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vertical="center"/>
    </xf>
    <xf numFmtId="0" fontId="3" fillId="9" borderId="18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3" fillId="9" borderId="3" xfId="0" applyFont="1" applyFill="1" applyBorder="1" applyAlignment="1">
      <alignment vertical="center"/>
    </xf>
    <xf numFmtId="0" fontId="3" fillId="8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topLeftCell="A19" workbookViewId="0">
      <selection activeCell="B50" sqref="B50:D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8" t="s">
        <v>37</v>
      </c>
      <c r="B1" s="47"/>
      <c r="C1" s="47"/>
      <c r="D1" s="47"/>
      <c r="E1" s="47"/>
      <c r="F1" s="47"/>
      <c r="G1" s="47"/>
      <c r="H1" s="47"/>
    </row>
    <row r="2" spans="1:8" x14ac:dyDescent="0.25">
      <c r="A2" s="31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/>
      <c r="G2" s="31" t="s">
        <v>5</v>
      </c>
      <c r="H2" s="31" t="s">
        <v>6</v>
      </c>
    </row>
    <row r="3" spans="1:8" x14ac:dyDescent="0.25">
      <c r="A3" s="49" t="s">
        <v>42</v>
      </c>
      <c r="B3" s="31" t="s">
        <v>47</v>
      </c>
      <c r="C3" s="31">
        <v>30</v>
      </c>
      <c r="D3" s="31">
        <v>141</v>
      </c>
      <c r="E3" s="17">
        <v>30</v>
      </c>
      <c r="F3" s="17" t="s">
        <v>46</v>
      </c>
      <c r="G3" s="18">
        <f>D3*E3</f>
        <v>4230</v>
      </c>
      <c r="H3" s="31"/>
    </row>
    <row r="4" spans="1:8" x14ac:dyDescent="0.25">
      <c r="A4" s="47"/>
      <c r="B4" s="31" t="s">
        <v>48</v>
      </c>
      <c r="C4" s="31">
        <v>15</v>
      </c>
      <c r="D4" s="31">
        <v>177</v>
      </c>
      <c r="E4" s="31">
        <v>15</v>
      </c>
      <c r="F4" s="31" t="s">
        <v>46</v>
      </c>
      <c r="G4" s="18">
        <f t="shared" ref="G4:G7" si="0">D4*E4</f>
        <v>2655</v>
      </c>
      <c r="H4" s="31"/>
    </row>
    <row r="5" spans="1:8" x14ac:dyDescent="0.25">
      <c r="A5" s="47"/>
      <c r="B5" s="31" t="s">
        <v>49</v>
      </c>
      <c r="C5" s="31">
        <v>3</v>
      </c>
      <c r="D5" s="31">
        <v>365</v>
      </c>
      <c r="E5" s="31">
        <v>3</v>
      </c>
      <c r="F5" s="31" t="s">
        <v>60</v>
      </c>
      <c r="G5" s="18">
        <f t="shared" si="0"/>
        <v>1095</v>
      </c>
      <c r="H5" s="31"/>
    </row>
    <row r="6" spans="1:8" x14ac:dyDescent="0.25">
      <c r="A6" s="47"/>
      <c r="B6" s="31" t="s">
        <v>51</v>
      </c>
      <c r="C6" s="31">
        <v>7</v>
      </c>
      <c r="D6" s="31">
        <v>210</v>
      </c>
      <c r="E6" s="31">
        <v>2</v>
      </c>
      <c r="F6" s="31" t="s">
        <v>46</v>
      </c>
      <c r="G6" s="18">
        <f t="shared" si="0"/>
        <v>420</v>
      </c>
      <c r="H6" s="31"/>
    </row>
    <row r="7" spans="1:8" x14ac:dyDescent="0.25">
      <c r="A7" s="47"/>
      <c r="B7" s="31" t="s">
        <v>50</v>
      </c>
      <c r="C7" s="31">
        <v>2</v>
      </c>
      <c r="D7" s="31">
        <v>22.44</v>
      </c>
      <c r="E7" s="31">
        <v>7</v>
      </c>
      <c r="F7" s="31" t="s">
        <v>46</v>
      </c>
      <c r="G7" s="18">
        <f t="shared" si="0"/>
        <v>157.08000000000001</v>
      </c>
      <c r="H7" s="31"/>
    </row>
    <row r="8" spans="1:8" x14ac:dyDescent="0.25">
      <c r="A8" s="47"/>
      <c r="B8" s="47" t="s">
        <v>7</v>
      </c>
      <c r="C8" s="47"/>
      <c r="D8" s="47"/>
      <c r="E8" s="31"/>
      <c r="F8" s="31"/>
      <c r="G8" s="13">
        <f>SUM(G3:G7)</f>
        <v>8557.08</v>
      </c>
      <c r="H8" s="31"/>
    </row>
    <row r="9" spans="1:8" x14ac:dyDescent="0.25">
      <c r="A9" s="31" t="s">
        <v>8</v>
      </c>
      <c r="B9" s="31" t="s">
        <v>1</v>
      </c>
      <c r="C9" s="31" t="s">
        <v>2</v>
      </c>
      <c r="D9" s="31" t="s">
        <v>3</v>
      </c>
      <c r="E9" s="31" t="s">
        <v>4</v>
      </c>
      <c r="F9" s="31"/>
      <c r="G9" s="31" t="s">
        <v>5</v>
      </c>
      <c r="H9" s="31" t="s">
        <v>6</v>
      </c>
    </row>
    <row r="10" spans="1:8" x14ac:dyDescent="0.25">
      <c r="A10" s="47" t="s">
        <v>43</v>
      </c>
      <c r="B10" s="31" t="s">
        <v>52</v>
      </c>
      <c r="C10" s="31">
        <v>30</v>
      </c>
      <c r="D10" s="31">
        <v>57</v>
      </c>
      <c r="E10" s="31">
        <v>30</v>
      </c>
      <c r="F10" s="31" t="s">
        <v>46</v>
      </c>
      <c r="G10" s="31">
        <f>D10*E10</f>
        <v>1710</v>
      </c>
      <c r="H10" s="31"/>
    </row>
    <row r="11" spans="1:8" x14ac:dyDescent="0.25">
      <c r="A11" s="47"/>
      <c r="B11" s="31" t="s">
        <v>53</v>
      </c>
      <c r="C11" s="31">
        <v>1</v>
      </c>
      <c r="D11" s="31">
        <v>114</v>
      </c>
      <c r="E11" s="31">
        <v>1</v>
      </c>
      <c r="F11" s="31" t="s">
        <v>46</v>
      </c>
      <c r="G11" s="31">
        <f t="shared" ref="G11:G12" si="1">D11*E11</f>
        <v>114</v>
      </c>
      <c r="H11" s="31"/>
    </row>
    <row r="12" spans="1:8" x14ac:dyDescent="0.25">
      <c r="A12" s="47"/>
      <c r="B12" s="31" t="s">
        <v>54</v>
      </c>
      <c r="C12" s="31">
        <v>3</v>
      </c>
      <c r="D12" s="31">
        <v>12.54</v>
      </c>
      <c r="E12" s="31">
        <v>3</v>
      </c>
      <c r="F12" s="31" t="s">
        <v>46</v>
      </c>
      <c r="G12" s="31">
        <f t="shared" si="1"/>
        <v>37.619999999999997</v>
      </c>
      <c r="H12" s="31"/>
    </row>
    <row r="13" spans="1:8" x14ac:dyDescent="0.25">
      <c r="A13" s="47"/>
      <c r="B13" s="31"/>
      <c r="C13" s="31"/>
      <c r="D13" s="31"/>
      <c r="E13" s="31"/>
      <c r="F13" s="31"/>
      <c r="G13" s="31"/>
      <c r="H13" s="31"/>
    </row>
    <row r="14" spans="1:8" x14ac:dyDescent="0.25">
      <c r="A14" s="47"/>
      <c r="B14" s="47" t="s">
        <v>7</v>
      </c>
      <c r="C14" s="47"/>
      <c r="D14" s="47"/>
      <c r="E14" s="31"/>
      <c r="F14" s="31"/>
      <c r="G14" s="13">
        <f>SUM(G10:G13)</f>
        <v>1861.62</v>
      </c>
      <c r="H14" s="31"/>
    </row>
    <row r="15" spans="1:8" x14ac:dyDescent="0.25">
      <c r="A15" s="31" t="s">
        <v>9</v>
      </c>
      <c r="B15" s="31" t="s">
        <v>1</v>
      </c>
      <c r="C15" s="31" t="s">
        <v>2</v>
      </c>
      <c r="D15" s="31" t="s">
        <v>3</v>
      </c>
      <c r="E15" s="31" t="s">
        <v>4</v>
      </c>
      <c r="F15" s="31"/>
      <c r="G15" s="31" t="s">
        <v>5</v>
      </c>
      <c r="H15" s="31" t="s">
        <v>6</v>
      </c>
    </row>
    <row r="16" spans="1:8" x14ac:dyDescent="0.25">
      <c r="A16" s="47" t="s">
        <v>44</v>
      </c>
      <c r="B16" s="31" t="s">
        <v>55</v>
      </c>
      <c r="C16" s="31">
        <v>2</v>
      </c>
      <c r="D16" s="31">
        <v>210</v>
      </c>
      <c r="E16" s="31">
        <v>2</v>
      </c>
      <c r="F16" s="31" t="s">
        <v>60</v>
      </c>
      <c r="G16" s="31">
        <f>D16*E16</f>
        <v>420</v>
      </c>
      <c r="H16" s="31"/>
    </row>
    <row r="17" spans="1:8" x14ac:dyDescent="0.25">
      <c r="A17" s="47"/>
      <c r="B17" s="31" t="s">
        <v>56</v>
      </c>
      <c r="C17" s="31">
        <v>5</v>
      </c>
      <c r="D17" s="31">
        <v>44.1</v>
      </c>
      <c r="E17" s="31">
        <v>5</v>
      </c>
      <c r="F17" s="31" t="s">
        <v>46</v>
      </c>
      <c r="G17" s="31">
        <f t="shared" ref="G17:G20" si="2">D17*E17</f>
        <v>220.5</v>
      </c>
      <c r="H17" s="31"/>
    </row>
    <row r="18" spans="1:8" x14ac:dyDescent="0.25">
      <c r="A18" s="47"/>
      <c r="B18" s="31" t="s">
        <v>57</v>
      </c>
      <c r="C18" s="31">
        <v>5</v>
      </c>
      <c r="D18" s="31">
        <v>40.5</v>
      </c>
      <c r="E18" s="31">
        <v>5</v>
      </c>
      <c r="F18" s="31" t="s">
        <v>46</v>
      </c>
      <c r="G18" s="31">
        <f t="shared" si="2"/>
        <v>202.5</v>
      </c>
      <c r="H18" s="31"/>
    </row>
    <row r="19" spans="1:8" x14ac:dyDescent="0.25">
      <c r="A19" s="47"/>
      <c r="B19" s="31" t="s">
        <v>59</v>
      </c>
      <c r="C19" s="31">
        <v>30</v>
      </c>
      <c r="D19" s="31">
        <v>100</v>
      </c>
      <c r="E19" s="31">
        <v>4</v>
      </c>
      <c r="F19" s="31" t="s">
        <v>46</v>
      </c>
      <c r="G19" s="31">
        <f t="shared" si="2"/>
        <v>400</v>
      </c>
      <c r="H19" s="31"/>
    </row>
    <row r="20" spans="1:8" x14ac:dyDescent="0.25">
      <c r="A20" s="47"/>
      <c r="B20" s="31" t="s">
        <v>58</v>
      </c>
      <c r="C20" s="31">
        <v>30</v>
      </c>
      <c r="D20" s="31">
        <v>52.8</v>
      </c>
      <c r="E20" s="31">
        <v>30</v>
      </c>
      <c r="F20" s="31" t="s">
        <v>46</v>
      </c>
      <c r="G20" s="31">
        <f t="shared" si="2"/>
        <v>1584</v>
      </c>
      <c r="H20" s="31"/>
    </row>
    <row r="21" spans="1:8" x14ac:dyDescent="0.25">
      <c r="A21" s="5" t="s">
        <v>10</v>
      </c>
      <c r="B21" s="47" t="s">
        <v>7</v>
      </c>
      <c r="C21" s="47"/>
      <c r="D21" s="47"/>
      <c r="E21" s="31"/>
      <c r="F21" s="31"/>
      <c r="G21" s="13">
        <f>SUM(G16:G20)</f>
        <v>2827</v>
      </c>
      <c r="H21" s="31"/>
    </row>
    <row r="22" spans="1:8" x14ac:dyDescent="0.25">
      <c r="A22" s="47"/>
      <c r="B22" s="31" t="s">
        <v>1</v>
      </c>
      <c r="C22" s="31" t="s">
        <v>2</v>
      </c>
      <c r="D22" s="31" t="s">
        <v>3</v>
      </c>
      <c r="E22" s="31" t="s">
        <v>4</v>
      </c>
      <c r="F22" s="31"/>
      <c r="G22" s="31" t="s">
        <v>5</v>
      </c>
      <c r="H22" s="31" t="s">
        <v>6</v>
      </c>
    </row>
    <row r="23" spans="1:8" x14ac:dyDescent="0.25">
      <c r="A23" s="47"/>
      <c r="B23" s="31" t="s">
        <v>28</v>
      </c>
      <c r="C23" s="31">
        <v>2</v>
      </c>
      <c r="D23" s="31">
        <v>150</v>
      </c>
      <c r="E23" s="31">
        <v>2</v>
      </c>
      <c r="F23" s="31" t="s">
        <v>16</v>
      </c>
      <c r="G23" s="31">
        <f>D23*E23</f>
        <v>300</v>
      </c>
      <c r="H23" s="31"/>
    </row>
    <row r="24" spans="1:8" x14ac:dyDescent="0.25">
      <c r="A24" s="47"/>
      <c r="B24" s="31" t="s">
        <v>31</v>
      </c>
      <c r="C24" s="31" t="s">
        <v>36</v>
      </c>
      <c r="D24" s="31">
        <v>90</v>
      </c>
      <c r="E24" s="31">
        <v>0.5</v>
      </c>
      <c r="F24" s="31" t="s">
        <v>27</v>
      </c>
      <c r="G24" s="31">
        <f>D24*E24</f>
        <v>45</v>
      </c>
      <c r="H24" s="31"/>
    </row>
    <row r="25" spans="1:8" x14ac:dyDescent="0.25">
      <c r="A25" s="47"/>
      <c r="B25" s="31" t="s">
        <v>20</v>
      </c>
      <c r="C25" s="31">
        <v>8</v>
      </c>
      <c r="D25" s="31">
        <v>96.9</v>
      </c>
      <c r="E25" s="31">
        <v>8</v>
      </c>
      <c r="F25" s="31" t="s">
        <v>19</v>
      </c>
      <c r="G25" s="31">
        <f t="shared" ref="G25:G27" si="3">D25*E25</f>
        <v>775.2</v>
      </c>
      <c r="H25" s="31"/>
    </row>
    <row r="26" spans="1:8" x14ac:dyDescent="0.25">
      <c r="A26" s="47"/>
      <c r="B26" s="31" t="s">
        <v>21</v>
      </c>
      <c r="C26" s="31">
        <v>8</v>
      </c>
      <c r="D26" s="31">
        <v>26.1</v>
      </c>
      <c r="E26" s="31">
        <v>4</v>
      </c>
      <c r="F26" s="31" t="s">
        <v>19</v>
      </c>
      <c r="G26" s="2">
        <f t="shared" si="3"/>
        <v>104.4</v>
      </c>
      <c r="H26" s="31"/>
    </row>
    <row r="27" spans="1:8" x14ac:dyDescent="0.25">
      <c r="A27" s="47"/>
      <c r="B27" s="31" t="s">
        <v>22</v>
      </c>
      <c r="C27" s="31">
        <v>2</v>
      </c>
      <c r="D27" s="31">
        <v>56.4</v>
      </c>
      <c r="E27" s="31">
        <v>20</v>
      </c>
      <c r="F27" s="31" t="s">
        <v>30</v>
      </c>
      <c r="G27" s="31">
        <f t="shared" si="3"/>
        <v>1128</v>
      </c>
      <c r="H27" s="31"/>
    </row>
    <row r="28" spans="1:8" x14ac:dyDescent="0.25">
      <c r="A28" s="47"/>
      <c r="B28" s="31" t="s">
        <v>35</v>
      </c>
      <c r="C28" s="31">
        <v>4</v>
      </c>
      <c r="D28" s="31">
        <v>97.5</v>
      </c>
      <c r="E28" s="31">
        <v>4</v>
      </c>
      <c r="F28" s="31" t="s">
        <v>29</v>
      </c>
      <c r="G28" s="2">
        <f>D28*E28</f>
        <v>390</v>
      </c>
      <c r="H28" s="31"/>
    </row>
    <row r="29" spans="1:8" x14ac:dyDescent="0.25">
      <c r="A29" s="47"/>
      <c r="B29" s="31" t="s">
        <v>122</v>
      </c>
      <c r="C29" s="31"/>
      <c r="D29" s="31">
        <v>21</v>
      </c>
      <c r="E29" s="31">
        <v>10</v>
      </c>
      <c r="F29" s="31" t="s">
        <v>123</v>
      </c>
      <c r="G29" s="2">
        <f t="shared" ref="G29:G30" si="4">D29*E29</f>
        <v>210</v>
      </c>
      <c r="H29" s="31"/>
    </row>
    <row r="30" spans="1:8" x14ac:dyDescent="0.25">
      <c r="A30" s="47"/>
      <c r="B30" s="31" t="s">
        <v>127</v>
      </c>
      <c r="C30" s="31"/>
      <c r="D30" s="31">
        <v>10</v>
      </c>
      <c r="E30" s="31">
        <v>24</v>
      </c>
      <c r="F30" s="31" t="s">
        <v>128</v>
      </c>
      <c r="G30" s="2">
        <f t="shared" si="4"/>
        <v>240</v>
      </c>
      <c r="H30" s="31"/>
    </row>
    <row r="31" spans="1:8" x14ac:dyDescent="0.25">
      <c r="A31" s="47"/>
      <c r="B31" s="31"/>
      <c r="C31" s="31"/>
      <c r="D31" s="31"/>
      <c r="E31" s="31"/>
      <c r="F31" s="31"/>
      <c r="G31" s="2"/>
      <c r="H31" s="31"/>
    </row>
    <row r="32" spans="1:8" x14ac:dyDescent="0.25">
      <c r="A32" s="47"/>
      <c r="B32" s="47" t="s">
        <v>7</v>
      </c>
      <c r="C32" s="47"/>
      <c r="D32" s="47"/>
      <c r="E32" s="31"/>
      <c r="F32" s="31"/>
      <c r="G32" s="13">
        <f>SUM(G23:G31)</f>
        <v>3192.6000000000004</v>
      </c>
      <c r="H32" s="31"/>
    </row>
    <row r="33" spans="1:8" x14ac:dyDescent="0.25">
      <c r="A33" s="31" t="s">
        <v>11</v>
      </c>
      <c r="B33" s="31" t="s">
        <v>1</v>
      </c>
      <c r="C33" s="31" t="s">
        <v>2</v>
      </c>
      <c r="D33" s="31" t="s">
        <v>3</v>
      </c>
      <c r="E33" s="31" t="s">
        <v>4</v>
      </c>
      <c r="F33" s="31"/>
      <c r="G33" s="31" t="s">
        <v>5</v>
      </c>
      <c r="H33" s="31" t="s">
        <v>6</v>
      </c>
    </row>
    <row r="34" spans="1:8" x14ac:dyDescent="0.25">
      <c r="A34" s="47" t="s">
        <v>45</v>
      </c>
      <c r="B34" s="31" t="s">
        <v>61</v>
      </c>
      <c r="C34" s="31" t="s">
        <v>63</v>
      </c>
      <c r="D34" s="31"/>
      <c r="E34" s="31"/>
      <c r="F34" s="31"/>
      <c r="G34" s="31"/>
      <c r="H34" s="31"/>
    </row>
    <row r="35" spans="1:8" x14ac:dyDescent="0.25">
      <c r="A35" s="47"/>
      <c r="B35" s="31" t="s">
        <v>62</v>
      </c>
      <c r="C35" s="31" t="s">
        <v>63</v>
      </c>
      <c r="D35" s="31"/>
      <c r="E35" s="31"/>
      <c r="F35" s="31"/>
      <c r="G35" s="31"/>
      <c r="H35" s="31"/>
    </row>
    <row r="36" spans="1:8" x14ac:dyDescent="0.25">
      <c r="A36" s="47"/>
      <c r="B36" s="32"/>
      <c r="C36" s="32"/>
      <c r="D36" s="31"/>
      <c r="E36" s="31"/>
      <c r="F36" s="31"/>
      <c r="G36" s="31"/>
      <c r="H36" s="31"/>
    </row>
    <row r="37" spans="1:8" x14ac:dyDescent="0.25">
      <c r="A37" s="31" t="s">
        <v>12</v>
      </c>
      <c r="B37" s="47"/>
      <c r="C37" s="47"/>
      <c r="D37" s="47"/>
      <c r="E37" s="31"/>
      <c r="F37" s="31"/>
      <c r="G37" s="17">
        <f>SUM(G35:G36)</f>
        <v>0</v>
      </c>
      <c r="H37" s="31"/>
    </row>
    <row r="38" spans="1:8" x14ac:dyDescent="0.25">
      <c r="A38" s="47"/>
      <c r="B38" s="31" t="s">
        <v>1</v>
      </c>
      <c r="C38" s="31" t="s">
        <v>2</v>
      </c>
      <c r="D38" s="31" t="s">
        <v>3</v>
      </c>
      <c r="E38" s="31" t="s">
        <v>4</v>
      </c>
      <c r="F38" s="31"/>
      <c r="G38" s="31" t="s">
        <v>5</v>
      </c>
      <c r="H38" s="31" t="s">
        <v>6</v>
      </c>
    </row>
    <row r="39" spans="1:8" x14ac:dyDescent="0.25">
      <c r="A39" s="47"/>
      <c r="B39" s="31" t="s">
        <v>124</v>
      </c>
      <c r="C39" s="31"/>
      <c r="D39" s="31">
        <v>7.14</v>
      </c>
      <c r="E39" s="31">
        <v>70</v>
      </c>
      <c r="F39" s="31" t="s">
        <v>123</v>
      </c>
      <c r="G39" s="2">
        <f>D39*E39</f>
        <v>499.79999999999995</v>
      </c>
      <c r="H39" s="31"/>
    </row>
    <row r="40" spans="1:8" x14ac:dyDescent="0.25">
      <c r="A40" s="47"/>
      <c r="B40" s="31"/>
      <c r="C40" s="31"/>
      <c r="D40" s="31"/>
      <c r="E40" s="31"/>
      <c r="F40" s="31"/>
      <c r="G40" s="2"/>
      <c r="H40" s="31"/>
    </row>
    <row r="41" spans="1:8" x14ac:dyDescent="0.25">
      <c r="A41" s="7" t="s">
        <v>13</v>
      </c>
      <c r="B41" s="47" t="s">
        <v>7</v>
      </c>
      <c r="C41" s="47"/>
      <c r="D41" s="47"/>
      <c r="E41" s="31"/>
      <c r="F41" s="31"/>
      <c r="G41" s="13">
        <f>SUM(G39:G40)</f>
        <v>499.79999999999995</v>
      </c>
      <c r="H41" s="6"/>
    </row>
    <row r="42" spans="1:8" x14ac:dyDescent="0.25">
      <c r="A42" s="47"/>
      <c r="B42" s="31" t="s">
        <v>1</v>
      </c>
      <c r="C42" s="31" t="s">
        <v>2</v>
      </c>
      <c r="D42" s="31" t="s">
        <v>3</v>
      </c>
      <c r="E42" s="31" t="s">
        <v>4</v>
      </c>
      <c r="F42" s="31"/>
      <c r="G42" s="31" t="s">
        <v>5</v>
      </c>
      <c r="H42" s="31"/>
    </row>
    <row r="43" spans="1:8" x14ac:dyDescent="0.25">
      <c r="A43" s="47"/>
      <c r="B43" s="31" t="s">
        <v>23</v>
      </c>
      <c r="C43" s="31">
        <v>1</v>
      </c>
      <c r="D43" s="31">
        <v>4.5</v>
      </c>
      <c r="E43" s="31">
        <v>50</v>
      </c>
      <c r="F43" s="31" t="s">
        <v>107</v>
      </c>
      <c r="G43" s="31">
        <f>D43*E43</f>
        <v>225</v>
      </c>
      <c r="H43" s="31"/>
    </row>
    <row r="44" spans="1:8" x14ac:dyDescent="0.25">
      <c r="A44" s="47"/>
      <c r="B44" s="31" t="s">
        <v>125</v>
      </c>
      <c r="C44" s="31"/>
      <c r="D44" s="31">
        <v>587</v>
      </c>
      <c r="E44" s="31">
        <v>2</v>
      </c>
      <c r="F44" s="31" t="s">
        <v>126</v>
      </c>
      <c r="G44" s="2">
        <f>D44*E44</f>
        <v>1174</v>
      </c>
      <c r="H44" s="31"/>
    </row>
    <row r="45" spans="1:8" x14ac:dyDescent="0.25">
      <c r="A45" s="47"/>
      <c r="B45" s="31"/>
      <c r="C45" s="31"/>
      <c r="D45" s="31"/>
      <c r="E45" s="31"/>
      <c r="F45" s="31"/>
      <c r="G45" s="31">
        <f>D45*E45</f>
        <v>0</v>
      </c>
      <c r="H45" s="31"/>
    </row>
    <row r="46" spans="1:8" x14ac:dyDescent="0.25">
      <c r="A46" s="47"/>
      <c r="B46" s="31"/>
      <c r="C46" s="31"/>
      <c r="D46" s="31"/>
      <c r="E46" s="31"/>
      <c r="F46" s="31"/>
      <c r="G46" s="31"/>
      <c r="H46" s="31"/>
    </row>
    <row r="47" spans="1:8" x14ac:dyDescent="0.25">
      <c r="A47" s="47"/>
      <c r="B47" s="47" t="s">
        <v>7</v>
      </c>
      <c r="C47" s="47"/>
      <c r="D47" s="47"/>
      <c r="E47" s="31"/>
      <c r="F47" s="31"/>
      <c r="G47" s="36">
        <f>SUM(G43:G46)</f>
        <v>1399</v>
      </c>
      <c r="H47" s="31"/>
    </row>
    <row r="48" spans="1:8" x14ac:dyDescent="0.25">
      <c r="A48" s="32"/>
      <c r="B48" s="48" t="s">
        <v>14</v>
      </c>
      <c r="C48" s="48"/>
      <c r="D48" s="48"/>
      <c r="E48" s="37"/>
      <c r="F48" s="37"/>
      <c r="G48" s="38">
        <f>G47+G41+G14+G21+G32+G8</f>
        <v>18337.099999999999</v>
      </c>
      <c r="H48" s="31"/>
    </row>
    <row r="49" spans="1:8" x14ac:dyDescent="0.25">
      <c r="A49" s="53" t="s">
        <v>131</v>
      </c>
      <c r="B49" s="54" t="s">
        <v>132</v>
      </c>
      <c r="C49" s="54"/>
      <c r="D49" s="54"/>
      <c r="E49" s="55" t="s">
        <v>133</v>
      </c>
      <c r="F49" s="55"/>
      <c r="G49" s="55"/>
      <c r="H49" s="17" t="s">
        <v>134</v>
      </c>
    </row>
    <row r="50" spans="1:8" x14ac:dyDescent="0.25">
      <c r="A50" s="53"/>
      <c r="B50" s="56" t="s">
        <v>167</v>
      </c>
      <c r="C50" s="54"/>
      <c r="D50" s="54"/>
      <c r="E50" s="34" t="s">
        <v>135</v>
      </c>
      <c r="F50" s="57"/>
      <c r="G50" s="57"/>
      <c r="H50" s="50" t="s">
        <v>136</v>
      </c>
    </row>
    <row r="51" spans="1:8" x14ac:dyDescent="0.25">
      <c r="A51" s="53"/>
      <c r="B51" s="54"/>
      <c r="C51" s="54"/>
      <c r="D51" s="54"/>
      <c r="E51" s="39" t="s">
        <v>137</v>
      </c>
      <c r="F51" s="52" t="s">
        <v>138</v>
      </c>
      <c r="G51" s="52"/>
      <c r="H51" s="51"/>
    </row>
  </sheetData>
  <mergeCells count="23">
    <mergeCell ref="H50:H51"/>
    <mergeCell ref="F51:G51"/>
    <mergeCell ref="B32:D32"/>
    <mergeCell ref="A42:A47"/>
    <mergeCell ref="A49:A51"/>
    <mergeCell ref="B49:D49"/>
    <mergeCell ref="E49:G49"/>
    <mergeCell ref="B50:D51"/>
    <mergeCell ref="F50:G50"/>
    <mergeCell ref="B48:D48"/>
    <mergeCell ref="B47:D47"/>
    <mergeCell ref="B41:D41"/>
    <mergeCell ref="B37:D37"/>
    <mergeCell ref="A22:A32"/>
    <mergeCell ref="A34:A36"/>
    <mergeCell ref="A38:A40"/>
    <mergeCell ref="A16:A20"/>
    <mergeCell ref="B21:D21"/>
    <mergeCell ref="A1:H1"/>
    <mergeCell ref="A3:A8"/>
    <mergeCell ref="B8:D8"/>
    <mergeCell ref="A10:A14"/>
    <mergeCell ref="B14:D14"/>
  </mergeCells>
  <phoneticPr fontId="2" type="noConversion"/>
  <pageMargins left="0.7" right="0.7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opLeftCell="A34" workbookViewId="0">
      <selection activeCell="N37" sqref="N3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1" t="s">
        <v>38</v>
      </c>
      <c r="B1" s="62"/>
      <c r="C1" s="62"/>
      <c r="D1" s="62"/>
      <c r="E1" s="62"/>
      <c r="F1" s="62"/>
      <c r="G1" s="62"/>
      <c r="H1" s="6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64</v>
      </c>
      <c r="B3" s="1" t="s">
        <v>68</v>
      </c>
      <c r="C3" s="1">
        <v>2</v>
      </c>
      <c r="D3" s="1">
        <v>54</v>
      </c>
      <c r="E3" s="1">
        <v>2</v>
      </c>
      <c r="F3" s="1" t="s">
        <v>75</v>
      </c>
      <c r="G3" s="2">
        <f>D3*E3</f>
        <v>108</v>
      </c>
      <c r="H3" s="1"/>
    </row>
    <row r="4" spans="1:8" x14ac:dyDescent="0.25">
      <c r="A4" s="47"/>
      <c r="B4" s="1" t="s">
        <v>69</v>
      </c>
      <c r="C4" s="1">
        <v>2</v>
      </c>
      <c r="D4" s="1">
        <v>225</v>
      </c>
      <c r="E4" s="1">
        <v>2</v>
      </c>
      <c r="F4" s="1" t="s">
        <v>75</v>
      </c>
      <c r="G4" s="2">
        <f t="shared" ref="G4:G7" si="0">D4*E4</f>
        <v>450</v>
      </c>
      <c r="H4" s="1"/>
    </row>
    <row r="5" spans="1:8" x14ac:dyDescent="0.25">
      <c r="A5" s="47"/>
      <c r="B5" s="1" t="s">
        <v>70</v>
      </c>
      <c r="C5" s="1">
        <v>42</v>
      </c>
      <c r="D5" s="1">
        <v>130</v>
      </c>
      <c r="E5" s="1">
        <v>42</v>
      </c>
      <c r="F5" s="1" t="s">
        <v>74</v>
      </c>
      <c r="G5" s="2">
        <f t="shared" si="0"/>
        <v>5460</v>
      </c>
      <c r="H5" s="1"/>
    </row>
    <row r="6" spans="1:8" x14ac:dyDescent="0.25">
      <c r="A6" s="47"/>
      <c r="B6" s="29" t="s">
        <v>71</v>
      </c>
      <c r="C6" s="29">
        <v>2</v>
      </c>
      <c r="D6" s="29">
        <v>90</v>
      </c>
      <c r="E6" s="28">
        <v>2</v>
      </c>
      <c r="F6" s="28" t="s">
        <v>46</v>
      </c>
      <c r="G6" s="2">
        <f t="shared" si="0"/>
        <v>180</v>
      </c>
      <c r="H6" s="29"/>
    </row>
    <row r="7" spans="1:8" x14ac:dyDescent="0.25">
      <c r="A7" s="47"/>
      <c r="B7" s="1" t="s">
        <v>72</v>
      </c>
      <c r="C7" s="1">
        <v>25</v>
      </c>
      <c r="D7" s="1">
        <v>121.92</v>
      </c>
      <c r="E7" s="3">
        <v>4.33</v>
      </c>
      <c r="F7" s="3" t="s">
        <v>16</v>
      </c>
      <c r="G7" s="2">
        <f t="shared" si="0"/>
        <v>527.91359999999997</v>
      </c>
      <c r="H7" s="1"/>
    </row>
    <row r="8" spans="1:8" x14ac:dyDescent="0.25">
      <c r="A8" s="47"/>
      <c r="B8" s="58" t="s">
        <v>7</v>
      </c>
      <c r="C8" s="59"/>
      <c r="D8" s="60"/>
      <c r="E8" s="3"/>
      <c r="F8" s="3"/>
      <c r="G8" s="12">
        <f>SUM(G3:G7)</f>
        <v>6725.9135999999999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7" t="s">
        <v>65</v>
      </c>
      <c r="B10" s="1" t="s">
        <v>151</v>
      </c>
      <c r="C10" s="1"/>
      <c r="D10" s="31">
        <v>290</v>
      </c>
      <c r="E10" s="1">
        <v>44</v>
      </c>
      <c r="F10" s="26" t="s">
        <v>152</v>
      </c>
      <c r="G10" s="1">
        <f>D10*E10</f>
        <v>12760</v>
      </c>
      <c r="H10" s="1"/>
    </row>
    <row r="11" spans="1:8" x14ac:dyDescent="0.25">
      <c r="A11" s="47"/>
      <c r="B11" s="1" t="s">
        <v>157</v>
      </c>
      <c r="C11" s="1"/>
      <c r="D11" s="1">
        <v>260</v>
      </c>
      <c r="E11" s="1">
        <v>51.67</v>
      </c>
      <c r="F11" s="26" t="s">
        <v>123</v>
      </c>
      <c r="G11" s="2">
        <f>D11*E11</f>
        <v>13434.2</v>
      </c>
      <c r="H11" s="1"/>
    </row>
    <row r="12" spans="1:8" x14ac:dyDescent="0.25">
      <c r="A12" s="47"/>
      <c r="B12" s="1"/>
      <c r="C12" s="1"/>
      <c r="D12" s="1"/>
      <c r="E12" s="1"/>
      <c r="F12" s="1"/>
      <c r="G12" s="1"/>
      <c r="H12" s="1"/>
    </row>
    <row r="13" spans="1:8" x14ac:dyDescent="0.25">
      <c r="A13" s="47"/>
      <c r="B13" s="58" t="s">
        <v>7</v>
      </c>
      <c r="C13" s="59"/>
      <c r="D13" s="60"/>
      <c r="E13" s="3"/>
      <c r="F13" s="3"/>
      <c r="G13" s="12">
        <f>SUM(G10:G12)</f>
        <v>26194.2</v>
      </c>
      <c r="H13" s="1"/>
    </row>
    <row r="14" spans="1:8" x14ac:dyDescent="0.25">
      <c r="A14" s="24" t="s">
        <v>32</v>
      </c>
      <c r="B14" s="1" t="s">
        <v>1</v>
      </c>
      <c r="C14" s="1" t="s">
        <v>2</v>
      </c>
      <c r="D14" s="1" t="s">
        <v>3</v>
      </c>
      <c r="E14" s="1" t="s">
        <v>4</v>
      </c>
      <c r="F14" s="1"/>
      <c r="G14" s="1" t="s">
        <v>5</v>
      </c>
      <c r="H14" s="1" t="s">
        <v>6</v>
      </c>
    </row>
    <row r="15" spans="1:8" x14ac:dyDescent="0.25">
      <c r="A15" s="47" t="s">
        <v>66</v>
      </c>
      <c r="B15" s="1" t="s">
        <v>141</v>
      </c>
      <c r="C15" s="1"/>
      <c r="D15" s="1">
        <v>138</v>
      </c>
      <c r="E15" s="1">
        <v>20</v>
      </c>
      <c r="F15" s="26" t="s">
        <v>123</v>
      </c>
      <c r="G15" s="1">
        <f>D15*E15</f>
        <v>2760</v>
      </c>
      <c r="H15" s="1"/>
    </row>
    <row r="16" spans="1:8" x14ac:dyDescent="0.25">
      <c r="A16" s="47"/>
      <c r="B16" s="31" t="s">
        <v>140</v>
      </c>
      <c r="C16" s="31"/>
      <c r="D16" s="31">
        <v>156</v>
      </c>
      <c r="E16" s="40"/>
      <c r="F16" s="31" t="s">
        <v>123</v>
      </c>
      <c r="G16" s="31">
        <f t="shared" ref="G16:G22" si="1">D16*E16</f>
        <v>0</v>
      </c>
      <c r="H16" s="1"/>
    </row>
    <row r="17" spans="1:8" x14ac:dyDescent="0.25">
      <c r="A17" s="47"/>
      <c r="B17" s="1" t="s">
        <v>142</v>
      </c>
      <c r="C17" s="1"/>
      <c r="D17" s="1">
        <v>100</v>
      </c>
      <c r="E17" s="1">
        <v>4</v>
      </c>
      <c r="F17" s="1" t="s">
        <v>123</v>
      </c>
      <c r="G17" s="31">
        <f t="shared" si="1"/>
        <v>400</v>
      </c>
      <c r="H17" s="1"/>
    </row>
    <row r="18" spans="1:8" x14ac:dyDescent="0.25">
      <c r="A18" s="47"/>
      <c r="B18" s="31" t="s">
        <v>161</v>
      </c>
      <c r="C18" s="31"/>
      <c r="D18" s="31">
        <v>240</v>
      </c>
      <c r="E18" s="30">
        <v>15</v>
      </c>
      <c r="F18" s="30" t="s">
        <v>123</v>
      </c>
      <c r="G18" s="31">
        <f t="shared" si="1"/>
        <v>3600</v>
      </c>
      <c r="H18" s="31"/>
    </row>
    <row r="19" spans="1:8" x14ac:dyDescent="0.25">
      <c r="A19" s="47"/>
      <c r="B19" s="1" t="s">
        <v>143</v>
      </c>
      <c r="C19" s="1"/>
      <c r="D19" s="1">
        <v>180</v>
      </c>
      <c r="E19" s="3">
        <v>3</v>
      </c>
      <c r="F19" s="3" t="s">
        <v>144</v>
      </c>
      <c r="G19" s="31">
        <f t="shared" si="1"/>
        <v>540</v>
      </c>
      <c r="H19" s="1"/>
    </row>
    <row r="20" spans="1:8" x14ac:dyDescent="0.25">
      <c r="A20" s="47"/>
      <c r="B20" s="1" t="s">
        <v>145</v>
      </c>
      <c r="C20" s="1"/>
      <c r="D20" s="1">
        <v>53.04</v>
      </c>
      <c r="E20" s="3">
        <v>2</v>
      </c>
      <c r="F20" s="3" t="s">
        <v>123</v>
      </c>
      <c r="G20" s="31">
        <f t="shared" si="1"/>
        <v>106.08</v>
      </c>
      <c r="H20" s="1"/>
    </row>
    <row r="21" spans="1:8" x14ac:dyDescent="0.25">
      <c r="A21" s="47"/>
      <c r="B21" s="31" t="s">
        <v>158</v>
      </c>
      <c r="C21" s="31"/>
      <c r="D21" s="31">
        <v>220</v>
      </c>
      <c r="E21" s="30">
        <v>4</v>
      </c>
      <c r="F21" s="30" t="s">
        <v>159</v>
      </c>
      <c r="G21" s="31">
        <f t="shared" si="1"/>
        <v>880</v>
      </c>
      <c r="H21" s="31"/>
    </row>
    <row r="22" spans="1:8" x14ac:dyDescent="0.25">
      <c r="A22" s="47"/>
      <c r="B22" s="1" t="s">
        <v>149</v>
      </c>
      <c r="C22" s="1"/>
      <c r="D22" s="1">
        <v>250</v>
      </c>
      <c r="E22" s="3">
        <v>10</v>
      </c>
      <c r="F22" s="3" t="s">
        <v>123</v>
      </c>
      <c r="G22" s="31">
        <f t="shared" si="1"/>
        <v>2500</v>
      </c>
      <c r="H22" s="1"/>
    </row>
    <row r="23" spans="1:8" x14ac:dyDescent="0.25">
      <c r="A23" s="47"/>
      <c r="B23" s="58" t="s">
        <v>7</v>
      </c>
      <c r="C23" s="59"/>
      <c r="D23" s="60"/>
      <c r="E23" s="3"/>
      <c r="F23" s="3"/>
      <c r="G23" s="12">
        <f>SUM(G15:G22)</f>
        <v>10786.08</v>
      </c>
      <c r="H23" s="1"/>
    </row>
    <row r="24" spans="1:8" x14ac:dyDescent="0.25">
      <c r="A24" s="5" t="s">
        <v>10</v>
      </c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8" x14ac:dyDescent="0.25">
      <c r="A25" s="47"/>
      <c r="B25" s="1" t="s">
        <v>24</v>
      </c>
      <c r="C25" s="1">
        <v>20</v>
      </c>
      <c r="D25" s="1">
        <v>60</v>
      </c>
      <c r="E25" s="1">
        <v>20</v>
      </c>
      <c r="F25" s="1" t="s">
        <v>16</v>
      </c>
      <c r="G25" s="1">
        <f>D25*E25</f>
        <v>1200</v>
      </c>
      <c r="H25" s="1"/>
    </row>
    <row r="26" spans="1:8" x14ac:dyDescent="0.25">
      <c r="A26" s="47"/>
      <c r="B26" s="27" t="s">
        <v>33</v>
      </c>
      <c r="C26" s="27">
        <v>2</v>
      </c>
      <c r="D26" s="27">
        <v>530</v>
      </c>
      <c r="E26" s="27">
        <v>8</v>
      </c>
      <c r="F26" s="27" t="s">
        <v>160</v>
      </c>
      <c r="G26" s="31">
        <f t="shared" ref="G26:G29" si="2">D26*E26</f>
        <v>4240</v>
      </c>
      <c r="H26" s="1"/>
    </row>
    <row r="27" spans="1:8" x14ac:dyDescent="0.25">
      <c r="A27" s="47"/>
      <c r="B27" s="31" t="s">
        <v>147</v>
      </c>
      <c r="C27" s="31"/>
      <c r="D27" s="31">
        <v>22.44</v>
      </c>
      <c r="E27" s="31">
        <v>10</v>
      </c>
      <c r="F27" s="30" t="s">
        <v>123</v>
      </c>
      <c r="G27" s="31">
        <f t="shared" ref="G27" si="3">D27*E27</f>
        <v>224.4</v>
      </c>
      <c r="H27" s="1"/>
    </row>
    <row r="28" spans="1:8" x14ac:dyDescent="0.25">
      <c r="A28" s="47"/>
      <c r="B28" s="1" t="s">
        <v>139</v>
      </c>
      <c r="C28" s="1"/>
      <c r="D28" s="1">
        <v>73.8</v>
      </c>
      <c r="E28" s="1">
        <v>1</v>
      </c>
      <c r="F28" s="1" t="s">
        <v>123</v>
      </c>
      <c r="G28" s="31">
        <f t="shared" si="2"/>
        <v>73.8</v>
      </c>
      <c r="H28" s="1"/>
    </row>
    <row r="29" spans="1:8" x14ac:dyDescent="0.25">
      <c r="A29" s="47"/>
      <c r="B29" s="26" t="s">
        <v>146</v>
      </c>
      <c r="C29" s="26"/>
      <c r="D29" s="26">
        <v>96.9</v>
      </c>
      <c r="E29" s="26">
        <v>3</v>
      </c>
      <c r="F29" s="31" t="s">
        <v>123</v>
      </c>
      <c r="G29" s="31">
        <f t="shared" si="2"/>
        <v>290.70000000000005</v>
      </c>
      <c r="H29" s="26"/>
    </row>
    <row r="30" spans="1:8" x14ac:dyDescent="0.25">
      <c r="A30" s="47"/>
      <c r="B30" s="16"/>
      <c r="C30" s="16"/>
      <c r="D30" s="16"/>
      <c r="E30" s="16"/>
      <c r="F30" s="25"/>
      <c r="G30" s="31"/>
      <c r="H30" s="16"/>
    </row>
    <row r="31" spans="1:8" x14ac:dyDescent="0.25">
      <c r="A31" s="47"/>
      <c r="B31" s="58" t="s">
        <v>34</v>
      </c>
      <c r="C31" s="59"/>
      <c r="D31" s="60"/>
      <c r="E31" s="3"/>
      <c r="F31" s="3"/>
      <c r="G31" s="12">
        <f>SUM(G25:G30)</f>
        <v>6028.9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47" t="s">
        <v>67</v>
      </c>
      <c r="B33" s="1" t="s">
        <v>153</v>
      </c>
      <c r="C33" s="1"/>
      <c r="D33" s="1">
        <v>150</v>
      </c>
      <c r="E33" s="1">
        <v>2</v>
      </c>
      <c r="F33" s="1" t="s">
        <v>123</v>
      </c>
      <c r="G33" s="1">
        <f>D33*E33</f>
        <v>300</v>
      </c>
      <c r="H33" s="1"/>
    </row>
    <row r="34" spans="1:8" x14ac:dyDescent="0.25">
      <c r="A34" s="47"/>
      <c r="B34" s="1" t="s">
        <v>154</v>
      </c>
      <c r="C34" s="1"/>
      <c r="D34" s="1">
        <v>125</v>
      </c>
      <c r="E34" s="1">
        <v>38</v>
      </c>
      <c r="F34" s="26" t="s">
        <v>165</v>
      </c>
      <c r="G34" s="31">
        <f t="shared" ref="G34:G36" si="4">D34*E34</f>
        <v>4750</v>
      </c>
      <c r="H34" s="1"/>
    </row>
    <row r="35" spans="1:8" x14ac:dyDescent="0.25">
      <c r="A35" s="47"/>
      <c r="B35" s="1" t="s">
        <v>155</v>
      </c>
      <c r="C35" s="1"/>
      <c r="D35" s="1">
        <v>615</v>
      </c>
      <c r="E35" s="1">
        <v>25</v>
      </c>
      <c r="F35" s="1" t="s">
        <v>166</v>
      </c>
      <c r="G35" s="31">
        <f t="shared" si="4"/>
        <v>15375</v>
      </c>
      <c r="H35" s="1"/>
    </row>
    <row r="36" spans="1:8" x14ac:dyDescent="0.25">
      <c r="A36" s="47"/>
      <c r="B36" s="31" t="s">
        <v>163</v>
      </c>
      <c r="C36" s="31"/>
      <c r="D36" s="31">
        <v>180</v>
      </c>
      <c r="E36" s="31">
        <v>1</v>
      </c>
      <c r="F36" s="31" t="s">
        <v>123</v>
      </c>
      <c r="G36" s="31">
        <f t="shared" si="4"/>
        <v>180</v>
      </c>
      <c r="H36" s="31"/>
    </row>
    <row r="37" spans="1:8" x14ac:dyDescent="0.25">
      <c r="A37" s="47"/>
      <c r="B37" s="58"/>
      <c r="C37" s="59"/>
      <c r="D37" s="60"/>
      <c r="E37" s="3"/>
      <c r="F37" s="3"/>
      <c r="G37" s="14">
        <f>SUM(G33:G35)</f>
        <v>20425</v>
      </c>
      <c r="H37" s="1"/>
    </row>
    <row r="38" spans="1:8" x14ac:dyDescent="0.25">
      <c r="A38" s="1" t="s">
        <v>12</v>
      </c>
      <c r="B38" s="1" t="s">
        <v>1</v>
      </c>
      <c r="C38" s="1" t="s">
        <v>2</v>
      </c>
      <c r="D38" s="1" t="s">
        <v>3</v>
      </c>
      <c r="E38" s="3" t="s">
        <v>4</v>
      </c>
      <c r="F38" s="3"/>
      <c r="G38" s="3" t="s">
        <v>5</v>
      </c>
      <c r="H38" s="1" t="s">
        <v>6</v>
      </c>
    </row>
    <row r="39" spans="1:8" x14ac:dyDescent="0.25">
      <c r="A39" s="67"/>
      <c r="B39" s="1" t="s">
        <v>124</v>
      </c>
      <c r="C39" s="1"/>
      <c r="D39" s="1">
        <v>7.14</v>
      </c>
      <c r="E39" s="1">
        <v>80</v>
      </c>
      <c r="F39" s="1" t="s">
        <v>123</v>
      </c>
      <c r="G39" s="21">
        <f>D39*E39</f>
        <v>571.19999999999993</v>
      </c>
      <c r="H39" s="1"/>
    </row>
    <row r="40" spans="1:8" x14ac:dyDescent="0.25">
      <c r="A40" s="68"/>
      <c r="B40" s="41" t="s">
        <v>129</v>
      </c>
      <c r="C40" s="41"/>
      <c r="D40" s="41">
        <v>16</v>
      </c>
      <c r="E40" s="41">
        <v>350</v>
      </c>
      <c r="F40" s="41" t="s">
        <v>107</v>
      </c>
      <c r="G40" s="2">
        <f>D40*E40</f>
        <v>5600</v>
      </c>
      <c r="H40" s="1"/>
    </row>
    <row r="41" spans="1:8" x14ac:dyDescent="0.25">
      <c r="A41" s="69"/>
      <c r="B41" s="58" t="s">
        <v>7</v>
      </c>
      <c r="C41" s="59"/>
      <c r="D41" s="60"/>
      <c r="E41" s="3"/>
      <c r="F41" s="3"/>
      <c r="G41" s="12">
        <f>SUM(G39:G40)</f>
        <v>6171.2</v>
      </c>
      <c r="H41" s="6"/>
    </row>
    <row r="42" spans="1:8" x14ac:dyDescent="0.25">
      <c r="A42" s="7" t="s">
        <v>13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/>
    </row>
    <row r="43" spans="1:8" x14ac:dyDescent="0.25">
      <c r="A43" s="47"/>
      <c r="B43" s="1" t="s">
        <v>148</v>
      </c>
      <c r="C43" s="1"/>
      <c r="D43" s="1">
        <v>114</v>
      </c>
      <c r="E43" s="1">
        <v>1</v>
      </c>
      <c r="F43" s="1" t="s">
        <v>123</v>
      </c>
      <c r="G43" s="1">
        <f>D43*E43</f>
        <v>114</v>
      </c>
      <c r="H43" s="1"/>
    </row>
    <row r="44" spans="1:8" x14ac:dyDescent="0.25">
      <c r="A44" s="47"/>
      <c r="B44" s="1" t="s">
        <v>150</v>
      </c>
      <c r="C44" s="1"/>
      <c r="D44" s="1">
        <v>39.6</v>
      </c>
      <c r="E44" s="1">
        <v>10</v>
      </c>
      <c r="F44" s="1" t="s">
        <v>123</v>
      </c>
      <c r="G44" s="31">
        <f t="shared" ref="G44:G47" si="5">D44*E44</f>
        <v>396</v>
      </c>
      <c r="H44" s="1"/>
    </row>
    <row r="45" spans="1:8" x14ac:dyDescent="0.25">
      <c r="A45" s="47"/>
      <c r="B45" s="1" t="s">
        <v>156</v>
      </c>
      <c r="C45" s="1"/>
      <c r="D45" s="1">
        <v>22</v>
      </c>
      <c r="E45" s="1">
        <v>20</v>
      </c>
      <c r="F45" s="1" t="s">
        <v>130</v>
      </c>
      <c r="G45" s="31">
        <f t="shared" si="5"/>
        <v>440</v>
      </c>
      <c r="H45" s="1"/>
    </row>
    <row r="46" spans="1:8" x14ac:dyDescent="0.25">
      <c r="A46" s="47"/>
      <c r="B46" s="1" t="s">
        <v>162</v>
      </c>
      <c r="C46" s="1"/>
      <c r="D46" s="1">
        <v>99.6</v>
      </c>
      <c r="E46" s="1">
        <v>2</v>
      </c>
      <c r="F46" s="1" t="s">
        <v>123</v>
      </c>
      <c r="G46" s="31">
        <f t="shared" si="5"/>
        <v>199.2</v>
      </c>
      <c r="H46" s="1"/>
    </row>
    <row r="47" spans="1:8" x14ac:dyDescent="0.25">
      <c r="A47" s="47"/>
      <c r="B47" s="31" t="s">
        <v>164</v>
      </c>
      <c r="C47" s="31"/>
      <c r="D47" s="31">
        <v>150</v>
      </c>
      <c r="E47" s="31">
        <v>36</v>
      </c>
      <c r="F47" s="31" t="s">
        <v>165</v>
      </c>
      <c r="G47" s="31">
        <f t="shared" si="5"/>
        <v>5400</v>
      </c>
      <c r="H47" s="31"/>
    </row>
    <row r="48" spans="1:8" x14ac:dyDescent="0.25">
      <c r="A48" s="47"/>
      <c r="B48" s="58" t="s">
        <v>7</v>
      </c>
      <c r="C48" s="59"/>
      <c r="D48" s="60"/>
      <c r="E48" s="3"/>
      <c r="F48" s="3"/>
      <c r="G48" s="12">
        <f>SUM(G43:G47)</f>
        <v>6549.2</v>
      </c>
      <c r="H48" s="1"/>
    </row>
    <row r="49" spans="1:8" ht="17.25" thickBot="1" x14ac:dyDescent="0.3">
      <c r="A49" s="1"/>
      <c r="B49" s="64" t="s">
        <v>14</v>
      </c>
      <c r="C49" s="65"/>
      <c r="D49" s="66"/>
      <c r="E49" s="8"/>
      <c r="F49" s="8"/>
      <c r="G49" s="9">
        <f>G48+G41+G37+G23+G13+G8+G31</f>
        <v>82880.493600000002</v>
      </c>
      <c r="H49" s="1"/>
    </row>
    <row r="50" spans="1:8" x14ac:dyDescent="0.25">
      <c r="A50" s="74" t="s">
        <v>131</v>
      </c>
      <c r="B50" s="77" t="s">
        <v>132</v>
      </c>
      <c r="C50" s="77"/>
      <c r="D50" s="77"/>
      <c r="E50" s="78" t="s">
        <v>133</v>
      </c>
      <c r="F50" s="79"/>
      <c r="G50" s="80"/>
      <c r="H50" s="33" t="s">
        <v>134</v>
      </c>
    </row>
    <row r="51" spans="1:8" x14ac:dyDescent="0.25">
      <c r="A51" s="75"/>
      <c r="B51" s="56"/>
      <c r="C51" s="54"/>
      <c r="D51" s="54"/>
      <c r="E51" s="34" t="s">
        <v>135</v>
      </c>
      <c r="F51" s="82"/>
      <c r="G51" s="83"/>
      <c r="H51" s="70" t="s">
        <v>136</v>
      </c>
    </row>
    <row r="52" spans="1:8" ht="17.25" thickBot="1" x14ac:dyDescent="0.3">
      <c r="A52" s="76"/>
      <c r="B52" s="81"/>
      <c r="C52" s="81"/>
      <c r="D52" s="81"/>
      <c r="E52" s="35" t="s">
        <v>137</v>
      </c>
      <c r="F52" s="72" t="s">
        <v>202</v>
      </c>
      <c r="G52" s="73"/>
      <c r="H52" s="71"/>
    </row>
  </sheetData>
  <mergeCells count="23">
    <mergeCell ref="H51:H52"/>
    <mergeCell ref="F52:G52"/>
    <mergeCell ref="A50:A52"/>
    <mergeCell ref="B50:D50"/>
    <mergeCell ref="E50:G50"/>
    <mergeCell ref="B51:D52"/>
    <mergeCell ref="F51:G51"/>
    <mergeCell ref="A43:A48"/>
    <mergeCell ref="B48:D48"/>
    <mergeCell ref="B49:D49"/>
    <mergeCell ref="A25:A31"/>
    <mergeCell ref="B31:D31"/>
    <mergeCell ref="A33:A37"/>
    <mergeCell ref="B37:D37"/>
    <mergeCell ref="A39:A41"/>
    <mergeCell ref="B41:D41"/>
    <mergeCell ref="A15:A23"/>
    <mergeCell ref="B23:D23"/>
    <mergeCell ref="A1:H1"/>
    <mergeCell ref="A3:A8"/>
    <mergeCell ref="B8:D8"/>
    <mergeCell ref="A10:A13"/>
    <mergeCell ref="B13:D13"/>
  </mergeCells>
  <phoneticPr fontId="2" type="noConversion"/>
  <pageMargins left="0.7" right="0.7" top="0.75" bottom="0.75" header="0.3" footer="0.3"/>
  <pageSetup paperSize="9" scale="8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5"/>
  <sheetViews>
    <sheetView topLeftCell="A34" workbookViewId="0">
      <selection activeCell="B64" sqref="B64:D6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1" t="s">
        <v>39</v>
      </c>
      <c r="B1" s="62"/>
      <c r="C1" s="62"/>
      <c r="D1" s="62"/>
      <c r="E1" s="62"/>
      <c r="F1" s="62"/>
      <c r="G1" s="62"/>
      <c r="H1" s="6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76</v>
      </c>
      <c r="B3" s="1" t="s">
        <v>79</v>
      </c>
      <c r="C3" s="1">
        <v>60</v>
      </c>
      <c r="D3" s="41">
        <v>22.8</v>
      </c>
      <c r="E3" s="41">
        <v>60</v>
      </c>
      <c r="F3" s="41" t="s">
        <v>169</v>
      </c>
      <c r="G3" s="2">
        <f>D3*E3</f>
        <v>1368</v>
      </c>
      <c r="H3" s="1"/>
    </row>
    <row r="4" spans="1:8" x14ac:dyDescent="0.25">
      <c r="A4" s="47"/>
      <c r="B4" s="1" t="s">
        <v>80</v>
      </c>
      <c r="C4" s="1">
        <v>40</v>
      </c>
      <c r="D4" s="41">
        <v>125</v>
      </c>
      <c r="E4" s="41">
        <v>40</v>
      </c>
      <c r="F4" s="41" t="s">
        <v>169</v>
      </c>
      <c r="G4" s="2">
        <f t="shared" ref="G4:G7" si="0">D4*E4</f>
        <v>5000</v>
      </c>
      <c r="H4" s="1"/>
    </row>
    <row r="5" spans="1:8" x14ac:dyDescent="0.25">
      <c r="A5" s="47"/>
      <c r="B5" s="1" t="s">
        <v>81</v>
      </c>
      <c r="C5" s="1">
        <v>10</v>
      </c>
      <c r="D5" s="1">
        <v>25.5</v>
      </c>
      <c r="E5" s="1">
        <v>10</v>
      </c>
      <c r="F5" s="29" t="s">
        <v>46</v>
      </c>
      <c r="G5" s="2">
        <f t="shared" si="0"/>
        <v>255</v>
      </c>
      <c r="H5" s="1"/>
    </row>
    <row r="6" spans="1:8" x14ac:dyDescent="0.25">
      <c r="A6" s="47"/>
      <c r="B6" s="26" t="s">
        <v>82</v>
      </c>
      <c r="C6" s="26">
        <v>3</v>
      </c>
      <c r="D6" s="26">
        <v>60</v>
      </c>
      <c r="E6" s="25">
        <v>3</v>
      </c>
      <c r="F6" s="28" t="s">
        <v>46</v>
      </c>
      <c r="G6" s="2">
        <f t="shared" si="0"/>
        <v>180</v>
      </c>
      <c r="H6" s="26"/>
    </row>
    <row r="7" spans="1:8" x14ac:dyDescent="0.25">
      <c r="A7" s="47"/>
      <c r="B7" s="26" t="s">
        <v>54</v>
      </c>
      <c r="C7" s="26">
        <v>3</v>
      </c>
      <c r="D7" s="26">
        <v>12.54</v>
      </c>
      <c r="E7" s="25">
        <v>3</v>
      </c>
      <c r="F7" s="28" t="s">
        <v>46</v>
      </c>
      <c r="G7" s="2">
        <f t="shared" si="0"/>
        <v>37.619999999999997</v>
      </c>
      <c r="H7" s="26"/>
    </row>
    <row r="8" spans="1:8" x14ac:dyDescent="0.25">
      <c r="A8" s="47"/>
      <c r="B8" s="1"/>
      <c r="C8" s="1"/>
      <c r="D8" s="1"/>
      <c r="E8" s="3"/>
      <c r="F8" s="25"/>
      <c r="G8" s="3"/>
      <c r="H8" s="1"/>
    </row>
    <row r="9" spans="1:8" x14ac:dyDescent="0.25">
      <c r="A9" s="47"/>
      <c r="B9" s="58" t="s">
        <v>7</v>
      </c>
      <c r="C9" s="59"/>
      <c r="D9" s="60"/>
      <c r="E9" s="3"/>
      <c r="F9" s="3"/>
      <c r="G9" s="12">
        <f>SUM(G3:G8)</f>
        <v>6840.62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47" t="s">
        <v>77</v>
      </c>
      <c r="B11" s="1" t="s">
        <v>83</v>
      </c>
      <c r="C11" s="1">
        <v>10</v>
      </c>
      <c r="D11" s="1">
        <v>6.3</v>
      </c>
      <c r="E11" s="23">
        <v>10.67</v>
      </c>
      <c r="F11" s="29" t="s">
        <v>46</v>
      </c>
      <c r="G11" s="1">
        <f>D11*E11</f>
        <v>67.221000000000004</v>
      </c>
      <c r="H11" s="1"/>
    </row>
    <row r="12" spans="1:8" x14ac:dyDescent="0.25">
      <c r="A12" s="47"/>
      <c r="B12" s="1" t="s">
        <v>84</v>
      </c>
      <c r="C12" s="1">
        <v>60</v>
      </c>
      <c r="D12" s="1">
        <v>14.26</v>
      </c>
      <c r="E12" s="1">
        <v>60</v>
      </c>
      <c r="F12" s="29" t="s">
        <v>170</v>
      </c>
      <c r="G12" s="19">
        <f t="shared" ref="G12:G15" si="1">D12*E12</f>
        <v>855.6</v>
      </c>
      <c r="H12" s="1"/>
    </row>
    <row r="13" spans="1:8" x14ac:dyDescent="0.25">
      <c r="A13" s="47"/>
      <c r="B13" s="1" t="s">
        <v>85</v>
      </c>
      <c r="C13" s="1">
        <v>700</v>
      </c>
      <c r="D13" s="1">
        <v>156</v>
      </c>
      <c r="E13" s="42"/>
      <c r="F13" s="41" t="s">
        <v>46</v>
      </c>
      <c r="G13" s="19">
        <f t="shared" si="1"/>
        <v>0</v>
      </c>
      <c r="H13" s="1"/>
    </row>
    <row r="14" spans="1:8" x14ac:dyDescent="0.25">
      <c r="A14" s="47"/>
      <c r="B14" s="1" t="s">
        <v>86</v>
      </c>
      <c r="C14" s="1">
        <v>6</v>
      </c>
      <c r="D14" s="1">
        <v>63</v>
      </c>
      <c r="E14" s="1">
        <v>6</v>
      </c>
      <c r="F14" s="29" t="s">
        <v>46</v>
      </c>
      <c r="G14" s="19">
        <f t="shared" si="1"/>
        <v>378</v>
      </c>
      <c r="H14" s="1"/>
    </row>
    <row r="15" spans="1:8" x14ac:dyDescent="0.25">
      <c r="A15" s="47"/>
      <c r="B15" s="26" t="s">
        <v>87</v>
      </c>
      <c r="C15" s="26">
        <v>10</v>
      </c>
      <c r="D15" s="26">
        <v>120</v>
      </c>
      <c r="E15" s="26">
        <v>10</v>
      </c>
      <c r="F15" s="29" t="s">
        <v>46</v>
      </c>
      <c r="G15" s="26">
        <f t="shared" si="1"/>
        <v>1200</v>
      </c>
      <c r="H15" s="26"/>
    </row>
    <row r="16" spans="1:8" x14ac:dyDescent="0.25">
      <c r="A16" s="47"/>
      <c r="B16" s="1"/>
      <c r="C16" s="1"/>
      <c r="D16" s="1"/>
      <c r="E16" s="1"/>
      <c r="F16" s="26"/>
      <c r="G16" s="1"/>
      <c r="H16" s="1"/>
    </row>
    <row r="17" spans="1:8" x14ac:dyDescent="0.25">
      <c r="A17" s="1" t="s">
        <v>9</v>
      </c>
      <c r="B17" s="58" t="s">
        <v>7</v>
      </c>
      <c r="C17" s="59"/>
      <c r="D17" s="60"/>
      <c r="E17" s="3"/>
      <c r="F17" s="3"/>
      <c r="G17" s="12">
        <f>SUM(G11:G16)</f>
        <v>2500.8209999999999</v>
      </c>
      <c r="H17" s="1"/>
    </row>
    <row r="18" spans="1:8" x14ac:dyDescent="0.25">
      <c r="A18" s="47" t="s">
        <v>78</v>
      </c>
      <c r="B18" s="1" t="s">
        <v>1</v>
      </c>
      <c r="C18" s="1" t="s">
        <v>2</v>
      </c>
      <c r="D18" s="1" t="s">
        <v>3</v>
      </c>
      <c r="E18" s="1" t="s">
        <v>4</v>
      </c>
      <c r="F18" s="1"/>
      <c r="G18" s="1" t="s">
        <v>5</v>
      </c>
      <c r="H18" s="1" t="s">
        <v>6</v>
      </c>
    </row>
    <row r="19" spans="1:8" x14ac:dyDescent="0.25">
      <c r="A19" s="47"/>
      <c r="B19" s="1" t="s">
        <v>88</v>
      </c>
      <c r="C19" s="1">
        <v>540</v>
      </c>
      <c r="D19" s="1">
        <v>144</v>
      </c>
      <c r="E19" s="1">
        <v>30</v>
      </c>
      <c r="F19" s="29" t="s">
        <v>16</v>
      </c>
      <c r="G19" s="1">
        <f>D19*E19</f>
        <v>4320</v>
      </c>
      <c r="H19" s="1"/>
    </row>
    <row r="20" spans="1:8" x14ac:dyDescent="0.25">
      <c r="A20" s="47"/>
      <c r="B20" s="1"/>
      <c r="C20" s="1"/>
      <c r="D20" s="1"/>
      <c r="E20" s="1"/>
      <c r="F20" s="26"/>
      <c r="G20" s="1"/>
      <c r="H20" s="1"/>
    </row>
    <row r="21" spans="1:8" x14ac:dyDescent="0.25">
      <c r="A21" s="47"/>
      <c r="B21" s="1"/>
      <c r="C21" s="1"/>
      <c r="D21" s="1"/>
      <c r="E21" s="3"/>
      <c r="F21" s="3"/>
      <c r="G21" s="1"/>
      <c r="H21" s="1"/>
    </row>
    <row r="22" spans="1:8" x14ac:dyDescent="0.25">
      <c r="A22" s="5" t="s">
        <v>10</v>
      </c>
      <c r="B22" s="58" t="s">
        <v>7</v>
      </c>
      <c r="C22" s="59"/>
      <c r="D22" s="60"/>
      <c r="E22" s="3"/>
      <c r="F22" s="3"/>
      <c r="G22" s="14">
        <f>SUM(G19:G21)</f>
        <v>4320</v>
      </c>
      <c r="H22" s="1"/>
    </row>
    <row r="23" spans="1:8" x14ac:dyDescent="0.25">
      <c r="A23" s="67"/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68"/>
      <c r="B24" s="1" t="s">
        <v>89</v>
      </c>
      <c r="C24" s="1">
        <v>35</v>
      </c>
      <c r="D24" s="1">
        <v>78</v>
      </c>
      <c r="E24" s="1">
        <v>6.25</v>
      </c>
      <c r="F24" s="1" t="s">
        <v>16</v>
      </c>
      <c r="G24" s="1">
        <f>D24*E24</f>
        <v>487.5</v>
      </c>
      <c r="H24" s="1" t="s">
        <v>25</v>
      </c>
    </row>
    <row r="25" spans="1:8" x14ac:dyDescent="0.25">
      <c r="A25" s="68"/>
      <c r="B25" s="1" t="s">
        <v>90</v>
      </c>
      <c r="C25" s="1">
        <v>15</v>
      </c>
      <c r="D25" s="1"/>
      <c r="E25" s="1"/>
      <c r="F25" s="1" t="s">
        <v>91</v>
      </c>
      <c r="G25" s="19">
        <f t="shared" ref="G25:G42" si="2">D25*E25</f>
        <v>0</v>
      </c>
      <c r="H25" s="1"/>
    </row>
    <row r="26" spans="1:8" x14ac:dyDescent="0.25">
      <c r="A26" s="68"/>
      <c r="B26" s="1" t="s">
        <v>171</v>
      </c>
      <c r="C26" s="1"/>
      <c r="D26" s="1">
        <v>56.4</v>
      </c>
      <c r="E26" s="1">
        <v>20</v>
      </c>
      <c r="F26" s="1" t="s">
        <v>169</v>
      </c>
      <c r="G26" s="19">
        <f t="shared" si="2"/>
        <v>1128</v>
      </c>
      <c r="H26" s="1"/>
    </row>
    <row r="27" spans="1:8" x14ac:dyDescent="0.25">
      <c r="A27" s="68"/>
      <c r="B27" s="1" t="s">
        <v>173</v>
      </c>
      <c r="C27" s="1"/>
      <c r="D27" s="1">
        <v>150</v>
      </c>
      <c r="E27" s="1">
        <v>3</v>
      </c>
      <c r="F27" s="1" t="s">
        <v>169</v>
      </c>
      <c r="G27" s="19">
        <f t="shared" si="2"/>
        <v>450</v>
      </c>
      <c r="H27" s="1"/>
    </row>
    <row r="28" spans="1:8" x14ac:dyDescent="0.25">
      <c r="A28" s="68"/>
      <c r="B28" s="19" t="s">
        <v>174</v>
      </c>
      <c r="C28" s="19"/>
      <c r="D28" s="19">
        <v>90</v>
      </c>
      <c r="E28" s="19">
        <v>1</v>
      </c>
      <c r="F28" s="20" t="s">
        <v>169</v>
      </c>
      <c r="G28" s="20">
        <f t="shared" si="2"/>
        <v>90</v>
      </c>
      <c r="H28" s="19"/>
    </row>
    <row r="29" spans="1:8" x14ac:dyDescent="0.25">
      <c r="A29" s="68"/>
      <c r="B29" s="19" t="s">
        <v>175</v>
      </c>
      <c r="C29" s="19"/>
      <c r="D29" s="19">
        <v>114</v>
      </c>
      <c r="E29" s="19">
        <v>2</v>
      </c>
      <c r="F29" s="20" t="s">
        <v>169</v>
      </c>
      <c r="G29" s="20">
        <f t="shared" si="2"/>
        <v>228</v>
      </c>
      <c r="H29" s="19"/>
    </row>
    <row r="30" spans="1:8" x14ac:dyDescent="0.25">
      <c r="A30" s="68"/>
      <c r="B30" s="41" t="s">
        <v>176</v>
      </c>
      <c r="C30" s="41"/>
      <c r="D30" s="41">
        <v>24.3</v>
      </c>
      <c r="E30" s="41">
        <v>4</v>
      </c>
      <c r="F30" s="41" t="s">
        <v>169</v>
      </c>
      <c r="G30" s="41">
        <f t="shared" si="2"/>
        <v>97.2</v>
      </c>
      <c r="H30" s="41"/>
    </row>
    <row r="31" spans="1:8" x14ac:dyDescent="0.25">
      <c r="A31" s="68"/>
      <c r="B31" s="41" t="s">
        <v>177</v>
      </c>
      <c r="C31" s="41"/>
      <c r="D31" s="41">
        <v>187</v>
      </c>
      <c r="E31" s="41">
        <v>2</v>
      </c>
      <c r="F31" s="41" t="s">
        <v>178</v>
      </c>
      <c r="G31" s="41">
        <f t="shared" si="2"/>
        <v>374</v>
      </c>
      <c r="H31" s="41"/>
    </row>
    <row r="32" spans="1:8" x14ac:dyDescent="0.25">
      <c r="A32" s="68"/>
      <c r="B32" s="41" t="s">
        <v>179</v>
      </c>
      <c r="C32" s="41"/>
      <c r="D32" s="41">
        <v>22.44</v>
      </c>
      <c r="E32" s="41">
        <v>5</v>
      </c>
      <c r="F32" s="41" t="s">
        <v>169</v>
      </c>
      <c r="G32" s="41">
        <f t="shared" si="2"/>
        <v>112.2</v>
      </c>
      <c r="H32" s="41"/>
    </row>
    <row r="33" spans="1:8" x14ac:dyDescent="0.25">
      <c r="A33" s="68"/>
      <c r="B33" s="41" t="s">
        <v>180</v>
      </c>
      <c r="C33" s="41"/>
      <c r="D33" s="41">
        <v>255</v>
      </c>
      <c r="E33" s="41">
        <v>2</v>
      </c>
      <c r="F33" s="41" t="s">
        <v>181</v>
      </c>
      <c r="G33" s="41">
        <f t="shared" si="2"/>
        <v>510</v>
      </c>
      <c r="H33" s="41"/>
    </row>
    <row r="34" spans="1:8" x14ac:dyDescent="0.25">
      <c r="A34" s="68"/>
      <c r="B34" s="41" t="s">
        <v>182</v>
      </c>
      <c r="C34" s="41"/>
      <c r="D34" s="41">
        <v>310</v>
      </c>
      <c r="E34" s="41">
        <v>1</v>
      </c>
      <c r="F34" s="41" t="s">
        <v>181</v>
      </c>
      <c r="G34" s="41">
        <f t="shared" si="2"/>
        <v>310</v>
      </c>
      <c r="H34" s="41"/>
    </row>
    <row r="35" spans="1:8" x14ac:dyDescent="0.25">
      <c r="A35" s="68"/>
      <c r="B35" s="41" t="s">
        <v>194</v>
      </c>
      <c r="C35" s="41"/>
      <c r="D35" s="41">
        <v>32</v>
      </c>
      <c r="E35" s="41">
        <v>100</v>
      </c>
      <c r="F35" s="41" t="s">
        <v>169</v>
      </c>
      <c r="G35" s="41">
        <f t="shared" si="2"/>
        <v>3200</v>
      </c>
      <c r="H35" s="41"/>
    </row>
    <row r="36" spans="1:8" x14ac:dyDescent="0.25">
      <c r="A36" s="68"/>
      <c r="B36" s="41" t="s">
        <v>195</v>
      </c>
      <c r="C36" s="41"/>
      <c r="D36" s="41">
        <v>630</v>
      </c>
      <c r="E36" s="41">
        <v>1</v>
      </c>
      <c r="F36" s="41" t="s">
        <v>181</v>
      </c>
      <c r="G36" s="41">
        <f t="shared" si="2"/>
        <v>630</v>
      </c>
      <c r="H36" s="41"/>
    </row>
    <row r="37" spans="1:8" x14ac:dyDescent="0.25">
      <c r="A37" s="68"/>
      <c r="B37" s="41" t="s">
        <v>196</v>
      </c>
      <c r="C37" s="41"/>
      <c r="D37" s="41">
        <v>362</v>
      </c>
      <c r="E37" s="41">
        <v>1</v>
      </c>
      <c r="F37" s="41" t="s">
        <v>181</v>
      </c>
      <c r="G37" s="41">
        <f t="shared" si="2"/>
        <v>362</v>
      </c>
      <c r="H37" s="41"/>
    </row>
    <row r="38" spans="1:8" x14ac:dyDescent="0.25">
      <c r="A38" s="68"/>
      <c r="B38" s="41" t="s">
        <v>197</v>
      </c>
      <c r="C38" s="41"/>
      <c r="D38" s="41">
        <v>120</v>
      </c>
      <c r="E38" s="41">
        <v>2</v>
      </c>
      <c r="F38" s="41" t="s">
        <v>191</v>
      </c>
      <c r="G38" s="41">
        <f t="shared" si="2"/>
        <v>240</v>
      </c>
      <c r="H38" s="41"/>
    </row>
    <row r="39" spans="1:8" x14ac:dyDescent="0.25">
      <c r="A39" s="68"/>
      <c r="B39" s="41" t="s">
        <v>198</v>
      </c>
      <c r="C39" s="41"/>
      <c r="D39" s="41">
        <v>587</v>
      </c>
      <c r="E39" s="41">
        <v>1</v>
      </c>
      <c r="F39" s="41" t="s">
        <v>181</v>
      </c>
      <c r="G39" s="41">
        <f t="shared" si="2"/>
        <v>587</v>
      </c>
      <c r="H39" s="41"/>
    </row>
    <row r="40" spans="1:8" x14ac:dyDescent="0.25">
      <c r="A40" s="68"/>
      <c r="B40" s="41" t="s">
        <v>199</v>
      </c>
      <c r="C40" s="41"/>
      <c r="D40" s="41">
        <v>273</v>
      </c>
      <c r="E40" s="41">
        <v>2</v>
      </c>
      <c r="F40" s="41" t="s">
        <v>181</v>
      </c>
      <c r="G40" s="41">
        <f t="shared" si="2"/>
        <v>546</v>
      </c>
      <c r="H40" s="41"/>
    </row>
    <row r="41" spans="1:8" x14ac:dyDescent="0.25">
      <c r="A41" s="68"/>
      <c r="B41" s="41" t="s">
        <v>200</v>
      </c>
      <c r="C41" s="41"/>
      <c r="D41" s="41">
        <v>687</v>
      </c>
      <c r="E41" s="41">
        <v>1</v>
      </c>
      <c r="F41" s="41" t="s">
        <v>181</v>
      </c>
      <c r="G41" s="41">
        <f t="shared" si="2"/>
        <v>687</v>
      </c>
      <c r="H41" s="41"/>
    </row>
    <row r="42" spans="1:8" x14ac:dyDescent="0.25">
      <c r="A42" s="68"/>
      <c r="B42" s="41" t="s">
        <v>201</v>
      </c>
      <c r="C42" s="41"/>
      <c r="D42" s="41">
        <v>240</v>
      </c>
      <c r="E42" s="41">
        <v>1</v>
      </c>
      <c r="F42" s="41" t="s">
        <v>181</v>
      </c>
      <c r="G42" s="41">
        <f t="shared" si="2"/>
        <v>240</v>
      </c>
      <c r="H42" s="41"/>
    </row>
    <row r="43" spans="1:8" x14ac:dyDescent="0.25">
      <c r="A43" s="69"/>
      <c r="B43" s="58" t="s">
        <v>7</v>
      </c>
      <c r="C43" s="59"/>
      <c r="D43" s="60"/>
      <c r="E43" s="3"/>
      <c r="F43" s="3"/>
      <c r="G43" s="12">
        <f>SUM(G24:G42)</f>
        <v>10278.9</v>
      </c>
      <c r="H43" s="1"/>
    </row>
    <row r="44" spans="1:8" x14ac:dyDescent="0.25">
      <c r="A44" s="1" t="s">
        <v>11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 t="s">
        <v>6</v>
      </c>
    </row>
    <row r="45" spans="1:8" x14ac:dyDescent="0.25">
      <c r="A45" s="47"/>
      <c r="B45" s="1"/>
      <c r="C45" s="1"/>
      <c r="D45" s="1"/>
      <c r="E45" s="1"/>
      <c r="F45" s="10"/>
      <c r="G45" s="1">
        <f>D45*E45</f>
        <v>0</v>
      </c>
      <c r="H45" s="1"/>
    </row>
    <row r="46" spans="1:8" x14ac:dyDescent="0.25">
      <c r="A46" s="47"/>
      <c r="B46" s="1"/>
      <c r="C46" s="1"/>
      <c r="D46" s="1"/>
      <c r="E46" s="1"/>
      <c r="F46" s="1"/>
      <c r="G46" s="41">
        <f>D46*E46</f>
        <v>0</v>
      </c>
      <c r="H46" s="1"/>
    </row>
    <row r="47" spans="1:8" x14ac:dyDescent="0.25">
      <c r="A47" s="47"/>
      <c r="B47" s="58" t="s">
        <v>15</v>
      </c>
      <c r="C47" s="59"/>
      <c r="D47" s="60"/>
      <c r="E47" s="3"/>
      <c r="F47" s="3"/>
      <c r="G47" s="12">
        <f>SUM(G45:G46)</f>
        <v>0</v>
      </c>
      <c r="H47" s="1"/>
    </row>
    <row r="48" spans="1:8" x14ac:dyDescent="0.25">
      <c r="A48" s="1" t="s">
        <v>12</v>
      </c>
      <c r="B48" s="1" t="s">
        <v>1</v>
      </c>
      <c r="C48" s="1" t="s">
        <v>2</v>
      </c>
      <c r="D48" s="1" t="s">
        <v>3</v>
      </c>
      <c r="E48" s="3" t="s">
        <v>4</v>
      </c>
      <c r="F48" s="3"/>
      <c r="G48" s="3" t="s">
        <v>5</v>
      </c>
      <c r="H48" s="1" t="s">
        <v>6</v>
      </c>
    </row>
    <row r="49" spans="1:8" x14ac:dyDescent="0.25">
      <c r="A49" s="67"/>
      <c r="B49" s="1" t="s">
        <v>172</v>
      </c>
      <c r="C49" s="1"/>
      <c r="D49" s="1">
        <v>7.14</v>
      </c>
      <c r="E49" s="1">
        <v>50</v>
      </c>
      <c r="F49" s="1" t="s">
        <v>169</v>
      </c>
      <c r="G49" s="1">
        <f>D49*E49</f>
        <v>357</v>
      </c>
      <c r="H49" s="1"/>
    </row>
    <row r="50" spans="1:8" x14ac:dyDescent="0.25">
      <c r="A50" s="68"/>
      <c r="B50" s="1" t="s">
        <v>212</v>
      </c>
      <c r="C50" s="1"/>
      <c r="D50" s="1">
        <v>61.44</v>
      </c>
      <c r="E50" s="1">
        <v>75</v>
      </c>
      <c r="F50" s="19" t="s">
        <v>169</v>
      </c>
      <c r="G50" s="2">
        <f>D50*E50</f>
        <v>4608</v>
      </c>
      <c r="H50" s="1"/>
    </row>
    <row r="51" spans="1:8" x14ac:dyDescent="0.25">
      <c r="A51" s="69"/>
      <c r="B51" s="58" t="s">
        <v>7</v>
      </c>
      <c r="C51" s="59"/>
      <c r="D51" s="60"/>
      <c r="E51" s="3"/>
      <c r="F51" s="3"/>
      <c r="G51" s="12">
        <f>SUM(G49:G50)</f>
        <v>4965</v>
      </c>
      <c r="H51" s="6"/>
    </row>
    <row r="52" spans="1:8" x14ac:dyDescent="0.25">
      <c r="A52" s="7" t="s">
        <v>13</v>
      </c>
      <c r="B52" s="1" t="s">
        <v>1</v>
      </c>
      <c r="C52" s="1" t="s">
        <v>2</v>
      </c>
      <c r="D52" s="1" t="s">
        <v>3</v>
      </c>
      <c r="E52" s="1" t="s">
        <v>4</v>
      </c>
      <c r="F52" s="1"/>
      <c r="G52" s="1" t="s">
        <v>5</v>
      </c>
      <c r="H52" s="1"/>
    </row>
    <row r="53" spans="1:8" x14ac:dyDescent="0.25">
      <c r="A53" s="67"/>
      <c r="B53" s="1" t="s">
        <v>183</v>
      </c>
      <c r="C53" s="1"/>
      <c r="D53" s="1">
        <v>60</v>
      </c>
      <c r="E53" s="1">
        <v>1</v>
      </c>
      <c r="F53" s="10" t="s">
        <v>184</v>
      </c>
      <c r="G53" s="1">
        <f>D53*E53</f>
        <v>60</v>
      </c>
      <c r="H53" s="1"/>
    </row>
    <row r="54" spans="1:8" x14ac:dyDescent="0.25">
      <c r="A54" s="68"/>
      <c r="B54" s="1" t="s">
        <v>185</v>
      </c>
      <c r="C54" s="1"/>
      <c r="D54" s="1">
        <v>1350</v>
      </c>
      <c r="E54" s="1">
        <v>1</v>
      </c>
      <c r="F54" s="10" t="s">
        <v>178</v>
      </c>
      <c r="G54" s="19">
        <f t="shared" ref="G54:G60" si="3">D54*E54</f>
        <v>1350</v>
      </c>
      <c r="H54" s="1"/>
    </row>
    <row r="55" spans="1:8" x14ac:dyDescent="0.25">
      <c r="A55" s="68"/>
      <c r="B55" s="1" t="s">
        <v>186</v>
      </c>
      <c r="C55" s="1"/>
      <c r="D55" s="1">
        <v>280</v>
      </c>
      <c r="E55" s="1">
        <v>1</v>
      </c>
      <c r="F55" s="10" t="s">
        <v>181</v>
      </c>
      <c r="G55" s="19">
        <f t="shared" si="3"/>
        <v>280</v>
      </c>
      <c r="H55" s="1"/>
    </row>
    <row r="56" spans="1:8" x14ac:dyDescent="0.25">
      <c r="A56" s="68"/>
      <c r="B56" s="1" t="s">
        <v>187</v>
      </c>
      <c r="C56" s="1"/>
      <c r="D56" s="1">
        <v>650</v>
      </c>
      <c r="E56" s="1">
        <v>1</v>
      </c>
      <c r="F56" s="10" t="s">
        <v>178</v>
      </c>
      <c r="G56" s="19">
        <f t="shared" si="3"/>
        <v>650</v>
      </c>
      <c r="H56" s="1"/>
    </row>
    <row r="57" spans="1:8" x14ac:dyDescent="0.25">
      <c r="A57" s="68"/>
      <c r="B57" s="10" t="s">
        <v>188</v>
      </c>
      <c r="C57" s="10"/>
      <c r="D57" s="11">
        <v>70</v>
      </c>
      <c r="E57" s="11">
        <v>10</v>
      </c>
      <c r="F57" s="11" t="s">
        <v>189</v>
      </c>
      <c r="G57" s="19">
        <f t="shared" si="3"/>
        <v>700</v>
      </c>
      <c r="H57" s="10"/>
    </row>
    <row r="58" spans="1:8" x14ac:dyDescent="0.25">
      <c r="A58" s="68"/>
      <c r="B58" s="41" t="s">
        <v>190</v>
      </c>
      <c r="C58" s="41"/>
      <c r="D58" s="41">
        <v>120</v>
      </c>
      <c r="E58" s="41">
        <v>2</v>
      </c>
      <c r="F58" s="43" t="s">
        <v>191</v>
      </c>
      <c r="G58" s="43">
        <f t="shared" si="3"/>
        <v>240</v>
      </c>
      <c r="H58" s="41"/>
    </row>
    <row r="59" spans="1:8" x14ac:dyDescent="0.25">
      <c r="A59" s="68"/>
      <c r="B59" s="41" t="s">
        <v>192</v>
      </c>
      <c r="C59" s="41"/>
      <c r="D59" s="41">
        <v>600</v>
      </c>
      <c r="E59" s="41">
        <v>1</v>
      </c>
      <c r="F59" s="43" t="s">
        <v>181</v>
      </c>
      <c r="G59" s="43">
        <f t="shared" si="3"/>
        <v>600</v>
      </c>
      <c r="H59" s="41"/>
    </row>
    <row r="60" spans="1:8" x14ac:dyDescent="0.25">
      <c r="A60" s="68"/>
      <c r="B60" s="41" t="s">
        <v>193</v>
      </c>
      <c r="C60" s="41"/>
      <c r="D60" s="41">
        <v>360</v>
      </c>
      <c r="E60" s="41">
        <v>2</v>
      </c>
      <c r="F60" s="43" t="s">
        <v>189</v>
      </c>
      <c r="G60" s="43">
        <f t="shared" si="3"/>
        <v>720</v>
      </c>
      <c r="H60" s="41"/>
    </row>
    <row r="61" spans="1:8" x14ac:dyDescent="0.25">
      <c r="A61" s="69"/>
      <c r="B61" s="58" t="s">
        <v>7</v>
      </c>
      <c r="C61" s="59"/>
      <c r="D61" s="60"/>
      <c r="E61" s="3"/>
      <c r="F61" s="3"/>
      <c r="G61" s="12">
        <f>SUM(G53:G60)</f>
        <v>4600</v>
      </c>
      <c r="H61" s="1"/>
    </row>
    <row r="62" spans="1:8" ht="17.25" thickBot="1" x14ac:dyDescent="0.3">
      <c r="A62" s="41"/>
      <c r="B62" s="64" t="s">
        <v>14</v>
      </c>
      <c r="C62" s="65"/>
      <c r="D62" s="66"/>
      <c r="E62" s="8"/>
      <c r="F62" s="8"/>
      <c r="G62" s="9">
        <f>G61+G51+G47+G22+G17+G9+G43</f>
        <v>33505.341</v>
      </c>
      <c r="H62" s="1"/>
    </row>
    <row r="63" spans="1:8" x14ac:dyDescent="0.25">
      <c r="A63" s="74" t="s">
        <v>131</v>
      </c>
      <c r="B63" s="77" t="s">
        <v>132</v>
      </c>
      <c r="C63" s="77"/>
      <c r="D63" s="77"/>
      <c r="E63" s="78" t="s">
        <v>133</v>
      </c>
      <c r="F63" s="79"/>
      <c r="G63" s="80"/>
      <c r="H63" s="33" t="s">
        <v>134</v>
      </c>
    </row>
    <row r="64" spans="1:8" x14ac:dyDescent="0.25">
      <c r="A64" s="75"/>
      <c r="B64" s="56" t="s">
        <v>213</v>
      </c>
      <c r="C64" s="54"/>
      <c r="D64" s="54"/>
      <c r="E64" s="34" t="s">
        <v>135</v>
      </c>
      <c r="F64" s="82"/>
      <c r="G64" s="83"/>
      <c r="H64" s="70" t="s">
        <v>136</v>
      </c>
    </row>
    <row r="65" spans="1:8" ht="17.25" thickBot="1" x14ac:dyDescent="0.3">
      <c r="A65" s="76"/>
      <c r="B65" s="81"/>
      <c r="C65" s="81"/>
      <c r="D65" s="81"/>
      <c r="E65" s="35" t="s">
        <v>137</v>
      </c>
      <c r="F65" s="72" t="s">
        <v>203</v>
      </c>
      <c r="G65" s="73"/>
      <c r="H65" s="71"/>
    </row>
  </sheetData>
  <mergeCells count="23">
    <mergeCell ref="H64:H65"/>
    <mergeCell ref="F65:G65"/>
    <mergeCell ref="A63:A65"/>
    <mergeCell ref="B63:D63"/>
    <mergeCell ref="E63:G63"/>
    <mergeCell ref="B64:D65"/>
    <mergeCell ref="F64:G64"/>
    <mergeCell ref="B61:D61"/>
    <mergeCell ref="B62:D62"/>
    <mergeCell ref="B43:D43"/>
    <mergeCell ref="A45:A47"/>
    <mergeCell ref="B47:D47"/>
    <mergeCell ref="A49:A51"/>
    <mergeCell ref="B51:D51"/>
    <mergeCell ref="A23:A43"/>
    <mergeCell ref="A53:A61"/>
    <mergeCell ref="A18:A21"/>
    <mergeCell ref="B22:D22"/>
    <mergeCell ref="A1:H1"/>
    <mergeCell ref="A3:A9"/>
    <mergeCell ref="B9:D9"/>
    <mergeCell ref="A11:A16"/>
    <mergeCell ref="B17:D17"/>
  </mergeCells>
  <phoneticPr fontId="2" type="noConversion"/>
  <pageMargins left="0.7" right="0.7" top="0.75" bottom="0.75" header="0.3" footer="0.3"/>
  <pageSetup paperSize="9" scale="71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28" workbookViewId="0">
      <selection activeCell="H45" sqref="A1:H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1" t="s">
        <v>40</v>
      </c>
      <c r="B1" s="62"/>
      <c r="C1" s="62"/>
      <c r="D1" s="62"/>
      <c r="E1" s="62"/>
      <c r="F1" s="62"/>
      <c r="G1" s="62"/>
      <c r="H1" s="6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92</v>
      </c>
      <c r="B3" s="1" t="s">
        <v>96</v>
      </c>
      <c r="C3" s="1">
        <v>65</v>
      </c>
      <c r="D3" s="1">
        <v>111</v>
      </c>
      <c r="E3" s="1">
        <v>65</v>
      </c>
      <c r="F3" s="29" t="s">
        <v>46</v>
      </c>
      <c r="G3" s="2">
        <f>D3*E3</f>
        <v>7215</v>
      </c>
      <c r="H3" s="1"/>
    </row>
    <row r="4" spans="1:8" x14ac:dyDescent="0.25">
      <c r="A4" s="47"/>
      <c r="B4" s="1"/>
      <c r="C4" s="1"/>
      <c r="D4" s="1"/>
      <c r="E4" s="1"/>
      <c r="F4" s="26"/>
      <c r="G4" s="1"/>
      <c r="H4" s="1"/>
    </row>
    <row r="5" spans="1:8" x14ac:dyDescent="0.25">
      <c r="A5" s="47"/>
      <c r="B5" s="1"/>
      <c r="C5" s="1"/>
      <c r="D5" s="1"/>
      <c r="E5" s="1"/>
      <c r="F5" s="26"/>
      <c r="G5" s="1"/>
      <c r="H5" s="1"/>
    </row>
    <row r="6" spans="1:8" x14ac:dyDescent="0.25">
      <c r="A6" s="47"/>
      <c r="B6" s="15"/>
      <c r="C6" s="1"/>
      <c r="D6" s="1"/>
      <c r="E6" s="3"/>
      <c r="F6" s="3"/>
      <c r="G6" s="3"/>
      <c r="H6" s="1"/>
    </row>
    <row r="7" spans="1:8" x14ac:dyDescent="0.25">
      <c r="A7" s="47"/>
      <c r="B7" s="58" t="s">
        <v>7</v>
      </c>
      <c r="C7" s="59"/>
      <c r="D7" s="60"/>
      <c r="E7" s="3"/>
      <c r="F7" s="3"/>
      <c r="G7" s="12">
        <f>SUM(G3:G6)</f>
        <v>7215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7" t="s">
        <v>93</v>
      </c>
      <c r="B9" s="15" t="s">
        <v>97</v>
      </c>
      <c r="C9" s="1">
        <v>25</v>
      </c>
      <c r="D9" s="1">
        <v>49.5</v>
      </c>
      <c r="E9" s="1">
        <v>25</v>
      </c>
      <c r="F9" s="29" t="s">
        <v>46</v>
      </c>
      <c r="G9" s="2">
        <f>D9*E9</f>
        <v>1237.5</v>
      </c>
      <c r="H9" s="1"/>
    </row>
    <row r="10" spans="1:8" x14ac:dyDescent="0.25">
      <c r="A10" s="47"/>
      <c r="B10" s="1" t="s">
        <v>98</v>
      </c>
      <c r="C10" s="1">
        <v>15</v>
      </c>
      <c r="D10" s="1">
        <v>49.5</v>
      </c>
      <c r="E10" s="1">
        <v>15</v>
      </c>
      <c r="F10" s="29" t="s">
        <v>46</v>
      </c>
      <c r="G10" s="2">
        <f t="shared" ref="G10:G11" si="0">D10*E10</f>
        <v>742.5</v>
      </c>
      <c r="H10" s="1"/>
    </row>
    <row r="11" spans="1:8" x14ac:dyDescent="0.25">
      <c r="A11" s="47"/>
      <c r="B11" s="1" t="s">
        <v>59</v>
      </c>
      <c r="C11" s="1">
        <v>3</v>
      </c>
      <c r="D11" s="1">
        <v>100</v>
      </c>
      <c r="E11" s="1">
        <v>3</v>
      </c>
      <c r="F11" s="29" t="s">
        <v>46</v>
      </c>
      <c r="G11" s="2">
        <f t="shared" si="0"/>
        <v>300</v>
      </c>
      <c r="H11" s="1"/>
    </row>
    <row r="12" spans="1:8" x14ac:dyDescent="0.25">
      <c r="A12" s="47"/>
      <c r="B12" s="1"/>
      <c r="C12" s="1"/>
      <c r="D12" s="1"/>
      <c r="E12" s="1"/>
      <c r="F12" s="26"/>
      <c r="G12" s="1"/>
      <c r="H12" s="1"/>
    </row>
    <row r="13" spans="1:8" x14ac:dyDescent="0.25">
      <c r="A13" s="47"/>
      <c r="B13" s="1"/>
      <c r="C13" s="1"/>
      <c r="D13" s="1"/>
      <c r="E13" s="1"/>
      <c r="F13" s="1"/>
      <c r="G13" s="1"/>
      <c r="H13" s="1"/>
    </row>
    <row r="14" spans="1:8" x14ac:dyDescent="0.25">
      <c r="A14" s="47"/>
      <c r="B14" s="58" t="s">
        <v>7</v>
      </c>
      <c r="C14" s="59"/>
      <c r="D14" s="60"/>
      <c r="E14" s="3"/>
      <c r="F14" s="3"/>
      <c r="G14" s="12">
        <f>SUM(G9:G13)</f>
        <v>2280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7" t="s">
        <v>94</v>
      </c>
      <c r="B16" s="1" t="s">
        <v>99</v>
      </c>
      <c r="C16" s="1">
        <v>1</v>
      </c>
      <c r="D16" s="1">
        <v>56.4</v>
      </c>
      <c r="E16" s="1">
        <v>20</v>
      </c>
      <c r="F16" s="29" t="s">
        <v>16</v>
      </c>
      <c r="G16" s="1">
        <f>D16*E16</f>
        <v>1128</v>
      </c>
      <c r="H16" s="1"/>
    </row>
    <row r="17" spans="1:8" x14ac:dyDescent="0.25">
      <c r="A17" s="47"/>
      <c r="B17" s="1" t="s">
        <v>100</v>
      </c>
      <c r="C17" s="1">
        <v>2</v>
      </c>
      <c r="D17" s="1">
        <v>120</v>
      </c>
      <c r="E17" s="1">
        <v>2</v>
      </c>
      <c r="F17" s="29" t="s">
        <v>46</v>
      </c>
      <c r="G17" s="44">
        <f t="shared" ref="G17:G19" si="1">D17*E17</f>
        <v>240</v>
      </c>
      <c r="H17" s="1"/>
    </row>
    <row r="18" spans="1:8" x14ac:dyDescent="0.25">
      <c r="A18" s="47"/>
      <c r="B18" s="1" t="s">
        <v>101</v>
      </c>
      <c r="C18" s="1">
        <v>5</v>
      </c>
      <c r="D18" s="1">
        <v>165</v>
      </c>
      <c r="E18" s="1">
        <v>5</v>
      </c>
      <c r="F18" s="29" t="s">
        <v>46</v>
      </c>
      <c r="G18" s="44">
        <f t="shared" si="1"/>
        <v>825</v>
      </c>
      <c r="H18" s="1"/>
    </row>
    <row r="19" spans="1:8" x14ac:dyDescent="0.25">
      <c r="A19" s="47"/>
      <c r="B19" s="22" t="s">
        <v>102</v>
      </c>
      <c r="C19" s="22">
        <v>40</v>
      </c>
      <c r="D19" s="22">
        <v>225</v>
      </c>
      <c r="E19" s="22">
        <v>40</v>
      </c>
      <c r="F19" s="26" t="s">
        <v>108</v>
      </c>
      <c r="G19" s="44">
        <f t="shared" si="1"/>
        <v>9000</v>
      </c>
      <c r="H19" s="1"/>
    </row>
    <row r="20" spans="1:8" x14ac:dyDescent="0.25">
      <c r="A20" s="47"/>
      <c r="B20" s="58" t="s">
        <v>7</v>
      </c>
      <c r="C20" s="59"/>
      <c r="D20" s="60"/>
      <c r="E20" s="3"/>
      <c r="F20" s="3"/>
      <c r="G20" s="14">
        <f>SUM(G16:G19)</f>
        <v>11193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7"/>
      <c r="B22" s="1" t="s">
        <v>105</v>
      </c>
      <c r="C22" s="1">
        <v>50</v>
      </c>
      <c r="D22" s="1">
        <v>6.5</v>
      </c>
      <c r="E22" s="1">
        <v>50</v>
      </c>
      <c r="F22" s="26" t="s">
        <v>108</v>
      </c>
      <c r="G22" s="1">
        <f>D22*E22</f>
        <v>325</v>
      </c>
      <c r="H22" s="1"/>
    </row>
    <row r="23" spans="1:8" x14ac:dyDescent="0.25">
      <c r="A23" s="47"/>
      <c r="B23" s="1" t="s">
        <v>47</v>
      </c>
      <c r="C23" s="1">
        <v>4</v>
      </c>
      <c r="D23" s="1">
        <v>141</v>
      </c>
      <c r="E23" s="1">
        <v>4</v>
      </c>
      <c r="F23" s="29" t="s">
        <v>46</v>
      </c>
      <c r="G23" s="44">
        <f t="shared" ref="G23:G26" si="2">D23*E23</f>
        <v>564</v>
      </c>
      <c r="H23" s="1" t="s">
        <v>26</v>
      </c>
    </row>
    <row r="24" spans="1:8" x14ac:dyDescent="0.25">
      <c r="A24" s="47"/>
      <c r="B24" s="1" t="s">
        <v>106</v>
      </c>
      <c r="C24" s="1">
        <v>15</v>
      </c>
      <c r="D24" s="1">
        <v>150</v>
      </c>
      <c r="E24" s="45"/>
      <c r="F24" s="44" t="s">
        <v>46</v>
      </c>
      <c r="G24" s="44">
        <f t="shared" si="2"/>
        <v>0</v>
      </c>
      <c r="H24" s="1"/>
    </row>
    <row r="25" spans="1:8" x14ac:dyDescent="0.25">
      <c r="A25" s="47"/>
      <c r="B25" s="26" t="s">
        <v>206</v>
      </c>
      <c r="C25" s="26"/>
      <c r="D25" s="26">
        <v>1188</v>
      </c>
      <c r="E25" s="26">
        <v>1</v>
      </c>
      <c r="F25" s="26" t="s">
        <v>207</v>
      </c>
      <c r="G25" s="44">
        <f t="shared" si="2"/>
        <v>1188</v>
      </c>
      <c r="H25" s="26"/>
    </row>
    <row r="26" spans="1:8" x14ac:dyDescent="0.25">
      <c r="A26" s="47"/>
      <c r="B26" s="1" t="s">
        <v>208</v>
      </c>
      <c r="C26" s="1"/>
      <c r="D26" s="1">
        <v>10</v>
      </c>
      <c r="E26" s="1">
        <v>24</v>
      </c>
      <c r="F26" s="26" t="s">
        <v>209</v>
      </c>
      <c r="G26" s="44">
        <f t="shared" si="2"/>
        <v>240</v>
      </c>
      <c r="H26" s="1"/>
    </row>
    <row r="27" spans="1:8" x14ac:dyDescent="0.25">
      <c r="A27" s="47"/>
      <c r="B27" s="58" t="s">
        <v>7</v>
      </c>
      <c r="C27" s="59"/>
      <c r="D27" s="60"/>
      <c r="E27" s="3"/>
      <c r="F27" s="3"/>
      <c r="G27" s="14">
        <f>SUM(G22:G26)</f>
        <v>2317</v>
      </c>
      <c r="H27" s="1"/>
    </row>
    <row r="28" spans="1:8" x14ac:dyDescent="0.25">
      <c r="A28" s="1" t="s">
        <v>11</v>
      </c>
      <c r="B28" s="1" t="s">
        <v>1</v>
      </c>
      <c r="C28" s="1" t="s">
        <v>2</v>
      </c>
      <c r="D28" s="1" t="s">
        <v>3</v>
      </c>
      <c r="E28" s="1" t="s">
        <v>4</v>
      </c>
      <c r="F28" s="1"/>
      <c r="G28" s="1" t="s">
        <v>5</v>
      </c>
      <c r="H28" s="1" t="s">
        <v>6</v>
      </c>
    </row>
    <row r="29" spans="1:8" x14ac:dyDescent="0.25">
      <c r="A29" s="47" t="s">
        <v>95</v>
      </c>
      <c r="B29" s="22" t="s">
        <v>103</v>
      </c>
      <c r="C29" s="22">
        <v>20</v>
      </c>
      <c r="D29" s="22">
        <v>13.26</v>
      </c>
      <c r="E29" s="22">
        <v>20</v>
      </c>
      <c r="F29" t="s">
        <v>46</v>
      </c>
      <c r="G29" s="2">
        <f>D29*E29</f>
        <v>265.2</v>
      </c>
      <c r="H29" s="1"/>
    </row>
    <row r="30" spans="1:8" x14ac:dyDescent="0.25">
      <c r="A30" s="47"/>
      <c r="B30" s="1" t="s">
        <v>104</v>
      </c>
      <c r="C30" s="1">
        <v>15</v>
      </c>
      <c r="D30" s="1">
        <v>132</v>
      </c>
      <c r="E30" s="1">
        <v>20</v>
      </c>
      <c r="F30" s="29" t="s">
        <v>46</v>
      </c>
      <c r="G30" s="44">
        <f>D30*E30</f>
        <v>2640</v>
      </c>
      <c r="H30" s="1"/>
    </row>
    <row r="31" spans="1:8" x14ac:dyDescent="0.25">
      <c r="A31" s="47"/>
      <c r="B31" s="1"/>
      <c r="C31" s="1"/>
      <c r="D31" s="1"/>
      <c r="E31" s="1"/>
      <c r="F31" s="1"/>
      <c r="G31" s="1"/>
      <c r="H31" s="1"/>
    </row>
    <row r="32" spans="1:8" x14ac:dyDescent="0.25">
      <c r="A32" s="47"/>
      <c r="B32" s="58"/>
      <c r="C32" s="59"/>
      <c r="D32" s="60"/>
      <c r="E32" s="3"/>
      <c r="F32" s="3"/>
      <c r="G32" s="12">
        <f>SUM(G29:G31)</f>
        <v>2905.2</v>
      </c>
      <c r="H32" s="1"/>
    </row>
    <row r="33" spans="1:8" x14ac:dyDescent="0.25">
      <c r="A33" s="1" t="s">
        <v>12</v>
      </c>
      <c r="B33" s="1" t="s">
        <v>1</v>
      </c>
      <c r="C33" s="1" t="s">
        <v>2</v>
      </c>
      <c r="D33" s="1" t="s">
        <v>3</v>
      </c>
      <c r="E33" s="3" t="s">
        <v>4</v>
      </c>
      <c r="F33" s="3"/>
      <c r="G33" s="3" t="s">
        <v>5</v>
      </c>
      <c r="H33" s="1" t="s">
        <v>6</v>
      </c>
    </row>
    <row r="34" spans="1:8" x14ac:dyDescent="0.25">
      <c r="A34" s="67"/>
      <c r="B34" s="1" t="s">
        <v>204</v>
      </c>
      <c r="C34" s="1"/>
      <c r="D34" s="1">
        <v>12.6</v>
      </c>
      <c r="E34" s="1">
        <v>70</v>
      </c>
      <c r="F34" s="1" t="s">
        <v>205</v>
      </c>
      <c r="G34" s="2">
        <f>D34*E34</f>
        <v>882</v>
      </c>
      <c r="H34" s="1"/>
    </row>
    <row r="35" spans="1:8" x14ac:dyDescent="0.25">
      <c r="A35" s="68"/>
      <c r="B35" s="44" t="s">
        <v>168</v>
      </c>
      <c r="C35" s="44"/>
      <c r="D35" s="44">
        <v>47.04</v>
      </c>
      <c r="E35" s="44">
        <v>106.67</v>
      </c>
      <c r="F35" s="44" t="s">
        <v>16</v>
      </c>
      <c r="G35" s="2">
        <f>D35*E35</f>
        <v>5017.7568000000001</v>
      </c>
      <c r="H35" s="1"/>
    </row>
    <row r="36" spans="1:8" x14ac:dyDescent="0.25">
      <c r="A36" s="69"/>
      <c r="B36" s="58" t="s">
        <v>7</v>
      </c>
      <c r="C36" s="59"/>
      <c r="D36" s="60"/>
      <c r="E36" s="3"/>
      <c r="F36" s="3"/>
      <c r="G36" s="12">
        <f>SUM(G34:G35)</f>
        <v>5899.7568000000001</v>
      </c>
      <c r="H36" s="6"/>
    </row>
    <row r="37" spans="1:8" x14ac:dyDescent="0.25">
      <c r="A37" s="7" t="s">
        <v>13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/>
    </row>
    <row r="38" spans="1:8" x14ac:dyDescent="0.25">
      <c r="A38" s="47"/>
      <c r="B38" s="1" t="s">
        <v>210</v>
      </c>
      <c r="C38" s="1"/>
      <c r="D38" s="1">
        <v>12</v>
      </c>
      <c r="E38" s="1">
        <v>20</v>
      </c>
      <c r="F38" s="1" t="s">
        <v>211</v>
      </c>
      <c r="G38" s="1">
        <f>D38*E38</f>
        <v>240</v>
      </c>
      <c r="H38" s="1"/>
    </row>
    <row r="39" spans="1:8" x14ac:dyDescent="0.25">
      <c r="A39" s="47"/>
      <c r="B39" s="1"/>
      <c r="C39" s="1"/>
      <c r="D39" s="1"/>
      <c r="E39" s="1"/>
      <c r="F39" s="1"/>
      <c r="G39" s="1"/>
      <c r="H39" s="1"/>
    </row>
    <row r="40" spans="1:8" x14ac:dyDescent="0.25">
      <c r="A40" s="47"/>
      <c r="B40" s="1"/>
      <c r="C40" s="1"/>
      <c r="D40" s="1"/>
      <c r="E40" s="1"/>
      <c r="F40" s="1"/>
      <c r="G40" s="1"/>
      <c r="H40" s="1"/>
    </row>
    <row r="41" spans="1:8" x14ac:dyDescent="0.25">
      <c r="A41" s="47"/>
      <c r="B41" s="1"/>
      <c r="C41" s="1"/>
      <c r="D41" s="1"/>
      <c r="E41" s="1"/>
      <c r="F41" s="1"/>
      <c r="G41" s="1"/>
      <c r="H41" s="1"/>
    </row>
    <row r="42" spans="1:8" x14ac:dyDescent="0.25">
      <c r="A42" s="47"/>
      <c r="B42" s="58" t="s">
        <v>7</v>
      </c>
      <c r="C42" s="59"/>
      <c r="D42" s="60"/>
      <c r="E42" s="3"/>
      <c r="F42" s="3"/>
      <c r="G42" s="14">
        <f>SUM(G38:G41)</f>
        <v>240</v>
      </c>
      <c r="H42" s="1"/>
    </row>
    <row r="43" spans="1:8" ht="17.25" thickBot="1" x14ac:dyDescent="0.3">
      <c r="A43" s="1"/>
      <c r="B43" s="64" t="s">
        <v>14</v>
      </c>
      <c r="C43" s="65"/>
      <c r="D43" s="66"/>
      <c r="E43" s="8"/>
      <c r="F43" s="8"/>
      <c r="G43" s="9">
        <f>G42+G36+G32+G20+G14+G7+G27</f>
        <v>32049.9568</v>
      </c>
      <c r="H43" s="1"/>
    </row>
    <row r="44" spans="1:8" x14ac:dyDescent="0.25">
      <c r="A44" s="74" t="s">
        <v>131</v>
      </c>
      <c r="B44" s="77" t="s">
        <v>132</v>
      </c>
      <c r="C44" s="77"/>
      <c r="D44" s="77"/>
      <c r="E44" s="78" t="s">
        <v>133</v>
      </c>
      <c r="F44" s="79"/>
      <c r="G44" s="80"/>
      <c r="H44" s="33" t="s">
        <v>134</v>
      </c>
    </row>
    <row r="45" spans="1:8" x14ac:dyDescent="0.25">
      <c r="A45" s="75"/>
      <c r="B45" s="56" t="s">
        <v>214</v>
      </c>
      <c r="C45" s="54"/>
      <c r="D45" s="54"/>
      <c r="E45" s="34" t="s">
        <v>135</v>
      </c>
      <c r="F45" s="82"/>
      <c r="G45" s="83"/>
      <c r="H45" s="70" t="s">
        <v>136</v>
      </c>
    </row>
    <row r="46" spans="1:8" ht="17.25" thickBot="1" x14ac:dyDescent="0.3">
      <c r="A46" s="76"/>
      <c r="B46" s="81"/>
      <c r="C46" s="81"/>
      <c r="D46" s="81"/>
      <c r="E46" s="35" t="s">
        <v>137</v>
      </c>
      <c r="F46" s="72">
        <v>225</v>
      </c>
      <c r="G46" s="73"/>
      <c r="H46" s="71"/>
    </row>
  </sheetData>
  <mergeCells count="23">
    <mergeCell ref="H45:H46"/>
    <mergeCell ref="F46:G46"/>
    <mergeCell ref="A44:A46"/>
    <mergeCell ref="B44:D44"/>
    <mergeCell ref="E44:G44"/>
    <mergeCell ref="B45:D46"/>
    <mergeCell ref="F45:G45"/>
    <mergeCell ref="A38:A42"/>
    <mergeCell ref="B42:D42"/>
    <mergeCell ref="B43:D43"/>
    <mergeCell ref="A22:A27"/>
    <mergeCell ref="B27:D27"/>
    <mergeCell ref="A29:A32"/>
    <mergeCell ref="B32:D32"/>
    <mergeCell ref="A34:A36"/>
    <mergeCell ref="B36:D36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tabSelected="1" topLeftCell="A39" workbookViewId="0">
      <selection activeCell="H56" sqref="A1:H5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1" t="s">
        <v>41</v>
      </c>
      <c r="B1" s="62"/>
      <c r="C1" s="62"/>
      <c r="D1" s="62"/>
      <c r="E1" s="62"/>
      <c r="F1" s="62"/>
      <c r="G1" s="62"/>
      <c r="H1" s="6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109</v>
      </c>
      <c r="B3" s="1" t="s">
        <v>114</v>
      </c>
      <c r="C3" s="1">
        <v>3</v>
      </c>
      <c r="D3" s="1">
        <v>320</v>
      </c>
      <c r="E3" s="1">
        <v>3</v>
      </c>
      <c r="F3" s="26" t="s">
        <v>75</v>
      </c>
      <c r="G3" s="2">
        <f>E3*D3</f>
        <v>960</v>
      </c>
      <c r="H3" s="1"/>
    </row>
    <row r="4" spans="1:8" x14ac:dyDescent="0.25">
      <c r="A4" s="47"/>
      <c r="B4" s="1" t="s">
        <v>115</v>
      </c>
      <c r="C4" s="1">
        <v>60</v>
      </c>
      <c r="D4" s="1">
        <v>168</v>
      </c>
      <c r="E4" s="1">
        <v>60</v>
      </c>
      <c r="F4" s="29" t="s">
        <v>46</v>
      </c>
      <c r="G4" s="2">
        <f>E4*D4</f>
        <v>10080</v>
      </c>
      <c r="H4" s="1"/>
    </row>
    <row r="5" spans="1:8" x14ac:dyDescent="0.25">
      <c r="A5" s="47"/>
      <c r="B5" s="1"/>
      <c r="C5" s="1"/>
      <c r="D5" s="1"/>
      <c r="E5" s="1"/>
      <c r="F5" s="26"/>
      <c r="G5" s="1"/>
      <c r="H5" s="1"/>
    </row>
    <row r="6" spans="1:8" x14ac:dyDescent="0.25">
      <c r="A6" s="47"/>
      <c r="B6" s="1"/>
      <c r="C6" s="1"/>
      <c r="D6" s="1"/>
      <c r="E6" s="3"/>
      <c r="F6" s="25"/>
      <c r="G6" s="3"/>
      <c r="H6" s="1"/>
    </row>
    <row r="7" spans="1:8" x14ac:dyDescent="0.25">
      <c r="A7" s="47"/>
      <c r="B7" s="1"/>
      <c r="C7" s="1"/>
      <c r="D7" s="1"/>
      <c r="E7" s="3"/>
      <c r="F7" s="3"/>
      <c r="G7" s="3"/>
      <c r="H7" s="1"/>
    </row>
    <row r="8" spans="1:8" x14ac:dyDescent="0.25">
      <c r="A8" s="47"/>
      <c r="B8" s="58" t="s">
        <v>7</v>
      </c>
      <c r="C8" s="59"/>
      <c r="D8" s="60"/>
      <c r="E8" s="3"/>
      <c r="F8" s="3"/>
      <c r="G8" s="12">
        <f>SUM(G3:G7)</f>
        <v>11040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26"/>
      <c r="G9" s="1" t="s">
        <v>5</v>
      </c>
      <c r="H9" s="1" t="s">
        <v>6</v>
      </c>
    </row>
    <row r="10" spans="1:8" x14ac:dyDescent="0.25">
      <c r="A10" s="67" t="s">
        <v>110</v>
      </c>
      <c r="B10" s="22" t="s">
        <v>116</v>
      </c>
      <c r="C10" s="22">
        <v>45</v>
      </c>
      <c r="D10" s="22">
        <v>45.9</v>
      </c>
      <c r="E10" s="22">
        <v>45</v>
      </c>
      <c r="F10" s="29" t="s">
        <v>46</v>
      </c>
      <c r="G10" s="22">
        <f>D10*E10</f>
        <v>2065.5</v>
      </c>
      <c r="H10" s="22"/>
    </row>
    <row r="11" spans="1:8" x14ac:dyDescent="0.25">
      <c r="A11" s="68"/>
      <c r="B11" s="1" t="s">
        <v>117</v>
      </c>
      <c r="C11" s="1">
        <v>10</v>
      </c>
      <c r="D11" s="1">
        <v>150</v>
      </c>
      <c r="E11" s="1">
        <v>10</v>
      </c>
      <c r="F11" s="29" t="s">
        <v>46</v>
      </c>
      <c r="G11" s="46">
        <f t="shared" ref="G11:G12" si="0">D11*E11</f>
        <v>1500</v>
      </c>
      <c r="H11" s="1"/>
    </row>
    <row r="12" spans="1:8" x14ac:dyDescent="0.25">
      <c r="A12" s="68"/>
      <c r="B12" s="1" t="s">
        <v>54</v>
      </c>
      <c r="C12" s="1">
        <v>2</v>
      </c>
      <c r="D12" s="1">
        <v>14.82</v>
      </c>
      <c r="E12" s="1">
        <v>2</v>
      </c>
      <c r="F12" s="29" t="s">
        <v>46</v>
      </c>
      <c r="G12" s="46">
        <f t="shared" si="0"/>
        <v>29.64</v>
      </c>
      <c r="H12" s="1"/>
    </row>
    <row r="13" spans="1:8" x14ac:dyDescent="0.25">
      <c r="A13" s="68"/>
      <c r="B13" s="1"/>
      <c r="C13" s="1"/>
      <c r="D13" s="1"/>
      <c r="E13" s="1"/>
      <c r="F13" s="10"/>
      <c r="G13" s="1"/>
      <c r="H13" s="1"/>
    </row>
    <row r="14" spans="1:8" x14ac:dyDescent="0.25">
      <c r="A14" s="68"/>
      <c r="B14" s="1"/>
      <c r="C14" s="1"/>
      <c r="D14" s="1"/>
      <c r="E14" s="1"/>
      <c r="F14" s="10"/>
      <c r="G14" s="1"/>
      <c r="H14" s="1"/>
    </row>
    <row r="15" spans="1:8" x14ac:dyDescent="0.25">
      <c r="A15" s="68"/>
      <c r="B15" s="15"/>
      <c r="C15" s="1"/>
      <c r="D15" s="1"/>
      <c r="E15" s="1"/>
      <c r="F15" s="1"/>
      <c r="G15" s="1"/>
      <c r="H15" s="10"/>
    </row>
    <row r="16" spans="1:8" x14ac:dyDescent="0.25">
      <c r="A16" s="69"/>
      <c r="B16" s="58" t="s">
        <v>7</v>
      </c>
      <c r="C16" s="59"/>
      <c r="D16" s="60"/>
      <c r="E16" s="3"/>
      <c r="F16" s="3"/>
      <c r="G16" s="12">
        <f>SUM(G10:G15)</f>
        <v>3595.14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7" t="s">
        <v>111</v>
      </c>
      <c r="B18" s="1" t="s">
        <v>82</v>
      </c>
      <c r="C18" s="1">
        <v>20</v>
      </c>
      <c r="D18" s="1">
        <v>60</v>
      </c>
      <c r="E18" s="1">
        <v>20</v>
      </c>
      <c r="F18" s="29" t="s">
        <v>46</v>
      </c>
      <c r="G18" s="1">
        <f>D18*E18</f>
        <v>1200</v>
      </c>
      <c r="H18" s="1"/>
    </row>
    <row r="19" spans="1:8" x14ac:dyDescent="0.25">
      <c r="A19" s="47"/>
      <c r="B19" s="1" t="s">
        <v>118</v>
      </c>
      <c r="C19" s="1">
        <v>20</v>
      </c>
      <c r="D19" s="1">
        <v>141</v>
      </c>
      <c r="E19" s="1">
        <v>20</v>
      </c>
      <c r="F19" s="29" t="s">
        <v>46</v>
      </c>
      <c r="G19" s="46">
        <f t="shared" ref="G19:G21" si="1">D19*E19</f>
        <v>2820</v>
      </c>
      <c r="H19" s="1"/>
    </row>
    <row r="20" spans="1:8" x14ac:dyDescent="0.25">
      <c r="A20" s="47"/>
      <c r="B20" s="1" t="s">
        <v>53</v>
      </c>
      <c r="C20" s="1" t="s">
        <v>119</v>
      </c>
      <c r="D20" s="1">
        <v>114</v>
      </c>
      <c r="E20" s="1">
        <v>0.5</v>
      </c>
      <c r="F20" s="29" t="s">
        <v>46</v>
      </c>
      <c r="G20" s="46">
        <f t="shared" si="1"/>
        <v>57</v>
      </c>
      <c r="H20" s="1"/>
    </row>
    <row r="21" spans="1:8" x14ac:dyDescent="0.25">
      <c r="A21" s="47"/>
      <c r="B21" s="1" t="s">
        <v>71</v>
      </c>
      <c r="C21" s="1">
        <v>1</v>
      </c>
      <c r="D21" s="1">
        <v>90</v>
      </c>
      <c r="E21" s="3">
        <v>1</v>
      </c>
      <c r="F21" s="28" t="s">
        <v>46</v>
      </c>
      <c r="G21" s="46">
        <f t="shared" si="1"/>
        <v>90</v>
      </c>
      <c r="H21" s="1"/>
    </row>
    <row r="22" spans="1:8" x14ac:dyDescent="0.25">
      <c r="A22" s="47"/>
      <c r="B22" s="58" t="s">
        <v>7</v>
      </c>
      <c r="C22" s="59"/>
      <c r="D22" s="60"/>
      <c r="E22" s="3"/>
      <c r="F22" s="3"/>
      <c r="G22" s="14">
        <f>SUM(G18:G21)</f>
        <v>4167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84"/>
      <c r="B24" s="15" t="s">
        <v>120</v>
      </c>
      <c r="C24" s="10">
        <v>4</v>
      </c>
      <c r="D24" s="10">
        <v>177</v>
      </c>
      <c r="E24" s="10">
        <v>4</v>
      </c>
      <c r="F24" s="29" t="s">
        <v>46</v>
      </c>
      <c r="G24" s="10">
        <f>D24*E24</f>
        <v>708</v>
      </c>
      <c r="H24" s="10" t="s">
        <v>18</v>
      </c>
    </row>
    <row r="25" spans="1:8" x14ac:dyDescent="0.25">
      <c r="A25" s="85"/>
      <c r="B25" s="10" t="s">
        <v>90</v>
      </c>
      <c r="C25" s="10">
        <v>30</v>
      </c>
      <c r="D25" s="10">
        <v>132</v>
      </c>
      <c r="E25" s="10">
        <v>2.5</v>
      </c>
      <c r="F25" s="26" t="s">
        <v>16</v>
      </c>
      <c r="G25" s="46">
        <f t="shared" ref="G25:G37" si="2">D25*E25</f>
        <v>330</v>
      </c>
      <c r="H25" s="10" t="s">
        <v>18</v>
      </c>
    </row>
    <row r="26" spans="1:8" x14ac:dyDescent="0.25">
      <c r="A26" s="85"/>
      <c r="B26" s="10" t="s">
        <v>121</v>
      </c>
      <c r="C26" s="10">
        <v>25</v>
      </c>
      <c r="D26" s="10">
        <v>10</v>
      </c>
      <c r="E26" s="10">
        <v>30</v>
      </c>
      <c r="F26" s="10" t="s">
        <v>73</v>
      </c>
      <c r="G26" s="46">
        <f t="shared" si="2"/>
        <v>300</v>
      </c>
      <c r="H26" s="1" t="s">
        <v>17</v>
      </c>
    </row>
    <row r="27" spans="1:8" x14ac:dyDescent="0.25">
      <c r="A27" s="85"/>
      <c r="B27" s="1" t="s">
        <v>215</v>
      </c>
      <c r="C27" s="1"/>
      <c r="D27" s="1">
        <v>4.5</v>
      </c>
      <c r="E27" s="1">
        <v>50</v>
      </c>
      <c r="F27" s="1" t="s">
        <v>216</v>
      </c>
      <c r="G27" s="46">
        <f t="shared" si="2"/>
        <v>225</v>
      </c>
      <c r="H27" s="10" t="s">
        <v>17</v>
      </c>
    </row>
    <row r="28" spans="1:8" x14ac:dyDescent="0.25">
      <c r="A28" s="85"/>
      <c r="B28" s="1" t="s">
        <v>217</v>
      </c>
      <c r="C28" s="1"/>
      <c r="D28" s="1">
        <v>170</v>
      </c>
      <c r="E28" s="1">
        <v>1</v>
      </c>
      <c r="F28" s="1" t="s">
        <v>218</v>
      </c>
      <c r="G28" s="46">
        <f t="shared" si="2"/>
        <v>170</v>
      </c>
      <c r="H28" s="10" t="s">
        <v>17</v>
      </c>
    </row>
    <row r="29" spans="1:8" x14ac:dyDescent="0.25">
      <c r="A29" s="85"/>
      <c r="B29" s="1" t="s">
        <v>219</v>
      </c>
      <c r="C29" s="1"/>
      <c r="D29" s="1">
        <v>125</v>
      </c>
      <c r="E29" s="1">
        <v>12</v>
      </c>
      <c r="F29" s="1" t="s">
        <v>220</v>
      </c>
      <c r="G29" s="46">
        <f t="shared" si="2"/>
        <v>1500</v>
      </c>
      <c r="H29" s="22"/>
    </row>
    <row r="30" spans="1:8" x14ac:dyDescent="0.25">
      <c r="A30" s="85"/>
      <c r="B30" s="1" t="s">
        <v>221</v>
      </c>
      <c r="C30" s="1"/>
      <c r="D30" s="1">
        <v>50</v>
      </c>
      <c r="E30" s="1">
        <v>1</v>
      </c>
      <c r="F30" s="1" t="s">
        <v>222</v>
      </c>
      <c r="G30" s="46">
        <f t="shared" si="2"/>
        <v>50</v>
      </c>
      <c r="H30" s="1"/>
    </row>
    <row r="31" spans="1:8" x14ac:dyDescent="0.25">
      <c r="A31" s="85"/>
      <c r="B31" s="46" t="s">
        <v>232</v>
      </c>
      <c r="C31" s="46"/>
      <c r="D31" s="46">
        <v>96.9</v>
      </c>
      <c r="E31" s="46">
        <v>8</v>
      </c>
      <c r="F31" s="46" t="s">
        <v>227</v>
      </c>
      <c r="G31" s="46">
        <f t="shared" si="2"/>
        <v>775.2</v>
      </c>
      <c r="H31" s="46"/>
    </row>
    <row r="32" spans="1:8" x14ac:dyDescent="0.25">
      <c r="A32" s="85"/>
      <c r="B32" s="46" t="s">
        <v>233</v>
      </c>
      <c r="C32" s="46"/>
      <c r="D32" s="46">
        <v>150</v>
      </c>
      <c r="E32" s="46">
        <v>1</v>
      </c>
      <c r="F32" s="46" t="s">
        <v>227</v>
      </c>
      <c r="G32" s="46">
        <f t="shared" si="2"/>
        <v>150</v>
      </c>
      <c r="H32" s="46"/>
    </row>
    <row r="33" spans="1:8" x14ac:dyDescent="0.25">
      <c r="A33" s="85"/>
      <c r="B33" s="46" t="s">
        <v>234</v>
      </c>
      <c r="C33" s="46"/>
      <c r="D33" s="46">
        <v>26.1</v>
      </c>
      <c r="E33" s="46">
        <v>5</v>
      </c>
      <c r="F33" s="46" t="s">
        <v>227</v>
      </c>
      <c r="G33" s="46">
        <f t="shared" si="2"/>
        <v>130.5</v>
      </c>
      <c r="H33" s="46"/>
    </row>
    <row r="34" spans="1:8" x14ac:dyDescent="0.25">
      <c r="A34" s="85"/>
      <c r="B34" s="46" t="s">
        <v>235</v>
      </c>
      <c r="C34" s="46"/>
      <c r="D34" s="46">
        <v>270</v>
      </c>
      <c r="E34" s="46">
        <v>1</v>
      </c>
      <c r="F34" s="46" t="s">
        <v>236</v>
      </c>
      <c r="G34" s="46">
        <f t="shared" si="2"/>
        <v>270</v>
      </c>
      <c r="H34" s="46"/>
    </row>
    <row r="35" spans="1:8" x14ac:dyDescent="0.25">
      <c r="A35" s="85"/>
      <c r="B35" s="46" t="s">
        <v>237</v>
      </c>
      <c r="C35" s="46"/>
      <c r="D35" s="46">
        <v>255</v>
      </c>
      <c r="E35" s="46">
        <v>1</v>
      </c>
      <c r="F35" s="46" t="s">
        <v>236</v>
      </c>
      <c r="G35" s="46">
        <f t="shared" si="2"/>
        <v>255</v>
      </c>
      <c r="H35" s="46"/>
    </row>
    <row r="36" spans="1:8" x14ac:dyDescent="0.25">
      <c r="A36" s="85"/>
      <c r="B36" s="46" t="s">
        <v>238</v>
      </c>
      <c r="C36" s="46"/>
      <c r="D36" s="46">
        <v>637.79999999999995</v>
      </c>
      <c r="E36" s="46">
        <v>1</v>
      </c>
      <c r="F36" s="46" t="s">
        <v>227</v>
      </c>
      <c r="G36" s="46">
        <f t="shared" si="2"/>
        <v>637.79999999999995</v>
      </c>
      <c r="H36" s="46"/>
    </row>
    <row r="37" spans="1:8" x14ac:dyDescent="0.25">
      <c r="A37" s="85"/>
      <c r="B37" s="46" t="s">
        <v>239</v>
      </c>
      <c r="C37" s="46"/>
      <c r="D37" s="46">
        <v>56.4</v>
      </c>
      <c r="E37" s="46">
        <v>20</v>
      </c>
      <c r="F37" s="46" t="s">
        <v>227</v>
      </c>
      <c r="G37" s="46">
        <f t="shared" si="2"/>
        <v>1128</v>
      </c>
      <c r="H37" s="46"/>
    </row>
    <row r="38" spans="1:8" x14ac:dyDescent="0.25">
      <c r="A38" s="86"/>
      <c r="B38" s="58" t="s">
        <v>7</v>
      </c>
      <c r="C38" s="59"/>
      <c r="D38" s="60"/>
      <c r="E38" s="3"/>
      <c r="F38" s="3"/>
      <c r="G38" s="12">
        <f>SUM(G24:G37)</f>
        <v>6629.5</v>
      </c>
      <c r="H38" s="1"/>
    </row>
    <row r="39" spans="1:8" x14ac:dyDescent="0.25">
      <c r="A39" s="1" t="s">
        <v>11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 t="s">
        <v>6</v>
      </c>
    </row>
    <row r="40" spans="1:8" x14ac:dyDescent="0.25">
      <c r="A40" s="47" t="s">
        <v>112</v>
      </c>
      <c r="B40" s="1" t="s">
        <v>113</v>
      </c>
      <c r="C40" s="1" t="s">
        <v>63</v>
      </c>
      <c r="D40" s="1"/>
      <c r="E40" s="1"/>
      <c r="F40" s="1"/>
      <c r="G40" s="1"/>
      <c r="H40" s="1"/>
    </row>
    <row r="41" spans="1:8" x14ac:dyDescent="0.25">
      <c r="A41" s="47"/>
      <c r="B41" s="1" t="s">
        <v>99</v>
      </c>
      <c r="C41" s="1" t="s">
        <v>63</v>
      </c>
      <c r="D41" s="1"/>
      <c r="E41" s="1"/>
      <c r="F41" s="1"/>
      <c r="G41" s="1"/>
      <c r="H41" s="1"/>
    </row>
    <row r="42" spans="1:8" x14ac:dyDescent="0.25">
      <c r="A42" s="47"/>
      <c r="B42" s="1"/>
      <c r="C42" s="1"/>
      <c r="D42" s="1"/>
      <c r="E42" s="1"/>
      <c r="F42" s="1"/>
      <c r="G42" s="1"/>
      <c r="H42" s="1"/>
    </row>
    <row r="43" spans="1:8" x14ac:dyDescent="0.25">
      <c r="A43" s="47"/>
      <c r="B43" s="58"/>
      <c r="C43" s="59"/>
      <c r="D43" s="60"/>
      <c r="E43" s="3"/>
      <c r="F43" s="3"/>
      <c r="G43" s="4">
        <f>SUM(G40:G42)</f>
        <v>0</v>
      </c>
      <c r="H43" s="1"/>
    </row>
    <row r="44" spans="1:8" x14ac:dyDescent="0.25">
      <c r="A44" s="1" t="s">
        <v>12</v>
      </c>
      <c r="B44" s="1" t="s">
        <v>1</v>
      </c>
      <c r="C44" s="1" t="s">
        <v>2</v>
      </c>
      <c r="D44" s="1" t="s">
        <v>3</v>
      </c>
      <c r="E44" s="3" t="s">
        <v>4</v>
      </c>
      <c r="F44" s="3"/>
      <c r="G44" s="3" t="s">
        <v>5</v>
      </c>
      <c r="H44" s="1" t="s">
        <v>6</v>
      </c>
    </row>
    <row r="45" spans="1:8" x14ac:dyDescent="0.25">
      <c r="A45" s="67"/>
      <c r="B45" s="1" t="s">
        <v>226</v>
      </c>
      <c r="C45" s="1"/>
      <c r="D45" s="1">
        <v>16.2</v>
      </c>
      <c r="E45" s="1">
        <v>65</v>
      </c>
      <c r="F45" s="1" t="s">
        <v>227</v>
      </c>
      <c r="G45" s="1">
        <f>D45*E45</f>
        <v>1053</v>
      </c>
      <c r="H45" s="1"/>
    </row>
    <row r="46" spans="1:8" x14ac:dyDescent="0.25">
      <c r="A46" s="68"/>
      <c r="B46" s="1" t="s">
        <v>228</v>
      </c>
      <c r="C46" s="1"/>
      <c r="D46" s="1">
        <v>16</v>
      </c>
      <c r="E46" s="1">
        <v>250</v>
      </c>
      <c r="F46" s="1" t="s">
        <v>229</v>
      </c>
      <c r="G46" s="46">
        <f>D46*E46</f>
        <v>4000</v>
      </c>
      <c r="H46" s="1"/>
    </row>
    <row r="47" spans="1:8" x14ac:dyDescent="0.25">
      <c r="A47" s="69"/>
      <c r="B47" s="58" t="s">
        <v>7</v>
      </c>
      <c r="C47" s="59"/>
      <c r="D47" s="60"/>
      <c r="E47" s="3"/>
      <c r="F47" s="3"/>
      <c r="G47" s="12">
        <f>SUM(G45:G46)</f>
        <v>5053</v>
      </c>
      <c r="H47" s="6"/>
    </row>
    <row r="48" spans="1:8" x14ac:dyDescent="0.25">
      <c r="A48" s="7" t="s">
        <v>13</v>
      </c>
      <c r="B48" s="1" t="s">
        <v>1</v>
      </c>
      <c r="C48" s="1" t="s">
        <v>2</v>
      </c>
      <c r="D48" s="1" t="s">
        <v>3</v>
      </c>
      <c r="E48" s="1" t="s">
        <v>4</v>
      </c>
      <c r="F48" s="1"/>
      <c r="G48" s="1" t="s">
        <v>5</v>
      </c>
      <c r="H48" s="1"/>
    </row>
    <row r="49" spans="1:8" x14ac:dyDescent="0.25">
      <c r="A49" s="47"/>
      <c r="B49" s="1" t="s">
        <v>223</v>
      </c>
      <c r="C49" s="1"/>
      <c r="D49" s="1">
        <v>60</v>
      </c>
      <c r="E49" s="1">
        <v>2</v>
      </c>
      <c r="F49" s="1" t="s">
        <v>222</v>
      </c>
      <c r="G49" s="1">
        <f>D49*E49</f>
        <v>120</v>
      </c>
      <c r="H49" s="1"/>
    </row>
    <row r="50" spans="1:8" x14ac:dyDescent="0.25">
      <c r="A50" s="47"/>
      <c r="B50" s="1" t="s">
        <v>224</v>
      </c>
      <c r="C50" s="1"/>
      <c r="D50" s="1">
        <v>80</v>
      </c>
      <c r="E50" s="1">
        <v>1</v>
      </c>
      <c r="F50" s="1" t="s">
        <v>220</v>
      </c>
      <c r="G50" s="46">
        <f t="shared" ref="G50:G52" si="3">D50*E50</f>
        <v>80</v>
      </c>
      <c r="H50" s="1"/>
    </row>
    <row r="51" spans="1:8" x14ac:dyDescent="0.25">
      <c r="A51" s="47"/>
      <c r="B51" s="1" t="s">
        <v>225</v>
      </c>
      <c r="C51" s="1"/>
      <c r="D51" s="1">
        <v>270</v>
      </c>
      <c r="E51" s="1"/>
      <c r="F51" s="1"/>
      <c r="G51" s="46">
        <f t="shared" si="3"/>
        <v>0</v>
      </c>
      <c r="H51" s="1"/>
    </row>
    <row r="52" spans="1:8" x14ac:dyDescent="0.25">
      <c r="A52" s="47"/>
      <c r="B52" s="1" t="s">
        <v>230</v>
      </c>
      <c r="C52" s="1"/>
      <c r="D52" s="1">
        <v>37</v>
      </c>
      <c r="E52" s="1">
        <v>20</v>
      </c>
      <c r="F52" s="1" t="s">
        <v>231</v>
      </c>
      <c r="G52" s="46">
        <f t="shared" si="3"/>
        <v>740</v>
      </c>
      <c r="H52" s="1"/>
    </row>
    <row r="53" spans="1:8" x14ac:dyDescent="0.25">
      <c r="A53" s="47"/>
      <c r="B53" s="58" t="s">
        <v>7</v>
      </c>
      <c r="C53" s="59"/>
      <c r="D53" s="60"/>
      <c r="E53" s="3"/>
      <c r="F53" s="3"/>
      <c r="G53" s="14">
        <f>SUM(G49:G52)</f>
        <v>940</v>
      </c>
      <c r="H53" s="1"/>
    </row>
    <row r="54" spans="1:8" ht="17.25" thickBot="1" x14ac:dyDescent="0.3">
      <c r="A54" s="1"/>
      <c r="B54" s="64" t="s">
        <v>14</v>
      </c>
      <c r="C54" s="65"/>
      <c r="D54" s="66"/>
      <c r="E54" s="8"/>
      <c r="F54" s="8"/>
      <c r="G54" s="9">
        <f>G53+G47+G43+G22+G16+G8+G38</f>
        <v>31424.639999999999</v>
      </c>
      <c r="H54" s="1"/>
    </row>
    <row r="55" spans="1:8" x14ac:dyDescent="0.25">
      <c r="A55" s="74" t="s">
        <v>131</v>
      </c>
      <c r="B55" s="77" t="s">
        <v>132</v>
      </c>
      <c r="C55" s="77"/>
      <c r="D55" s="77"/>
      <c r="E55" s="78" t="s">
        <v>133</v>
      </c>
      <c r="F55" s="79"/>
      <c r="G55" s="80"/>
      <c r="H55" s="33" t="s">
        <v>134</v>
      </c>
    </row>
    <row r="56" spans="1:8" x14ac:dyDescent="0.25">
      <c r="A56" s="75"/>
      <c r="B56" s="56" t="s">
        <v>240</v>
      </c>
      <c r="C56" s="54"/>
      <c r="D56" s="54"/>
      <c r="E56" s="34" t="s">
        <v>135</v>
      </c>
      <c r="F56" s="82"/>
      <c r="G56" s="83"/>
      <c r="H56" s="70" t="s">
        <v>136</v>
      </c>
    </row>
    <row r="57" spans="1:8" ht="17.25" thickBot="1" x14ac:dyDescent="0.3">
      <c r="A57" s="76"/>
      <c r="B57" s="81"/>
      <c r="C57" s="81"/>
      <c r="D57" s="81"/>
      <c r="E57" s="35" t="s">
        <v>137</v>
      </c>
      <c r="F57" s="72" t="s">
        <v>241</v>
      </c>
      <c r="G57" s="73"/>
      <c r="H57" s="71"/>
    </row>
  </sheetData>
  <mergeCells count="23">
    <mergeCell ref="H56:H57"/>
    <mergeCell ref="F57:G57"/>
    <mergeCell ref="A55:A57"/>
    <mergeCell ref="B55:D55"/>
    <mergeCell ref="E55:G55"/>
    <mergeCell ref="B56:D57"/>
    <mergeCell ref="F56:G56"/>
    <mergeCell ref="A49:A53"/>
    <mergeCell ref="B53:D53"/>
    <mergeCell ref="B54:D54"/>
    <mergeCell ref="B38:D38"/>
    <mergeCell ref="A40:A43"/>
    <mergeCell ref="B43:D43"/>
    <mergeCell ref="A45:A47"/>
    <mergeCell ref="B47:D47"/>
    <mergeCell ref="A24:A38"/>
    <mergeCell ref="A18:A22"/>
    <mergeCell ref="B22:D22"/>
    <mergeCell ref="A1:H1"/>
    <mergeCell ref="A3:A8"/>
    <mergeCell ref="B8:D8"/>
    <mergeCell ref="B16:D16"/>
    <mergeCell ref="A10:A16"/>
  </mergeCells>
  <phoneticPr fontId="2" type="noConversion"/>
  <pageMargins left="0.7" right="0.7" top="0.75" bottom="0.75" header="0.3" footer="0.3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0209</vt:lpstr>
      <vt:lpstr>0210</vt:lpstr>
      <vt:lpstr>0211</vt:lpstr>
      <vt:lpstr>0212</vt:lpstr>
      <vt:lpstr>0213</vt:lpstr>
      <vt:lpstr>'0209'!Print_Area</vt:lpstr>
      <vt:lpstr>'0210'!Print_Area</vt:lpstr>
      <vt:lpstr>'0211'!Print_Area</vt:lpstr>
      <vt:lpstr>'0212'!Print_Area</vt:lpstr>
      <vt:lpstr>'0213'!Print_Area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2026-02-13T06:46:13Z</cp:lastPrinted>
  <dcterms:created xsi:type="dcterms:W3CDTF">2025-02-19T17:01:12Z</dcterms:created>
  <dcterms:modified xsi:type="dcterms:W3CDTF">2026-02-13T06:46:32Z</dcterms:modified>
</cp:coreProperties>
</file>