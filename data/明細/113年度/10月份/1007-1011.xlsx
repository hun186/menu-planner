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10月份\"/>
    </mc:Choice>
  </mc:AlternateContent>
  <bookViews>
    <workbookView xWindow="0" yWindow="0" windowWidth="28800" windowHeight="12255" activeTab="2"/>
  </bookViews>
  <sheets>
    <sheet name="1007" sheetId="1" r:id="rId1"/>
    <sheet name="1008" sheetId="3" r:id="rId2"/>
    <sheet name="1009" sheetId="4" r:id="rId3"/>
    <sheet name="1011" sheetId="2" r:id="rId4"/>
  </sheets>
  <definedNames>
    <definedName name="_xlnm.Print_Area" localSheetId="2">'1009'!$A$1:$H$52</definedName>
    <definedName name="_xlnm.Print_Area" localSheetId="3">'1011'!$A$1:$H$42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3" i="4" l="1"/>
  <c r="G52" i="4" l="1"/>
  <c r="G41" i="4"/>
  <c r="G42" i="2" l="1"/>
  <c r="G41" i="2"/>
  <c r="G37" i="2"/>
  <c r="G38" i="2"/>
  <c r="G39" i="2"/>
  <c r="G40" i="2"/>
  <c r="G36" i="2"/>
  <c r="G26" i="2"/>
  <c r="G25" i="2"/>
  <c r="G23" i="2"/>
  <c r="G24" i="2"/>
  <c r="G34" i="2"/>
  <c r="G33" i="2"/>
  <c r="G32" i="2"/>
  <c r="G22" i="2"/>
  <c r="G20" i="2"/>
  <c r="G17" i="2"/>
  <c r="G18" i="2"/>
  <c r="G16" i="2"/>
  <c r="G14" i="2"/>
  <c r="G10" i="2"/>
  <c r="G11" i="2"/>
  <c r="G12" i="2"/>
  <c r="G13" i="2"/>
  <c r="G30" i="2"/>
  <c r="G29" i="2"/>
  <c r="G28" i="2"/>
  <c r="G9" i="2"/>
  <c r="G7" i="2"/>
  <c r="G4" i="2"/>
  <c r="G5" i="2"/>
  <c r="G3" i="2"/>
  <c r="G51" i="4" l="1"/>
  <c r="G44" i="4"/>
  <c r="G33" i="4"/>
  <c r="G32" i="4"/>
  <c r="G28" i="4"/>
  <c r="G29" i="4"/>
  <c r="G30" i="4"/>
  <c r="G31" i="4"/>
  <c r="G27" i="4"/>
  <c r="G26" i="4"/>
  <c r="G25" i="4"/>
  <c r="G39" i="4"/>
  <c r="G13" i="4"/>
  <c r="G9" i="4"/>
  <c r="G3" i="4"/>
  <c r="G7" i="4" s="1"/>
  <c r="G47" i="4"/>
  <c r="G48" i="4"/>
  <c r="G49" i="4"/>
  <c r="G50" i="4"/>
  <c r="G46" i="4"/>
  <c r="G43" i="4"/>
  <c r="G23" i="4"/>
  <c r="G24" i="4"/>
  <c r="G37" i="4"/>
  <c r="G38" i="4"/>
  <c r="G36" i="4"/>
  <c r="G22" i="4"/>
  <c r="G21" i="4"/>
  <c r="G42" i="4"/>
  <c r="G10" i="4"/>
  <c r="G34" i="4" l="1"/>
</calcChain>
</file>

<file path=xl/sharedStrings.xml><?xml version="1.0" encoding="utf-8"?>
<sst xmlns="http://schemas.openxmlformats.org/spreadsheetml/2006/main" count="384" uniqueCount="140">
  <si>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</si>
  <si>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</si>
  <si>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</si>
  <si>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</si>
  <si>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</si>
  <si>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</si>
  <si>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</si>
  <si>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</si>
  <si>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蛋</t>
    <phoneticPr fontId="2" type="noConversion"/>
  </si>
  <si>
    <t>1件</t>
    <phoneticPr fontId="2" type="noConversion"/>
  </si>
  <si>
    <t>木耳絲</t>
    <phoneticPr fontId="2" type="noConversion"/>
  </si>
  <si>
    <t>10斤</t>
    <phoneticPr fontId="2" type="noConversion"/>
  </si>
  <si>
    <t>紅蘿蔔絲</t>
    <phoneticPr fontId="2" type="noConversion"/>
  </si>
  <si>
    <t>3斤</t>
    <phoneticPr fontId="2" type="noConversion"/>
  </si>
  <si>
    <t>去皮洋蔥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</si>
  <si>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</si>
  <si>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5斤</t>
    <phoneticPr fontId="2" type="noConversion"/>
  </si>
  <si>
    <t>雜貨</t>
    <phoneticPr fontId="2" type="noConversion"/>
  </si>
  <si>
    <t>湯品</t>
    <phoneticPr fontId="2" type="noConversion"/>
  </si>
  <si>
    <t>4.3豆腐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</si>
  <si>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</si>
  <si>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</si>
  <si>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</si>
  <si>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113年      10月   7日      午餐明細表</t>
    <phoneticPr fontId="2" type="noConversion"/>
  </si>
  <si>
    <t>電訊科技中心(安康營區)     113年      10月   8日      午餐明細表</t>
    <phoneticPr fontId="2" type="noConversion"/>
  </si>
  <si>
    <t>電訊科技中心(安康營區)     113年      10月   9日      午餐明細表</t>
    <phoneticPr fontId="2" type="noConversion"/>
  </si>
  <si>
    <t>電訊科技中心(安康營區)     113年      10月   11日      午餐明細表</t>
    <phoneticPr fontId="2" type="noConversion"/>
  </si>
  <si>
    <t>起司豬排</t>
    <phoneticPr fontId="2" type="noConversion"/>
  </si>
  <si>
    <t>洋蔥炒蛋</t>
    <phoneticPr fontId="2" type="noConversion"/>
  </si>
  <si>
    <t>麻婆豆腐</t>
    <phoneticPr fontId="2" type="noConversion"/>
  </si>
  <si>
    <t>榨菜筍片湯</t>
    <phoneticPr fontId="2" type="noConversion"/>
  </si>
  <si>
    <t>烤腿排</t>
    <phoneticPr fontId="2" type="noConversion"/>
  </si>
  <si>
    <t>培根青花菜</t>
    <phoneticPr fontId="2" type="noConversion"/>
  </si>
  <si>
    <t>大黃瓜炒竹輪</t>
    <phoneticPr fontId="2" type="noConversion"/>
  </si>
  <si>
    <t>紫菜蛋花湯</t>
    <phoneticPr fontId="2" type="noConversion"/>
  </si>
  <si>
    <t>橙汁魚片</t>
    <phoneticPr fontId="2" type="noConversion"/>
  </si>
  <si>
    <t>絲瓜油條</t>
    <phoneticPr fontId="2" type="noConversion"/>
  </si>
  <si>
    <t>白蘿蔔貢丸湯</t>
    <phoneticPr fontId="2" type="noConversion"/>
  </si>
  <si>
    <t>沙茶燴飯</t>
    <phoneticPr fontId="2" type="noConversion"/>
  </si>
  <si>
    <t>蒜泥肉片</t>
    <phoneticPr fontId="2" type="noConversion"/>
  </si>
  <si>
    <t>薑絲炒木耳</t>
    <phoneticPr fontId="2" type="noConversion"/>
  </si>
  <si>
    <t>三色玉米</t>
    <phoneticPr fontId="2" type="noConversion"/>
  </si>
  <si>
    <t>檸檬愛玉冰</t>
    <phoneticPr fontId="2" type="noConversion"/>
  </si>
  <si>
    <t>檸檬汁</t>
    <phoneticPr fontId="2" type="noConversion"/>
  </si>
  <si>
    <t>愛玉</t>
    <phoneticPr fontId="2" type="noConversion"/>
  </si>
  <si>
    <t>20斤</t>
    <phoneticPr fontId="2" type="noConversion"/>
  </si>
  <si>
    <t>3瓶</t>
    <phoneticPr fontId="2" type="noConversion"/>
  </si>
  <si>
    <t>240片</t>
    <phoneticPr fontId="2" type="noConversion"/>
  </si>
  <si>
    <t>絞肉</t>
    <phoneticPr fontId="2" type="noConversion"/>
  </si>
  <si>
    <t>6板</t>
    <phoneticPr fontId="2" type="noConversion"/>
  </si>
  <si>
    <t>榨菜絲</t>
    <phoneticPr fontId="2" type="noConversion"/>
  </si>
  <si>
    <t>桶筍片</t>
    <phoneticPr fontId="2" type="noConversion"/>
  </si>
  <si>
    <t>12斤</t>
    <phoneticPr fontId="2" type="noConversion"/>
  </si>
  <si>
    <t>腿排</t>
    <phoneticPr fontId="2" type="noConversion"/>
  </si>
  <si>
    <t>270個</t>
    <phoneticPr fontId="2" type="noConversion"/>
  </si>
  <si>
    <t>培根碎</t>
    <phoneticPr fontId="2" type="noConversion"/>
  </si>
  <si>
    <t>2包</t>
    <phoneticPr fontId="2" type="noConversion"/>
  </si>
  <si>
    <t>冷凍青花菜</t>
    <phoneticPr fontId="2" type="noConversion"/>
  </si>
  <si>
    <t>3件</t>
    <phoneticPr fontId="2" type="noConversion"/>
  </si>
  <si>
    <t>去皮大黃瓜</t>
    <phoneticPr fontId="2" type="noConversion"/>
  </si>
  <si>
    <t>竹輪</t>
    <phoneticPr fontId="2" type="noConversion"/>
  </si>
  <si>
    <t>川耳</t>
    <phoneticPr fontId="2" type="noConversion"/>
  </si>
  <si>
    <t>55斤</t>
    <phoneticPr fontId="2" type="noConversion"/>
  </si>
  <si>
    <t>8包</t>
    <phoneticPr fontId="2" type="noConversion"/>
  </si>
  <si>
    <t>4斤</t>
    <phoneticPr fontId="2" type="noConversion"/>
  </si>
  <si>
    <t>紫菜</t>
    <phoneticPr fontId="2" type="noConversion"/>
  </si>
  <si>
    <t>1包</t>
    <phoneticPr fontId="2" type="noConversion"/>
  </si>
  <si>
    <t>庫存</t>
    <phoneticPr fontId="2" type="noConversion"/>
  </si>
  <si>
    <t>鯛魚片</t>
    <phoneticPr fontId="2" type="noConversion"/>
  </si>
  <si>
    <t>香奎克</t>
    <phoneticPr fontId="2" type="noConversion"/>
  </si>
  <si>
    <t>145片</t>
    <phoneticPr fontId="2" type="noConversion"/>
  </si>
  <si>
    <t>1瓶</t>
    <phoneticPr fontId="2" type="noConversion"/>
  </si>
  <si>
    <t>去皮絲瓜</t>
    <phoneticPr fontId="2" type="noConversion"/>
  </si>
  <si>
    <t>老油條</t>
    <phoneticPr fontId="2" type="noConversion"/>
  </si>
  <si>
    <t>20支</t>
    <phoneticPr fontId="2" type="noConversion"/>
  </si>
  <si>
    <t>白蘿蔔</t>
    <phoneticPr fontId="2" type="noConversion"/>
  </si>
  <si>
    <t>小貢丸</t>
    <phoneticPr fontId="2" type="noConversion"/>
  </si>
  <si>
    <t>豬肉片</t>
    <phoneticPr fontId="2" type="noConversion"/>
  </si>
  <si>
    <t>金針菇</t>
    <phoneticPr fontId="2" type="noConversion"/>
  </si>
  <si>
    <t>蒜泥</t>
    <phoneticPr fontId="2" type="noConversion"/>
  </si>
  <si>
    <t>五花肉片</t>
    <phoneticPr fontId="2" type="noConversion"/>
  </si>
  <si>
    <t>2斤</t>
    <phoneticPr fontId="2" type="noConversion"/>
  </si>
  <si>
    <t>30斤</t>
    <phoneticPr fontId="2" type="noConversion"/>
  </si>
  <si>
    <t>薑絲</t>
    <phoneticPr fontId="2" type="noConversion"/>
  </si>
  <si>
    <t>薑</t>
    <phoneticPr fontId="2" type="noConversion"/>
  </si>
  <si>
    <t>木耳</t>
    <phoneticPr fontId="2" type="noConversion"/>
  </si>
  <si>
    <t>1斤</t>
    <phoneticPr fontId="2" type="noConversion"/>
  </si>
  <si>
    <t>15斤</t>
    <phoneticPr fontId="2" type="noConversion"/>
  </si>
  <si>
    <t>筍絲</t>
    <phoneticPr fontId="2" type="noConversion"/>
  </si>
  <si>
    <t>冷凍玉米粒</t>
    <phoneticPr fontId="2" type="noConversion"/>
  </si>
  <si>
    <t>冷凍洋芋丁</t>
    <phoneticPr fontId="2" type="noConversion"/>
  </si>
  <si>
    <t>小黃瓜</t>
    <phoneticPr fontId="2" type="noConversion"/>
  </si>
  <si>
    <t>6包</t>
    <phoneticPr fontId="2" type="noConversion"/>
  </si>
  <si>
    <t>8斤</t>
    <phoneticPr fontId="2" type="noConversion"/>
  </si>
  <si>
    <t>香蕉</t>
    <phoneticPr fontId="2" type="noConversion"/>
  </si>
  <si>
    <t>訂貨數量</t>
    <phoneticPr fontId="2" type="noConversion"/>
  </si>
  <si>
    <t>斤</t>
    <phoneticPr fontId="2" type="noConversion"/>
  </si>
  <si>
    <t>條</t>
    <phoneticPr fontId="2" type="noConversion"/>
  </si>
  <si>
    <t>冷凍青花菜</t>
    <phoneticPr fontId="2" type="noConversion"/>
  </si>
  <si>
    <t>包</t>
    <phoneticPr fontId="2" type="noConversion"/>
  </si>
  <si>
    <t>起司豬排</t>
    <phoneticPr fontId="2" type="noConversion"/>
  </si>
  <si>
    <t>件</t>
    <phoneticPr fontId="2" type="noConversion"/>
  </si>
  <si>
    <t>花枝排</t>
    <phoneticPr fontId="2" type="noConversion"/>
  </si>
  <si>
    <t>味噌</t>
    <phoneticPr fontId="2" type="noConversion"/>
  </si>
  <si>
    <t>杏鮑菇</t>
    <phoneticPr fontId="2" type="noConversion"/>
  </si>
  <si>
    <t>鮮木耳</t>
    <phoneticPr fontId="2" type="noConversion"/>
  </si>
  <si>
    <t>無骨香雞排</t>
    <phoneticPr fontId="2" type="noConversion"/>
  </si>
  <si>
    <t>庫存</t>
    <phoneticPr fontId="2" type="noConversion"/>
  </si>
  <si>
    <t>水餃</t>
    <phoneticPr fontId="2" type="noConversion"/>
  </si>
  <si>
    <t>醬油</t>
    <phoneticPr fontId="2" type="noConversion"/>
  </si>
  <si>
    <t>桶</t>
    <phoneticPr fontId="2" type="noConversion"/>
  </si>
  <si>
    <t>蠔油</t>
    <phoneticPr fontId="2" type="noConversion"/>
  </si>
  <si>
    <t>辣椒</t>
    <phoneticPr fontId="2" type="noConversion"/>
  </si>
  <si>
    <t>蒜仁</t>
    <phoneticPr fontId="2" type="noConversion"/>
  </si>
  <si>
    <t>味霖</t>
    <phoneticPr fontId="2" type="noConversion"/>
  </si>
  <si>
    <t>番茄醬</t>
    <phoneticPr fontId="2" type="noConversion"/>
  </si>
  <si>
    <t>調理米酒</t>
    <phoneticPr fontId="2" type="noConversion"/>
  </si>
  <si>
    <t>瓶</t>
    <phoneticPr fontId="2" type="noConversion"/>
  </si>
  <si>
    <t>洗選蛋</t>
    <phoneticPr fontId="2" type="noConversion"/>
  </si>
  <si>
    <t>訂貨數量</t>
    <phoneticPr fontId="2" type="noConversion"/>
  </si>
  <si>
    <t>斤</t>
    <phoneticPr fontId="2" type="noConversion"/>
  </si>
  <si>
    <t>包</t>
    <phoneticPr fontId="2" type="noConversion"/>
  </si>
  <si>
    <t>罐</t>
    <phoneticPr fontId="2" type="noConversion"/>
  </si>
  <si>
    <t>鍋貼</t>
    <phoneticPr fontId="2" type="noConversion"/>
  </si>
  <si>
    <t>個</t>
    <phoneticPr fontId="2" type="noConversion"/>
  </si>
  <si>
    <t>紅茶鋁箔包</t>
    <phoneticPr fontId="2" type="noConversion"/>
  </si>
  <si>
    <t>件</t>
    <phoneticPr fontId="2" type="noConversion"/>
  </si>
  <si>
    <t>厚片吐司</t>
    <phoneticPr fontId="2" type="noConversion"/>
  </si>
  <si>
    <t>紅豆芝麻球</t>
    <phoneticPr fontId="2" type="noConversion"/>
  </si>
  <si>
    <t>高鮮味素</t>
    <phoneticPr fontId="2" type="noConversion"/>
  </si>
  <si>
    <t>盒</t>
    <phoneticPr fontId="2" type="noConversion"/>
  </si>
  <si>
    <t>條</t>
    <phoneticPr fontId="2" type="noConversion"/>
  </si>
  <si>
    <t>桶</t>
    <phoneticPr fontId="2" type="noConversion"/>
  </si>
  <si>
    <t>去皮洋蔥</t>
    <phoneticPr fontId="2" type="noConversion"/>
  </si>
  <si>
    <t>綠豆芽</t>
    <phoneticPr fontId="2" type="noConversion"/>
  </si>
  <si>
    <t>大西瓜</t>
    <phoneticPr fontId="2" type="noConversion"/>
  </si>
  <si>
    <t>二砂</t>
    <phoneticPr fontId="2" type="noConversion"/>
  </si>
  <si>
    <t>沙拉油</t>
    <phoneticPr fontId="2" type="noConversion"/>
  </si>
  <si>
    <t>袋</t>
    <phoneticPr fontId="2" type="noConversion"/>
  </si>
  <si>
    <t>吐司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</si>
</sst>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C28" sqref="C28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22" t="s">
        <v>23</v>
      </c>
      <c r="B1" s="23"/>
      <c r="C1" s="23"/>
      <c r="D1" s="23"/>
      <c r="E1" s="23"/>
      <c r="F1" s="24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18" t="s">
        <v>27</v>
      </c>
      <c r="B3" s="1" t="s">
        <v>27</v>
      </c>
      <c r="C3" s="1" t="s">
        <v>47</v>
      </c>
      <c r="D3" s="1"/>
      <c r="E3" s="1"/>
      <c r="F3" s="1"/>
    </row>
    <row r="4" spans="1:6" x14ac:dyDescent="0.25">
      <c r="A4" s="18"/>
      <c r="B4" s="1"/>
      <c r="C4" s="1"/>
      <c r="D4" s="1"/>
      <c r="E4" s="1"/>
      <c r="F4" s="1"/>
    </row>
    <row r="5" spans="1:6" x14ac:dyDescent="0.25">
      <c r="A5" s="18"/>
      <c r="B5" s="1"/>
      <c r="C5" s="1"/>
      <c r="D5" s="1"/>
      <c r="E5" s="1"/>
      <c r="F5" s="1"/>
    </row>
    <row r="6" spans="1:6" x14ac:dyDescent="0.25">
      <c r="A6" s="18"/>
      <c r="B6" s="1"/>
      <c r="C6" s="1"/>
      <c r="D6" s="1"/>
      <c r="E6" s="3"/>
      <c r="F6" s="1"/>
    </row>
    <row r="7" spans="1:6" x14ac:dyDescent="0.25">
      <c r="A7" s="18"/>
      <c r="B7" s="19" t="s">
        <v>6</v>
      </c>
      <c r="C7" s="20"/>
      <c r="D7" s="21"/>
      <c r="E7" s="3"/>
      <c r="F7" s="1"/>
    </row>
    <row r="8" spans="1:6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25">
      <c r="A9" s="18" t="s">
        <v>28</v>
      </c>
      <c r="B9" s="1" t="s">
        <v>14</v>
      </c>
      <c r="C9" s="1" t="s">
        <v>45</v>
      </c>
      <c r="D9" s="1"/>
      <c r="E9" s="1"/>
      <c r="F9" s="1"/>
    </row>
    <row r="10" spans="1:6" x14ac:dyDescent="0.25">
      <c r="A10" s="18"/>
      <c r="B10" s="1" t="s">
        <v>8</v>
      </c>
      <c r="C10" s="1" t="s">
        <v>9</v>
      </c>
      <c r="D10" s="1"/>
      <c r="E10" s="1"/>
      <c r="F10" s="1"/>
    </row>
    <row r="11" spans="1:6" x14ac:dyDescent="0.25">
      <c r="A11" s="18"/>
      <c r="B11" s="1"/>
      <c r="C11" s="1"/>
      <c r="D11" s="1"/>
      <c r="E11" s="1"/>
      <c r="F11" s="1"/>
    </row>
    <row r="12" spans="1:6" x14ac:dyDescent="0.25">
      <c r="A12" s="18"/>
      <c r="B12" s="1"/>
      <c r="C12" s="1"/>
      <c r="D12" s="1"/>
      <c r="E12" s="1"/>
      <c r="F12" s="1"/>
    </row>
    <row r="13" spans="1:6" x14ac:dyDescent="0.25">
      <c r="A13" s="18"/>
      <c r="B13" s="19" t="s">
        <v>6</v>
      </c>
      <c r="C13" s="20"/>
      <c r="D13" s="21"/>
      <c r="E13" s="3"/>
      <c r="F13" s="1"/>
    </row>
    <row r="14" spans="1:6" x14ac:dyDescent="0.25">
      <c r="A14" s="1" t="s">
        <v>15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x14ac:dyDescent="0.25">
      <c r="A15" s="18" t="s">
        <v>29</v>
      </c>
      <c r="B15" s="1" t="s">
        <v>19</v>
      </c>
      <c r="C15" s="1" t="s">
        <v>49</v>
      </c>
      <c r="D15" s="1"/>
      <c r="E15" s="1"/>
      <c r="F15" s="1"/>
    </row>
    <row r="16" spans="1:6" x14ac:dyDescent="0.25">
      <c r="A16" s="18"/>
      <c r="B16" s="1" t="s">
        <v>48</v>
      </c>
      <c r="C16" s="1" t="s">
        <v>11</v>
      </c>
      <c r="D16" s="1"/>
      <c r="E16" s="1"/>
      <c r="F16" s="1"/>
    </row>
    <row r="17" spans="1:6" x14ac:dyDescent="0.25">
      <c r="A17" s="18"/>
      <c r="B17" s="1"/>
      <c r="C17" s="1"/>
      <c r="D17" s="1"/>
      <c r="E17" s="1"/>
      <c r="F17" s="1"/>
    </row>
    <row r="18" spans="1:6" x14ac:dyDescent="0.25">
      <c r="A18" s="18"/>
      <c r="B18" s="1"/>
      <c r="C18" s="1"/>
      <c r="D18" s="1"/>
      <c r="E18" s="3"/>
      <c r="F18" s="1"/>
    </row>
    <row r="19" spans="1:6" x14ac:dyDescent="0.25">
      <c r="A19" s="18"/>
      <c r="B19" s="19" t="s">
        <v>6</v>
      </c>
      <c r="C19" s="20"/>
      <c r="D19" s="21"/>
      <c r="E19" s="3"/>
      <c r="F19" s="1"/>
    </row>
    <row r="20" spans="1:6" x14ac:dyDescent="0.25">
      <c r="A20" s="5" t="s">
        <v>17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x14ac:dyDescent="0.25">
      <c r="A21" s="18"/>
      <c r="B21" s="1"/>
      <c r="C21" s="1"/>
      <c r="D21" s="1"/>
      <c r="E21" s="1"/>
      <c r="F21" s="1"/>
    </row>
    <row r="22" spans="1:6" x14ac:dyDescent="0.25">
      <c r="A22" s="18"/>
      <c r="B22" s="1"/>
      <c r="C22" s="1"/>
      <c r="D22" s="1"/>
      <c r="E22" s="1"/>
      <c r="F22" s="1"/>
    </row>
    <row r="23" spans="1:6" x14ac:dyDescent="0.25">
      <c r="A23" s="18"/>
      <c r="B23" s="1"/>
      <c r="C23" s="1"/>
      <c r="D23" s="1"/>
      <c r="E23" s="1"/>
      <c r="F23" s="1"/>
    </row>
    <row r="24" spans="1:6" x14ac:dyDescent="0.25">
      <c r="A24" s="18"/>
      <c r="B24" s="1"/>
      <c r="C24" s="1"/>
      <c r="D24" s="1"/>
      <c r="E24" s="1"/>
      <c r="F24" s="1"/>
    </row>
    <row r="25" spans="1:6" x14ac:dyDescent="0.25">
      <c r="A25" s="18"/>
      <c r="B25" s="19" t="s">
        <v>6</v>
      </c>
      <c r="C25" s="20"/>
      <c r="D25" s="21"/>
      <c r="E25" s="3"/>
      <c r="F25" s="1"/>
    </row>
    <row r="26" spans="1:6" x14ac:dyDescent="0.25">
      <c r="A26" s="1" t="s">
        <v>18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x14ac:dyDescent="0.25">
      <c r="A27" s="18" t="s">
        <v>30</v>
      </c>
      <c r="B27" s="1" t="s">
        <v>50</v>
      </c>
      <c r="C27" s="1" t="s">
        <v>16</v>
      </c>
      <c r="D27" s="1"/>
      <c r="E27" s="1"/>
      <c r="F27" s="1"/>
    </row>
    <row r="28" spans="1:6" x14ac:dyDescent="0.25">
      <c r="A28" s="18"/>
      <c r="B28" s="1" t="s">
        <v>51</v>
      </c>
      <c r="C28" s="1" t="s">
        <v>52</v>
      </c>
      <c r="D28" s="1"/>
      <c r="E28" s="1"/>
      <c r="F28" s="1"/>
    </row>
    <row r="29" spans="1:6" x14ac:dyDescent="0.25">
      <c r="A29" s="18"/>
      <c r="B29" s="19"/>
      <c r="C29" s="20"/>
      <c r="D29" s="21"/>
      <c r="E29" s="3"/>
      <c r="F29" s="1"/>
    </row>
    <row r="30" spans="1:6" x14ac:dyDescent="0.25">
      <c r="A30" s="1" t="s">
        <v>20</v>
      </c>
      <c r="B30" s="1" t="s">
        <v>1</v>
      </c>
      <c r="C30" s="1" t="s">
        <v>2</v>
      </c>
      <c r="D30" s="1" t="s">
        <v>3</v>
      </c>
      <c r="E30" s="3" t="s">
        <v>4</v>
      </c>
      <c r="F30" s="1" t="s">
        <v>5</v>
      </c>
    </row>
    <row r="31" spans="1:6" x14ac:dyDescent="0.25">
      <c r="A31" s="28"/>
      <c r="B31" s="1"/>
      <c r="C31" s="1"/>
      <c r="D31" s="1"/>
      <c r="E31" s="1"/>
      <c r="F31" s="1"/>
    </row>
    <row r="32" spans="1:6" x14ac:dyDescent="0.25">
      <c r="A32" s="29"/>
      <c r="B32" s="1"/>
      <c r="C32" s="1"/>
      <c r="D32" s="1"/>
      <c r="E32" s="1"/>
      <c r="F32" s="1"/>
    </row>
    <row r="33" spans="1:6" x14ac:dyDescent="0.25">
      <c r="A33" s="30"/>
      <c r="B33" s="19" t="s">
        <v>6</v>
      </c>
      <c r="C33" s="20"/>
      <c r="D33" s="21"/>
      <c r="E33" s="3"/>
      <c r="F33" s="6"/>
    </row>
    <row r="34" spans="1:6" x14ac:dyDescent="0.25">
      <c r="A34" s="7" t="s">
        <v>21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x14ac:dyDescent="0.25">
      <c r="A35" s="18"/>
      <c r="B35" s="1"/>
      <c r="C35" s="1"/>
      <c r="D35" s="1"/>
      <c r="E35" s="1"/>
      <c r="F35" s="1"/>
    </row>
    <row r="36" spans="1:6" x14ac:dyDescent="0.25">
      <c r="A36" s="18"/>
      <c r="B36" s="1"/>
      <c r="C36" s="1"/>
      <c r="D36" s="1"/>
      <c r="E36" s="1"/>
      <c r="F36" s="1"/>
    </row>
    <row r="37" spans="1:6" x14ac:dyDescent="0.25">
      <c r="A37" s="18"/>
      <c r="B37" s="1"/>
      <c r="C37" s="1"/>
      <c r="D37" s="1"/>
      <c r="E37" s="1"/>
      <c r="F37" s="1"/>
    </row>
    <row r="38" spans="1:6" x14ac:dyDescent="0.25">
      <c r="A38" s="18"/>
      <c r="B38" s="1"/>
      <c r="C38" s="1"/>
      <c r="D38" s="1"/>
      <c r="E38" s="1"/>
      <c r="F38" s="1"/>
    </row>
    <row r="39" spans="1:6" x14ac:dyDescent="0.25">
      <c r="A39" s="18"/>
      <c r="B39" s="19" t="s">
        <v>6</v>
      </c>
      <c r="C39" s="20"/>
      <c r="D39" s="21"/>
      <c r="E39" s="3"/>
      <c r="F39" s="1"/>
    </row>
    <row r="40" spans="1:6" x14ac:dyDescent="0.25">
      <c r="A40" s="1"/>
      <c r="B40" s="25" t="s">
        <v>22</v>
      </c>
      <c r="C40" s="26"/>
      <c r="D40" s="27"/>
      <c r="E40" s="8"/>
      <c r="F40" s="1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5:A19"/>
    <mergeCell ref="B19:D19"/>
    <mergeCell ref="A1:F1"/>
    <mergeCell ref="A3:A7"/>
    <mergeCell ref="B7:D7"/>
    <mergeCell ref="A9:A13"/>
    <mergeCell ref="B13:D1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F28" sqref="F28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22" t="s">
        <v>24</v>
      </c>
      <c r="B1" s="23"/>
      <c r="C1" s="23"/>
      <c r="D1" s="23"/>
      <c r="E1" s="23"/>
      <c r="F1" s="24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18" t="s">
        <v>31</v>
      </c>
      <c r="B3" s="1" t="s">
        <v>53</v>
      </c>
      <c r="C3" s="1" t="s">
        <v>54</v>
      </c>
      <c r="D3" s="1"/>
      <c r="E3" s="1"/>
      <c r="F3" s="1"/>
    </row>
    <row r="4" spans="1:6" x14ac:dyDescent="0.25">
      <c r="A4" s="18"/>
      <c r="B4" s="1"/>
      <c r="C4" s="1"/>
      <c r="D4" s="1"/>
      <c r="E4" s="1"/>
      <c r="F4" s="1"/>
    </row>
    <row r="5" spans="1:6" x14ac:dyDescent="0.25">
      <c r="A5" s="18"/>
      <c r="B5" s="1"/>
      <c r="C5" s="1"/>
      <c r="D5" s="1"/>
      <c r="E5" s="1"/>
      <c r="F5" s="1"/>
    </row>
    <row r="6" spans="1:6" x14ac:dyDescent="0.25">
      <c r="A6" s="18"/>
      <c r="B6" s="1"/>
      <c r="C6" s="1"/>
      <c r="D6" s="1"/>
      <c r="E6" s="3"/>
      <c r="F6" s="1"/>
    </row>
    <row r="7" spans="1:6" x14ac:dyDescent="0.25">
      <c r="A7" s="18"/>
      <c r="B7" s="19" t="s">
        <v>6</v>
      </c>
      <c r="C7" s="20"/>
      <c r="D7" s="21"/>
      <c r="E7" s="3"/>
      <c r="F7" s="1"/>
    </row>
    <row r="8" spans="1:6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25">
      <c r="A9" s="18" t="s">
        <v>32</v>
      </c>
      <c r="B9" s="1" t="s">
        <v>55</v>
      </c>
      <c r="C9" s="1" t="s">
        <v>56</v>
      </c>
      <c r="D9" s="1"/>
      <c r="E9" s="1"/>
      <c r="F9" s="1"/>
    </row>
    <row r="10" spans="1:6" x14ac:dyDescent="0.25">
      <c r="A10" s="18"/>
      <c r="B10" s="1" t="s">
        <v>57</v>
      </c>
      <c r="C10" s="1" t="s">
        <v>58</v>
      </c>
      <c r="D10" s="1"/>
      <c r="E10" s="1"/>
      <c r="F10" s="1"/>
    </row>
    <row r="11" spans="1:6" x14ac:dyDescent="0.25">
      <c r="A11" s="18"/>
      <c r="B11" s="1"/>
      <c r="C11" s="1"/>
      <c r="D11" s="1"/>
      <c r="E11" s="1"/>
      <c r="F11" s="1"/>
    </row>
    <row r="12" spans="1:6" x14ac:dyDescent="0.25">
      <c r="A12" s="18"/>
      <c r="B12" s="1"/>
      <c r="C12" s="1"/>
      <c r="D12" s="1"/>
      <c r="E12" s="1"/>
      <c r="F12" s="1"/>
    </row>
    <row r="13" spans="1:6" x14ac:dyDescent="0.25">
      <c r="A13" s="18"/>
      <c r="B13" s="19" t="s">
        <v>6</v>
      </c>
      <c r="C13" s="20"/>
      <c r="D13" s="21"/>
      <c r="E13" s="3"/>
      <c r="F13" s="1"/>
    </row>
    <row r="14" spans="1:6" x14ac:dyDescent="0.25">
      <c r="A14" s="1" t="s">
        <v>15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x14ac:dyDescent="0.25">
      <c r="A15" s="18" t="s">
        <v>33</v>
      </c>
      <c r="B15" s="1" t="s">
        <v>59</v>
      </c>
      <c r="C15" s="1" t="s">
        <v>62</v>
      </c>
      <c r="D15" s="1"/>
      <c r="E15" s="1"/>
      <c r="F15" s="1"/>
    </row>
    <row r="16" spans="1:6" x14ac:dyDescent="0.25">
      <c r="A16" s="18"/>
      <c r="B16" s="1" t="s">
        <v>60</v>
      </c>
      <c r="C16" s="1" t="s">
        <v>63</v>
      </c>
      <c r="D16" s="1"/>
      <c r="E16" s="1"/>
      <c r="F16" s="1"/>
    </row>
    <row r="17" spans="1:6" x14ac:dyDescent="0.25">
      <c r="A17" s="18"/>
      <c r="B17" s="1" t="s">
        <v>61</v>
      </c>
      <c r="C17" s="1" t="s">
        <v>64</v>
      </c>
      <c r="D17" s="1"/>
      <c r="E17" s="1"/>
      <c r="F17" s="1"/>
    </row>
    <row r="18" spans="1:6" x14ac:dyDescent="0.25">
      <c r="A18" s="18"/>
      <c r="B18" s="1"/>
      <c r="C18" s="1"/>
      <c r="D18" s="1"/>
      <c r="E18" s="3"/>
      <c r="F18" s="1"/>
    </row>
    <row r="19" spans="1:6" x14ac:dyDescent="0.25">
      <c r="A19" s="18"/>
      <c r="B19" s="19" t="s">
        <v>6</v>
      </c>
      <c r="C19" s="20"/>
      <c r="D19" s="21"/>
      <c r="E19" s="3"/>
      <c r="F19" s="1"/>
    </row>
    <row r="20" spans="1:6" x14ac:dyDescent="0.25">
      <c r="A20" s="5" t="s">
        <v>17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x14ac:dyDescent="0.25">
      <c r="A21" s="18"/>
      <c r="B21" s="1"/>
      <c r="C21" s="1"/>
      <c r="D21" s="1"/>
      <c r="E21" s="1"/>
      <c r="F21" s="1"/>
    </row>
    <row r="22" spans="1:6" x14ac:dyDescent="0.25">
      <c r="A22" s="18"/>
      <c r="B22" s="1"/>
      <c r="C22" s="1"/>
      <c r="D22" s="1"/>
      <c r="E22" s="1"/>
      <c r="F22" s="1"/>
    </row>
    <row r="23" spans="1:6" x14ac:dyDescent="0.25">
      <c r="A23" s="18"/>
      <c r="B23" s="1"/>
      <c r="C23" s="1"/>
      <c r="D23" s="1"/>
      <c r="E23" s="1"/>
      <c r="F23" s="1"/>
    </row>
    <row r="24" spans="1:6" x14ac:dyDescent="0.25">
      <c r="A24" s="18"/>
      <c r="B24" s="1"/>
      <c r="C24" s="1"/>
      <c r="D24" s="1"/>
      <c r="E24" s="1"/>
      <c r="F24" s="1"/>
    </row>
    <row r="25" spans="1:6" x14ac:dyDescent="0.25">
      <c r="A25" s="18"/>
      <c r="B25" s="19" t="s">
        <v>6</v>
      </c>
      <c r="C25" s="20"/>
      <c r="D25" s="21"/>
      <c r="E25" s="3"/>
      <c r="F25" s="1"/>
    </row>
    <row r="26" spans="1:6" x14ac:dyDescent="0.25">
      <c r="A26" s="1" t="s">
        <v>18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x14ac:dyDescent="0.25">
      <c r="A27" s="18" t="s">
        <v>34</v>
      </c>
      <c r="B27" s="1" t="s">
        <v>65</v>
      </c>
      <c r="C27" s="1" t="s">
        <v>66</v>
      </c>
      <c r="D27" s="1"/>
      <c r="E27" s="1"/>
      <c r="F27" s="1"/>
    </row>
    <row r="28" spans="1:6" x14ac:dyDescent="0.25">
      <c r="A28" s="18"/>
      <c r="B28" s="1" t="s">
        <v>8</v>
      </c>
      <c r="C28" s="1"/>
      <c r="D28" s="1"/>
      <c r="E28" s="1"/>
      <c r="F28" s="1" t="s">
        <v>67</v>
      </c>
    </row>
    <row r="29" spans="1:6" x14ac:dyDescent="0.25">
      <c r="A29" s="18"/>
      <c r="B29" s="19"/>
      <c r="C29" s="20"/>
      <c r="D29" s="21"/>
      <c r="E29" s="3"/>
      <c r="F29" s="1"/>
    </row>
    <row r="30" spans="1:6" x14ac:dyDescent="0.25">
      <c r="A30" s="1" t="s">
        <v>20</v>
      </c>
      <c r="B30" s="1" t="s">
        <v>1</v>
      </c>
      <c r="C30" s="1" t="s">
        <v>2</v>
      </c>
      <c r="D30" s="1" t="s">
        <v>3</v>
      </c>
      <c r="E30" s="3" t="s">
        <v>4</v>
      </c>
      <c r="F30" s="1" t="s">
        <v>5</v>
      </c>
    </row>
    <row r="31" spans="1:6" x14ac:dyDescent="0.25">
      <c r="A31" s="28"/>
      <c r="B31" s="1"/>
      <c r="C31" s="1"/>
      <c r="D31" s="1"/>
      <c r="E31" s="1"/>
      <c r="F31" s="1"/>
    </row>
    <row r="32" spans="1:6" x14ac:dyDescent="0.25">
      <c r="A32" s="29"/>
      <c r="B32" s="1"/>
      <c r="C32" s="1"/>
      <c r="D32" s="1"/>
      <c r="E32" s="1"/>
      <c r="F32" s="1"/>
    </row>
    <row r="33" spans="1:6" x14ac:dyDescent="0.25">
      <c r="A33" s="30"/>
      <c r="B33" s="19" t="s">
        <v>6</v>
      </c>
      <c r="C33" s="20"/>
      <c r="D33" s="21"/>
      <c r="E33" s="3"/>
      <c r="F33" s="6"/>
    </row>
    <row r="34" spans="1:6" x14ac:dyDescent="0.25">
      <c r="A34" s="7" t="s">
        <v>21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x14ac:dyDescent="0.25">
      <c r="A35" s="18"/>
      <c r="B35" s="1"/>
      <c r="C35" s="1"/>
      <c r="D35" s="1"/>
      <c r="E35" s="1"/>
      <c r="F35" s="1"/>
    </row>
    <row r="36" spans="1:6" x14ac:dyDescent="0.25">
      <c r="A36" s="18"/>
      <c r="B36" s="1"/>
      <c r="C36" s="1"/>
      <c r="D36" s="1"/>
      <c r="E36" s="1"/>
      <c r="F36" s="1"/>
    </row>
    <row r="37" spans="1:6" x14ac:dyDescent="0.25">
      <c r="A37" s="18"/>
      <c r="B37" s="1"/>
      <c r="C37" s="1"/>
      <c r="D37" s="1"/>
      <c r="E37" s="1"/>
      <c r="F37" s="1"/>
    </row>
    <row r="38" spans="1:6" x14ac:dyDescent="0.25">
      <c r="A38" s="18"/>
      <c r="B38" s="1"/>
      <c r="C38" s="1"/>
      <c r="D38" s="1"/>
      <c r="E38" s="1"/>
      <c r="F38" s="1"/>
    </row>
    <row r="39" spans="1:6" x14ac:dyDescent="0.25">
      <c r="A39" s="18"/>
      <c r="B39" s="19" t="s">
        <v>6</v>
      </c>
      <c r="C39" s="20"/>
      <c r="D39" s="21"/>
      <c r="E39" s="3"/>
      <c r="F39" s="1"/>
    </row>
    <row r="40" spans="1:6" x14ac:dyDescent="0.25">
      <c r="A40" s="1"/>
      <c r="B40" s="25" t="s">
        <v>22</v>
      </c>
      <c r="C40" s="26"/>
      <c r="D40" s="27"/>
      <c r="E40" s="8"/>
      <c r="F40" s="1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5:A19"/>
    <mergeCell ref="B19:D19"/>
    <mergeCell ref="A1:F1"/>
    <mergeCell ref="A3:A7"/>
    <mergeCell ref="B7:D7"/>
    <mergeCell ref="A9:A13"/>
    <mergeCell ref="B13:D1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2"/>
  <sheetViews>
    <sheetView tabSelected="1" topLeftCell="A23" workbookViewId="0">
      <selection activeCell="I34" sqref="I3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22" t="s">
        <v>25</v>
      </c>
      <c r="B1" s="23"/>
      <c r="C1" s="23"/>
      <c r="D1" s="23"/>
      <c r="E1" s="23"/>
      <c r="F1" s="23"/>
      <c r="G1" s="23"/>
      <c r="H1" s="2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95</v>
      </c>
      <c r="F2" s="2"/>
      <c r="G2" s="1" t="s">
        <v>4</v>
      </c>
      <c r="H2" s="1" t="s">
        <v>5</v>
      </c>
    </row>
    <row r="3" spans="1:8" x14ac:dyDescent="0.25">
      <c r="A3" s="18" t="s">
        <v>35</v>
      </c>
      <c r="B3" s="1" t="s">
        <v>68</v>
      </c>
      <c r="C3" s="1" t="s">
        <v>70</v>
      </c>
      <c r="D3" s="1">
        <v>175.5</v>
      </c>
      <c r="E3" s="2">
        <v>58</v>
      </c>
      <c r="F3" s="2" t="s">
        <v>99</v>
      </c>
      <c r="G3" s="12">
        <f>E3*D3</f>
        <v>10179</v>
      </c>
      <c r="H3" s="1"/>
    </row>
    <row r="4" spans="1:8" x14ac:dyDescent="0.25">
      <c r="A4" s="18"/>
      <c r="B4" s="1" t="s">
        <v>69</v>
      </c>
      <c r="C4" s="1" t="s">
        <v>71</v>
      </c>
      <c r="D4" s="1"/>
      <c r="E4" s="2"/>
      <c r="F4" s="2"/>
      <c r="G4" s="1"/>
      <c r="H4" s="1" t="s">
        <v>107</v>
      </c>
    </row>
    <row r="5" spans="1:8" x14ac:dyDescent="0.25">
      <c r="A5" s="18"/>
      <c r="B5" s="1"/>
      <c r="C5" s="1"/>
      <c r="D5" s="1"/>
      <c r="E5" s="2"/>
      <c r="F5" s="2"/>
      <c r="G5" s="1"/>
      <c r="H5" s="1"/>
    </row>
    <row r="6" spans="1:8" x14ac:dyDescent="0.25">
      <c r="A6" s="18"/>
      <c r="B6" s="1"/>
      <c r="C6" s="1"/>
      <c r="D6" s="1"/>
      <c r="E6" s="4"/>
      <c r="F6" s="4"/>
      <c r="G6" s="3"/>
      <c r="H6" s="1"/>
    </row>
    <row r="7" spans="1:8" x14ac:dyDescent="0.25">
      <c r="A7" s="18"/>
      <c r="B7" s="19" t="s">
        <v>6</v>
      </c>
      <c r="C7" s="20"/>
      <c r="D7" s="21"/>
      <c r="E7" s="4"/>
      <c r="F7" s="4"/>
      <c r="G7" s="14">
        <f>SUM(G3:G6)</f>
        <v>10179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" t="s">
        <v>95</v>
      </c>
      <c r="F8" s="2"/>
      <c r="G8" s="1" t="s">
        <v>4</v>
      </c>
      <c r="H8" s="1" t="s">
        <v>5</v>
      </c>
    </row>
    <row r="9" spans="1:8" x14ac:dyDescent="0.25">
      <c r="A9" s="18" t="s">
        <v>36</v>
      </c>
      <c r="B9" s="1" t="s">
        <v>72</v>
      </c>
      <c r="C9" s="1" t="s">
        <v>62</v>
      </c>
      <c r="D9" s="1">
        <v>42.84</v>
      </c>
      <c r="E9" s="2">
        <v>55</v>
      </c>
      <c r="F9" s="2" t="s">
        <v>96</v>
      </c>
      <c r="G9" s="12">
        <f>E9*D9</f>
        <v>2356.2000000000003</v>
      </c>
      <c r="H9" s="1"/>
    </row>
    <row r="10" spans="1:8" x14ac:dyDescent="0.25">
      <c r="A10" s="18"/>
      <c r="B10" s="1" t="s">
        <v>73</v>
      </c>
      <c r="C10" s="1" t="s">
        <v>74</v>
      </c>
      <c r="D10" s="1">
        <v>15</v>
      </c>
      <c r="E10" s="2">
        <v>20</v>
      </c>
      <c r="F10" s="2" t="s">
        <v>97</v>
      </c>
      <c r="G10" s="12">
        <f>E10*D10</f>
        <v>300</v>
      </c>
      <c r="H10" s="1"/>
    </row>
    <row r="11" spans="1:8" x14ac:dyDescent="0.25">
      <c r="A11" s="18"/>
      <c r="B11" s="1"/>
      <c r="C11" s="1"/>
      <c r="D11" s="1"/>
      <c r="E11" s="2"/>
      <c r="F11" s="2"/>
      <c r="G11" s="1"/>
      <c r="H11" s="1"/>
    </row>
    <row r="12" spans="1:8" x14ac:dyDescent="0.25">
      <c r="A12" s="18"/>
      <c r="B12" s="1"/>
      <c r="C12" s="1"/>
      <c r="D12" s="1"/>
      <c r="E12" s="2"/>
      <c r="F12" s="2"/>
      <c r="G12" s="1"/>
      <c r="H12" s="1"/>
    </row>
    <row r="13" spans="1:8" x14ac:dyDescent="0.25">
      <c r="A13" s="18"/>
      <c r="B13" s="19" t="s">
        <v>6</v>
      </c>
      <c r="C13" s="20"/>
      <c r="D13" s="21"/>
      <c r="E13" s="4"/>
      <c r="F13" s="4"/>
      <c r="G13" s="14">
        <f>SUM(G9:G12)</f>
        <v>2656.2000000000003</v>
      </c>
      <c r="H13" s="1"/>
    </row>
    <row r="14" spans="1:8" x14ac:dyDescent="0.25">
      <c r="A14" s="1" t="s">
        <v>15</v>
      </c>
      <c r="B14" s="1" t="s">
        <v>1</v>
      </c>
      <c r="C14" s="1" t="s">
        <v>2</v>
      </c>
      <c r="D14" s="1" t="s">
        <v>3</v>
      </c>
      <c r="E14" s="2" t="s">
        <v>95</v>
      </c>
      <c r="F14" s="2"/>
      <c r="G14" s="1" t="s">
        <v>4</v>
      </c>
      <c r="H14" s="1" t="s">
        <v>5</v>
      </c>
    </row>
    <row r="15" spans="1:8" x14ac:dyDescent="0.25">
      <c r="A15" s="18"/>
      <c r="B15" s="1"/>
      <c r="C15" s="1"/>
      <c r="D15" s="1"/>
      <c r="E15" s="2"/>
      <c r="F15" s="2"/>
      <c r="G15" s="1"/>
      <c r="H15" s="1"/>
    </row>
    <row r="16" spans="1:8" x14ac:dyDescent="0.25">
      <c r="A16" s="18"/>
      <c r="B16" s="1"/>
      <c r="C16" s="1"/>
      <c r="D16" s="1"/>
      <c r="E16" s="2"/>
      <c r="F16" s="2"/>
      <c r="G16" s="1"/>
      <c r="H16" s="1"/>
    </row>
    <row r="17" spans="1:8" x14ac:dyDescent="0.25">
      <c r="A17" s="18"/>
      <c r="B17" s="1"/>
      <c r="C17" s="1"/>
      <c r="D17" s="1"/>
      <c r="E17" s="2"/>
      <c r="F17" s="2"/>
      <c r="G17" s="1"/>
      <c r="H17" s="1"/>
    </row>
    <row r="18" spans="1:8" x14ac:dyDescent="0.25">
      <c r="A18" s="18"/>
      <c r="B18" s="1"/>
      <c r="C18" s="1"/>
      <c r="D18" s="1"/>
      <c r="E18" s="4"/>
      <c r="F18" s="4"/>
      <c r="G18" s="3"/>
      <c r="H18" s="1"/>
    </row>
    <row r="19" spans="1:8" x14ac:dyDescent="0.25">
      <c r="A19" s="18"/>
      <c r="B19" s="19" t="s">
        <v>6</v>
      </c>
      <c r="C19" s="20"/>
      <c r="D19" s="21"/>
      <c r="E19" s="4"/>
      <c r="F19" s="4"/>
      <c r="G19" s="3"/>
      <c r="H19" s="1"/>
    </row>
    <row r="20" spans="1:8" x14ac:dyDescent="0.25">
      <c r="A20" s="5" t="s">
        <v>17</v>
      </c>
      <c r="B20" s="1" t="s">
        <v>1</v>
      </c>
      <c r="C20" s="1" t="s">
        <v>2</v>
      </c>
      <c r="D20" s="1" t="s">
        <v>3</v>
      </c>
      <c r="E20" s="2" t="s">
        <v>95</v>
      </c>
      <c r="F20" s="2"/>
      <c r="G20" s="1" t="s">
        <v>4</v>
      </c>
      <c r="H20" s="1" t="s">
        <v>5</v>
      </c>
    </row>
    <row r="21" spans="1:8" x14ac:dyDescent="0.25">
      <c r="A21" s="18"/>
      <c r="B21" s="1" t="s">
        <v>100</v>
      </c>
      <c r="C21" s="1"/>
      <c r="D21" s="1">
        <v>1250</v>
      </c>
      <c r="E21" s="2">
        <v>1</v>
      </c>
      <c r="F21" s="2" t="s">
        <v>101</v>
      </c>
      <c r="G21" s="1">
        <f>E21*D21</f>
        <v>1250</v>
      </c>
      <c r="H21" s="1"/>
    </row>
    <row r="22" spans="1:8" x14ac:dyDescent="0.25">
      <c r="A22" s="18"/>
      <c r="B22" s="1" t="s">
        <v>102</v>
      </c>
      <c r="C22" s="1"/>
      <c r="D22" s="1">
        <v>650</v>
      </c>
      <c r="E22" s="2">
        <v>1</v>
      </c>
      <c r="F22" s="2" t="s">
        <v>101</v>
      </c>
      <c r="G22" s="2">
        <f>E22*D22</f>
        <v>650</v>
      </c>
      <c r="H22" s="1"/>
    </row>
    <row r="23" spans="1:8" x14ac:dyDescent="0.25">
      <c r="A23" s="18"/>
      <c r="B23" s="1" t="s">
        <v>104</v>
      </c>
      <c r="C23" s="1"/>
      <c r="D23" s="1">
        <v>97.5</v>
      </c>
      <c r="E23" s="2">
        <v>2</v>
      </c>
      <c r="F23" s="2" t="s">
        <v>96</v>
      </c>
      <c r="G23" s="2">
        <f t="shared" ref="G23:G33" si="0">E23*D23</f>
        <v>195</v>
      </c>
      <c r="H23" s="1"/>
    </row>
    <row r="24" spans="1:8" x14ac:dyDescent="0.25">
      <c r="A24" s="18"/>
      <c r="B24" s="1" t="s">
        <v>106</v>
      </c>
      <c r="C24" s="1"/>
      <c r="D24" s="1">
        <v>1164</v>
      </c>
      <c r="E24" s="2">
        <v>1</v>
      </c>
      <c r="F24" s="2" t="s">
        <v>101</v>
      </c>
      <c r="G24" s="2">
        <f t="shared" si="0"/>
        <v>1164</v>
      </c>
      <c r="H24" s="1"/>
    </row>
    <row r="25" spans="1:8" x14ac:dyDescent="0.25">
      <c r="A25" s="18"/>
      <c r="B25" s="2" t="s">
        <v>108</v>
      </c>
      <c r="C25" s="2"/>
      <c r="D25" s="2">
        <v>125</v>
      </c>
      <c r="E25" s="4">
        <v>12</v>
      </c>
      <c r="F25" s="4" t="s">
        <v>99</v>
      </c>
      <c r="G25" s="4">
        <f t="shared" si="0"/>
        <v>1500</v>
      </c>
      <c r="H25" s="2"/>
    </row>
    <row r="26" spans="1:8" x14ac:dyDescent="0.25">
      <c r="A26" s="18"/>
      <c r="B26" s="2" t="s">
        <v>109</v>
      </c>
      <c r="C26" s="2"/>
      <c r="D26" s="2">
        <v>225</v>
      </c>
      <c r="E26" s="4">
        <v>2</v>
      </c>
      <c r="F26" s="4" t="s">
        <v>110</v>
      </c>
      <c r="G26" s="4">
        <f t="shared" si="0"/>
        <v>450</v>
      </c>
      <c r="H26" s="2"/>
    </row>
    <row r="27" spans="1:8" x14ac:dyDescent="0.25">
      <c r="A27" s="18"/>
      <c r="B27" s="2" t="s">
        <v>111</v>
      </c>
      <c r="C27" s="2"/>
      <c r="D27" s="2">
        <v>291</v>
      </c>
      <c r="E27" s="4">
        <v>2</v>
      </c>
      <c r="F27" s="4" t="s">
        <v>110</v>
      </c>
      <c r="G27" s="4">
        <f t="shared" si="0"/>
        <v>582</v>
      </c>
      <c r="H27" s="2"/>
    </row>
    <row r="28" spans="1:8" x14ac:dyDescent="0.25">
      <c r="A28" s="18"/>
      <c r="B28" s="2" t="s">
        <v>112</v>
      </c>
      <c r="C28" s="2"/>
      <c r="D28" s="2">
        <v>150</v>
      </c>
      <c r="E28" s="2">
        <v>1</v>
      </c>
      <c r="F28" s="4" t="s">
        <v>96</v>
      </c>
      <c r="G28" s="4">
        <f t="shared" si="0"/>
        <v>150</v>
      </c>
      <c r="H28" s="2"/>
    </row>
    <row r="29" spans="1:8" x14ac:dyDescent="0.25">
      <c r="A29" s="18"/>
      <c r="B29" s="2" t="s">
        <v>113</v>
      </c>
      <c r="C29" s="2"/>
      <c r="D29" s="2">
        <v>173.4</v>
      </c>
      <c r="E29" s="2">
        <v>3</v>
      </c>
      <c r="F29" s="4" t="s">
        <v>96</v>
      </c>
      <c r="G29" s="13">
        <f t="shared" si="0"/>
        <v>520.20000000000005</v>
      </c>
      <c r="H29" s="2"/>
    </row>
    <row r="30" spans="1:8" x14ac:dyDescent="0.25">
      <c r="A30" s="18"/>
      <c r="B30" s="2" t="s">
        <v>114</v>
      </c>
      <c r="C30" s="2"/>
      <c r="D30" s="2">
        <v>181</v>
      </c>
      <c r="E30" s="2">
        <v>1</v>
      </c>
      <c r="F30" s="4" t="s">
        <v>110</v>
      </c>
      <c r="G30" s="4">
        <f t="shared" si="0"/>
        <v>181</v>
      </c>
      <c r="H30" s="2"/>
    </row>
    <row r="31" spans="1:8" x14ac:dyDescent="0.25">
      <c r="A31" s="18"/>
      <c r="B31" s="2" t="s">
        <v>115</v>
      </c>
      <c r="C31" s="2"/>
      <c r="D31" s="2">
        <v>219</v>
      </c>
      <c r="E31" s="2">
        <v>1</v>
      </c>
      <c r="F31" s="4" t="s">
        <v>110</v>
      </c>
      <c r="G31" s="4">
        <f t="shared" si="0"/>
        <v>219</v>
      </c>
      <c r="H31" s="2"/>
    </row>
    <row r="32" spans="1:8" x14ac:dyDescent="0.25">
      <c r="A32" s="18"/>
      <c r="B32" s="2" t="s">
        <v>116</v>
      </c>
      <c r="C32" s="2"/>
      <c r="D32" s="2">
        <v>37</v>
      </c>
      <c r="E32" s="4">
        <v>20</v>
      </c>
      <c r="F32" s="4" t="s">
        <v>117</v>
      </c>
      <c r="G32" s="4">
        <f t="shared" si="0"/>
        <v>740</v>
      </c>
      <c r="H32" s="2"/>
    </row>
    <row r="33" spans="1:9" x14ac:dyDescent="0.25">
      <c r="A33" s="18"/>
      <c r="B33" s="2" t="s">
        <v>118</v>
      </c>
      <c r="C33" s="2"/>
      <c r="D33" s="2">
        <v>40.799999999999997</v>
      </c>
      <c r="E33" s="4">
        <v>20</v>
      </c>
      <c r="F33" s="4" t="s">
        <v>96</v>
      </c>
      <c r="G33" s="4">
        <f t="shared" si="0"/>
        <v>816</v>
      </c>
      <c r="H33" s="2"/>
      <c r="I33">
        <f>SUM(G26:G33)</f>
        <v>3658.2</v>
      </c>
    </row>
    <row r="34" spans="1:9" x14ac:dyDescent="0.25">
      <c r="A34" s="18"/>
      <c r="B34" s="19" t="s">
        <v>6</v>
      </c>
      <c r="C34" s="20"/>
      <c r="D34" s="21"/>
      <c r="E34" s="4"/>
      <c r="F34" s="4"/>
      <c r="G34" s="15">
        <f>SUM(G21:G26)</f>
        <v>5209</v>
      </c>
      <c r="H34" s="1"/>
    </row>
    <row r="35" spans="1:9" x14ac:dyDescent="0.25">
      <c r="A35" s="1" t="s">
        <v>18</v>
      </c>
      <c r="B35" s="1" t="s">
        <v>1</v>
      </c>
      <c r="C35" s="1" t="s">
        <v>2</v>
      </c>
      <c r="D35" s="1" t="s">
        <v>3</v>
      </c>
      <c r="E35" s="2" t="s">
        <v>95</v>
      </c>
      <c r="F35" s="2"/>
      <c r="G35" s="1" t="s">
        <v>4</v>
      </c>
      <c r="H35" s="1" t="s">
        <v>5</v>
      </c>
    </row>
    <row r="36" spans="1:9" x14ac:dyDescent="0.25">
      <c r="A36" s="18" t="s">
        <v>37</v>
      </c>
      <c r="B36" s="1" t="s">
        <v>75</v>
      </c>
      <c r="C36" s="1" t="s">
        <v>52</v>
      </c>
      <c r="D36" s="1">
        <v>34.200000000000003</v>
      </c>
      <c r="E36" s="2">
        <v>13.12</v>
      </c>
      <c r="F36" s="2" t="s">
        <v>96</v>
      </c>
      <c r="G36" s="12">
        <f>E36*D36</f>
        <v>448.70400000000001</v>
      </c>
      <c r="H36" s="1"/>
    </row>
    <row r="37" spans="1:9" x14ac:dyDescent="0.25">
      <c r="A37" s="18"/>
      <c r="B37" s="1" t="s">
        <v>76</v>
      </c>
      <c r="C37" s="1" t="s">
        <v>56</v>
      </c>
      <c r="D37" s="1">
        <v>98.4</v>
      </c>
      <c r="E37" s="2">
        <v>20</v>
      </c>
      <c r="F37" s="2" t="s">
        <v>96</v>
      </c>
      <c r="G37" s="2">
        <f t="shared" ref="G37:G38" si="1">E37*D37</f>
        <v>1968</v>
      </c>
      <c r="H37" s="1"/>
    </row>
    <row r="38" spans="1:9" x14ac:dyDescent="0.25">
      <c r="A38" s="18"/>
      <c r="B38" s="2" t="s">
        <v>103</v>
      </c>
      <c r="C38" s="2"/>
      <c r="D38" s="2">
        <v>175</v>
      </c>
      <c r="E38" s="4">
        <v>1</v>
      </c>
      <c r="F38" s="4" t="s">
        <v>101</v>
      </c>
      <c r="G38" s="2">
        <f t="shared" si="1"/>
        <v>175</v>
      </c>
      <c r="H38" s="2"/>
    </row>
    <row r="39" spans="1:9" x14ac:dyDescent="0.25">
      <c r="A39" s="18"/>
      <c r="B39" s="19"/>
      <c r="C39" s="20"/>
      <c r="D39" s="21"/>
      <c r="E39" s="4"/>
      <c r="F39" s="4"/>
      <c r="G39" s="14">
        <f>SUM(G36:G38)</f>
        <v>2591.7040000000002</v>
      </c>
      <c r="H39" s="1"/>
    </row>
    <row r="40" spans="1:9" x14ac:dyDescent="0.25">
      <c r="A40" s="1" t="s">
        <v>20</v>
      </c>
      <c r="B40" s="1" t="s">
        <v>1</v>
      </c>
      <c r="C40" s="1" t="s">
        <v>2</v>
      </c>
      <c r="D40" s="1" t="s">
        <v>3</v>
      </c>
      <c r="E40" s="4" t="s">
        <v>95</v>
      </c>
      <c r="F40" s="4"/>
      <c r="G40" s="3" t="s">
        <v>4</v>
      </c>
      <c r="H40" s="1" t="s">
        <v>5</v>
      </c>
    </row>
    <row r="41" spans="1:9" x14ac:dyDescent="0.25">
      <c r="A41" s="28"/>
      <c r="B41" s="1" t="s">
        <v>94</v>
      </c>
      <c r="C41" s="1">
        <v>250</v>
      </c>
      <c r="D41" s="1">
        <v>36.479999999999997</v>
      </c>
      <c r="E41" s="2">
        <v>60</v>
      </c>
      <c r="F41" s="2" t="s">
        <v>96</v>
      </c>
      <c r="G41" s="17">
        <f>D41*E41</f>
        <v>2188.7999999999997</v>
      </c>
      <c r="H41" s="1"/>
    </row>
    <row r="42" spans="1:9" x14ac:dyDescent="0.25">
      <c r="A42" s="29"/>
      <c r="B42" s="1" t="s">
        <v>98</v>
      </c>
      <c r="C42" s="1"/>
      <c r="D42" s="1">
        <v>70</v>
      </c>
      <c r="E42" s="2">
        <v>30</v>
      </c>
      <c r="F42" s="2" t="s">
        <v>99</v>
      </c>
      <c r="G42" s="1">
        <f>E42*D42</f>
        <v>2100</v>
      </c>
      <c r="H42" s="1"/>
    </row>
    <row r="43" spans="1:9" x14ac:dyDescent="0.25">
      <c r="A43" s="29"/>
      <c r="B43" s="2" t="s">
        <v>105</v>
      </c>
      <c r="C43" s="2"/>
      <c r="D43" s="2">
        <v>85</v>
      </c>
      <c r="E43" s="4">
        <v>4</v>
      </c>
      <c r="F43" s="2" t="s">
        <v>96</v>
      </c>
      <c r="G43" s="2">
        <f>E43*D43</f>
        <v>340</v>
      </c>
      <c r="H43" s="2"/>
    </row>
    <row r="44" spans="1:9" x14ac:dyDescent="0.25">
      <c r="A44" s="30"/>
      <c r="B44" s="19" t="s">
        <v>6</v>
      </c>
      <c r="C44" s="20"/>
      <c r="D44" s="21"/>
      <c r="E44" s="4"/>
      <c r="F44" s="4"/>
      <c r="G44" s="14">
        <f>SUM(G41:G43)</f>
        <v>4628.7999999999993</v>
      </c>
      <c r="H44" s="6"/>
    </row>
    <row r="45" spans="1:9" x14ac:dyDescent="0.25">
      <c r="A45" s="7" t="s">
        <v>21</v>
      </c>
      <c r="B45" s="1" t="s">
        <v>1</v>
      </c>
      <c r="C45" s="1" t="s">
        <v>2</v>
      </c>
      <c r="D45" s="1" t="s">
        <v>3</v>
      </c>
      <c r="E45" s="2" t="s">
        <v>95</v>
      </c>
      <c r="F45" s="2"/>
      <c r="G45" s="1" t="s">
        <v>4</v>
      </c>
      <c r="H45" s="1"/>
    </row>
    <row r="46" spans="1:9" x14ac:dyDescent="0.25">
      <c r="A46" s="18" t="s">
        <v>38</v>
      </c>
      <c r="B46" s="1" t="s">
        <v>77</v>
      </c>
      <c r="C46" s="1" t="s">
        <v>45</v>
      </c>
      <c r="D46" s="1">
        <v>99</v>
      </c>
      <c r="E46" s="2">
        <v>20</v>
      </c>
      <c r="F46" s="2" t="s">
        <v>96</v>
      </c>
      <c r="G46" s="12">
        <f>E46*D46</f>
        <v>1980</v>
      </c>
      <c r="H46" s="1"/>
    </row>
    <row r="47" spans="1:9" x14ac:dyDescent="0.25">
      <c r="A47" s="18"/>
      <c r="B47" s="1" t="s">
        <v>14</v>
      </c>
      <c r="C47" s="1" t="s">
        <v>11</v>
      </c>
      <c r="D47" s="1">
        <v>25.5</v>
      </c>
      <c r="E47" s="2">
        <v>10</v>
      </c>
      <c r="F47" s="2" t="s">
        <v>96</v>
      </c>
      <c r="G47" s="12">
        <f t="shared" ref="G47:G50" si="2">E47*D47</f>
        <v>255</v>
      </c>
      <c r="H47" s="1"/>
    </row>
    <row r="48" spans="1:9" x14ac:dyDescent="0.25">
      <c r="A48" s="18"/>
      <c r="B48" s="1" t="s">
        <v>10</v>
      </c>
      <c r="C48" s="1" t="s">
        <v>64</v>
      </c>
      <c r="D48" s="1">
        <v>45</v>
      </c>
      <c r="E48" s="2">
        <v>4</v>
      </c>
      <c r="F48" s="2" t="s">
        <v>96</v>
      </c>
      <c r="G48" s="12">
        <f t="shared" si="2"/>
        <v>180</v>
      </c>
      <c r="H48" s="1"/>
    </row>
    <row r="49" spans="1:8" x14ac:dyDescent="0.25">
      <c r="A49" s="18"/>
      <c r="B49" s="1" t="s">
        <v>12</v>
      </c>
      <c r="C49" s="1" t="s">
        <v>13</v>
      </c>
      <c r="D49" s="1">
        <v>17.100000000000001</v>
      </c>
      <c r="E49" s="2">
        <v>3</v>
      </c>
      <c r="F49" s="2" t="s">
        <v>96</v>
      </c>
      <c r="G49" s="12">
        <f t="shared" si="2"/>
        <v>51.300000000000004</v>
      </c>
      <c r="H49" s="1"/>
    </row>
    <row r="50" spans="1:8" x14ac:dyDescent="0.25">
      <c r="A50" s="18"/>
      <c r="B50" s="1" t="s">
        <v>78</v>
      </c>
      <c r="C50" s="1" t="s">
        <v>16</v>
      </c>
      <c r="D50" s="1">
        <v>64.5</v>
      </c>
      <c r="E50" s="2">
        <v>5</v>
      </c>
      <c r="F50" s="2" t="s">
        <v>96</v>
      </c>
      <c r="G50" s="12">
        <f t="shared" si="2"/>
        <v>322.5</v>
      </c>
      <c r="H50" s="1"/>
    </row>
    <row r="51" spans="1:8" x14ac:dyDescent="0.25">
      <c r="A51" s="18"/>
      <c r="B51" s="19" t="s">
        <v>6</v>
      </c>
      <c r="C51" s="20"/>
      <c r="D51" s="21"/>
      <c r="E51" s="4"/>
      <c r="F51" s="4"/>
      <c r="G51" s="14">
        <f>SUM(G46:G50)</f>
        <v>2788.8</v>
      </c>
      <c r="H51" s="1"/>
    </row>
    <row r="52" spans="1:8" x14ac:dyDescent="0.25">
      <c r="A52" s="1"/>
      <c r="B52" s="25" t="s">
        <v>22</v>
      </c>
      <c r="C52" s="26"/>
      <c r="D52" s="27"/>
      <c r="E52" s="8"/>
      <c r="F52" s="8"/>
      <c r="G52" s="16">
        <f>G51+G44+G39+G34+G13+G7</f>
        <v>28053.504000000001</v>
      </c>
      <c r="H52" s="1"/>
    </row>
  </sheetData>
  <mergeCells count="16">
    <mergeCell ref="A46:A51"/>
    <mergeCell ref="B51:D51"/>
    <mergeCell ref="B52:D52"/>
    <mergeCell ref="A21:A34"/>
    <mergeCell ref="B34:D34"/>
    <mergeCell ref="A36:A39"/>
    <mergeCell ref="B39:D39"/>
    <mergeCell ref="A41:A44"/>
    <mergeCell ref="B44:D44"/>
    <mergeCell ref="A15:A19"/>
    <mergeCell ref="B19:D19"/>
    <mergeCell ref="A1:H1"/>
    <mergeCell ref="A3:A7"/>
    <mergeCell ref="B7:D7"/>
    <mergeCell ref="A9:A13"/>
    <mergeCell ref="B13:D13"/>
  </mergeCells>
  <phoneticPr fontId="2" type="noConversion"/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workbookViewId="0">
      <selection activeCell="G42" sqref="G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22" t="s">
        <v>26</v>
      </c>
      <c r="B1" s="23"/>
      <c r="C1" s="23"/>
      <c r="D1" s="23"/>
      <c r="E1" s="23"/>
      <c r="F1" s="23"/>
      <c r="G1" s="23"/>
      <c r="H1" s="2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9" t="s">
        <v>119</v>
      </c>
      <c r="F2" s="9"/>
      <c r="G2" s="1" t="s">
        <v>4</v>
      </c>
      <c r="H2" s="1" t="s">
        <v>5</v>
      </c>
    </row>
    <row r="3" spans="1:8" x14ac:dyDescent="0.25">
      <c r="A3" s="18" t="s">
        <v>39</v>
      </c>
      <c r="B3" s="1" t="s">
        <v>79</v>
      </c>
      <c r="C3" s="1" t="s">
        <v>81</v>
      </c>
      <c r="D3" s="1">
        <v>193.8</v>
      </c>
      <c r="E3" s="9">
        <v>2</v>
      </c>
      <c r="F3" s="9" t="s">
        <v>120</v>
      </c>
      <c r="G3" s="12">
        <f>E3*D3</f>
        <v>387.6</v>
      </c>
      <c r="H3" s="1"/>
    </row>
    <row r="4" spans="1:8" x14ac:dyDescent="0.25">
      <c r="A4" s="18"/>
      <c r="B4" s="1" t="s">
        <v>77</v>
      </c>
      <c r="C4" s="1" t="s">
        <v>82</v>
      </c>
      <c r="D4" s="1">
        <v>99</v>
      </c>
      <c r="E4" s="9">
        <v>30</v>
      </c>
      <c r="F4" s="9" t="s">
        <v>120</v>
      </c>
      <c r="G4" s="12">
        <f t="shared" ref="G4:G5" si="0">E4*D4</f>
        <v>2970</v>
      </c>
      <c r="H4" s="1"/>
    </row>
    <row r="5" spans="1:8" x14ac:dyDescent="0.25">
      <c r="A5" s="18"/>
      <c r="B5" s="1" t="s">
        <v>80</v>
      </c>
      <c r="C5" s="1" t="s">
        <v>11</v>
      </c>
      <c r="D5" s="1">
        <v>168</v>
      </c>
      <c r="E5" s="9">
        <v>10</v>
      </c>
      <c r="F5" s="9" t="s">
        <v>120</v>
      </c>
      <c r="G5" s="12">
        <f t="shared" si="0"/>
        <v>1680</v>
      </c>
      <c r="H5" s="1"/>
    </row>
    <row r="6" spans="1:8" x14ac:dyDescent="0.25">
      <c r="A6" s="18"/>
      <c r="B6" s="1"/>
      <c r="C6" s="1"/>
      <c r="D6" s="1"/>
      <c r="E6" s="10"/>
      <c r="F6" s="10"/>
      <c r="G6" s="3"/>
      <c r="H6" s="1"/>
    </row>
    <row r="7" spans="1:8" x14ac:dyDescent="0.25">
      <c r="A7" s="18"/>
      <c r="B7" s="19" t="s">
        <v>6</v>
      </c>
      <c r="C7" s="20"/>
      <c r="D7" s="21"/>
      <c r="E7" s="10"/>
      <c r="F7" s="10"/>
      <c r="G7" s="14">
        <f>SUM(G3:G6)</f>
        <v>5037.6000000000004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9" t="s">
        <v>119</v>
      </c>
      <c r="F8" s="9"/>
      <c r="G8" s="1" t="s">
        <v>4</v>
      </c>
      <c r="H8" s="1" t="s">
        <v>5</v>
      </c>
    </row>
    <row r="9" spans="1:8" x14ac:dyDescent="0.25">
      <c r="A9" s="18" t="s">
        <v>40</v>
      </c>
      <c r="B9" s="1" t="s">
        <v>83</v>
      </c>
      <c r="C9" s="1" t="s">
        <v>86</v>
      </c>
      <c r="D9" s="1">
        <v>85.5</v>
      </c>
      <c r="E9" s="9">
        <v>1</v>
      </c>
      <c r="F9" s="9" t="s">
        <v>120</v>
      </c>
      <c r="G9" s="12">
        <f>D9*E9</f>
        <v>85.5</v>
      </c>
      <c r="H9" s="1"/>
    </row>
    <row r="10" spans="1:8" x14ac:dyDescent="0.25">
      <c r="A10" s="18"/>
      <c r="B10" s="1" t="s">
        <v>84</v>
      </c>
      <c r="C10" s="1" t="s">
        <v>86</v>
      </c>
      <c r="D10" s="1">
        <v>67.5</v>
      </c>
      <c r="E10" s="9">
        <v>1</v>
      </c>
      <c r="F10" s="9" t="s">
        <v>120</v>
      </c>
      <c r="G10" s="12">
        <f t="shared" ref="G10:G13" si="1">D10*E10</f>
        <v>67.5</v>
      </c>
      <c r="H10" s="1"/>
    </row>
    <row r="11" spans="1:8" x14ac:dyDescent="0.25">
      <c r="A11" s="18"/>
      <c r="B11" s="1" t="s">
        <v>85</v>
      </c>
      <c r="C11" s="1" t="s">
        <v>87</v>
      </c>
      <c r="D11" s="1">
        <v>54</v>
      </c>
      <c r="E11" s="9">
        <v>15</v>
      </c>
      <c r="F11" s="9" t="s">
        <v>120</v>
      </c>
      <c r="G11" s="12">
        <f t="shared" si="1"/>
        <v>810</v>
      </c>
      <c r="H11" s="1"/>
    </row>
    <row r="12" spans="1:8" x14ac:dyDescent="0.25">
      <c r="A12" s="18"/>
      <c r="B12" s="1" t="s">
        <v>78</v>
      </c>
      <c r="C12" s="1" t="s">
        <v>16</v>
      </c>
      <c r="D12" s="1">
        <v>64.5</v>
      </c>
      <c r="E12" s="9">
        <v>5</v>
      </c>
      <c r="F12" s="9" t="s">
        <v>120</v>
      </c>
      <c r="G12" s="12">
        <f t="shared" si="1"/>
        <v>322.5</v>
      </c>
      <c r="H12" s="1"/>
    </row>
    <row r="13" spans="1:8" x14ac:dyDescent="0.25">
      <c r="A13" s="18"/>
      <c r="B13" s="1" t="s">
        <v>88</v>
      </c>
      <c r="C13" s="1" t="s">
        <v>52</v>
      </c>
      <c r="D13" s="1">
        <v>53.58</v>
      </c>
      <c r="E13" s="9">
        <v>12</v>
      </c>
      <c r="F13" s="9" t="s">
        <v>120</v>
      </c>
      <c r="G13" s="12">
        <f t="shared" si="1"/>
        <v>642.96</v>
      </c>
      <c r="H13" s="1"/>
    </row>
    <row r="14" spans="1:8" x14ac:dyDescent="0.25">
      <c r="A14" s="18"/>
      <c r="B14" s="19" t="s">
        <v>6</v>
      </c>
      <c r="C14" s="20"/>
      <c r="D14" s="21"/>
      <c r="E14" s="10"/>
      <c r="F14" s="10"/>
      <c r="G14" s="14">
        <f>SUM(G9:G13)</f>
        <v>1928.46</v>
      </c>
      <c r="H14" s="1"/>
    </row>
    <row r="15" spans="1:8" x14ac:dyDescent="0.25">
      <c r="A15" s="1" t="s">
        <v>15</v>
      </c>
      <c r="B15" s="1" t="s">
        <v>1</v>
      </c>
      <c r="C15" s="1" t="s">
        <v>2</v>
      </c>
      <c r="D15" s="1" t="s">
        <v>3</v>
      </c>
      <c r="E15" s="9" t="s">
        <v>119</v>
      </c>
      <c r="F15" s="9"/>
      <c r="G15" s="1" t="s">
        <v>4</v>
      </c>
      <c r="H15" s="1" t="s">
        <v>5</v>
      </c>
    </row>
    <row r="16" spans="1:8" x14ac:dyDescent="0.25">
      <c r="A16" s="18" t="s">
        <v>41</v>
      </c>
      <c r="B16" s="1" t="s">
        <v>89</v>
      </c>
      <c r="C16" s="1" t="s">
        <v>9</v>
      </c>
      <c r="D16" s="1">
        <v>75</v>
      </c>
      <c r="E16" s="9">
        <v>15</v>
      </c>
      <c r="F16" s="9" t="s">
        <v>121</v>
      </c>
      <c r="G16" s="1">
        <f>E16*D16</f>
        <v>1125</v>
      </c>
      <c r="H16" s="1"/>
    </row>
    <row r="17" spans="1:8" x14ac:dyDescent="0.25">
      <c r="A17" s="18"/>
      <c r="B17" s="1" t="s">
        <v>90</v>
      </c>
      <c r="C17" s="1" t="s">
        <v>92</v>
      </c>
      <c r="D17" s="1">
        <v>100</v>
      </c>
      <c r="E17" s="9">
        <v>6</v>
      </c>
      <c r="F17" s="9" t="s">
        <v>121</v>
      </c>
      <c r="G17" s="9">
        <f t="shared" ref="G17:G18" si="2">E17*D17</f>
        <v>600</v>
      </c>
      <c r="H17" s="1"/>
    </row>
    <row r="18" spans="1:8" x14ac:dyDescent="0.25">
      <c r="A18" s="18"/>
      <c r="B18" s="1" t="s">
        <v>91</v>
      </c>
      <c r="C18" s="1" t="s">
        <v>93</v>
      </c>
      <c r="D18" s="1">
        <v>58.5</v>
      </c>
      <c r="E18" s="9">
        <v>8</v>
      </c>
      <c r="F18" s="9" t="s">
        <v>120</v>
      </c>
      <c r="G18" s="9">
        <f t="shared" si="2"/>
        <v>468</v>
      </c>
      <c r="H18" s="1"/>
    </row>
    <row r="19" spans="1:8" x14ac:dyDescent="0.25">
      <c r="A19" s="18"/>
      <c r="B19" s="1"/>
      <c r="C19" s="1"/>
      <c r="D19" s="1"/>
      <c r="E19" s="10"/>
      <c r="F19" s="10"/>
      <c r="G19" s="3"/>
      <c r="H19" s="1"/>
    </row>
    <row r="20" spans="1:8" x14ac:dyDescent="0.25">
      <c r="A20" s="18"/>
      <c r="B20" s="19" t="s">
        <v>6</v>
      </c>
      <c r="C20" s="20"/>
      <c r="D20" s="21"/>
      <c r="E20" s="10"/>
      <c r="F20" s="10"/>
      <c r="G20" s="15">
        <f>SUM(G16:G19)</f>
        <v>2193</v>
      </c>
      <c r="H20" s="1"/>
    </row>
    <row r="21" spans="1:8" x14ac:dyDescent="0.25">
      <c r="A21" s="5" t="s">
        <v>17</v>
      </c>
      <c r="B21" s="1" t="s">
        <v>1</v>
      </c>
      <c r="C21" s="1" t="s">
        <v>2</v>
      </c>
      <c r="D21" s="1" t="s">
        <v>3</v>
      </c>
      <c r="E21" s="9" t="s">
        <v>119</v>
      </c>
      <c r="F21" s="9"/>
      <c r="G21" s="1" t="s">
        <v>4</v>
      </c>
      <c r="H21" s="1" t="s">
        <v>5</v>
      </c>
    </row>
    <row r="22" spans="1:8" x14ac:dyDescent="0.25">
      <c r="A22" s="18"/>
      <c r="B22" s="1" t="s">
        <v>133</v>
      </c>
      <c r="C22" s="1"/>
      <c r="D22" s="1">
        <v>28.56</v>
      </c>
      <c r="E22" s="9">
        <v>8</v>
      </c>
      <c r="F22" s="9" t="s">
        <v>120</v>
      </c>
      <c r="G22" s="12">
        <f>E22*D22</f>
        <v>228.48</v>
      </c>
      <c r="H22" s="1"/>
    </row>
    <row r="23" spans="1:8" x14ac:dyDescent="0.25">
      <c r="A23" s="18"/>
      <c r="B23" s="1" t="s">
        <v>136</v>
      </c>
      <c r="C23" s="1"/>
      <c r="D23" s="1">
        <v>844</v>
      </c>
      <c r="E23" s="9">
        <v>1</v>
      </c>
      <c r="F23" s="9" t="s">
        <v>138</v>
      </c>
      <c r="G23" s="12">
        <f t="shared" ref="G23:G25" si="3">E23*D23</f>
        <v>844</v>
      </c>
      <c r="H23" s="1"/>
    </row>
    <row r="24" spans="1:8" x14ac:dyDescent="0.25">
      <c r="A24" s="18"/>
      <c r="B24" s="1" t="s">
        <v>137</v>
      </c>
      <c r="C24" s="1"/>
      <c r="D24" s="1">
        <v>1188</v>
      </c>
      <c r="E24" s="9">
        <v>1</v>
      </c>
      <c r="F24" s="9" t="s">
        <v>132</v>
      </c>
      <c r="G24" s="12">
        <f t="shared" si="3"/>
        <v>1188</v>
      </c>
      <c r="H24" s="1"/>
    </row>
    <row r="25" spans="1:8" x14ac:dyDescent="0.25">
      <c r="A25" s="18"/>
      <c r="B25" s="1" t="s">
        <v>139</v>
      </c>
      <c r="C25" s="1"/>
      <c r="D25" s="1">
        <v>50</v>
      </c>
      <c r="E25" s="9">
        <v>1</v>
      </c>
      <c r="F25" s="9" t="s">
        <v>131</v>
      </c>
      <c r="G25" s="12">
        <f t="shared" si="3"/>
        <v>50</v>
      </c>
      <c r="H25" s="1"/>
    </row>
    <row r="26" spans="1:8" x14ac:dyDescent="0.25">
      <c r="A26" s="18"/>
      <c r="B26" s="19" t="s">
        <v>6</v>
      </c>
      <c r="C26" s="20"/>
      <c r="D26" s="21"/>
      <c r="E26" s="10"/>
      <c r="F26" s="10"/>
      <c r="G26" s="14">
        <f>SUM(G22:G25)</f>
        <v>2310.48</v>
      </c>
      <c r="H26" s="1"/>
    </row>
    <row r="27" spans="1:8" x14ac:dyDescent="0.25">
      <c r="A27" s="1" t="s">
        <v>18</v>
      </c>
      <c r="B27" s="1" t="s">
        <v>1</v>
      </c>
      <c r="C27" s="1" t="s">
        <v>2</v>
      </c>
      <c r="D27" s="1" t="s">
        <v>3</v>
      </c>
      <c r="E27" s="9" t="s">
        <v>119</v>
      </c>
      <c r="F27" s="9"/>
      <c r="G27" s="1" t="s">
        <v>4</v>
      </c>
      <c r="H27" s="1" t="s">
        <v>5</v>
      </c>
    </row>
    <row r="28" spans="1:8" x14ac:dyDescent="0.25">
      <c r="A28" s="18" t="s">
        <v>42</v>
      </c>
      <c r="B28" s="1" t="s">
        <v>43</v>
      </c>
      <c r="C28" s="1" t="s">
        <v>46</v>
      </c>
      <c r="D28" s="1">
        <v>225</v>
      </c>
      <c r="E28" s="9">
        <v>3</v>
      </c>
      <c r="F28" s="9" t="s">
        <v>122</v>
      </c>
      <c r="G28" s="1">
        <f>E28*D28</f>
        <v>675</v>
      </c>
      <c r="H28" s="1"/>
    </row>
    <row r="29" spans="1:8" x14ac:dyDescent="0.25">
      <c r="A29" s="18"/>
      <c r="B29" s="1" t="s">
        <v>44</v>
      </c>
      <c r="C29" s="1" t="s">
        <v>45</v>
      </c>
      <c r="D29" s="1">
        <v>90</v>
      </c>
      <c r="E29" s="9">
        <v>2</v>
      </c>
      <c r="F29" s="9" t="s">
        <v>132</v>
      </c>
      <c r="G29" s="9">
        <f>E29*D29</f>
        <v>180</v>
      </c>
      <c r="H29" s="1"/>
    </row>
    <row r="30" spans="1:8" x14ac:dyDescent="0.25">
      <c r="A30" s="18"/>
      <c r="B30" s="19"/>
      <c r="C30" s="20"/>
      <c r="D30" s="21"/>
      <c r="E30" s="10"/>
      <c r="F30" s="10"/>
      <c r="G30" s="15">
        <f>SUM(G28:G29)</f>
        <v>855</v>
      </c>
      <c r="H30" s="1"/>
    </row>
    <row r="31" spans="1:8" x14ac:dyDescent="0.25">
      <c r="A31" s="1" t="s">
        <v>20</v>
      </c>
      <c r="B31" s="1" t="s">
        <v>1</v>
      </c>
      <c r="C31" s="1" t="s">
        <v>2</v>
      </c>
      <c r="D31" s="1" t="s">
        <v>3</v>
      </c>
      <c r="E31" s="10" t="s">
        <v>119</v>
      </c>
      <c r="F31" s="10"/>
      <c r="G31" s="3" t="s">
        <v>4</v>
      </c>
      <c r="H31" s="1" t="s">
        <v>5</v>
      </c>
    </row>
    <row r="32" spans="1:8" x14ac:dyDescent="0.25">
      <c r="A32" s="28"/>
      <c r="B32" s="1" t="s">
        <v>134</v>
      </c>
      <c r="C32" s="1"/>
      <c r="D32" s="9">
        <v>11.7</v>
      </c>
      <c r="E32" s="9">
        <v>45</v>
      </c>
      <c r="F32" s="9" t="s">
        <v>120</v>
      </c>
      <c r="G32" s="12">
        <f>E32*D32</f>
        <v>526.5</v>
      </c>
      <c r="H32" s="1"/>
    </row>
    <row r="33" spans="1:8" x14ac:dyDescent="0.25">
      <c r="A33" s="29"/>
      <c r="B33" s="1" t="s">
        <v>135</v>
      </c>
      <c r="C33" s="1"/>
      <c r="D33" s="1">
        <v>27.84</v>
      </c>
      <c r="E33" s="9">
        <v>76.34</v>
      </c>
      <c r="F33" s="9" t="s">
        <v>120</v>
      </c>
      <c r="G33" s="12">
        <f>E33*D33</f>
        <v>2125.3056000000001</v>
      </c>
      <c r="H33" s="1"/>
    </row>
    <row r="34" spans="1:8" x14ac:dyDescent="0.25">
      <c r="A34" s="30"/>
      <c r="B34" s="19" t="s">
        <v>6</v>
      </c>
      <c r="C34" s="20"/>
      <c r="D34" s="21"/>
      <c r="E34" s="10"/>
      <c r="F34" s="10"/>
      <c r="G34" s="14">
        <f>SUM(G32:G33)</f>
        <v>2651.8056000000001</v>
      </c>
      <c r="H34" s="6"/>
    </row>
    <row r="35" spans="1:8" x14ac:dyDescent="0.25">
      <c r="A35" s="7" t="s">
        <v>21</v>
      </c>
      <c r="B35" s="1" t="s">
        <v>1</v>
      </c>
      <c r="C35" s="1" t="s">
        <v>2</v>
      </c>
      <c r="D35" s="1" t="s">
        <v>3</v>
      </c>
      <c r="E35" s="9" t="s">
        <v>119</v>
      </c>
      <c r="F35" s="9"/>
      <c r="G35" s="1" t="s">
        <v>4</v>
      </c>
      <c r="H35" s="1"/>
    </row>
    <row r="36" spans="1:8" x14ac:dyDescent="0.25">
      <c r="A36" s="18"/>
      <c r="B36" s="1" t="s">
        <v>123</v>
      </c>
      <c r="C36" s="1"/>
      <c r="D36" s="1">
        <v>4.5</v>
      </c>
      <c r="E36" s="9">
        <v>50</v>
      </c>
      <c r="F36" s="9" t="s">
        <v>124</v>
      </c>
      <c r="G36" s="1">
        <f>D36*E36</f>
        <v>225</v>
      </c>
      <c r="H36" s="1"/>
    </row>
    <row r="37" spans="1:8" x14ac:dyDescent="0.25">
      <c r="A37" s="18"/>
      <c r="B37" s="1" t="s">
        <v>125</v>
      </c>
      <c r="C37" s="1"/>
      <c r="D37" s="1">
        <v>240</v>
      </c>
      <c r="E37" s="9">
        <v>1</v>
      </c>
      <c r="F37" s="9" t="s">
        <v>126</v>
      </c>
      <c r="G37" s="9">
        <f t="shared" ref="G37:G40" si="4">D37*E37</f>
        <v>240</v>
      </c>
      <c r="H37" s="1"/>
    </row>
    <row r="38" spans="1:8" x14ac:dyDescent="0.25">
      <c r="A38" s="18"/>
      <c r="B38" s="1" t="s">
        <v>127</v>
      </c>
      <c r="C38" s="1"/>
      <c r="D38" s="1">
        <v>60</v>
      </c>
      <c r="E38" s="9">
        <v>1</v>
      </c>
      <c r="F38" s="9" t="s">
        <v>131</v>
      </c>
      <c r="G38" s="9">
        <f t="shared" si="4"/>
        <v>60</v>
      </c>
      <c r="H38" s="1"/>
    </row>
    <row r="39" spans="1:8" x14ac:dyDescent="0.25">
      <c r="A39" s="18"/>
      <c r="B39" s="1" t="s">
        <v>128</v>
      </c>
      <c r="C39" s="1"/>
      <c r="D39" s="1">
        <v>300</v>
      </c>
      <c r="E39" s="9">
        <v>1</v>
      </c>
      <c r="F39" s="9" t="s">
        <v>126</v>
      </c>
      <c r="G39" s="9">
        <f t="shared" si="4"/>
        <v>300</v>
      </c>
      <c r="H39" s="1"/>
    </row>
    <row r="40" spans="1:8" x14ac:dyDescent="0.25">
      <c r="A40" s="18"/>
      <c r="B40" s="9" t="s">
        <v>129</v>
      </c>
      <c r="C40" s="9"/>
      <c r="D40" s="9">
        <v>235</v>
      </c>
      <c r="E40" s="10">
        <v>3</v>
      </c>
      <c r="F40" s="10" t="s">
        <v>130</v>
      </c>
      <c r="G40" s="9">
        <f t="shared" si="4"/>
        <v>705</v>
      </c>
      <c r="H40" s="9"/>
    </row>
    <row r="41" spans="1:8" x14ac:dyDescent="0.25">
      <c r="A41" s="18"/>
      <c r="B41" s="19" t="s">
        <v>6</v>
      </c>
      <c r="C41" s="20"/>
      <c r="D41" s="21"/>
      <c r="E41" s="10"/>
      <c r="F41" s="10"/>
      <c r="G41" s="15">
        <f>SUM(G36:G40)</f>
        <v>1530</v>
      </c>
      <c r="H41" s="1"/>
    </row>
    <row r="42" spans="1:8" x14ac:dyDescent="0.25">
      <c r="A42" s="1"/>
      <c r="B42" s="25" t="s">
        <v>22</v>
      </c>
      <c r="C42" s="26"/>
      <c r="D42" s="27"/>
      <c r="E42" s="11"/>
      <c r="F42" s="11"/>
      <c r="G42" s="16">
        <f>G41+G34+G30+G20+G14+G7+G26</f>
        <v>16506.345600000001</v>
      </c>
      <c r="H42" s="1"/>
    </row>
  </sheetData>
  <mergeCells count="16">
    <mergeCell ref="A36:A41"/>
    <mergeCell ref="B41:D41"/>
    <mergeCell ref="B42:D42"/>
    <mergeCell ref="A22:A26"/>
    <mergeCell ref="B26:D26"/>
    <mergeCell ref="A28:A30"/>
    <mergeCell ref="B30:D30"/>
    <mergeCell ref="A32:A34"/>
    <mergeCell ref="B34:D34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2</vt:i4>
      </vt:variant>
    </vt:vector>
  </HeadingPairs>
  <TitlesOfParts>
    <vt:vector size="6" baseType="lpstr">
      <vt:lpstr>1007</vt:lpstr>
      <vt:lpstr>1008</vt:lpstr>
      <vt:lpstr>1009</vt:lpstr>
      <vt:lpstr>1011</vt:lpstr>
      <vt:lpstr>'1009'!Print_Area</vt:lpstr>
      <vt:lpstr>'1011'!Print_Area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2024-10-09T05:53:39Z</cp:lastPrinted>
  <dcterms:created xsi:type="dcterms:W3CDTF">2024-09-25T07:12:20Z</dcterms:created>
  <dcterms:modified xsi:type="dcterms:W3CDTF">2024-10-14T08:08:24Z</dcterms:modified>
</cp:coreProperties>
</file>