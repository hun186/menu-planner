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10月份\"/>
    </mc:Choice>
  </mc:AlternateContent>
  <bookViews>
    <workbookView xWindow="0" yWindow="0" windowWidth="28800" windowHeight="13560" activeTab="4"/>
  </bookViews>
  <sheets>
    <sheet name="1028" sheetId="1" r:id="rId1"/>
    <sheet name="1029" sheetId="2" r:id="rId2"/>
    <sheet name="1030" sheetId="3" r:id="rId3"/>
    <sheet name="1031" sheetId="4" r:id="rId4"/>
    <sheet name="1101" sheetId="5" r:id="rId5"/>
  </sheets>
  <definedNames>
    <definedName name="_xlnm.Print_Area" localSheetId="0">'1028'!$A$1:$H$46</definedName>
    <definedName name="_xlnm.Print_Area" localSheetId="1">'1029'!$A$1:$H$41</definedName>
    <definedName name="_xlnm.Print_Area" localSheetId="2">'1030'!$A$1:$H$58</definedName>
    <definedName name="_xlnm.Print_Area" localSheetId="3">'1031'!$A$1:$H$41</definedName>
    <definedName name="_xlnm.Print_Area" localSheetId="4">'1101'!$A$1:$H$49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5" l="1"/>
  <c r="G48" i="5"/>
  <c r="G34" i="5"/>
  <c r="G32" i="5"/>
  <c r="G31" i="5"/>
  <c r="G30" i="5"/>
  <c r="G29" i="5"/>
  <c r="G28" i="5"/>
  <c r="G42" i="5"/>
  <c r="G17" i="5"/>
  <c r="G20" i="5" s="1"/>
  <c r="G24" i="5"/>
  <c r="G25" i="5"/>
  <c r="G26" i="5"/>
  <c r="G27" i="5"/>
  <c r="G23" i="5"/>
  <c r="G22" i="5"/>
  <c r="G45" i="5"/>
  <c r="G46" i="5"/>
  <c r="G47" i="5"/>
  <c r="G44" i="5"/>
  <c r="G40" i="5"/>
  <c r="G38" i="5"/>
  <c r="G37" i="5"/>
  <c r="G36" i="5"/>
  <c r="G16" i="5"/>
  <c r="G14" i="5"/>
  <c r="G10" i="5"/>
  <c r="G11" i="5"/>
  <c r="G12" i="5"/>
  <c r="G9" i="5"/>
  <c r="G7" i="5"/>
  <c r="G3" i="5"/>
  <c r="G41" i="4" l="1"/>
  <c r="G26" i="4"/>
  <c r="G34" i="4"/>
  <c r="G32" i="4"/>
  <c r="G20" i="4"/>
  <c r="G17" i="4"/>
  <c r="G16" i="4"/>
  <c r="G14" i="4"/>
  <c r="G9" i="4"/>
  <c r="G7" i="4"/>
  <c r="G4" i="4"/>
  <c r="G5" i="4"/>
  <c r="G3" i="4"/>
  <c r="G22" i="4"/>
  <c r="G18" i="4"/>
  <c r="G48" i="3"/>
  <c r="G49" i="3" l="1"/>
  <c r="G58" i="3" s="1"/>
  <c r="G40" i="3"/>
  <c r="G41" i="3"/>
  <c r="G39" i="3"/>
  <c r="G38" i="3"/>
  <c r="G37" i="3"/>
  <c r="G36" i="3"/>
  <c r="G14" i="3"/>
  <c r="G10" i="3"/>
  <c r="G7" i="3"/>
  <c r="G4" i="3"/>
  <c r="G3" i="3"/>
  <c r="G35" i="3"/>
  <c r="G34" i="3"/>
  <c r="G33" i="3"/>
  <c r="G32" i="3"/>
  <c r="G31" i="3"/>
  <c r="G30" i="3"/>
  <c r="G29" i="3"/>
  <c r="G28" i="3"/>
  <c r="G27" i="3"/>
  <c r="G26" i="3"/>
  <c r="G47" i="3"/>
  <c r="G9" i="3"/>
  <c r="G23" i="3"/>
  <c r="G24" i="3"/>
  <c r="G25" i="3"/>
  <c r="G52" i="3"/>
  <c r="G53" i="3"/>
  <c r="G54" i="3"/>
  <c r="G55" i="3"/>
  <c r="G56" i="3"/>
  <c r="G51" i="3"/>
  <c r="G22" i="3"/>
  <c r="G32" i="2"/>
  <c r="G57" i="3" l="1"/>
  <c r="G30" i="2"/>
  <c r="G34" i="2"/>
  <c r="G41" i="2" s="1"/>
  <c r="G26" i="2"/>
  <c r="G25" i="2"/>
  <c r="G33" i="2"/>
  <c r="G20" i="2"/>
  <c r="G17" i="2"/>
  <c r="G16" i="2"/>
  <c r="G14" i="2"/>
  <c r="G10" i="2"/>
  <c r="G11" i="2"/>
  <c r="G12" i="2"/>
  <c r="G9" i="2"/>
  <c r="G23" i="2"/>
  <c r="G24" i="2"/>
  <c r="G22" i="2"/>
  <c r="G28" i="2"/>
  <c r="G7" i="2"/>
  <c r="G3" i="2"/>
  <c r="G46" i="1" l="1"/>
  <c r="G39" i="1"/>
  <c r="G45" i="1"/>
  <c r="G43" i="1"/>
  <c r="G31" i="1"/>
  <c r="G28" i="1"/>
  <c r="G37" i="1"/>
  <c r="G42" i="1"/>
  <c r="G41" i="1"/>
  <c r="G35" i="1"/>
  <c r="G34" i="1"/>
  <c r="G33" i="1"/>
  <c r="G20" i="1"/>
  <c r="G16" i="1"/>
  <c r="G17" i="1"/>
  <c r="G14" i="1"/>
  <c r="G10" i="1"/>
  <c r="G9" i="1"/>
  <c r="G7" i="1"/>
  <c r="G4" i="1"/>
  <c r="G5" i="1"/>
  <c r="G6" i="1"/>
  <c r="G3" i="1"/>
  <c r="G27" i="1"/>
  <c r="G26" i="1"/>
  <c r="G25" i="1"/>
  <c r="G24" i="1"/>
  <c r="G23" i="1"/>
  <c r="G22" i="1"/>
</calcChain>
</file>

<file path=xl/sharedStrings.xml><?xml version="1.0" encoding="utf-8"?>
<sst xmlns="http://schemas.openxmlformats.org/spreadsheetml/2006/main" count="545" uniqueCount="268">
  <si>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</si>
  <si>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</si>
  <si>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</si>
  <si>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</si>
  <si>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</si>
  <si>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</si>
  <si>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70斤</t>
    <phoneticPr fontId="2" type="noConversion"/>
  </si>
  <si>
    <t>去皮洋蔥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</si>
  <si>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</si>
  <si>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</si>
  <si>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單價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</si>
  <si>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</si>
  <si>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</si>
  <si>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</si>
  <si>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數量</t>
    <phoneticPr fontId="2" type="noConversion"/>
  </si>
  <si>
    <t>金額</t>
    <phoneticPr fontId="2" type="noConversion"/>
  </si>
  <si>
    <t>10斤</t>
    <phoneticPr fontId="2" type="noConversion"/>
  </si>
  <si>
    <t>雜貨</t>
    <phoneticPr fontId="2" type="noConversion"/>
  </si>
  <si>
    <t>食材</t>
    <phoneticPr fontId="2" type="noConversion"/>
  </si>
  <si>
    <t>數量</t>
    <phoneticPr fontId="2" type="noConversion"/>
  </si>
  <si>
    <t>備考</t>
    <phoneticPr fontId="2" type="noConversion"/>
  </si>
  <si>
    <t>湯品</t>
    <phoneticPr fontId="2" type="noConversion"/>
  </si>
  <si>
    <t>食材</t>
    <phoneticPr fontId="2" type="noConversion"/>
  </si>
  <si>
    <t>單價</t>
    <phoneticPr fontId="2" type="noConversion"/>
  </si>
  <si>
    <t>金額</t>
    <phoneticPr fontId="2" type="noConversion"/>
  </si>
  <si>
    <t>5斤</t>
    <phoneticPr fontId="2" type="noConversion"/>
  </si>
  <si>
    <t>青菜 水果</t>
    <phoneticPr fontId="2" type="noConversion"/>
  </si>
  <si>
    <t>合      計</t>
    <phoneticPr fontId="2" type="noConversion"/>
  </si>
  <si>
    <t>週三麵食</t>
    <phoneticPr fontId="2" type="noConversion"/>
  </si>
  <si>
    <t>數量</t>
    <phoneticPr fontId="2" type="noConversion"/>
  </si>
  <si>
    <t>金額</t>
    <phoneticPr fontId="2" type="noConversion"/>
  </si>
  <si>
    <t>總      計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</si>
  <si>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</si>
  <si>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</si>
  <si>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</si>
  <si>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</si>
  <si>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</si>
  <si>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</si>
  <si>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</si>
  <si>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</si>
  <si>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</si>
  <si>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</si>
  <si>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</si>
  <si>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</si>
  <si>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</si>
  <si>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</si>
  <si>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冷凍玉米粒</t>
    <phoneticPr fontId="2" type="noConversion"/>
  </si>
  <si>
    <t>1件</t>
    <phoneticPr fontId="2" type="noConversion"/>
  </si>
  <si>
    <t>雜貨</t>
    <phoneticPr fontId="2" type="noConversion"/>
  </si>
  <si>
    <t>金額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</si>
  <si>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</si>
  <si>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</si>
  <si>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</si>
  <si>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</si>
  <si>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</si>
  <si>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數量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</si>
  <si>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</si>
  <si>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食材</t>
    <phoneticPr fontId="2" type="noConversion"/>
  </si>
  <si>
    <t>金額</t>
    <phoneticPr fontId="2" type="noConversion"/>
  </si>
  <si>
    <t>備考</t>
    <phoneticPr fontId="2" type="noConversion"/>
  </si>
  <si>
    <t>絞肉</t>
    <phoneticPr fontId="2" type="noConversion"/>
  </si>
  <si>
    <t>金額</t>
    <phoneticPr fontId="2" type="noConversion"/>
  </si>
  <si>
    <t>湯品</t>
    <phoneticPr fontId="2" type="noConversion"/>
  </si>
  <si>
    <t>單價</t>
    <phoneticPr fontId="2" type="noConversion"/>
  </si>
  <si>
    <t>合      計</t>
    <phoneticPr fontId="2" type="noConversion"/>
  </si>
  <si>
    <t>備考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</si>
  <si>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</si>
  <si>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食材</t>
    <phoneticPr fontId="2" type="noConversion"/>
  </si>
  <si>
    <t>數量</t>
    <phoneticPr fontId="2" type="noConversion"/>
  </si>
  <si>
    <t>金額</t>
    <phoneticPr fontId="2" type="noConversion"/>
  </si>
  <si>
    <t>合      計</t>
    <phoneticPr fontId="2" type="noConversion"/>
  </si>
  <si>
    <t>雜貨</t>
    <phoneticPr fontId="2" type="noConversion"/>
  </si>
  <si>
    <t>單價</t>
    <phoneticPr fontId="2" type="noConversion"/>
  </si>
  <si>
    <t>金額</t>
    <phoneticPr fontId="2" type="noConversion"/>
  </si>
  <si>
    <t>合      計</t>
    <phoneticPr fontId="2" type="noConversion"/>
  </si>
  <si>
    <t>湯品</t>
    <phoneticPr fontId="2" type="noConversion"/>
  </si>
  <si>
    <t>備考</t>
    <phoneticPr fontId="2" type="noConversion"/>
  </si>
  <si>
    <t>週三麵食</t>
    <phoneticPr fontId="2" type="noConversion"/>
  </si>
  <si>
    <t>數量</t>
    <phoneticPr fontId="2" type="noConversion"/>
  </si>
  <si>
    <t>數量</t>
    <phoneticPr fontId="2" type="noConversion"/>
  </si>
  <si>
    <t>金額</t>
    <phoneticPr fontId="2" type="noConversion"/>
  </si>
  <si>
    <t>單價</t>
    <phoneticPr fontId="2" type="noConversion"/>
  </si>
  <si>
    <t>電訊科技中心(安康營區)     113年      10月   28日      午餐明細表</t>
    <phoneticPr fontId="2" type="noConversion"/>
  </si>
  <si>
    <t>電訊科技中心(安康營區)     113年      10月   29日      午餐明細表</t>
    <phoneticPr fontId="2" type="noConversion"/>
  </si>
  <si>
    <t>電訊科技中心(安康營區)     113年      10月   30日      午餐明細表</t>
    <phoneticPr fontId="2" type="noConversion"/>
  </si>
  <si>
    <t>電訊科技中心(安康營區)     113年      10月   31日      午餐明細表</t>
    <phoneticPr fontId="2" type="noConversion"/>
  </si>
  <si>
    <t>電訊科技中心(安康營區)     113年      11月   1日      午餐明細表</t>
    <phoneticPr fontId="2" type="noConversion"/>
  </si>
  <si>
    <t>三杯雞</t>
    <phoneticPr fontId="2" type="noConversion"/>
  </si>
  <si>
    <t>菜圃蛋</t>
    <phoneticPr fontId="2" type="noConversion"/>
  </si>
  <si>
    <t>油豆腐肉燥</t>
    <phoneticPr fontId="2" type="noConversion"/>
  </si>
  <si>
    <t>味增貢丸湯</t>
    <phoneticPr fontId="2" type="noConversion"/>
  </si>
  <si>
    <t>花枝排</t>
    <phoneticPr fontId="2" type="noConversion"/>
  </si>
  <si>
    <t>大黃瓜炒肉片</t>
    <phoneticPr fontId="2" type="noConversion"/>
  </si>
  <si>
    <t>雪菜炒百頁</t>
    <phoneticPr fontId="2" type="noConversion"/>
  </si>
  <si>
    <t>紫菜蛋花湯</t>
    <phoneticPr fontId="2" type="noConversion"/>
  </si>
  <si>
    <t>酥炸魷魚圈/甜不辣片</t>
    <phoneticPr fontId="2" type="noConversion"/>
  </si>
  <si>
    <t>涼拌豬耳朵</t>
    <phoneticPr fontId="2" type="noConversion"/>
  </si>
  <si>
    <t>肉羹麵</t>
    <phoneticPr fontId="2" type="noConversion"/>
  </si>
  <si>
    <t>油麵</t>
    <phoneticPr fontId="2" type="noConversion"/>
  </si>
  <si>
    <t>肉羹</t>
    <phoneticPr fontId="2" type="noConversion"/>
  </si>
  <si>
    <t>紅蘿蔔絲</t>
    <phoneticPr fontId="2" type="noConversion"/>
  </si>
  <si>
    <t>筍絲</t>
    <phoneticPr fontId="2" type="noConversion"/>
  </si>
  <si>
    <t>木耳絲</t>
    <phoneticPr fontId="2" type="noConversion"/>
  </si>
  <si>
    <t>大白菜</t>
    <phoneticPr fontId="2" type="noConversion"/>
  </si>
  <si>
    <t>65斤</t>
    <phoneticPr fontId="2" type="noConversion"/>
  </si>
  <si>
    <t>35斤</t>
    <phoneticPr fontId="2" type="noConversion"/>
  </si>
  <si>
    <t>3斤</t>
    <phoneticPr fontId="2" type="noConversion"/>
  </si>
  <si>
    <t>8斤</t>
    <phoneticPr fontId="2" type="noConversion"/>
  </si>
  <si>
    <t>4斤</t>
    <phoneticPr fontId="2" type="noConversion"/>
  </si>
  <si>
    <t>魷魚細圈</t>
    <phoneticPr fontId="2" type="noConversion"/>
  </si>
  <si>
    <t>甜不辣片</t>
    <phoneticPr fontId="2" type="noConversion"/>
  </si>
  <si>
    <t>30斤</t>
    <phoneticPr fontId="2" type="noConversion"/>
  </si>
  <si>
    <t>160片</t>
    <phoneticPr fontId="2" type="noConversion"/>
  </si>
  <si>
    <t>蔥爆肉片</t>
    <phoneticPr fontId="2" type="noConversion"/>
  </si>
  <si>
    <t>糖醋豆腐</t>
    <phoneticPr fontId="2" type="noConversion"/>
  </si>
  <si>
    <t>玉米炒雞丁</t>
    <phoneticPr fontId="2" type="noConversion"/>
  </si>
  <si>
    <t>綠豆湯</t>
    <phoneticPr fontId="2" type="noConversion"/>
  </si>
  <si>
    <t>烤腿排</t>
    <phoneticPr fontId="2" type="noConversion"/>
  </si>
  <si>
    <t>芹香肉絲</t>
    <phoneticPr fontId="2" type="noConversion"/>
  </si>
  <si>
    <t>雙色花椰菜</t>
    <phoneticPr fontId="2" type="noConversion"/>
  </si>
  <si>
    <t>冬瓜魚丸湯</t>
    <phoneticPr fontId="2" type="noConversion"/>
  </si>
  <si>
    <t>骨腿丁</t>
    <phoneticPr fontId="2" type="noConversion"/>
  </si>
  <si>
    <t>薑</t>
    <phoneticPr fontId="2" type="noConversion"/>
  </si>
  <si>
    <t>九層塔</t>
    <phoneticPr fontId="2" type="noConversion"/>
  </si>
  <si>
    <t>1斤</t>
    <phoneticPr fontId="2" type="noConversion"/>
  </si>
  <si>
    <t>1斤</t>
    <phoneticPr fontId="2" type="noConversion"/>
  </si>
  <si>
    <t>6斤</t>
    <phoneticPr fontId="2" type="noConversion"/>
  </si>
  <si>
    <t>菜圃碎</t>
    <phoneticPr fontId="2" type="noConversion"/>
  </si>
  <si>
    <t>蛋</t>
    <phoneticPr fontId="2" type="noConversion"/>
  </si>
  <si>
    <t>12斤</t>
    <phoneticPr fontId="2" type="noConversion"/>
  </si>
  <si>
    <t>油豆腐丁</t>
    <phoneticPr fontId="2" type="noConversion"/>
  </si>
  <si>
    <t>25斤</t>
    <phoneticPr fontId="2" type="noConversion"/>
  </si>
  <si>
    <t>20斤</t>
    <phoneticPr fontId="2" type="noConversion"/>
  </si>
  <si>
    <t>小貢丸</t>
    <phoneticPr fontId="2" type="noConversion"/>
  </si>
  <si>
    <t>味增</t>
    <phoneticPr fontId="2" type="noConversion"/>
  </si>
  <si>
    <t>1箱</t>
    <phoneticPr fontId="2" type="noConversion"/>
  </si>
  <si>
    <t>3包</t>
    <phoneticPr fontId="2" type="noConversion"/>
  </si>
  <si>
    <t>水信花枝排</t>
    <phoneticPr fontId="2" type="noConversion"/>
  </si>
  <si>
    <t>5件</t>
    <phoneticPr fontId="2" type="noConversion"/>
  </si>
  <si>
    <t>去皮大黃瓜</t>
    <phoneticPr fontId="2" type="noConversion"/>
  </si>
  <si>
    <t>豬肉片</t>
    <phoneticPr fontId="2" type="noConversion"/>
  </si>
  <si>
    <t>紅蘿蔔</t>
    <phoneticPr fontId="2" type="noConversion"/>
  </si>
  <si>
    <t>木耳絲</t>
    <phoneticPr fontId="2" type="noConversion"/>
  </si>
  <si>
    <t>35斤</t>
    <phoneticPr fontId="2" type="noConversion"/>
  </si>
  <si>
    <t>20斤</t>
    <phoneticPr fontId="2" type="noConversion"/>
  </si>
  <si>
    <t>2斤</t>
    <phoneticPr fontId="2" type="noConversion"/>
  </si>
  <si>
    <t>3斤</t>
    <phoneticPr fontId="2" type="noConversion"/>
  </si>
  <si>
    <t>切雪裡紅</t>
    <phoneticPr fontId="2" type="noConversion"/>
  </si>
  <si>
    <t>20斤</t>
    <phoneticPr fontId="2" type="noConversion"/>
  </si>
  <si>
    <t>紫菜</t>
    <phoneticPr fontId="2" type="noConversion"/>
  </si>
  <si>
    <t>蛋</t>
    <phoneticPr fontId="2" type="noConversion"/>
  </si>
  <si>
    <t>庫存</t>
    <phoneticPr fontId="2" type="noConversion"/>
  </si>
  <si>
    <t>1包</t>
    <phoneticPr fontId="2" type="noConversion"/>
  </si>
  <si>
    <t>豬耳朵</t>
    <phoneticPr fontId="2" type="noConversion"/>
  </si>
  <si>
    <t>30斤</t>
    <phoneticPr fontId="2" type="noConversion"/>
  </si>
  <si>
    <t>薑絲</t>
    <phoneticPr fontId="2" type="noConversion"/>
  </si>
  <si>
    <t>4.3豆腐</t>
    <phoneticPr fontId="2" type="noConversion"/>
  </si>
  <si>
    <t>小黃瓜</t>
    <phoneticPr fontId="2" type="noConversion"/>
  </si>
  <si>
    <t>雞胸肉2X2</t>
    <phoneticPr fontId="2" type="noConversion"/>
  </si>
  <si>
    <t>1件</t>
    <phoneticPr fontId="2" type="noConversion"/>
  </si>
  <si>
    <t>15斤</t>
    <phoneticPr fontId="2" type="noConversion"/>
  </si>
  <si>
    <t>1斤</t>
    <phoneticPr fontId="2" type="noConversion"/>
  </si>
  <si>
    <t>45斤</t>
    <phoneticPr fontId="2" type="noConversion"/>
  </si>
  <si>
    <t>8斤</t>
    <phoneticPr fontId="2" type="noConversion"/>
  </si>
  <si>
    <t>7板</t>
    <phoneticPr fontId="2" type="noConversion"/>
  </si>
  <si>
    <t>腿排</t>
    <phoneticPr fontId="2" type="noConversion"/>
  </si>
  <si>
    <t>260個</t>
    <phoneticPr fontId="2" type="noConversion"/>
  </si>
  <si>
    <t>去葉芹菜</t>
    <phoneticPr fontId="2" type="noConversion"/>
  </si>
  <si>
    <t>五香干絲</t>
    <phoneticPr fontId="2" type="noConversion"/>
  </si>
  <si>
    <t>豬肉絲</t>
    <phoneticPr fontId="2" type="noConversion"/>
  </si>
  <si>
    <t>25斤</t>
    <phoneticPr fontId="2" type="noConversion"/>
  </si>
  <si>
    <t>雪白菇</t>
    <phoneticPr fontId="2" type="noConversion"/>
  </si>
  <si>
    <t>冷凍青花菜</t>
    <phoneticPr fontId="2" type="noConversion"/>
  </si>
  <si>
    <t>4件</t>
    <phoneticPr fontId="2" type="noConversion"/>
  </si>
  <si>
    <t>去皮冬瓜</t>
    <phoneticPr fontId="2" type="noConversion"/>
  </si>
  <si>
    <t>小魚丸</t>
    <phoneticPr fontId="2" type="noConversion"/>
  </si>
  <si>
    <t>20斤</t>
    <phoneticPr fontId="2" type="noConversion"/>
  </si>
  <si>
    <t>綠豆</t>
    <phoneticPr fontId="2" type="noConversion"/>
  </si>
  <si>
    <t>庫存</t>
    <phoneticPr fontId="2" type="noConversion"/>
  </si>
  <si>
    <t>訂貨數量</t>
    <phoneticPr fontId="2" type="noConversion"/>
  </si>
  <si>
    <t>香蕉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</si>
  <si>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</si>
  <si>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</si>
  <si>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</si>
  <si>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</si>
  <si>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</si>
  <si>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</si>
  <si>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洗選蛋</t>
    <phoneticPr fontId="2" type="noConversion"/>
  </si>
  <si>
    <t>斤</t>
    <phoneticPr fontId="2" type="noConversion"/>
  </si>
  <si>
    <t>件</t>
    <phoneticPr fontId="2" type="noConversion"/>
  </si>
  <si>
    <t>油麵</t>
    <phoneticPr fontId="2" type="noConversion"/>
  </si>
  <si>
    <t>前腿肉絲</t>
    <phoneticPr fontId="2" type="noConversion"/>
  </si>
  <si>
    <t>高麗菜</t>
    <phoneticPr fontId="2" type="noConversion"/>
  </si>
  <si>
    <t>調理米酒</t>
    <phoneticPr fontId="2" type="noConversion"/>
  </si>
  <si>
    <t>瓶</t>
    <phoneticPr fontId="2" type="noConversion"/>
  </si>
  <si>
    <t>小籠湯包</t>
    <phoneticPr fontId="2" type="noConversion"/>
  </si>
  <si>
    <t>個</t>
    <phoneticPr fontId="2" type="noConversion"/>
  </si>
  <si>
    <t>木瓜</t>
    <phoneticPr fontId="2" type="noConversion"/>
  </si>
  <si>
    <t>件</t>
    <phoneticPr fontId="2" type="noConversion"/>
  </si>
  <si>
    <t>包</t>
    <phoneticPr fontId="2" type="noConversion"/>
  </si>
  <si>
    <t>五穀米</t>
    <phoneticPr fontId="2" type="noConversion"/>
  </si>
  <si>
    <t>斤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</si>
  <si>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</si>
  <si>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</si>
  <si>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</si>
  <si>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生豆包</t>
    <phoneticPr fontId="2" type="noConversion"/>
  </si>
  <si>
    <t>油菜</t>
    <phoneticPr fontId="2" type="noConversion"/>
  </si>
  <si>
    <t>吐司</t>
    <phoneticPr fontId="2" type="noConversion"/>
  </si>
  <si>
    <t>條</t>
    <phoneticPr fontId="2" type="noConversion"/>
  </si>
  <si>
    <t>蒜酥</t>
    <phoneticPr fontId="2" type="noConversion"/>
  </si>
  <si>
    <t>訂貨數量</t>
    <phoneticPr fontId="2" type="noConversion"/>
  </si>
  <si>
    <t>包</t>
    <phoneticPr fontId="2" type="noConversion"/>
  </si>
  <si>
    <t>咖哩塊</t>
    <phoneticPr fontId="2" type="noConversion"/>
  </si>
  <si>
    <t>盒</t>
    <phoneticPr fontId="2" type="noConversion"/>
  </si>
  <si>
    <t>薑絲</t>
    <phoneticPr fontId="2" type="noConversion"/>
  </si>
  <si>
    <t>斤</t>
    <phoneticPr fontId="2" type="noConversion"/>
  </si>
  <si>
    <t>高麗菜</t>
    <phoneticPr fontId="2" type="noConversion"/>
  </si>
  <si>
    <t>水餃</t>
    <phoneticPr fontId="2" type="noConversion"/>
  </si>
  <si>
    <t>金蘭醬油</t>
    <phoneticPr fontId="2" type="noConversion"/>
  </si>
  <si>
    <t>桶</t>
    <phoneticPr fontId="2" type="noConversion"/>
  </si>
  <si>
    <t>油膏</t>
    <phoneticPr fontId="2" type="noConversion"/>
  </si>
  <si>
    <t>素蠔油</t>
    <phoneticPr fontId="2" type="noConversion"/>
  </si>
  <si>
    <t>鹽</t>
    <phoneticPr fontId="2" type="noConversion"/>
  </si>
  <si>
    <t>沙拉油</t>
    <phoneticPr fontId="2" type="noConversion"/>
  </si>
  <si>
    <t>起司絲</t>
    <phoneticPr fontId="2" type="noConversion"/>
  </si>
  <si>
    <t>酥炸粉</t>
    <phoneticPr fontId="2" type="noConversion"/>
  </si>
  <si>
    <t>番茄醬</t>
    <phoneticPr fontId="2" type="noConversion"/>
  </si>
  <si>
    <t>杏鮑菇</t>
    <phoneticPr fontId="2" type="noConversion"/>
  </si>
  <si>
    <t>味霖</t>
    <phoneticPr fontId="2" type="noConversion"/>
  </si>
  <si>
    <t>蘿蔔糕</t>
    <phoneticPr fontId="2" type="noConversion"/>
  </si>
  <si>
    <t>味素</t>
    <phoneticPr fontId="2" type="noConversion"/>
  </si>
  <si>
    <t>素蹄膀</t>
    <phoneticPr fontId="2" type="noConversion"/>
  </si>
  <si>
    <t>芋泥蛋黃丸</t>
    <phoneticPr fontId="2" type="noConversion"/>
  </si>
  <si>
    <t>個</t>
    <phoneticPr fontId="2" type="noConversion"/>
  </si>
  <si>
    <t>紅豆芝麻球</t>
    <phoneticPr fontId="2" type="noConversion"/>
  </si>
  <si>
    <t>件</t>
    <phoneticPr fontId="2" type="noConversion"/>
  </si>
  <si>
    <t>香蕉</t>
    <phoneticPr fontId="2" type="noConversion"/>
  </si>
  <si>
    <t>訂貨數量</t>
    <phoneticPr fontId="2" type="noConversion"/>
  </si>
  <si>
    <t>斤</t>
    <phoneticPr fontId="2" type="noConversion"/>
  </si>
  <si>
    <t>厚片土司</t>
    <phoneticPr fontId="2" type="noConversion"/>
  </si>
  <si>
    <t>條</t>
    <phoneticPr fontId="2" type="noConversion"/>
  </si>
  <si>
    <t>盤</t>
    <phoneticPr fontId="2" type="noConversion"/>
  </si>
  <si>
    <t>包</t>
    <phoneticPr fontId="2" type="noConversion"/>
  </si>
  <si>
    <t>額白菜</t>
    <phoneticPr fontId="2" type="noConversion"/>
  </si>
  <si>
    <t>養樂多</t>
    <phoneticPr fontId="2" type="noConversion"/>
  </si>
  <si>
    <t>訂貨數量</t>
    <phoneticPr fontId="2" type="noConversion"/>
  </si>
  <si>
    <t>斤</t>
    <phoneticPr fontId="2" type="noConversion"/>
  </si>
  <si>
    <t>油菜</t>
    <phoneticPr fontId="2" type="noConversion"/>
  </si>
  <si>
    <t>烏龍麵</t>
    <phoneticPr fontId="2" type="noConversion"/>
  </si>
  <si>
    <t>海帶捲</t>
    <phoneticPr fontId="2" type="noConversion"/>
  </si>
  <si>
    <t>滷蛋</t>
    <phoneticPr fontId="2" type="noConversion"/>
  </si>
  <si>
    <t>個</t>
    <phoneticPr fontId="2" type="noConversion"/>
  </si>
  <si>
    <t>咖哩塊</t>
    <phoneticPr fontId="2" type="noConversion"/>
  </si>
  <si>
    <t>盒</t>
    <phoneticPr fontId="2" type="noConversion"/>
  </si>
  <si>
    <t>吐司</t>
    <phoneticPr fontId="2" type="noConversion"/>
  </si>
  <si>
    <t>條</t>
    <phoneticPr fontId="2" type="noConversion"/>
  </si>
  <si>
    <t>沙拉油</t>
    <phoneticPr fontId="2" type="noConversion"/>
  </si>
  <si>
    <t>桶</t>
    <phoneticPr fontId="2" type="noConversion"/>
  </si>
  <si>
    <t>蒜仁</t>
    <phoneticPr fontId="2" type="noConversion"/>
  </si>
  <si>
    <t>辣椒</t>
    <phoneticPr fontId="2" type="noConversion"/>
  </si>
  <si>
    <t>香油</t>
    <phoneticPr fontId="2" type="noConversion"/>
  </si>
  <si>
    <t>包</t>
    <phoneticPr fontId="2" type="noConversion"/>
  </si>
  <si>
    <t>鍋貼</t>
    <phoneticPr fontId="2" type="noConversion"/>
  </si>
  <si>
    <t>厚片吐司</t>
    <phoneticPr fontId="2" type="noConversion"/>
  </si>
  <si>
    <t>冷凍四季豆</t>
    <phoneticPr fontId="2" type="noConversion"/>
  </si>
  <si>
    <t>冬瓜茶鋁箔包</t>
    <phoneticPr fontId="2" type="noConversion"/>
  </si>
  <si>
    <t>件</t>
    <phoneticPr fontId="2" type="noConversion"/>
  </si>
  <si>
    <t>冷凍蔥油餅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</si>
</sst>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7" workbookViewId="0">
      <selection activeCell="H46" sqref="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82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179</v>
      </c>
      <c r="F2" s="2"/>
      <c r="G2" s="1" t="s">
        <v>4</v>
      </c>
      <c r="H2" s="1" t="s">
        <v>5</v>
      </c>
    </row>
    <row r="3" spans="1:8" x14ac:dyDescent="0.25">
      <c r="A3" s="30" t="s">
        <v>87</v>
      </c>
      <c r="B3" s="1" t="s">
        <v>121</v>
      </c>
      <c r="C3" s="1" t="s">
        <v>6</v>
      </c>
      <c r="D3" s="1">
        <v>75</v>
      </c>
      <c r="E3" s="2">
        <v>70</v>
      </c>
      <c r="F3" s="2" t="s">
        <v>188</v>
      </c>
      <c r="G3" s="1">
        <f>D3*E3</f>
        <v>5250</v>
      </c>
      <c r="H3" s="1"/>
    </row>
    <row r="4" spans="1:8" x14ac:dyDescent="0.25">
      <c r="A4" s="30"/>
      <c r="B4" s="1" t="s">
        <v>122</v>
      </c>
      <c r="C4" s="1" t="s">
        <v>124</v>
      </c>
      <c r="D4" s="1">
        <v>67.5</v>
      </c>
      <c r="E4" s="2">
        <v>1</v>
      </c>
      <c r="F4" s="2" t="s">
        <v>188</v>
      </c>
      <c r="G4" s="2">
        <f t="shared" ref="G4:G6" si="0">D4*E4</f>
        <v>67.5</v>
      </c>
      <c r="H4" s="1"/>
    </row>
    <row r="5" spans="1:8" x14ac:dyDescent="0.25">
      <c r="A5" s="30"/>
      <c r="B5" s="1" t="s">
        <v>123</v>
      </c>
      <c r="C5" s="1" t="s">
        <v>125</v>
      </c>
      <c r="D5" s="1">
        <v>66.3</v>
      </c>
      <c r="E5" s="2">
        <v>1</v>
      </c>
      <c r="F5" s="2" t="s">
        <v>188</v>
      </c>
      <c r="G5" s="2">
        <f t="shared" si="0"/>
        <v>66.3</v>
      </c>
      <c r="H5" s="1"/>
    </row>
    <row r="6" spans="1:8" x14ac:dyDescent="0.25">
      <c r="A6" s="30"/>
      <c r="B6" s="1" t="s">
        <v>7</v>
      </c>
      <c r="C6" s="1" t="s">
        <v>126</v>
      </c>
      <c r="D6" s="1">
        <v>28.56</v>
      </c>
      <c r="E6" s="4">
        <v>6</v>
      </c>
      <c r="F6" s="2" t="s">
        <v>188</v>
      </c>
      <c r="G6" s="2">
        <f t="shared" si="0"/>
        <v>171.35999999999999</v>
      </c>
      <c r="H6" s="1"/>
    </row>
    <row r="7" spans="1:8" x14ac:dyDescent="0.25">
      <c r="A7" s="30"/>
      <c r="B7" s="31" t="s">
        <v>8</v>
      </c>
      <c r="C7" s="32"/>
      <c r="D7" s="33"/>
      <c r="E7" s="4"/>
      <c r="F7" s="4"/>
      <c r="G7" s="16">
        <f>SUM(G3:G6)</f>
        <v>5555.16</v>
      </c>
      <c r="H7" s="1"/>
    </row>
    <row r="8" spans="1:8" x14ac:dyDescent="0.25">
      <c r="A8" s="1" t="s">
        <v>9</v>
      </c>
      <c r="B8" s="1" t="s">
        <v>1</v>
      </c>
      <c r="C8" s="1" t="s">
        <v>2</v>
      </c>
      <c r="D8" s="1" t="s">
        <v>10</v>
      </c>
      <c r="E8" s="2" t="s">
        <v>179</v>
      </c>
      <c r="F8" s="2"/>
      <c r="G8" s="1" t="s">
        <v>4</v>
      </c>
      <c r="H8" s="1" t="s">
        <v>11</v>
      </c>
    </row>
    <row r="9" spans="1:8" x14ac:dyDescent="0.25">
      <c r="A9" s="30" t="s">
        <v>88</v>
      </c>
      <c r="B9" s="1" t="s">
        <v>127</v>
      </c>
      <c r="C9" s="1" t="s">
        <v>129</v>
      </c>
      <c r="D9" s="1">
        <v>25</v>
      </c>
      <c r="E9" s="2">
        <v>12</v>
      </c>
      <c r="F9" s="2" t="s">
        <v>188</v>
      </c>
      <c r="G9" s="1">
        <f>E9*D9</f>
        <v>300</v>
      </c>
      <c r="H9" s="1"/>
    </row>
    <row r="10" spans="1:8" x14ac:dyDescent="0.25">
      <c r="A10" s="30"/>
      <c r="B10" s="1" t="s">
        <v>128</v>
      </c>
      <c r="C10" s="1" t="s">
        <v>47</v>
      </c>
      <c r="D10" s="1">
        <v>37.200000000000003</v>
      </c>
      <c r="E10" s="2">
        <v>20</v>
      </c>
      <c r="F10" s="2" t="s">
        <v>188</v>
      </c>
      <c r="G10" s="2">
        <f>E10*D10</f>
        <v>744</v>
      </c>
      <c r="H10" s="1"/>
    </row>
    <row r="11" spans="1:8" x14ac:dyDescent="0.25">
      <c r="A11" s="30"/>
      <c r="B11" s="1"/>
      <c r="C11" s="1"/>
      <c r="D11" s="1"/>
      <c r="E11" s="2"/>
      <c r="F11" s="2"/>
      <c r="G11" s="1"/>
      <c r="H11" s="1"/>
    </row>
    <row r="12" spans="1:8" x14ac:dyDescent="0.25">
      <c r="A12" s="30"/>
      <c r="B12" s="1"/>
      <c r="C12" s="1"/>
      <c r="D12" s="1"/>
      <c r="E12" s="2"/>
      <c r="F12" s="2"/>
      <c r="G12" s="1"/>
      <c r="H12" s="1"/>
    </row>
    <row r="13" spans="1:8" x14ac:dyDescent="0.25">
      <c r="A13" s="30"/>
      <c r="B13" s="1"/>
      <c r="C13" s="1"/>
      <c r="D13" s="1"/>
      <c r="E13" s="2"/>
      <c r="F13" s="2"/>
      <c r="G13" s="1"/>
      <c r="H13" s="1"/>
    </row>
    <row r="14" spans="1:8" x14ac:dyDescent="0.25">
      <c r="A14" s="30"/>
      <c r="B14" s="31" t="s">
        <v>12</v>
      </c>
      <c r="C14" s="32"/>
      <c r="D14" s="33"/>
      <c r="E14" s="4"/>
      <c r="F14" s="4"/>
      <c r="G14" s="15">
        <f>SUM(G9:G13)</f>
        <v>1044</v>
      </c>
      <c r="H14" s="1"/>
    </row>
    <row r="15" spans="1:8" x14ac:dyDescent="0.25">
      <c r="A15" s="1" t="s">
        <v>13</v>
      </c>
      <c r="B15" s="1" t="s">
        <v>1</v>
      </c>
      <c r="C15" s="1" t="s">
        <v>14</v>
      </c>
      <c r="D15" s="1" t="s">
        <v>10</v>
      </c>
      <c r="E15" s="2" t="s">
        <v>179</v>
      </c>
      <c r="F15" s="2"/>
      <c r="G15" s="1" t="s">
        <v>15</v>
      </c>
      <c r="H15" s="1" t="s">
        <v>5</v>
      </c>
    </row>
    <row r="16" spans="1:8" x14ac:dyDescent="0.25">
      <c r="A16" s="30" t="s">
        <v>89</v>
      </c>
      <c r="B16" s="1" t="s">
        <v>130</v>
      </c>
      <c r="C16" s="1" t="s">
        <v>131</v>
      </c>
      <c r="D16" s="1">
        <v>60</v>
      </c>
      <c r="E16" s="2">
        <v>25</v>
      </c>
      <c r="F16" s="2" t="s">
        <v>188</v>
      </c>
      <c r="G16" s="2">
        <f>E16*D16</f>
        <v>1500</v>
      </c>
      <c r="H16" s="1"/>
    </row>
    <row r="17" spans="1:8" x14ac:dyDescent="0.25">
      <c r="A17" s="30"/>
      <c r="B17" s="1" t="s">
        <v>60</v>
      </c>
      <c r="C17" s="1" t="s">
        <v>132</v>
      </c>
      <c r="D17" s="1">
        <v>93</v>
      </c>
      <c r="E17" s="2">
        <v>20</v>
      </c>
      <c r="F17" s="2" t="s">
        <v>188</v>
      </c>
      <c r="G17" s="1">
        <f>E17*D17</f>
        <v>1860</v>
      </c>
      <c r="H17" s="1"/>
    </row>
    <row r="18" spans="1:8" x14ac:dyDescent="0.25">
      <c r="A18" s="30"/>
      <c r="B18" s="1"/>
      <c r="C18" s="1"/>
      <c r="D18" s="1"/>
      <c r="E18" s="2"/>
      <c r="F18" s="2"/>
      <c r="G18" s="1"/>
      <c r="H18" s="1"/>
    </row>
    <row r="19" spans="1:8" x14ac:dyDescent="0.25">
      <c r="A19" s="30"/>
      <c r="B19" s="1"/>
      <c r="C19" s="1"/>
      <c r="D19" s="1"/>
      <c r="E19" s="4"/>
      <c r="F19" s="4"/>
      <c r="G19" s="3"/>
      <c r="H19" s="1"/>
    </row>
    <row r="20" spans="1:8" x14ac:dyDescent="0.25">
      <c r="A20" s="30"/>
      <c r="B20" s="31" t="s">
        <v>12</v>
      </c>
      <c r="C20" s="32"/>
      <c r="D20" s="33"/>
      <c r="E20" s="4"/>
      <c r="F20" s="4"/>
      <c r="G20" s="15">
        <f>SUM(G16:G19)</f>
        <v>3360</v>
      </c>
      <c r="H20" s="1"/>
    </row>
    <row r="21" spans="1:8" x14ac:dyDescent="0.25">
      <c r="A21" s="5" t="s">
        <v>17</v>
      </c>
      <c r="B21" s="1" t="s">
        <v>18</v>
      </c>
      <c r="C21" s="1" t="s">
        <v>19</v>
      </c>
      <c r="D21" s="1" t="s">
        <v>3</v>
      </c>
      <c r="E21" s="2" t="s">
        <v>179</v>
      </c>
      <c r="F21" s="2"/>
      <c r="G21" s="1" t="s">
        <v>4</v>
      </c>
      <c r="H21" s="1" t="s">
        <v>20</v>
      </c>
    </row>
    <row r="22" spans="1:8" x14ac:dyDescent="0.25">
      <c r="A22" s="30"/>
      <c r="B22" s="2" t="s">
        <v>181</v>
      </c>
      <c r="C22" s="2"/>
      <c r="D22" s="2">
        <v>150</v>
      </c>
      <c r="E22" s="13">
        <v>2</v>
      </c>
      <c r="F22" s="2" t="s">
        <v>182</v>
      </c>
      <c r="G22" s="14">
        <f>D22*E22</f>
        <v>300</v>
      </c>
      <c r="H22" s="1"/>
    </row>
    <row r="23" spans="1:8" x14ac:dyDescent="0.25">
      <c r="A23" s="30"/>
      <c r="B23" s="2" t="s">
        <v>183</v>
      </c>
      <c r="C23" s="2"/>
      <c r="D23" s="2">
        <v>67.5</v>
      </c>
      <c r="E23" s="13">
        <v>0.5</v>
      </c>
      <c r="F23" s="2" t="s">
        <v>182</v>
      </c>
      <c r="G23" s="14">
        <f t="shared" ref="G23:G28" si="1">D23*E23</f>
        <v>33.75</v>
      </c>
      <c r="H23" s="2"/>
    </row>
    <row r="24" spans="1:8" x14ac:dyDescent="0.25">
      <c r="A24" s="30"/>
      <c r="B24" s="2" t="s">
        <v>184</v>
      </c>
      <c r="C24" s="2"/>
      <c r="D24" s="2">
        <v>173.4</v>
      </c>
      <c r="E24" s="13">
        <v>8</v>
      </c>
      <c r="F24" s="2" t="s">
        <v>182</v>
      </c>
      <c r="G24" s="14">
        <f t="shared" si="1"/>
        <v>1387.2</v>
      </c>
      <c r="H24" s="2"/>
    </row>
    <row r="25" spans="1:8" x14ac:dyDescent="0.25">
      <c r="A25" s="30"/>
      <c r="B25" s="2" t="s">
        <v>185</v>
      </c>
      <c r="C25" s="2"/>
      <c r="D25" s="2">
        <v>220.5</v>
      </c>
      <c r="E25" s="13">
        <v>4</v>
      </c>
      <c r="F25" s="2" t="s">
        <v>182</v>
      </c>
      <c r="G25" s="14">
        <f t="shared" si="1"/>
        <v>882</v>
      </c>
      <c r="H25" s="2"/>
    </row>
    <row r="26" spans="1:8" x14ac:dyDescent="0.25">
      <c r="A26" s="30"/>
      <c r="B26" s="2" t="s">
        <v>186</v>
      </c>
      <c r="C26" s="2"/>
      <c r="D26" s="2">
        <v>97.5</v>
      </c>
      <c r="E26" s="13">
        <v>4</v>
      </c>
      <c r="F26" s="2" t="s">
        <v>182</v>
      </c>
      <c r="G26" s="14">
        <f t="shared" si="1"/>
        <v>390</v>
      </c>
      <c r="H26" s="2"/>
    </row>
    <row r="27" spans="1:8" x14ac:dyDescent="0.25">
      <c r="A27" s="30"/>
      <c r="B27" s="2" t="s">
        <v>187</v>
      </c>
      <c r="C27" s="2"/>
      <c r="D27" s="2">
        <v>37.200000000000003</v>
      </c>
      <c r="E27" s="13">
        <v>20</v>
      </c>
      <c r="F27" s="2" t="s">
        <v>182</v>
      </c>
      <c r="G27" s="14">
        <f t="shared" si="1"/>
        <v>744</v>
      </c>
      <c r="H27" s="2"/>
    </row>
    <row r="28" spans="1:8" x14ac:dyDescent="0.25">
      <c r="A28" s="30"/>
      <c r="B28" s="1" t="s">
        <v>193</v>
      </c>
      <c r="C28" s="1"/>
      <c r="D28" s="2">
        <v>37</v>
      </c>
      <c r="E28" s="13">
        <v>20</v>
      </c>
      <c r="F28" s="2" t="s">
        <v>194</v>
      </c>
      <c r="G28" s="14">
        <f t="shared" si="1"/>
        <v>740</v>
      </c>
      <c r="H28" s="1"/>
    </row>
    <row r="29" spans="1:8" x14ac:dyDescent="0.25">
      <c r="A29" s="30"/>
      <c r="B29" s="1"/>
      <c r="C29" s="1"/>
      <c r="D29" s="1"/>
      <c r="E29" s="2"/>
      <c r="F29" s="2"/>
      <c r="G29" s="1"/>
      <c r="H29" s="1"/>
    </row>
    <row r="30" spans="1:8" x14ac:dyDescent="0.25">
      <c r="A30" s="30"/>
      <c r="B30" s="1"/>
      <c r="C30" s="1"/>
      <c r="D30" s="1"/>
      <c r="E30" s="2"/>
      <c r="F30" s="2"/>
      <c r="G30" s="1"/>
      <c r="H30" s="1"/>
    </row>
    <row r="31" spans="1:8" x14ac:dyDescent="0.25">
      <c r="A31" s="30"/>
      <c r="B31" s="31" t="s">
        <v>8</v>
      </c>
      <c r="C31" s="32"/>
      <c r="D31" s="33"/>
      <c r="E31" s="4"/>
      <c r="F31" s="4"/>
      <c r="G31" s="16">
        <f>SUM(G22:G30)</f>
        <v>4476.95</v>
      </c>
      <c r="H31" s="1"/>
    </row>
    <row r="32" spans="1:8" x14ac:dyDescent="0.25">
      <c r="A32" s="1" t="s">
        <v>21</v>
      </c>
      <c r="B32" s="1" t="s">
        <v>22</v>
      </c>
      <c r="C32" s="1" t="s">
        <v>14</v>
      </c>
      <c r="D32" s="1" t="s">
        <v>23</v>
      </c>
      <c r="E32" s="2" t="s">
        <v>179</v>
      </c>
      <c r="F32" s="2"/>
      <c r="G32" s="1" t="s">
        <v>24</v>
      </c>
      <c r="H32" s="1" t="s">
        <v>20</v>
      </c>
    </row>
    <row r="33" spans="1:8" x14ac:dyDescent="0.25">
      <c r="A33" s="30" t="s">
        <v>90</v>
      </c>
      <c r="B33" s="1" t="s">
        <v>133</v>
      </c>
      <c r="C33" s="1" t="s">
        <v>136</v>
      </c>
      <c r="D33" s="1">
        <v>98.4</v>
      </c>
      <c r="E33" s="2">
        <v>15</v>
      </c>
      <c r="F33" s="2" t="s">
        <v>188</v>
      </c>
      <c r="G33" s="1">
        <f>E33*D33</f>
        <v>1476</v>
      </c>
      <c r="H33" s="1"/>
    </row>
    <row r="34" spans="1:8" x14ac:dyDescent="0.25">
      <c r="A34" s="30"/>
      <c r="B34" s="1" t="s">
        <v>134</v>
      </c>
      <c r="C34" s="1" t="s">
        <v>135</v>
      </c>
      <c r="D34" s="1">
        <v>175</v>
      </c>
      <c r="E34" s="2">
        <v>1</v>
      </c>
      <c r="F34" s="2" t="s">
        <v>189</v>
      </c>
      <c r="G34" s="2">
        <f>E34*D34</f>
        <v>175</v>
      </c>
      <c r="H34" s="1"/>
    </row>
    <row r="35" spans="1:8" x14ac:dyDescent="0.25">
      <c r="A35" s="30"/>
      <c r="B35" s="31"/>
      <c r="C35" s="32"/>
      <c r="D35" s="33"/>
      <c r="E35" s="4"/>
      <c r="F35" s="4"/>
      <c r="G35" s="15">
        <f>SUM(G33:G34)</f>
        <v>1651</v>
      </c>
      <c r="H35" s="1"/>
    </row>
    <row r="36" spans="1:8" x14ac:dyDescent="0.25">
      <c r="A36" s="1" t="s">
        <v>26</v>
      </c>
      <c r="B36" s="1" t="s">
        <v>22</v>
      </c>
      <c r="C36" s="1" t="s">
        <v>2</v>
      </c>
      <c r="D36" s="1" t="s">
        <v>3</v>
      </c>
      <c r="E36" s="4" t="s">
        <v>179</v>
      </c>
      <c r="F36" s="4"/>
      <c r="G36" s="3" t="s">
        <v>15</v>
      </c>
      <c r="H36" s="1" t="s">
        <v>20</v>
      </c>
    </row>
    <row r="37" spans="1:8" x14ac:dyDescent="0.25">
      <c r="A37" s="37"/>
      <c r="B37" s="1" t="s">
        <v>192</v>
      </c>
      <c r="C37" s="1"/>
      <c r="D37" s="1">
        <v>33.659999999999997</v>
      </c>
      <c r="E37" s="2">
        <v>65</v>
      </c>
      <c r="F37" s="2" t="s">
        <v>188</v>
      </c>
      <c r="G37" s="14">
        <f>D37*E37</f>
        <v>2187.8999999999996</v>
      </c>
      <c r="H37" s="1"/>
    </row>
    <row r="38" spans="1:8" x14ac:dyDescent="0.25">
      <c r="A38" s="38"/>
      <c r="B38" s="1" t="s">
        <v>180</v>
      </c>
      <c r="C38" s="1"/>
      <c r="D38" s="1">
        <v>46.08</v>
      </c>
      <c r="E38" s="12"/>
      <c r="F38" s="2"/>
      <c r="G38" s="12"/>
      <c r="H38" s="1"/>
    </row>
    <row r="39" spans="1:8" x14ac:dyDescent="0.25">
      <c r="A39" s="39"/>
      <c r="B39" s="31" t="s">
        <v>27</v>
      </c>
      <c r="C39" s="32"/>
      <c r="D39" s="33"/>
      <c r="E39" s="4"/>
      <c r="F39" s="4"/>
      <c r="G39" s="16">
        <f>SUM(G37:G38)</f>
        <v>2187.8999999999996</v>
      </c>
      <c r="H39" s="6"/>
    </row>
    <row r="40" spans="1:8" x14ac:dyDescent="0.25">
      <c r="A40" s="7" t="s">
        <v>28</v>
      </c>
      <c r="B40" s="1" t="s">
        <v>22</v>
      </c>
      <c r="C40" s="1" t="s">
        <v>29</v>
      </c>
      <c r="D40" s="1" t="s">
        <v>10</v>
      </c>
      <c r="E40" s="2" t="s">
        <v>179</v>
      </c>
      <c r="F40" s="2"/>
      <c r="G40" s="1" t="s">
        <v>30</v>
      </c>
      <c r="H40" s="1"/>
    </row>
    <row r="41" spans="1:8" x14ac:dyDescent="0.25">
      <c r="A41" s="30"/>
      <c r="B41" s="1" t="s">
        <v>190</v>
      </c>
      <c r="C41" s="1"/>
      <c r="D41" s="1">
        <v>19.8</v>
      </c>
      <c r="E41" s="2">
        <v>7</v>
      </c>
      <c r="F41" s="2" t="s">
        <v>188</v>
      </c>
      <c r="G41" s="14">
        <f>D41*E41</f>
        <v>138.6</v>
      </c>
      <c r="H41" s="1"/>
    </row>
    <row r="42" spans="1:8" x14ac:dyDescent="0.25">
      <c r="A42" s="30"/>
      <c r="B42" s="1" t="s">
        <v>191</v>
      </c>
      <c r="C42" s="1"/>
      <c r="D42" s="1">
        <v>99</v>
      </c>
      <c r="E42" s="2">
        <v>4</v>
      </c>
      <c r="F42" s="2" t="s">
        <v>188</v>
      </c>
      <c r="G42" s="14">
        <f>D42*E42</f>
        <v>396</v>
      </c>
      <c r="H42" s="1"/>
    </row>
    <row r="43" spans="1:8" x14ac:dyDescent="0.25">
      <c r="A43" s="30"/>
      <c r="B43" s="1" t="s">
        <v>195</v>
      </c>
      <c r="C43" s="1"/>
      <c r="D43" s="1">
        <v>4.5</v>
      </c>
      <c r="E43" s="2">
        <v>50</v>
      </c>
      <c r="F43" s="2" t="s">
        <v>196</v>
      </c>
      <c r="G43" s="14">
        <f>D43*E43</f>
        <v>225</v>
      </c>
      <c r="H43" s="1"/>
    </row>
    <row r="44" spans="1:8" x14ac:dyDescent="0.25">
      <c r="A44" s="30"/>
      <c r="B44" s="1"/>
      <c r="C44" s="1"/>
      <c r="D44" s="1"/>
      <c r="E44" s="2"/>
      <c r="F44" s="2"/>
      <c r="G44" s="1"/>
      <c r="H44" s="1"/>
    </row>
    <row r="45" spans="1:8" x14ac:dyDescent="0.25">
      <c r="A45" s="30"/>
      <c r="B45" s="31" t="s">
        <v>27</v>
      </c>
      <c r="C45" s="32"/>
      <c r="D45" s="33"/>
      <c r="E45" s="4"/>
      <c r="F45" s="4"/>
      <c r="G45" s="16">
        <f>SUM(G41:G44)</f>
        <v>759.6</v>
      </c>
      <c r="H45" s="1"/>
    </row>
    <row r="46" spans="1:8" x14ac:dyDescent="0.25">
      <c r="A46" s="1"/>
      <c r="B46" s="34" t="s">
        <v>31</v>
      </c>
      <c r="C46" s="35"/>
      <c r="D46" s="36"/>
      <c r="E46" s="8"/>
      <c r="F46" s="8"/>
      <c r="G46" s="17">
        <f>G45+G39+G35+G31+G20+G14+G7</f>
        <v>19034.61</v>
      </c>
      <c r="H46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1:A45"/>
    <mergeCell ref="B45:D45"/>
    <mergeCell ref="B46:D46"/>
    <mergeCell ref="A22:A31"/>
    <mergeCell ref="B31:D31"/>
    <mergeCell ref="A33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opLeftCell="A12" workbookViewId="0">
      <selection activeCell="G34" sqref="G3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83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32</v>
      </c>
      <c r="B2" s="1" t="s">
        <v>33</v>
      </c>
      <c r="C2" s="1" t="s">
        <v>34</v>
      </c>
      <c r="D2" s="1" t="s">
        <v>35</v>
      </c>
      <c r="E2" s="2" t="s">
        <v>179</v>
      </c>
      <c r="F2" s="2"/>
      <c r="G2" s="1" t="s">
        <v>36</v>
      </c>
      <c r="H2" s="1" t="s">
        <v>37</v>
      </c>
    </row>
    <row r="3" spans="1:8" x14ac:dyDescent="0.25">
      <c r="A3" s="30" t="s">
        <v>91</v>
      </c>
      <c r="B3" s="1" t="s">
        <v>137</v>
      </c>
      <c r="C3" s="1" t="s">
        <v>138</v>
      </c>
      <c r="D3" s="1">
        <v>650</v>
      </c>
      <c r="E3" s="2">
        <v>5</v>
      </c>
      <c r="F3" s="2" t="s">
        <v>198</v>
      </c>
      <c r="G3" s="1">
        <f>D3*E3</f>
        <v>3250</v>
      </c>
      <c r="H3" s="1"/>
    </row>
    <row r="4" spans="1:8" x14ac:dyDescent="0.25">
      <c r="A4" s="30"/>
      <c r="B4" s="1"/>
      <c r="C4" s="1"/>
      <c r="D4" s="1"/>
      <c r="E4" s="2"/>
      <c r="F4" s="2"/>
      <c r="G4" s="1"/>
      <c r="H4" s="1"/>
    </row>
    <row r="5" spans="1:8" x14ac:dyDescent="0.25">
      <c r="A5" s="30"/>
      <c r="B5" s="1"/>
      <c r="C5" s="1"/>
      <c r="D5" s="1"/>
      <c r="E5" s="2"/>
      <c r="F5" s="2"/>
      <c r="G5" s="1"/>
      <c r="H5" s="1"/>
    </row>
    <row r="6" spans="1:8" x14ac:dyDescent="0.25">
      <c r="A6" s="30"/>
      <c r="B6" s="1"/>
      <c r="C6" s="1"/>
      <c r="D6" s="1"/>
      <c r="E6" s="4"/>
      <c r="F6" s="4"/>
      <c r="G6" s="3"/>
      <c r="H6" s="1"/>
    </row>
    <row r="7" spans="1:8" x14ac:dyDescent="0.25">
      <c r="A7" s="30"/>
      <c r="B7" s="31" t="s">
        <v>38</v>
      </c>
      <c r="C7" s="32"/>
      <c r="D7" s="33"/>
      <c r="E7" s="4"/>
      <c r="F7" s="4"/>
      <c r="G7" s="15">
        <f>SUM(G3:G6)</f>
        <v>3250</v>
      </c>
      <c r="H7" s="1"/>
    </row>
    <row r="8" spans="1:8" x14ac:dyDescent="0.25">
      <c r="A8" s="1" t="s">
        <v>39</v>
      </c>
      <c r="B8" s="1" t="s">
        <v>40</v>
      </c>
      <c r="C8" s="1" t="s">
        <v>41</v>
      </c>
      <c r="D8" s="1" t="s">
        <v>42</v>
      </c>
      <c r="E8" s="2" t="s">
        <v>179</v>
      </c>
      <c r="F8" s="2"/>
      <c r="G8" s="1" t="s">
        <v>24</v>
      </c>
      <c r="H8" s="1" t="s">
        <v>43</v>
      </c>
    </row>
    <row r="9" spans="1:8" x14ac:dyDescent="0.25">
      <c r="A9" s="30" t="s">
        <v>92</v>
      </c>
      <c r="B9" s="1" t="s">
        <v>139</v>
      </c>
      <c r="C9" s="1" t="s">
        <v>143</v>
      </c>
      <c r="D9" s="1">
        <v>30.6</v>
      </c>
      <c r="E9" s="2">
        <v>35</v>
      </c>
      <c r="F9" s="2" t="s">
        <v>201</v>
      </c>
      <c r="G9" s="1">
        <f>D9*E9</f>
        <v>1071</v>
      </c>
      <c r="H9" s="1"/>
    </row>
    <row r="10" spans="1:8" x14ac:dyDescent="0.25">
      <c r="A10" s="30"/>
      <c r="B10" s="1" t="s">
        <v>140</v>
      </c>
      <c r="C10" s="1" t="s">
        <v>144</v>
      </c>
      <c r="D10" s="1">
        <v>99</v>
      </c>
      <c r="E10" s="2">
        <v>20</v>
      </c>
      <c r="F10" s="2" t="s">
        <v>201</v>
      </c>
      <c r="G10" s="9">
        <f t="shared" ref="G10:G12" si="0">D10*E10</f>
        <v>1980</v>
      </c>
      <c r="H10" s="1"/>
    </row>
    <row r="11" spans="1:8" x14ac:dyDescent="0.25">
      <c r="A11" s="30"/>
      <c r="B11" s="1" t="s">
        <v>141</v>
      </c>
      <c r="C11" s="1" t="s">
        <v>145</v>
      </c>
      <c r="D11" s="1">
        <v>16.2</v>
      </c>
      <c r="E11" s="2">
        <v>2</v>
      </c>
      <c r="F11" s="9" t="s">
        <v>201</v>
      </c>
      <c r="G11" s="9">
        <f t="shared" si="0"/>
        <v>32.4</v>
      </c>
      <c r="H11" s="1"/>
    </row>
    <row r="12" spans="1:8" x14ac:dyDescent="0.25">
      <c r="A12" s="30"/>
      <c r="B12" s="1" t="s">
        <v>142</v>
      </c>
      <c r="C12" s="1" t="s">
        <v>146</v>
      </c>
      <c r="D12" s="1">
        <v>45</v>
      </c>
      <c r="E12" s="2">
        <v>3</v>
      </c>
      <c r="F12" s="9" t="s">
        <v>201</v>
      </c>
      <c r="G12" s="9">
        <f t="shared" si="0"/>
        <v>135</v>
      </c>
      <c r="H12" s="1"/>
    </row>
    <row r="13" spans="1:8" x14ac:dyDescent="0.25">
      <c r="A13" s="30"/>
      <c r="B13" s="1"/>
      <c r="C13" s="1"/>
      <c r="D13" s="1"/>
      <c r="E13" s="2"/>
      <c r="F13" s="2"/>
      <c r="G13" s="1"/>
      <c r="H13" s="1"/>
    </row>
    <row r="14" spans="1:8" x14ac:dyDescent="0.25">
      <c r="A14" s="30"/>
      <c r="B14" s="31" t="s">
        <v>44</v>
      </c>
      <c r="C14" s="32"/>
      <c r="D14" s="33"/>
      <c r="E14" s="4"/>
      <c r="F14" s="4"/>
      <c r="G14" s="16">
        <f>SUM(G9:G13)</f>
        <v>3218.4</v>
      </c>
      <c r="H14" s="1"/>
    </row>
    <row r="15" spans="1:8" x14ac:dyDescent="0.25">
      <c r="A15" s="1" t="s">
        <v>45</v>
      </c>
      <c r="B15" s="1" t="s">
        <v>1</v>
      </c>
      <c r="C15" s="1" t="s">
        <v>2</v>
      </c>
      <c r="D15" s="1" t="s">
        <v>42</v>
      </c>
      <c r="E15" s="2" t="s">
        <v>179</v>
      </c>
      <c r="F15" s="2"/>
      <c r="G15" s="1" t="s">
        <v>24</v>
      </c>
      <c r="H15" s="1" t="s">
        <v>43</v>
      </c>
    </row>
    <row r="16" spans="1:8" x14ac:dyDescent="0.25">
      <c r="A16" s="30" t="s">
        <v>93</v>
      </c>
      <c r="B16" s="1" t="s">
        <v>147</v>
      </c>
      <c r="C16" s="1" t="s">
        <v>148</v>
      </c>
      <c r="D16" s="1">
        <v>48</v>
      </c>
      <c r="E16" s="2">
        <v>20</v>
      </c>
      <c r="F16" s="2" t="s">
        <v>201</v>
      </c>
      <c r="G16" s="1">
        <f>D16*E16</f>
        <v>960</v>
      </c>
      <c r="H16" s="1"/>
    </row>
    <row r="17" spans="1:8" x14ac:dyDescent="0.25">
      <c r="A17" s="30"/>
      <c r="B17" s="1" t="s">
        <v>205</v>
      </c>
      <c r="C17" s="1" t="s">
        <v>129</v>
      </c>
      <c r="D17" s="1">
        <v>111</v>
      </c>
      <c r="E17" s="2">
        <v>12</v>
      </c>
      <c r="F17" s="9" t="s">
        <v>201</v>
      </c>
      <c r="G17" s="9">
        <f>D17*E17</f>
        <v>1332</v>
      </c>
      <c r="H17" s="1"/>
    </row>
    <row r="18" spans="1:8" x14ac:dyDescent="0.25">
      <c r="A18" s="30"/>
      <c r="B18" s="1"/>
      <c r="C18" s="1"/>
      <c r="D18" s="1"/>
      <c r="E18" s="2"/>
      <c r="F18" s="2"/>
      <c r="G18" s="1"/>
      <c r="H18" s="1"/>
    </row>
    <row r="19" spans="1:8" x14ac:dyDescent="0.25">
      <c r="A19" s="30"/>
      <c r="B19" s="1"/>
      <c r="C19" s="1"/>
      <c r="D19" s="1"/>
      <c r="E19" s="4"/>
      <c r="F19" s="4"/>
      <c r="G19" s="3"/>
      <c r="H19" s="1"/>
    </row>
    <row r="20" spans="1:8" x14ac:dyDescent="0.25">
      <c r="A20" s="30"/>
      <c r="B20" s="31" t="s">
        <v>44</v>
      </c>
      <c r="C20" s="32"/>
      <c r="D20" s="33"/>
      <c r="E20" s="4"/>
      <c r="F20" s="4"/>
      <c r="G20" s="15">
        <f>SUM(G16:G19)</f>
        <v>2292</v>
      </c>
      <c r="H20" s="1"/>
    </row>
    <row r="21" spans="1:8" x14ac:dyDescent="0.25">
      <c r="A21" s="5" t="s">
        <v>48</v>
      </c>
      <c r="B21" s="1" t="s">
        <v>1</v>
      </c>
      <c r="C21" s="1" t="s">
        <v>2</v>
      </c>
      <c r="D21" s="1" t="s">
        <v>35</v>
      </c>
      <c r="E21" s="2" t="s">
        <v>179</v>
      </c>
      <c r="F21" s="2"/>
      <c r="G21" s="1" t="s">
        <v>24</v>
      </c>
      <c r="H21" s="1" t="s">
        <v>43</v>
      </c>
    </row>
    <row r="22" spans="1:8" x14ac:dyDescent="0.25">
      <c r="A22" s="30"/>
      <c r="B22" s="1" t="s">
        <v>200</v>
      </c>
      <c r="C22" s="1"/>
      <c r="D22" s="1">
        <v>55</v>
      </c>
      <c r="E22" s="2">
        <v>20</v>
      </c>
      <c r="F22" s="2" t="s">
        <v>201</v>
      </c>
      <c r="G22" s="1">
        <f>D22*E22</f>
        <v>1100</v>
      </c>
      <c r="H22" s="1"/>
    </row>
    <row r="23" spans="1:8" x14ac:dyDescent="0.25">
      <c r="A23" s="30"/>
      <c r="B23" s="1" t="s">
        <v>202</v>
      </c>
      <c r="C23" s="1"/>
      <c r="D23" s="1">
        <v>29.38</v>
      </c>
      <c r="E23" s="2">
        <v>100</v>
      </c>
      <c r="F23" s="2" t="s">
        <v>201</v>
      </c>
      <c r="G23" s="9">
        <f t="shared" ref="G23:G25" si="1">D23*E23</f>
        <v>2938</v>
      </c>
      <c r="H23" s="1"/>
    </row>
    <row r="24" spans="1:8" x14ac:dyDescent="0.25">
      <c r="A24" s="30"/>
      <c r="B24" s="1" t="s">
        <v>203</v>
      </c>
      <c r="C24" s="1"/>
      <c r="D24" s="1">
        <v>1188</v>
      </c>
      <c r="E24" s="2">
        <v>2</v>
      </c>
      <c r="F24" s="2" t="s">
        <v>204</v>
      </c>
      <c r="G24" s="9">
        <f t="shared" si="1"/>
        <v>2376</v>
      </c>
      <c r="H24" s="1"/>
    </row>
    <row r="25" spans="1:8" x14ac:dyDescent="0.25">
      <c r="A25" s="30"/>
      <c r="B25" s="1" t="s">
        <v>207</v>
      </c>
      <c r="C25" s="1"/>
      <c r="D25" s="1">
        <v>50</v>
      </c>
      <c r="E25" s="2">
        <v>1</v>
      </c>
      <c r="F25" s="2" t="s">
        <v>208</v>
      </c>
      <c r="G25" s="9">
        <f t="shared" si="1"/>
        <v>50</v>
      </c>
      <c r="H25" s="1"/>
    </row>
    <row r="26" spans="1:8" x14ac:dyDescent="0.25">
      <c r="A26" s="30"/>
      <c r="B26" s="31" t="s">
        <v>44</v>
      </c>
      <c r="C26" s="32"/>
      <c r="D26" s="33"/>
      <c r="E26" s="4"/>
      <c r="F26" s="4"/>
      <c r="G26" s="15">
        <f>SUM(G22:G25)</f>
        <v>6464</v>
      </c>
      <c r="H26" s="1"/>
    </row>
    <row r="27" spans="1:8" x14ac:dyDescent="0.25">
      <c r="A27" s="1" t="s">
        <v>21</v>
      </c>
      <c r="B27" s="1" t="s">
        <v>1</v>
      </c>
      <c r="C27" s="1" t="s">
        <v>41</v>
      </c>
      <c r="D27" s="1" t="s">
        <v>35</v>
      </c>
      <c r="E27" s="2" t="s">
        <v>179</v>
      </c>
      <c r="F27" s="2"/>
      <c r="G27" s="1" t="s">
        <v>49</v>
      </c>
      <c r="H27" s="1" t="s">
        <v>5</v>
      </c>
    </row>
    <row r="28" spans="1:8" x14ac:dyDescent="0.25">
      <c r="A28" s="30" t="s">
        <v>94</v>
      </c>
      <c r="B28" s="1" t="s">
        <v>149</v>
      </c>
      <c r="C28" s="1" t="s">
        <v>152</v>
      </c>
      <c r="D28" s="1">
        <v>450</v>
      </c>
      <c r="E28" s="2">
        <v>1</v>
      </c>
      <c r="F28" s="2" t="s">
        <v>199</v>
      </c>
      <c r="G28" s="1">
        <f>D28*E28</f>
        <v>450</v>
      </c>
      <c r="H28" s="1"/>
    </row>
    <row r="29" spans="1:8" x14ac:dyDescent="0.25">
      <c r="A29" s="30"/>
      <c r="B29" s="1" t="s">
        <v>150</v>
      </c>
      <c r="C29" s="1"/>
      <c r="D29" s="1"/>
      <c r="E29" s="2"/>
      <c r="F29" s="2"/>
      <c r="G29" s="1"/>
      <c r="H29" s="1" t="s">
        <v>151</v>
      </c>
    </row>
    <row r="30" spans="1:8" x14ac:dyDescent="0.25">
      <c r="A30" s="30"/>
      <c r="B30" s="31"/>
      <c r="C30" s="32"/>
      <c r="D30" s="33"/>
      <c r="E30" s="4"/>
      <c r="F30" s="4"/>
      <c r="G30" s="15">
        <f>SUM(G28:G29)</f>
        <v>450</v>
      </c>
      <c r="H30" s="1"/>
    </row>
    <row r="31" spans="1:8" x14ac:dyDescent="0.25">
      <c r="A31" s="1" t="s">
        <v>50</v>
      </c>
      <c r="B31" s="1" t="s">
        <v>1</v>
      </c>
      <c r="C31" s="1" t="s">
        <v>41</v>
      </c>
      <c r="D31" s="1" t="s">
        <v>42</v>
      </c>
      <c r="E31" s="4" t="s">
        <v>179</v>
      </c>
      <c r="F31" s="4"/>
      <c r="G31" s="3" t="s">
        <v>24</v>
      </c>
      <c r="H31" s="1" t="s">
        <v>43</v>
      </c>
    </row>
    <row r="32" spans="1:8" x14ac:dyDescent="0.25">
      <c r="A32" s="37"/>
      <c r="B32" s="1" t="s">
        <v>197</v>
      </c>
      <c r="C32" s="1"/>
      <c r="D32" s="1">
        <v>35.520000000000003</v>
      </c>
      <c r="E32" s="20">
        <v>46.67</v>
      </c>
      <c r="F32" s="2"/>
      <c r="G32" s="14">
        <f>D32*E32</f>
        <v>1657.7184000000002</v>
      </c>
      <c r="H32" s="1"/>
    </row>
    <row r="33" spans="1:8" x14ac:dyDescent="0.25">
      <c r="A33" s="38"/>
      <c r="B33" s="1" t="s">
        <v>206</v>
      </c>
      <c r="C33" s="1"/>
      <c r="D33" s="1">
        <v>19.8</v>
      </c>
      <c r="E33" s="2">
        <v>65</v>
      </c>
      <c r="F33" s="2" t="s">
        <v>201</v>
      </c>
      <c r="G33" s="1">
        <f>D33*E33</f>
        <v>1287</v>
      </c>
      <c r="H33" s="1"/>
    </row>
    <row r="34" spans="1:8" x14ac:dyDescent="0.25">
      <c r="A34" s="39"/>
      <c r="B34" s="31" t="s">
        <v>44</v>
      </c>
      <c r="C34" s="32"/>
      <c r="D34" s="33"/>
      <c r="E34" s="4"/>
      <c r="F34" s="4"/>
      <c r="G34" s="16">
        <f>SUM(G32:G33)</f>
        <v>2944.7184000000002</v>
      </c>
      <c r="H34" s="6"/>
    </row>
    <row r="35" spans="1:8" x14ac:dyDescent="0.25">
      <c r="A35" s="7" t="s">
        <v>51</v>
      </c>
      <c r="B35" s="1" t="s">
        <v>1</v>
      </c>
      <c r="C35" s="1" t="s">
        <v>41</v>
      </c>
      <c r="D35" s="1" t="s">
        <v>35</v>
      </c>
      <c r="E35" s="2" t="s">
        <v>179</v>
      </c>
      <c r="F35" s="2"/>
      <c r="G35" s="1" t="s">
        <v>36</v>
      </c>
      <c r="H35" s="1"/>
    </row>
    <row r="36" spans="1:8" x14ac:dyDescent="0.25">
      <c r="A36" s="30"/>
      <c r="B36" s="1"/>
      <c r="C36" s="1"/>
      <c r="D36" s="1"/>
      <c r="E36" s="2"/>
      <c r="F36" s="2"/>
      <c r="G36" s="1"/>
      <c r="H36" s="1"/>
    </row>
    <row r="37" spans="1:8" x14ac:dyDescent="0.25">
      <c r="A37" s="30"/>
      <c r="B37" s="1"/>
      <c r="C37" s="1"/>
      <c r="D37" s="1"/>
      <c r="E37" s="2"/>
      <c r="F37" s="2"/>
      <c r="G37" s="1"/>
      <c r="H37" s="1"/>
    </row>
    <row r="38" spans="1:8" x14ac:dyDescent="0.25">
      <c r="A38" s="30"/>
      <c r="B38" s="1"/>
      <c r="C38" s="1"/>
      <c r="D38" s="1"/>
      <c r="E38" s="2"/>
      <c r="F38" s="2"/>
      <c r="G38" s="1"/>
      <c r="H38" s="1"/>
    </row>
    <row r="39" spans="1:8" x14ac:dyDescent="0.25">
      <c r="A39" s="30"/>
      <c r="B39" s="1"/>
      <c r="C39" s="1"/>
      <c r="D39" s="1"/>
      <c r="E39" s="2"/>
      <c r="F39" s="2"/>
      <c r="G39" s="1"/>
      <c r="H39" s="1"/>
    </row>
    <row r="40" spans="1:8" x14ac:dyDescent="0.25">
      <c r="A40" s="30"/>
      <c r="B40" s="31" t="s">
        <v>44</v>
      </c>
      <c r="C40" s="32"/>
      <c r="D40" s="33"/>
      <c r="E40" s="4"/>
      <c r="F40" s="4"/>
      <c r="G40" s="3"/>
      <c r="H40" s="1"/>
    </row>
    <row r="41" spans="1:8" x14ac:dyDescent="0.25">
      <c r="A41" s="1"/>
      <c r="B41" s="34" t="s">
        <v>52</v>
      </c>
      <c r="C41" s="35"/>
      <c r="D41" s="36"/>
      <c r="E41" s="8"/>
      <c r="F41" s="8"/>
      <c r="G41" s="17">
        <f>G34+G30+G26+G20+G14+G7</f>
        <v>18619.118399999999</v>
      </c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topLeftCell="A28" workbookViewId="0">
      <selection activeCell="G49" sqref="G4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84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53</v>
      </c>
      <c r="B2" s="1" t="s">
        <v>1</v>
      </c>
      <c r="C2" s="1" t="s">
        <v>2</v>
      </c>
      <c r="D2" s="1" t="s">
        <v>42</v>
      </c>
      <c r="E2" s="9" t="s">
        <v>210</v>
      </c>
      <c r="F2" s="9"/>
      <c r="G2" s="1" t="s">
        <v>24</v>
      </c>
      <c r="H2" s="1" t="s">
        <v>5</v>
      </c>
    </row>
    <row r="3" spans="1:8" x14ac:dyDescent="0.25">
      <c r="A3" s="43" t="s">
        <v>95</v>
      </c>
      <c r="B3" s="1" t="s">
        <v>109</v>
      </c>
      <c r="C3" s="1" t="s">
        <v>111</v>
      </c>
      <c r="D3" s="1">
        <v>174</v>
      </c>
      <c r="E3" s="9">
        <v>30</v>
      </c>
      <c r="F3" s="9" t="s">
        <v>215</v>
      </c>
      <c r="G3" s="1">
        <f>D3*E3</f>
        <v>5220</v>
      </c>
      <c r="H3" s="1"/>
    </row>
    <row r="4" spans="1:8" x14ac:dyDescent="0.25">
      <c r="A4" s="43"/>
      <c r="B4" s="1" t="s">
        <v>110</v>
      </c>
      <c r="C4" s="1" t="s">
        <v>112</v>
      </c>
      <c r="D4" s="1">
        <v>48</v>
      </c>
      <c r="E4" s="9">
        <v>10</v>
      </c>
      <c r="F4" s="9" t="s">
        <v>215</v>
      </c>
      <c r="G4" s="18">
        <f>D4*E4</f>
        <v>480</v>
      </c>
      <c r="H4" s="1"/>
    </row>
    <row r="5" spans="1:8" x14ac:dyDescent="0.25">
      <c r="A5" s="43"/>
      <c r="B5" s="1"/>
      <c r="C5" s="1"/>
      <c r="D5" s="1"/>
      <c r="E5" s="9"/>
      <c r="F5" s="9"/>
      <c r="G5" s="1"/>
      <c r="H5" s="1"/>
    </row>
    <row r="6" spans="1:8" x14ac:dyDescent="0.25">
      <c r="A6" s="43"/>
      <c r="B6" s="1"/>
      <c r="C6" s="1"/>
      <c r="D6" s="1"/>
      <c r="E6" s="10"/>
      <c r="F6" s="10"/>
      <c r="G6" s="3"/>
      <c r="H6" s="1"/>
    </row>
    <row r="7" spans="1:8" x14ac:dyDescent="0.25">
      <c r="A7" s="43"/>
      <c r="B7" s="31" t="s">
        <v>44</v>
      </c>
      <c r="C7" s="32"/>
      <c r="D7" s="33"/>
      <c r="E7" s="10"/>
      <c r="F7" s="10"/>
      <c r="G7" s="15">
        <f>SUM(G3:G6)</f>
        <v>5700</v>
      </c>
      <c r="H7" s="1"/>
    </row>
    <row r="8" spans="1:8" x14ac:dyDescent="0.25">
      <c r="A8" s="1" t="s">
        <v>54</v>
      </c>
      <c r="B8" s="1" t="s">
        <v>1</v>
      </c>
      <c r="C8" s="1" t="s">
        <v>55</v>
      </c>
      <c r="D8" s="1" t="s">
        <v>42</v>
      </c>
      <c r="E8" s="9" t="s">
        <v>210</v>
      </c>
      <c r="F8" s="9"/>
      <c r="G8" s="1" t="s">
        <v>24</v>
      </c>
      <c r="H8" s="1" t="s">
        <v>5</v>
      </c>
    </row>
    <row r="9" spans="1:8" x14ac:dyDescent="0.25">
      <c r="A9" s="30" t="s">
        <v>96</v>
      </c>
      <c r="B9" s="1" t="s">
        <v>7</v>
      </c>
      <c r="C9" s="1" t="s">
        <v>126</v>
      </c>
      <c r="D9" s="1">
        <v>28.56</v>
      </c>
      <c r="E9" s="9">
        <v>6</v>
      </c>
      <c r="F9" s="9" t="s">
        <v>215</v>
      </c>
      <c r="G9" s="1">
        <f>D9*E9</f>
        <v>171.35999999999999</v>
      </c>
      <c r="H9" s="1"/>
    </row>
    <row r="10" spans="1:8" x14ac:dyDescent="0.25">
      <c r="A10" s="30"/>
      <c r="B10" s="1" t="s">
        <v>153</v>
      </c>
      <c r="C10" s="1" t="s">
        <v>154</v>
      </c>
      <c r="D10" s="1">
        <v>150</v>
      </c>
      <c r="E10" s="9">
        <v>30</v>
      </c>
      <c r="F10" s="9" t="s">
        <v>215</v>
      </c>
      <c r="G10" s="18">
        <f>D10*E10</f>
        <v>4500</v>
      </c>
      <c r="H10" s="1"/>
    </row>
    <row r="11" spans="1:8" x14ac:dyDescent="0.25">
      <c r="A11" s="30"/>
      <c r="B11" s="1"/>
      <c r="C11" s="1"/>
      <c r="D11" s="1"/>
      <c r="E11" s="9"/>
      <c r="F11" s="9"/>
      <c r="G11" s="1"/>
      <c r="H11" s="1"/>
    </row>
    <row r="12" spans="1:8" x14ac:dyDescent="0.25">
      <c r="A12" s="30"/>
      <c r="B12" s="1"/>
      <c r="C12" s="1"/>
      <c r="D12" s="1"/>
      <c r="E12" s="9"/>
      <c r="F12" s="9"/>
      <c r="G12" s="1"/>
      <c r="H12" s="1"/>
    </row>
    <row r="13" spans="1:8" x14ac:dyDescent="0.25">
      <c r="A13" s="30"/>
      <c r="B13" s="1"/>
      <c r="C13" s="1"/>
      <c r="D13" s="1"/>
      <c r="E13" s="9"/>
      <c r="F13" s="9"/>
      <c r="G13" s="1"/>
      <c r="H13" s="1"/>
    </row>
    <row r="14" spans="1:8" x14ac:dyDescent="0.25">
      <c r="A14" s="30"/>
      <c r="B14" s="31" t="s">
        <v>44</v>
      </c>
      <c r="C14" s="32"/>
      <c r="D14" s="33"/>
      <c r="E14" s="10"/>
      <c r="F14" s="10"/>
      <c r="G14" s="16">
        <f>SUM(G9:G13)</f>
        <v>4671.3599999999997</v>
      </c>
      <c r="H14" s="1"/>
    </row>
    <row r="15" spans="1:8" x14ac:dyDescent="0.25">
      <c r="A15" s="1" t="s">
        <v>56</v>
      </c>
      <c r="B15" s="1" t="s">
        <v>57</v>
      </c>
      <c r="C15" s="1" t="s">
        <v>2</v>
      </c>
      <c r="D15" s="1" t="s">
        <v>42</v>
      </c>
      <c r="E15" s="9" t="s">
        <v>210</v>
      </c>
      <c r="F15" s="9"/>
      <c r="G15" s="1" t="s">
        <v>58</v>
      </c>
      <c r="H15" s="1" t="s">
        <v>59</v>
      </c>
    </row>
    <row r="16" spans="1:8" x14ac:dyDescent="0.25">
      <c r="A16" s="30"/>
      <c r="B16" s="1"/>
      <c r="C16" s="1"/>
      <c r="D16" s="1"/>
      <c r="E16" s="9"/>
      <c r="F16" s="9"/>
      <c r="G16" s="1"/>
      <c r="H16" s="1"/>
    </row>
    <row r="17" spans="1:8" x14ac:dyDescent="0.25">
      <c r="A17" s="30"/>
      <c r="B17" s="1"/>
      <c r="C17" s="1"/>
      <c r="D17" s="1"/>
      <c r="E17" s="9"/>
      <c r="F17" s="9"/>
      <c r="G17" s="1"/>
      <c r="H17" s="1"/>
    </row>
    <row r="18" spans="1:8" x14ac:dyDescent="0.25">
      <c r="A18" s="30"/>
      <c r="B18" s="1"/>
      <c r="C18" s="1"/>
      <c r="D18" s="1"/>
      <c r="E18" s="9"/>
      <c r="F18" s="9"/>
      <c r="G18" s="1"/>
      <c r="H18" s="1"/>
    </row>
    <row r="19" spans="1:8" x14ac:dyDescent="0.25">
      <c r="A19" s="30"/>
      <c r="B19" s="1"/>
      <c r="C19" s="1"/>
      <c r="D19" s="1"/>
      <c r="E19" s="10"/>
      <c r="F19" s="10"/>
      <c r="G19" s="3"/>
      <c r="H19" s="1"/>
    </row>
    <row r="20" spans="1:8" x14ac:dyDescent="0.25">
      <c r="A20" s="30"/>
      <c r="B20" s="31" t="s">
        <v>44</v>
      </c>
      <c r="C20" s="32"/>
      <c r="D20" s="33"/>
      <c r="E20" s="10"/>
      <c r="F20" s="10"/>
      <c r="G20" s="3"/>
      <c r="H20" s="1"/>
    </row>
    <row r="21" spans="1:8" x14ac:dyDescent="0.25">
      <c r="A21" s="5" t="s">
        <v>48</v>
      </c>
      <c r="B21" s="1" t="s">
        <v>1</v>
      </c>
      <c r="C21" s="1" t="s">
        <v>2</v>
      </c>
      <c r="D21" s="1" t="s">
        <v>42</v>
      </c>
      <c r="E21" s="9" t="s">
        <v>210</v>
      </c>
      <c r="F21" s="9"/>
      <c r="G21" s="1" t="s">
        <v>61</v>
      </c>
      <c r="H21" s="1" t="s">
        <v>5</v>
      </c>
    </row>
    <row r="22" spans="1:8" x14ac:dyDescent="0.25">
      <c r="A22" s="30"/>
      <c r="B22" s="1" t="s">
        <v>209</v>
      </c>
      <c r="C22" s="1"/>
      <c r="D22" s="1">
        <v>60</v>
      </c>
      <c r="E22" s="9">
        <v>1</v>
      </c>
      <c r="F22" s="9" t="s">
        <v>211</v>
      </c>
      <c r="G22" s="1">
        <f>D22*E22</f>
        <v>60</v>
      </c>
      <c r="H22" s="1"/>
    </row>
    <row r="23" spans="1:8" x14ac:dyDescent="0.25">
      <c r="A23" s="30"/>
      <c r="B23" s="1" t="s">
        <v>212</v>
      </c>
      <c r="C23" s="1"/>
      <c r="D23" s="1">
        <v>294</v>
      </c>
      <c r="E23" s="9">
        <v>1</v>
      </c>
      <c r="F23" s="9" t="s">
        <v>213</v>
      </c>
      <c r="G23" s="18">
        <f t="shared" ref="G23:G40" si="0">D23*E23</f>
        <v>294</v>
      </c>
      <c r="H23" s="1"/>
    </row>
    <row r="24" spans="1:8" x14ac:dyDescent="0.25">
      <c r="A24" s="30"/>
      <c r="B24" s="1" t="s">
        <v>214</v>
      </c>
      <c r="C24" s="1"/>
      <c r="D24" s="1">
        <v>85.5</v>
      </c>
      <c r="E24" s="9">
        <v>1</v>
      </c>
      <c r="F24" s="9" t="s">
        <v>215</v>
      </c>
      <c r="G24" s="18">
        <f t="shared" si="0"/>
        <v>85.5</v>
      </c>
      <c r="H24" s="1"/>
    </row>
    <row r="25" spans="1:8" x14ac:dyDescent="0.25">
      <c r="A25" s="30"/>
      <c r="B25" s="1" t="s">
        <v>217</v>
      </c>
      <c r="C25" s="1"/>
      <c r="D25" s="1">
        <v>125</v>
      </c>
      <c r="E25" s="9">
        <v>12</v>
      </c>
      <c r="F25" s="9" t="s">
        <v>211</v>
      </c>
      <c r="G25" s="18">
        <f t="shared" si="0"/>
        <v>1500</v>
      </c>
      <c r="H25" s="1"/>
    </row>
    <row r="26" spans="1:8" x14ac:dyDescent="0.25">
      <c r="A26" s="30"/>
      <c r="B26" s="18" t="s">
        <v>218</v>
      </c>
      <c r="C26" s="18"/>
      <c r="D26" s="18">
        <v>225</v>
      </c>
      <c r="E26" s="18">
        <v>2</v>
      </c>
      <c r="F26" s="19" t="s">
        <v>219</v>
      </c>
      <c r="G26" s="19">
        <f t="shared" si="0"/>
        <v>450</v>
      </c>
      <c r="H26" s="18"/>
    </row>
    <row r="27" spans="1:8" x14ac:dyDescent="0.25">
      <c r="A27" s="30"/>
      <c r="B27" s="18" t="s">
        <v>220</v>
      </c>
      <c r="C27" s="18"/>
      <c r="D27" s="18">
        <v>235</v>
      </c>
      <c r="E27" s="18">
        <v>1</v>
      </c>
      <c r="F27" s="19" t="s">
        <v>219</v>
      </c>
      <c r="G27" s="19">
        <f t="shared" si="0"/>
        <v>235</v>
      </c>
      <c r="H27" s="18"/>
    </row>
    <row r="28" spans="1:8" x14ac:dyDescent="0.25">
      <c r="A28" s="30"/>
      <c r="B28" s="18" t="s">
        <v>221</v>
      </c>
      <c r="C28" s="18"/>
      <c r="D28" s="18">
        <v>291</v>
      </c>
      <c r="E28" s="18">
        <v>1</v>
      </c>
      <c r="F28" s="19" t="s">
        <v>219</v>
      </c>
      <c r="G28" s="19">
        <f t="shared" si="0"/>
        <v>291</v>
      </c>
      <c r="H28" s="18"/>
    </row>
    <row r="29" spans="1:8" x14ac:dyDescent="0.25">
      <c r="A29" s="30"/>
      <c r="B29" s="18" t="s">
        <v>222</v>
      </c>
      <c r="C29" s="18"/>
      <c r="D29" s="18">
        <v>363</v>
      </c>
      <c r="E29" s="18">
        <v>1</v>
      </c>
      <c r="F29" s="19" t="s">
        <v>211</v>
      </c>
      <c r="G29" s="19">
        <f t="shared" si="0"/>
        <v>363</v>
      </c>
      <c r="H29" s="18"/>
    </row>
    <row r="30" spans="1:8" x14ac:dyDescent="0.25">
      <c r="A30" s="30"/>
      <c r="B30" s="18" t="s">
        <v>223</v>
      </c>
      <c r="C30" s="18"/>
      <c r="D30" s="18">
        <v>1188</v>
      </c>
      <c r="E30" s="18">
        <v>1</v>
      </c>
      <c r="F30" s="18" t="s">
        <v>219</v>
      </c>
      <c r="G30" s="18">
        <f t="shared" si="0"/>
        <v>1188</v>
      </c>
      <c r="H30" s="18"/>
    </row>
    <row r="31" spans="1:8" x14ac:dyDescent="0.25">
      <c r="A31" s="30"/>
      <c r="B31" s="18" t="s">
        <v>224</v>
      </c>
      <c r="C31" s="18"/>
      <c r="D31" s="18">
        <v>280</v>
      </c>
      <c r="E31" s="18">
        <v>1</v>
      </c>
      <c r="F31" s="18" t="s">
        <v>211</v>
      </c>
      <c r="G31" s="18">
        <f t="shared" si="0"/>
        <v>280</v>
      </c>
      <c r="H31" s="18"/>
    </row>
    <row r="32" spans="1:8" x14ac:dyDescent="0.25">
      <c r="A32" s="30"/>
      <c r="B32" s="18" t="s">
        <v>225</v>
      </c>
      <c r="C32" s="18"/>
      <c r="D32" s="18">
        <v>93</v>
      </c>
      <c r="E32" s="18">
        <v>2</v>
      </c>
      <c r="F32" s="19" t="s">
        <v>211</v>
      </c>
      <c r="G32" s="19">
        <f t="shared" si="0"/>
        <v>186</v>
      </c>
      <c r="H32" s="18"/>
    </row>
    <row r="33" spans="1:8" x14ac:dyDescent="0.25">
      <c r="A33" s="30"/>
      <c r="B33" s="18" t="s">
        <v>226</v>
      </c>
      <c r="C33" s="18"/>
      <c r="D33" s="18">
        <v>219</v>
      </c>
      <c r="E33" s="18">
        <v>1</v>
      </c>
      <c r="F33" s="19" t="s">
        <v>219</v>
      </c>
      <c r="G33" s="19">
        <f t="shared" si="0"/>
        <v>219</v>
      </c>
      <c r="H33" s="18"/>
    </row>
    <row r="34" spans="1:8" x14ac:dyDescent="0.25">
      <c r="A34" s="30"/>
      <c r="B34" s="18" t="s">
        <v>227</v>
      </c>
      <c r="C34" s="18"/>
      <c r="D34" s="18">
        <v>97.5</v>
      </c>
      <c r="E34" s="18">
        <v>5</v>
      </c>
      <c r="F34" s="19" t="s">
        <v>215</v>
      </c>
      <c r="G34" s="24">
        <f t="shared" si="0"/>
        <v>487.5</v>
      </c>
      <c r="H34" s="18"/>
    </row>
    <row r="35" spans="1:8" x14ac:dyDescent="0.25">
      <c r="A35" s="30"/>
      <c r="B35" s="18" t="s">
        <v>228</v>
      </c>
      <c r="C35" s="18"/>
      <c r="D35" s="18">
        <v>181</v>
      </c>
      <c r="E35" s="18">
        <v>1</v>
      </c>
      <c r="F35" s="19" t="s">
        <v>219</v>
      </c>
      <c r="G35" s="19">
        <f t="shared" si="0"/>
        <v>181</v>
      </c>
      <c r="H35" s="18"/>
    </row>
    <row r="36" spans="1:8" x14ac:dyDescent="0.25">
      <c r="A36" s="30"/>
      <c r="B36" s="18" t="s">
        <v>229</v>
      </c>
      <c r="C36" s="18"/>
      <c r="D36" s="18">
        <v>210</v>
      </c>
      <c r="E36" s="18">
        <v>1</v>
      </c>
      <c r="F36" s="19" t="s">
        <v>211</v>
      </c>
      <c r="G36" s="19">
        <f t="shared" si="0"/>
        <v>210</v>
      </c>
      <c r="H36" s="18"/>
    </row>
    <row r="37" spans="1:8" x14ac:dyDescent="0.25">
      <c r="A37" s="30"/>
      <c r="B37" s="18" t="s">
        <v>230</v>
      </c>
      <c r="C37" s="18"/>
      <c r="D37" s="18">
        <v>235</v>
      </c>
      <c r="E37" s="18">
        <v>4</v>
      </c>
      <c r="F37" s="19" t="s">
        <v>213</v>
      </c>
      <c r="G37" s="19">
        <f t="shared" si="0"/>
        <v>940</v>
      </c>
      <c r="H37" s="18"/>
    </row>
    <row r="38" spans="1:8" x14ac:dyDescent="0.25">
      <c r="A38" s="30"/>
      <c r="B38" s="18" t="s">
        <v>231</v>
      </c>
      <c r="C38" s="18"/>
      <c r="D38" s="18">
        <v>185</v>
      </c>
      <c r="E38" s="18">
        <v>2</v>
      </c>
      <c r="F38" s="19" t="s">
        <v>211</v>
      </c>
      <c r="G38" s="19">
        <f t="shared" si="0"/>
        <v>370</v>
      </c>
      <c r="H38" s="18"/>
    </row>
    <row r="39" spans="1:8" x14ac:dyDescent="0.25">
      <c r="A39" s="30"/>
      <c r="B39" s="18" t="s">
        <v>232</v>
      </c>
      <c r="C39" s="18"/>
      <c r="D39" s="18">
        <v>3.5</v>
      </c>
      <c r="E39" s="18">
        <v>100</v>
      </c>
      <c r="F39" s="19" t="s">
        <v>233</v>
      </c>
      <c r="G39" s="19">
        <f t="shared" si="0"/>
        <v>350</v>
      </c>
      <c r="H39" s="18"/>
    </row>
    <row r="40" spans="1:8" x14ac:dyDescent="0.25">
      <c r="A40" s="30"/>
      <c r="B40" s="18" t="s">
        <v>234</v>
      </c>
      <c r="C40" s="18"/>
      <c r="D40" s="18">
        <v>300</v>
      </c>
      <c r="E40" s="18">
        <v>1</v>
      </c>
      <c r="F40" s="19" t="s">
        <v>235</v>
      </c>
      <c r="G40" s="19">
        <f t="shared" si="0"/>
        <v>300</v>
      </c>
      <c r="H40" s="18"/>
    </row>
    <row r="41" spans="1:8" x14ac:dyDescent="0.25">
      <c r="A41" s="30"/>
      <c r="B41" s="31" t="s">
        <v>44</v>
      </c>
      <c r="C41" s="32"/>
      <c r="D41" s="33"/>
      <c r="E41" s="10"/>
      <c r="F41" s="10"/>
      <c r="G41" s="15">
        <f>SUM(G22:G40)</f>
        <v>7990</v>
      </c>
      <c r="H41" s="1"/>
    </row>
    <row r="42" spans="1:8" x14ac:dyDescent="0.25">
      <c r="A42" s="1" t="s">
        <v>62</v>
      </c>
      <c r="B42" s="1" t="s">
        <v>1</v>
      </c>
      <c r="C42" s="1" t="s">
        <v>2</v>
      </c>
      <c r="D42" s="1" t="s">
        <v>63</v>
      </c>
      <c r="E42" s="9" t="s">
        <v>210</v>
      </c>
      <c r="F42" s="9"/>
      <c r="G42" s="1" t="s">
        <v>24</v>
      </c>
      <c r="H42" s="1" t="s">
        <v>5</v>
      </c>
    </row>
    <row r="43" spans="1:8" x14ac:dyDescent="0.25">
      <c r="A43" s="30"/>
      <c r="B43" s="1"/>
      <c r="C43" s="1"/>
      <c r="D43" s="1"/>
      <c r="E43" s="9"/>
      <c r="F43" s="9"/>
      <c r="G43" s="1"/>
      <c r="H43" s="1"/>
    </row>
    <row r="44" spans="1:8" x14ac:dyDescent="0.25">
      <c r="A44" s="30"/>
      <c r="B44" s="1"/>
      <c r="C44" s="1"/>
      <c r="D44" s="1"/>
      <c r="E44" s="9"/>
      <c r="F44" s="9"/>
      <c r="G44" s="1"/>
      <c r="H44" s="1"/>
    </row>
    <row r="45" spans="1:8" x14ac:dyDescent="0.25">
      <c r="A45" s="30"/>
      <c r="B45" s="31"/>
      <c r="C45" s="32"/>
      <c r="D45" s="33"/>
      <c r="E45" s="10"/>
      <c r="F45" s="10"/>
      <c r="G45" s="3"/>
      <c r="H45" s="1"/>
    </row>
    <row r="46" spans="1:8" x14ac:dyDescent="0.25">
      <c r="A46" s="1" t="s">
        <v>50</v>
      </c>
      <c r="B46" s="1" t="s">
        <v>1</v>
      </c>
      <c r="C46" s="1" t="s">
        <v>2</v>
      </c>
      <c r="D46" s="1" t="s">
        <v>42</v>
      </c>
      <c r="E46" s="10" t="s">
        <v>210</v>
      </c>
      <c r="F46" s="10"/>
      <c r="G46" s="3" t="s">
        <v>24</v>
      </c>
      <c r="H46" s="1" t="s">
        <v>5</v>
      </c>
    </row>
    <row r="47" spans="1:8" x14ac:dyDescent="0.25">
      <c r="A47" s="37"/>
      <c r="B47" s="1" t="s">
        <v>216</v>
      </c>
      <c r="C47" s="1"/>
      <c r="D47" s="1">
        <v>37.340000000000003</v>
      </c>
      <c r="E47" s="9">
        <v>65</v>
      </c>
      <c r="F47" s="9" t="s">
        <v>215</v>
      </c>
      <c r="G47" s="14">
        <f>E47*D47</f>
        <v>2427.1000000000004</v>
      </c>
      <c r="H47" s="1"/>
    </row>
    <row r="48" spans="1:8" x14ac:dyDescent="0.25">
      <c r="A48" s="38"/>
      <c r="B48" s="1" t="s">
        <v>236</v>
      </c>
      <c r="C48" s="1"/>
      <c r="D48" s="1">
        <v>51.84</v>
      </c>
      <c r="E48" s="9">
        <v>59</v>
      </c>
      <c r="F48" s="9"/>
      <c r="G48" s="14">
        <f>E48*D48</f>
        <v>3058.5600000000004</v>
      </c>
      <c r="H48" s="1"/>
    </row>
    <row r="49" spans="1:8" x14ac:dyDescent="0.25">
      <c r="A49" s="39"/>
      <c r="B49" s="31" t="s">
        <v>64</v>
      </c>
      <c r="C49" s="32"/>
      <c r="D49" s="33"/>
      <c r="E49" s="10"/>
      <c r="F49" s="10"/>
      <c r="G49" s="16">
        <f>SUM(G47:G48)</f>
        <v>5485.6600000000008</v>
      </c>
      <c r="H49" s="6"/>
    </row>
    <row r="50" spans="1:8" x14ac:dyDescent="0.25">
      <c r="A50" s="7" t="s">
        <v>51</v>
      </c>
      <c r="B50" s="1" t="s">
        <v>1</v>
      </c>
      <c r="C50" s="1" t="s">
        <v>2</v>
      </c>
      <c r="D50" s="1" t="s">
        <v>42</v>
      </c>
      <c r="E50" s="9" t="s">
        <v>210</v>
      </c>
      <c r="F50" s="9"/>
      <c r="G50" s="1" t="s">
        <v>24</v>
      </c>
      <c r="H50" s="1"/>
    </row>
    <row r="51" spans="1:8" x14ac:dyDescent="0.25">
      <c r="A51" s="30" t="s">
        <v>97</v>
      </c>
      <c r="B51" s="1" t="s">
        <v>98</v>
      </c>
      <c r="C51" s="1" t="s">
        <v>104</v>
      </c>
      <c r="D51" s="1">
        <v>19.8</v>
      </c>
      <c r="E51" s="9">
        <v>65</v>
      </c>
      <c r="F51" s="9" t="s">
        <v>215</v>
      </c>
      <c r="G51" s="1">
        <f>D51*E51</f>
        <v>1287</v>
      </c>
      <c r="H51" s="1"/>
    </row>
    <row r="52" spans="1:8" x14ac:dyDescent="0.25">
      <c r="A52" s="30"/>
      <c r="B52" s="1" t="s">
        <v>99</v>
      </c>
      <c r="C52" s="1" t="s">
        <v>105</v>
      </c>
      <c r="D52" s="1">
        <v>125</v>
      </c>
      <c r="E52" s="9">
        <v>35</v>
      </c>
      <c r="F52" s="9" t="s">
        <v>215</v>
      </c>
      <c r="G52" s="18">
        <f t="shared" ref="G52:G56" si="1">D52*E52</f>
        <v>4375</v>
      </c>
      <c r="H52" s="1"/>
    </row>
    <row r="53" spans="1:8" x14ac:dyDescent="0.25">
      <c r="A53" s="30"/>
      <c r="B53" s="1" t="s">
        <v>100</v>
      </c>
      <c r="C53" s="1" t="s">
        <v>106</v>
      </c>
      <c r="D53" s="1">
        <v>20.52</v>
      </c>
      <c r="E53" s="9">
        <v>3</v>
      </c>
      <c r="F53" s="18" t="s">
        <v>215</v>
      </c>
      <c r="G53" s="18">
        <f t="shared" si="1"/>
        <v>61.56</v>
      </c>
      <c r="H53" s="1"/>
    </row>
    <row r="54" spans="1:8" x14ac:dyDescent="0.25">
      <c r="A54" s="30"/>
      <c r="B54" s="1" t="s">
        <v>101</v>
      </c>
      <c r="C54" s="1" t="s">
        <v>107</v>
      </c>
      <c r="D54" s="1">
        <v>36.479999999999997</v>
      </c>
      <c r="E54" s="9">
        <v>8</v>
      </c>
      <c r="F54" s="18" t="s">
        <v>215</v>
      </c>
      <c r="G54" s="18">
        <f t="shared" si="1"/>
        <v>291.83999999999997</v>
      </c>
      <c r="H54" s="1"/>
    </row>
    <row r="55" spans="1:8" x14ac:dyDescent="0.25">
      <c r="A55" s="30"/>
      <c r="B55" s="1" t="s">
        <v>102</v>
      </c>
      <c r="C55" s="1" t="s">
        <v>108</v>
      </c>
      <c r="D55" s="1">
        <v>45</v>
      </c>
      <c r="E55" s="9">
        <v>4</v>
      </c>
      <c r="F55" s="18" t="s">
        <v>215</v>
      </c>
      <c r="G55" s="18">
        <f t="shared" si="1"/>
        <v>180</v>
      </c>
      <c r="H55" s="1"/>
    </row>
    <row r="56" spans="1:8" x14ac:dyDescent="0.25">
      <c r="A56" s="30"/>
      <c r="B56" s="1" t="s">
        <v>103</v>
      </c>
      <c r="C56" s="1" t="s">
        <v>25</v>
      </c>
      <c r="D56" s="1">
        <v>35.700000000000003</v>
      </c>
      <c r="E56" s="9">
        <v>5</v>
      </c>
      <c r="F56" s="18" t="s">
        <v>215</v>
      </c>
      <c r="G56" s="18">
        <f t="shared" si="1"/>
        <v>178.5</v>
      </c>
      <c r="H56" s="1"/>
    </row>
    <row r="57" spans="1:8" x14ac:dyDescent="0.25">
      <c r="A57" s="30"/>
      <c r="B57" s="31" t="s">
        <v>44</v>
      </c>
      <c r="C57" s="32"/>
      <c r="D57" s="33"/>
      <c r="E57" s="10"/>
      <c r="F57" s="10"/>
      <c r="G57" s="16">
        <f>SUM(G51:G56)</f>
        <v>6373.9000000000005</v>
      </c>
      <c r="H57" s="1"/>
    </row>
    <row r="58" spans="1:8" x14ac:dyDescent="0.25">
      <c r="A58" s="1"/>
      <c r="B58" s="34" t="s">
        <v>52</v>
      </c>
      <c r="C58" s="35"/>
      <c r="D58" s="36"/>
      <c r="E58" s="11"/>
      <c r="F58" s="11"/>
      <c r="G58" s="17">
        <f>G57+G49+G41+G7+G14</f>
        <v>30220.920000000002</v>
      </c>
      <c r="H58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51:A57"/>
    <mergeCell ref="B57:D57"/>
    <mergeCell ref="B58:D58"/>
    <mergeCell ref="A22:A41"/>
    <mergeCell ref="B41:D41"/>
    <mergeCell ref="A43:A45"/>
    <mergeCell ref="B45:D45"/>
    <mergeCell ref="A47:A49"/>
    <mergeCell ref="B49:D49"/>
  </mergeCells>
  <phoneticPr fontId="2" type="noConversion"/>
  <pageMargins left="0.7" right="0.7" top="0.75" bottom="0.75" header="0.3" footer="0.3"/>
  <pageSetup paperSize="9" scale="8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workbookViewId="0">
      <selection activeCell="H41" sqref="H4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85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18</v>
      </c>
      <c r="C2" s="1" t="s">
        <v>2</v>
      </c>
      <c r="D2" s="1" t="s">
        <v>42</v>
      </c>
      <c r="E2" s="21" t="s">
        <v>237</v>
      </c>
      <c r="F2" s="21"/>
      <c r="G2" s="1" t="s">
        <v>24</v>
      </c>
      <c r="H2" s="1" t="s">
        <v>65</v>
      </c>
    </row>
    <row r="3" spans="1:8" x14ac:dyDescent="0.25">
      <c r="A3" s="30" t="s">
        <v>113</v>
      </c>
      <c r="B3" s="1" t="s">
        <v>155</v>
      </c>
      <c r="C3" s="1" t="s">
        <v>161</v>
      </c>
      <c r="D3" s="1">
        <v>85.5</v>
      </c>
      <c r="E3" s="21">
        <v>1</v>
      </c>
      <c r="F3" s="21" t="s">
        <v>238</v>
      </c>
      <c r="G3" s="1">
        <f>D3*E3</f>
        <v>85.5</v>
      </c>
      <c r="H3" s="1"/>
    </row>
    <row r="4" spans="1:8" x14ac:dyDescent="0.25">
      <c r="A4" s="30"/>
      <c r="B4" s="1" t="s">
        <v>140</v>
      </c>
      <c r="C4" s="1" t="s">
        <v>162</v>
      </c>
      <c r="D4" s="1">
        <v>99</v>
      </c>
      <c r="E4" s="21">
        <v>45</v>
      </c>
      <c r="F4" s="21" t="s">
        <v>238</v>
      </c>
      <c r="G4" s="21">
        <f t="shared" ref="G4:G5" si="0">D4*E4</f>
        <v>4455</v>
      </c>
      <c r="H4" s="1"/>
    </row>
    <row r="5" spans="1:8" x14ac:dyDescent="0.25">
      <c r="A5" s="30"/>
      <c r="B5" s="1" t="s">
        <v>7</v>
      </c>
      <c r="C5" s="1" t="s">
        <v>163</v>
      </c>
      <c r="D5" s="1">
        <v>28.56</v>
      </c>
      <c r="E5" s="21">
        <v>8</v>
      </c>
      <c r="F5" s="21" t="s">
        <v>238</v>
      </c>
      <c r="G5" s="21">
        <f t="shared" si="0"/>
        <v>228.48</v>
      </c>
      <c r="H5" s="1"/>
    </row>
    <row r="6" spans="1:8" x14ac:dyDescent="0.25">
      <c r="A6" s="30"/>
      <c r="B6" s="1"/>
      <c r="C6" s="1"/>
      <c r="D6" s="1"/>
      <c r="E6" s="22"/>
      <c r="F6" s="22"/>
      <c r="G6" s="3"/>
      <c r="H6" s="1"/>
    </row>
    <row r="7" spans="1:8" x14ac:dyDescent="0.25">
      <c r="A7" s="30"/>
      <c r="B7" s="31" t="s">
        <v>8</v>
      </c>
      <c r="C7" s="32"/>
      <c r="D7" s="33"/>
      <c r="E7" s="22"/>
      <c r="F7" s="22"/>
      <c r="G7" s="16">
        <f>SUM(G3:G6)</f>
        <v>4768.9799999999996</v>
      </c>
      <c r="H7" s="1"/>
    </row>
    <row r="8" spans="1:8" x14ac:dyDescent="0.25">
      <c r="A8" s="1" t="s">
        <v>66</v>
      </c>
      <c r="B8" s="1" t="s">
        <v>67</v>
      </c>
      <c r="C8" s="1" t="s">
        <v>68</v>
      </c>
      <c r="D8" s="1" t="s">
        <v>10</v>
      </c>
      <c r="E8" s="21" t="s">
        <v>237</v>
      </c>
      <c r="F8" s="21"/>
      <c r="G8" s="1" t="s">
        <v>69</v>
      </c>
      <c r="H8" s="1" t="s">
        <v>5</v>
      </c>
    </row>
    <row r="9" spans="1:8" x14ac:dyDescent="0.25">
      <c r="A9" s="30" t="s">
        <v>114</v>
      </c>
      <c r="B9" s="1" t="s">
        <v>156</v>
      </c>
      <c r="C9" s="1" t="s">
        <v>164</v>
      </c>
      <c r="D9" s="1">
        <v>150</v>
      </c>
      <c r="E9" s="21">
        <v>7</v>
      </c>
      <c r="F9" s="21" t="s">
        <v>241</v>
      </c>
      <c r="G9" s="1">
        <f>D9*E9</f>
        <v>1050</v>
      </c>
      <c r="H9" s="1"/>
    </row>
    <row r="10" spans="1:8" x14ac:dyDescent="0.25">
      <c r="A10" s="30"/>
      <c r="B10" s="1"/>
      <c r="C10" s="1"/>
      <c r="D10" s="1"/>
      <c r="E10" s="21"/>
      <c r="F10" s="21"/>
      <c r="G10" s="1"/>
      <c r="H10" s="1"/>
    </row>
    <row r="11" spans="1:8" x14ac:dyDescent="0.25">
      <c r="A11" s="30"/>
      <c r="B11" s="1"/>
      <c r="C11" s="1"/>
      <c r="D11" s="1"/>
      <c r="E11" s="21"/>
      <c r="F11" s="21"/>
      <c r="G11" s="1"/>
      <c r="H11" s="1"/>
    </row>
    <row r="12" spans="1:8" x14ac:dyDescent="0.25">
      <c r="A12" s="30"/>
      <c r="B12" s="1"/>
      <c r="C12" s="1"/>
      <c r="D12" s="1"/>
      <c r="E12" s="21"/>
      <c r="F12" s="21"/>
      <c r="G12" s="1"/>
      <c r="H12" s="1"/>
    </row>
    <row r="13" spans="1:8" x14ac:dyDescent="0.25">
      <c r="A13" s="30"/>
      <c r="B13" s="1"/>
      <c r="C13" s="1"/>
      <c r="D13" s="1"/>
      <c r="E13" s="21"/>
      <c r="F13" s="21"/>
      <c r="G13" s="1"/>
      <c r="H13" s="1"/>
    </row>
    <row r="14" spans="1:8" x14ac:dyDescent="0.25">
      <c r="A14" s="30"/>
      <c r="B14" s="31" t="s">
        <v>8</v>
      </c>
      <c r="C14" s="32"/>
      <c r="D14" s="33"/>
      <c r="E14" s="22"/>
      <c r="F14" s="22"/>
      <c r="G14" s="15">
        <f>SUM(G9:G13)</f>
        <v>1050</v>
      </c>
      <c r="H14" s="1"/>
    </row>
    <row r="15" spans="1:8" x14ac:dyDescent="0.25">
      <c r="A15" s="1" t="s">
        <v>56</v>
      </c>
      <c r="B15" s="1" t="s">
        <v>1</v>
      </c>
      <c r="C15" s="1" t="s">
        <v>2</v>
      </c>
      <c r="D15" s="1" t="s">
        <v>42</v>
      </c>
      <c r="E15" s="21" t="s">
        <v>237</v>
      </c>
      <c r="F15" s="21"/>
      <c r="G15" s="1" t="s">
        <v>24</v>
      </c>
      <c r="H15" s="1" t="s">
        <v>20</v>
      </c>
    </row>
    <row r="16" spans="1:8" x14ac:dyDescent="0.25">
      <c r="A16" s="30" t="s">
        <v>115</v>
      </c>
      <c r="B16" s="1" t="s">
        <v>46</v>
      </c>
      <c r="C16" s="1" t="s">
        <v>159</v>
      </c>
      <c r="D16" s="1">
        <v>75</v>
      </c>
      <c r="E16" s="21">
        <v>15</v>
      </c>
      <c r="F16" s="21" t="s">
        <v>242</v>
      </c>
      <c r="G16" s="1">
        <f>D16*E16</f>
        <v>1125</v>
      </c>
      <c r="H16" s="1"/>
    </row>
    <row r="17" spans="1:8" x14ac:dyDescent="0.25">
      <c r="A17" s="30"/>
      <c r="B17" s="1" t="s">
        <v>157</v>
      </c>
      <c r="C17" s="1" t="s">
        <v>107</v>
      </c>
      <c r="D17" s="1">
        <v>77.400000000000006</v>
      </c>
      <c r="E17" s="21">
        <v>8</v>
      </c>
      <c r="F17" s="21" t="s">
        <v>238</v>
      </c>
      <c r="G17" s="21">
        <f>D17*E17</f>
        <v>619.20000000000005</v>
      </c>
      <c r="H17" s="1"/>
    </row>
    <row r="18" spans="1:8" x14ac:dyDescent="0.25">
      <c r="A18" s="30"/>
      <c r="B18" s="1" t="s">
        <v>158</v>
      </c>
      <c r="C18" s="1" t="s">
        <v>160</v>
      </c>
      <c r="D18" s="1">
        <v>168</v>
      </c>
      <c r="E18" s="21">
        <v>15</v>
      </c>
      <c r="F18" s="21" t="s">
        <v>238</v>
      </c>
      <c r="G18" s="1">
        <f>D18*E18</f>
        <v>2520</v>
      </c>
      <c r="H18" s="1"/>
    </row>
    <row r="19" spans="1:8" x14ac:dyDescent="0.25">
      <c r="A19" s="30"/>
      <c r="B19" s="1"/>
      <c r="C19" s="1"/>
      <c r="D19" s="1"/>
      <c r="E19" s="22"/>
      <c r="F19" s="22"/>
      <c r="G19" s="3"/>
      <c r="H19" s="1"/>
    </row>
    <row r="20" spans="1:8" x14ac:dyDescent="0.25">
      <c r="A20" s="30"/>
      <c r="B20" s="31" t="s">
        <v>70</v>
      </c>
      <c r="C20" s="32"/>
      <c r="D20" s="33"/>
      <c r="E20" s="22"/>
      <c r="F20" s="22"/>
      <c r="G20" s="16">
        <f>SUM(G16:G19)</f>
        <v>4264.2</v>
      </c>
      <c r="H20" s="1"/>
    </row>
    <row r="21" spans="1:8" x14ac:dyDescent="0.25">
      <c r="A21" s="5" t="s">
        <v>71</v>
      </c>
      <c r="B21" s="1" t="s">
        <v>1</v>
      </c>
      <c r="C21" s="1" t="s">
        <v>2</v>
      </c>
      <c r="D21" s="1" t="s">
        <v>72</v>
      </c>
      <c r="E21" s="21" t="s">
        <v>237</v>
      </c>
      <c r="F21" s="21"/>
      <c r="G21" s="1" t="s">
        <v>73</v>
      </c>
      <c r="H21" s="1" t="s">
        <v>5</v>
      </c>
    </row>
    <row r="22" spans="1:8" x14ac:dyDescent="0.25">
      <c r="A22" s="30"/>
      <c r="B22" s="1" t="s">
        <v>239</v>
      </c>
      <c r="C22" s="1"/>
      <c r="D22" s="1">
        <v>60</v>
      </c>
      <c r="E22" s="21">
        <v>1</v>
      </c>
      <c r="F22" s="21" t="s">
        <v>240</v>
      </c>
      <c r="G22" s="1">
        <f>D22*E22</f>
        <v>60</v>
      </c>
      <c r="H22" s="1"/>
    </row>
    <row r="23" spans="1:8" x14ac:dyDescent="0.25">
      <c r="A23" s="30"/>
      <c r="B23" s="1"/>
      <c r="C23" s="1"/>
      <c r="D23" s="1"/>
      <c r="E23" s="21"/>
      <c r="F23" s="21"/>
      <c r="G23" s="1"/>
      <c r="H23" s="1"/>
    </row>
    <row r="24" spans="1:8" x14ac:dyDescent="0.25">
      <c r="A24" s="30"/>
      <c r="B24" s="1"/>
      <c r="C24" s="1"/>
      <c r="D24" s="1"/>
      <c r="E24" s="21"/>
      <c r="F24" s="21"/>
      <c r="G24" s="1"/>
      <c r="H24" s="1"/>
    </row>
    <row r="25" spans="1:8" x14ac:dyDescent="0.25">
      <c r="A25" s="30"/>
      <c r="B25" s="1"/>
      <c r="C25" s="1"/>
      <c r="D25" s="1"/>
      <c r="E25" s="21"/>
      <c r="F25" s="21"/>
      <c r="G25" s="1"/>
      <c r="H25" s="1"/>
    </row>
    <row r="26" spans="1:8" x14ac:dyDescent="0.25">
      <c r="A26" s="30"/>
      <c r="B26" s="31" t="s">
        <v>74</v>
      </c>
      <c r="C26" s="32"/>
      <c r="D26" s="33"/>
      <c r="E26" s="22"/>
      <c r="F26" s="22"/>
      <c r="G26" s="15">
        <f>SUM(G22:G25)</f>
        <v>60</v>
      </c>
      <c r="H26" s="1"/>
    </row>
    <row r="27" spans="1:8" x14ac:dyDescent="0.25">
      <c r="A27" s="1" t="s">
        <v>75</v>
      </c>
      <c r="B27" s="1" t="s">
        <v>22</v>
      </c>
      <c r="C27" s="1" t="s">
        <v>19</v>
      </c>
      <c r="D27" s="1" t="s">
        <v>42</v>
      </c>
      <c r="E27" s="21" t="s">
        <v>237</v>
      </c>
      <c r="F27" s="21"/>
      <c r="G27" s="1" t="s">
        <v>24</v>
      </c>
      <c r="H27" s="1" t="s">
        <v>5</v>
      </c>
    </row>
    <row r="28" spans="1:8" x14ac:dyDescent="0.25">
      <c r="A28" s="30" t="s">
        <v>116</v>
      </c>
      <c r="B28" s="1" t="s">
        <v>177</v>
      </c>
      <c r="C28" s="1"/>
      <c r="D28" s="1"/>
      <c r="E28" s="21"/>
      <c r="F28" s="21"/>
      <c r="G28" s="1"/>
      <c r="H28" s="1" t="s">
        <v>178</v>
      </c>
    </row>
    <row r="29" spans="1:8" x14ac:dyDescent="0.25">
      <c r="A29" s="30"/>
      <c r="B29" s="1"/>
      <c r="C29" s="1"/>
      <c r="D29" s="1"/>
      <c r="E29" s="21"/>
      <c r="F29" s="21"/>
      <c r="G29" s="1"/>
      <c r="H29" s="1"/>
    </row>
    <row r="30" spans="1:8" x14ac:dyDescent="0.25">
      <c r="A30" s="30"/>
      <c r="B30" s="31"/>
      <c r="C30" s="32"/>
      <c r="D30" s="33"/>
      <c r="E30" s="22"/>
      <c r="F30" s="22"/>
      <c r="G30" s="3"/>
      <c r="H30" s="1"/>
    </row>
    <row r="31" spans="1:8" x14ac:dyDescent="0.25">
      <c r="A31" s="1" t="s">
        <v>50</v>
      </c>
      <c r="B31" s="1" t="s">
        <v>1</v>
      </c>
      <c r="C31" s="1" t="s">
        <v>68</v>
      </c>
      <c r="D31" s="1" t="s">
        <v>42</v>
      </c>
      <c r="E31" s="22" t="s">
        <v>237</v>
      </c>
      <c r="F31" s="22"/>
      <c r="G31" s="3" t="s">
        <v>15</v>
      </c>
      <c r="H31" s="1" t="s">
        <v>76</v>
      </c>
    </row>
    <row r="32" spans="1:8" x14ac:dyDescent="0.25">
      <c r="A32" s="37"/>
      <c r="B32" s="1" t="s">
        <v>243</v>
      </c>
      <c r="C32" s="1"/>
      <c r="D32" s="1">
        <v>43.2</v>
      </c>
      <c r="E32" s="21">
        <v>65</v>
      </c>
      <c r="F32" s="21" t="s">
        <v>238</v>
      </c>
      <c r="G32" s="1">
        <f>E32*D32</f>
        <v>2808</v>
      </c>
      <c r="H32" s="1"/>
    </row>
    <row r="33" spans="1:8" x14ac:dyDescent="0.25">
      <c r="A33" s="38"/>
      <c r="B33" s="1" t="s">
        <v>244</v>
      </c>
      <c r="C33" s="1"/>
      <c r="D33" s="1"/>
      <c r="E33" s="21"/>
      <c r="F33" s="21"/>
      <c r="G33" s="1">
        <v>1912</v>
      </c>
      <c r="H33" s="1"/>
    </row>
    <row r="34" spans="1:8" x14ac:dyDescent="0.25">
      <c r="A34" s="39"/>
      <c r="B34" s="31" t="s">
        <v>8</v>
      </c>
      <c r="C34" s="32"/>
      <c r="D34" s="33"/>
      <c r="E34" s="22"/>
      <c r="F34" s="22"/>
      <c r="G34" s="15">
        <f>SUM(G32:G33)</f>
        <v>4720</v>
      </c>
      <c r="H34" s="6"/>
    </row>
    <row r="35" spans="1:8" x14ac:dyDescent="0.25">
      <c r="A35" s="7" t="s">
        <v>77</v>
      </c>
      <c r="B35" s="1" t="s">
        <v>22</v>
      </c>
      <c r="C35" s="1" t="s">
        <v>78</v>
      </c>
      <c r="D35" s="1" t="s">
        <v>42</v>
      </c>
      <c r="E35" s="21" t="s">
        <v>237</v>
      </c>
      <c r="F35" s="21"/>
      <c r="G35" s="1" t="s">
        <v>4</v>
      </c>
      <c r="H35" s="1"/>
    </row>
    <row r="36" spans="1:8" x14ac:dyDescent="0.25">
      <c r="A36" s="30"/>
      <c r="B36" s="1"/>
      <c r="C36" s="1"/>
      <c r="D36" s="1"/>
      <c r="E36" s="21"/>
      <c r="F36" s="21"/>
      <c r="G36" s="1"/>
      <c r="H36" s="1"/>
    </row>
    <row r="37" spans="1:8" x14ac:dyDescent="0.25">
      <c r="A37" s="30"/>
      <c r="B37" s="1"/>
      <c r="C37" s="1"/>
      <c r="D37" s="1"/>
      <c r="E37" s="21"/>
      <c r="F37" s="21"/>
      <c r="G37" s="1"/>
      <c r="H37" s="1"/>
    </row>
    <row r="38" spans="1:8" x14ac:dyDescent="0.25">
      <c r="A38" s="30"/>
      <c r="B38" s="1"/>
      <c r="C38" s="1"/>
      <c r="D38" s="1"/>
      <c r="E38" s="21"/>
      <c r="F38" s="21"/>
      <c r="G38" s="1"/>
      <c r="H38" s="1"/>
    </row>
    <row r="39" spans="1:8" x14ac:dyDescent="0.25">
      <c r="A39" s="30"/>
      <c r="B39" s="1"/>
      <c r="C39" s="1"/>
      <c r="D39" s="1"/>
      <c r="E39" s="21"/>
      <c r="F39" s="21"/>
      <c r="G39" s="1"/>
      <c r="H39" s="1"/>
    </row>
    <row r="40" spans="1:8" x14ac:dyDescent="0.25">
      <c r="A40" s="30"/>
      <c r="B40" s="31" t="s">
        <v>74</v>
      </c>
      <c r="C40" s="32"/>
      <c r="D40" s="33"/>
      <c r="E40" s="22"/>
      <c r="F40" s="22"/>
      <c r="G40" s="3"/>
      <c r="H40" s="1"/>
    </row>
    <row r="41" spans="1:8" x14ac:dyDescent="0.25">
      <c r="A41" s="1"/>
      <c r="B41" s="34" t="s">
        <v>52</v>
      </c>
      <c r="C41" s="35"/>
      <c r="D41" s="36"/>
      <c r="E41" s="23"/>
      <c r="F41" s="23"/>
      <c r="G41" s="17">
        <f>G34+G20+G14+G7+G26</f>
        <v>14863.18</v>
      </c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abSelected="1" topLeftCell="A23" workbookViewId="0">
      <selection activeCell="G50" sqref="G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86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79</v>
      </c>
      <c r="D2" s="1" t="s">
        <v>42</v>
      </c>
      <c r="E2" s="25" t="s">
        <v>245</v>
      </c>
      <c r="F2" s="25"/>
      <c r="G2" s="1" t="s">
        <v>80</v>
      </c>
      <c r="H2" s="1" t="s">
        <v>5</v>
      </c>
    </row>
    <row r="3" spans="1:8" x14ac:dyDescent="0.25">
      <c r="A3" s="30" t="s">
        <v>117</v>
      </c>
      <c r="B3" s="1" t="s">
        <v>165</v>
      </c>
      <c r="C3" s="1" t="s">
        <v>166</v>
      </c>
      <c r="D3" s="1">
        <v>66</v>
      </c>
      <c r="E3" s="25">
        <v>64.27</v>
      </c>
      <c r="F3" s="25" t="s">
        <v>246</v>
      </c>
      <c r="G3" s="14">
        <f>D3*E3</f>
        <v>4241.82</v>
      </c>
      <c r="H3" s="1"/>
    </row>
    <row r="4" spans="1:8" x14ac:dyDescent="0.25">
      <c r="A4" s="30"/>
      <c r="B4" s="1"/>
      <c r="C4" s="1"/>
      <c r="D4" s="1"/>
      <c r="E4" s="25"/>
      <c r="F4" s="25"/>
      <c r="G4" s="1"/>
      <c r="H4" s="1"/>
    </row>
    <row r="5" spans="1:8" x14ac:dyDescent="0.25">
      <c r="A5" s="30"/>
      <c r="B5" s="1"/>
      <c r="C5" s="1"/>
      <c r="D5" s="1"/>
      <c r="E5" s="25"/>
      <c r="F5" s="25"/>
      <c r="G5" s="1"/>
      <c r="H5" s="1"/>
    </row>
    <row r="6" spans="1:8" x14ac:dyDescent="0.25">
      <c r="A6" s="30"/>
      <c r="B6" s="1"/>
      <c r="C6" s="1"/>
      <c r="D6" s="1"/>
      <c r="E6" s="28"/>
      <c r="F6" s="28"/>
      <c r="G6" s="3"/>
      <c r="H6" s="1"/>
    </row>
    <row r="7" spans="1:8" x14ac:dyDescent="0.25">
      <c r="A7" s="30"/>
      <c r="B7" s="31" t="s">
        <v>44</v>
      </c>
      <c r="C7" s="32"/>
      <c r="D7" s="33"/>
      <c r="E7" s="28"/>
      <c r="F7" s="28"/>
      <c r="G7" s="16">
        <f>SUM(G3:G6)</f>
        <v>4241.82</v>
      </c>
      <c r="H7" s="1"/>
    </row>
    <row r="8" spans="1:8" x14ac:dyDescent="0.25">
      <c r="A8" s="1" t="s">
        <v>54</v>
      </c>
      <c r="B8" s="1" t="s">
        <v>1</v>
      </c>
      <c r="C8" s="1" t="s">
        <v>2</v>
      </c>
      <c r="D8" s="1" t="s">
        <v>81</v>
      </c>
      <c r="E8" s="25" t="s">
        <v>245</v>
      </c>
      <c r="F8" s="25"/>
      <c r="G8" s="1" t="s">
        <v>24</v>
      </c>
      <c r="H8" s="1" t="s">
        <v>5</v>
      </c>
    </row>
    <row r="9" spans="1:8" x14ac:dyDescent="0.25">
      <c r="A9" s="30" t="s">
        <v>118</v>
      </c>
      <c r="B9" s="1" t="s">
        <v>167</v>
      </c>
      <c r="C9" s="1" t="s">
        <v>126</v>
      </c>
      <c r="D9" s="1">
        <v>69.36</v>
      </c>
      <c r="E9" s="25">
        <v>6</v>
      </c>
      <c r="F9" s="25" t="s">
        <v>246</v>
      </c>
      <c r="G9" s="14">
        <f>E9*D9</f>
        <v>416.15999999999997</v>
      </c>
      <c r="H9" s="1"/>
    </row>
    <row r="10" spans="1:8" x14ac:dyDescent="0.25">
      <c r="A10" s="30"/>
      <c r="B10" s="1" t="s">
        <v>168</v>
      </c>
      <c r="C10" s="1" t="s">
        <v>16</v>
      </c>
      <c r="D10" s="1">
        <v>56.4</v>
      </c>
      <c r="E10" s="25">
        <v>10</v>
      </c>
      <c r="F10" s="25" t="s">
        <v>246</v>
      </c>
      <c r="G10" s="14">
        <f t="shared" ref="G10:G12" si="0">E10*D10</f>
        <v>564</v>
      </c>
      <c r="H10" s="1"/>
    </row>
    <row r="11" spans="1:8" x14ac:dyDescent="0.25">
      <c r="A11" s="30"/>
      <c r="B11" s="1" t="s">
        <v>169</v>
      </c>
      <c r="C11" s="1" t="s">
        <v>170</v>
      </c>
      <c r="D11" s="1">
        <v>99</v>
      </c>
      <c r="E11" s="25">
        <v>25</v>
      </c>
      <c r="F11" s="25" t="s">
        <v>246</v>
      </c>
      <c r="G11" s="14">
        <f t="shared" si="0"/>
        <v>2475</v>
      </c>
      <c r="H11" s="1"/>
    </row>
    <row r="12" spans="1:8" x14ac:dyDescent="0.25">
      <c r="A12" s="30"/>
      <c r="B12" s="1" t="s">
        <v>102</v>
      </c>
      <c r="C12" s="1" t="s">
        <v>25</v>
      </c>
      <c r="D12" s="1">
        <v>45</v>
      </c>
      <c r="E12" s="25">
        <v>5</v>
      </c>
      <c r="F12" s="25" t="s">
        <v>246</v>
      </c>
      <c r="G12" s="14">
        <f t="shared" si="0"/>
        <v>225</v>
      </c>
      <c r="H12" s="1"/>
    </row>
    <row r="13" spans="1:8" x14ac:dyDescent="0.25">
      <c r="A13" s="30"/>
      <c r="B13" s="1"/>
      <c r="C13" s="1"/>
      <c r="D13" s="1"/>
      <c r="E13" s="25"/>
      <c r="F13" s="25"/>
      <c r="G13" s="1"/>
      <c r="H13" s="1"/>
    </row>
    <row r="14" spans="1:8" x14ac:dyDescent="0.25">
      <c r="A14" s="30"/>
      <c r="B14" s="31" t="s">
        <v>44</v>
      </c>
      <c r="C14" s="32"/>
      <c r="D14" s="33"/>
      <c r="E14" s="28"/>
      <c r="F14" s="28"/>
      <c r="G14" s="16">
        <f>SUM(G9:G13)</f>
        <v>3680.16</v>
      </c>
      <c r="H14" s="1"/>
    </row>
    <row r="15" spans="1:8" x14ac:dyDescent="0.25">
      <c r="A15" s="1" t="s">
        <v>56</v>
      </c>
      <c r="B15" s="1" t="s">
        <v>1</v>
      </c>
      <c r="C15" s="1" t="s">
        <v>2</v>
      </c>
      <c r="D15" s="1" t="s">
        <v>42</v>
      </c>
      <c r="E15" s="25" t="s">
        <v>245</v>
      </c>
      <c r="F15" s="25"/>
      <c r="G15" s="1" t="s">
        <v>24</v>
      </c>
      <c r="H15" s="1" t="s">
        <v>5</v>
      </c>
    </row>
    <row r="16" spans="1:8" x14ac:dyDescent="0.25">
      <c r="A16" s="30" t="s">
        <v>119</v>
      </c>
      <c r="B16" s="1" t="s">
        <v>171</v>
      </c>
      <c r="C16" s="1" t="s">
        <v>16</v>
      </c>
      <c r="D16" s="1">
        <v>142.5</v>
      </c>
      <c r="E16" s="25">
        <v>10</v>
      </c>
      <c r="F16" s="25" t="s">
        <v>246</v>
      </c>
      <c r="G16" s="1">
        <f>D16*E16</f>
        <v>1425</v>
      </c>
      <c r="H16" s="1"/>
    </row>
    <row r="17" spans="1:8" x14ac:dyDescent="0.25">
      <c r="A17" s="30"/>
      <c r="B17" s="1" t="s">
        <v>172</v>
      </c>
      <c r="C17" s="1" t="s">
        <v>173</v>
      </c>
      <c r="D17" s="1">
        <v>70</v>
      </c>
      <c r="E17" s="25">
        <v>50</v>
      </c>
      <c r="F17" s="25" t="s">
        <v>261</v>
      </c>
      <c r="G17" s="25">
        <f t="shared" ref="G17" si="1">D17*E17</f>
        <v>3500</v>
      </c>
      <c r="H17" s="1"/>
    </row>
    <row r="18" spans="1:8" x14ac:dyDescent="0.25">
      <c r="A18" s="30"/>
      <c r="B18" s="1"/>
      <c r="C18" s="1"/>
      <c r="D18" s="1"/>
      <c r="E18" s="25"/>
      <c r="F18" s="25"/>
      <c r="G18" s="25"/>
      <c r="H18" s="1"/>
    </row>
    <row r="19" spans="1:8" x14ac:dyDescent="0.25">
      <c r="A19" s="30"/>
      <c r="B19" s="1"/>
      <c r="C19" s="1"/>
      <c r="D19" s="1"/>
      <c r="E19" s="28"/>
      <c r="F19" s="28"/>
      <c r="G19" s="3"/>
      <c r="H19" s="1"/>
    </row>
    <row r="20" spans="1:8" x14ac:dyDescent="0.25">
      <c r="A20" s="30"/>
      <c r="B20" s="31" t="s">
        <v>44</v>
      </c>
      <c r="C20" s="32"/>
      <c r="D20" s="33"/>
      <c r="E20" s="28"/>
      <c r="F20" s="28"/>
      <c r="G20" s="15">
        <f>SUM(G16:G19)</f>
        <v>4925</v>
      </c>
      <c r="H20" s="1"/>
    </row>
    <row r="21" spans="1:8" x14ac:dyDescent="0.25">
      <c r="A21" s="5" t="s">
        <v>48</v>
      </c>
      <c r="B21" s="1" t="s">
        <v>1</v>
      </c>
      <c r="C21" s="1" t="s">
        <v>2</v>
      </c>
      <c r="D21" s="1" t="s">
        <v>42</v>
      </c>
      <c r="E21" s="25" t="s">
        <v>245</v>
      </c>
      <c r="F21" s="25"/>
      <c r="G21" s="1" t="s">
        <v>24</v>
      </c>
      <c r="H21" s="1" t="s">
        <v>5</v>
      </c>
    </row>
    <row r="22" spans="1:8" x14ac:dyDescent="0.25">
      <c r="A22" s="30"/>
      <c r="B22" s="1" t="s">
        <v>252</v>
      </c>
      <c r="C22" s="1"/>
      <c r="D22" s="1">
        <v>294</v>
      </c>
      <c r="E22" s="25">
        <v>1</v>
      </c>
      <c r="F22" s="25" t="s">
        <v>253</v>
      </c>
      <c r="G22" s="1">
        <f>D22*E22</f>
        <v>294</v>
      </c>
      <c r="H22" s="1"/>
    </row>
    <row r="23" spans="1:8" x14ac:dyDescent="0.25">
      <c r="A23" s="30"/>
      <c r="B23" s="1" t="s">
        <v>254</v>
      </c>
      <c r="C23" s="1"/>
      <c r="D23" s="1">
        <v>50</v>
      </c>
      <c r="E23" s="25">
        <v>1</v>
      </c>
      <c r="F23" s="25" t="s">
        <v>255</v>
      </c>
      <c r="G23" s="25">
        <f t="shared" ref="G23:G32" si="2">D23*E23</f>
        <v>50</v>
      </c>
      <c r="H23" s="1"/>
    </row>
    <row r="24" spans="1:8" x14ac:dyDescent="0.25">
      <c r="A24" s="30"/>
      <c r="B24" s="1" t="s">
        <v>256</v>
      </c>
      <c r="C24" s="1"/>
      <c r="D24" s="1">
        <v>1188</v>
      </c>
      <c r="E24" s="25">
        <v>2</v>
      </c>
      <c r="F24" s="25" t="s">
        <v>257</v>
      </c>
      <c r="G24" s="25">
        <f t="shared" si="2"/>
        <v>2376</v>
      </c>
      <c r="H24" s="1"/>
    </row>
    <row r="25" spans="1:8" x14ac:dyDescent="0.25">
      <c r="A25" s="30"/>
      <c r="B25" s="25" t="s">
        <v>258</v>
      </c>
      <c r="C25" s="25"/>
      <c r="D25" s="25">
        <v>173.4</v>
      </c>
      <c r="E25" s="25">
        <v>2</v>
      </c>
      <c r="F25" s="25" t="s">
        <v>246</v>
      </c>
      <c r="G25" s="25">
        <f t="shared" si="2"/>
        <v>346.8</v>
      </c>
      <c r="H25" s="1"/>
    </row>
    <row r="26" spans="1:8" x14ac:dyDescent="0.25">
      <c r="A26" s="30"/>
      <c r="B26" s="25" t="s">
        <v>259</v>
      </c>
      <c r="C26" s="25"/>
      <c r="D26" s="25">
        <v>150</v>
      </c>
      <c r="E26" s="25">
        <v>0.5</v>
      </c>
      <c r="F26" s="25" t="s">
        <v>246</v>
      </c>
      <c r="G26" s="25">
        <f t="shared" si="2"/>
        <v>75</v>
      </c>
      <c r="H26" s="25"/>
    </row>
    <row r="27" spans="1:8" x14ac:dyDescent="0.25">
      <c r="A27" s="30"/>
      <c r="B27" s="25" t="s">
        <v>260</v>
      </c>
      <c r="C27" s="25"/>
      <c r="D27" s="25">
        <v>339</v>
      </c>
      <c r="E27" s="25">
        <v>2</v>
      </c>
      <c r="F27" s="25" t="s">
        <v>257</v>
      </c>
      <c r="G27" s="25">
        <f t="shared" si="2"/>
        <v>678</v>
      </c>
      <c r="H27" s="25"/>
    </row>
    <row r="28" spans="1:8" x14ac:dyDescent="0.25">
      <c r="A28" s="30"/>
      <c r="B28" s="25" t="s">
        <v>262</v>
      </c>
      <c r="C28" s="25"/>
      <c r="D28" s="25">
        <v>4.5</v>
      </c>
      <c r="E28" s="25">
        <v>50</v>
      </c>
      <c r="F28" s="25" t="s">
        <v>251</v>
      </c>
      <c r="G28" s="28">
        <f t="shared" si="2"/>
        <v>225</v>
      </c>
      <c r="H28" s="25"/>
    </row>
    <row r="29" spans="1:8" x14ac:dyDescent="0.25">
      <c r="A29" s="30"/>
      <c r="B29" s="25" t="s">
        <v>263</v>
      </c>
      <c r="C29" s="25"/>
      <c r="D29" s="25">
        <v>60</v>
      </c>
      <c r="E29" s="25">
        <v>1</v>
      </c>
      <c r="F29" s="28" t="s">
        <v>255</v>
      </c>
      <c r="G29" s="28">
        <f t="shared" si="2"/>
        <v>60</v>
      </c>
      <c r="H29" s="25"/>
    </row>
    <row r="30" spans="1:8" x14ac:dyDescent="0.25">
      <c r="A30" s="30"/>
      <c r="B30" s="25" t="s">
        <v>264</v>
      </c>
      <c r="C30" s="25"/>
      <c r="D30" s="25">
        <v>82</v>
      </c>
      <c r="E30" s="25">
        <v>12</v>
      </c>
      <c r="F30" s="28" t="s">
        <v>261</v>
      </c>
      <c r="G30" s="28">
        <f t="shared" si="2"/>
        <v>984</v>
      </c>
      <c r="H30" s="25"/>
    </row>
    <row r="31" spans="1:8" x14ac:dyDescent="0.25">
      <c r="A31" s="30"/>
      <c r="B31" s="25" t="s">
        <v>265</v>
      </c>
      <c r="C31" s="25"/>
      <c r="D31" s="25">
        <v>264</v>
      </c>
      <c r="E31" s="25">
        <v>1</v>
      </c>
      <c r="F31" s="28" t="s">
        <v>266</v>
      </c>
      <c r="G31" s="28">
        <f t="shared" si="2"/>
        <v>264</v>
      </c>
      <c r="H31" s="25"/>
    </row>
    <row r="32" spans="1:8" x14ac:dyDescent="0.25">
      <c r="A32" s="30"/>
      <c r="B32" s="25" t="s">
        <v>267</v>
      </c>
      <c r="C32" s="25"/>
      <c r="D32" s="25">
        <v>110</v>
      </c>
      <c r="E32" s="25">
        <v>3</v>
      </c>
      <c r="F32" s="28" t="s">
        <v>261</v>
      </c>
      <c r="G32" s="28">
        <f t="shared" si="2"/>
        <v>330</v>
      </c>
      <c r="H32" s="25"/>
    </row>
    <row r="33" spans="1:8" x14ac:dyDescent="0.25">
      <c r="A33" s="30"/>
      <c r="B33" s="26"/>
      <c r="C33" s="27"/>
      <c r="D33" s="28"/>
      <c r="E33" s="28"/>
      <c r="F33" s="28"/>
      <c r="G33" s="28"/>
      <c r="H33" s="25"/>
    </row>
    <row r="34" spans="1:8" x14ac:dyDescent="0.25">
      <c r="A34" s="30"/>
      <c r="B34" s="31" t="s">
        <v>44</v>
      </c>
      <c r="C34" s="32"/>
      <c r="D34" s="33"/>
      <c r="E34" s="28"/>
      <c r="F34" s="28"/>
      <c r="G34" s="16">
        <f>SUM(G22:G32)</f>
        <v>5682.8</v>
      </c>
      <c r="H34" s="1"/>
    </row>
    <row r="35" spans="1:8" x14ac:dyDescent="0.25">
      <c r="A35" s="1" t="s">
        <v>21</v>
      </c>
      <c r="B35" s="1" t="s">
        <v>1</v>
      </c>
      <c r="C35" s="1" t="s">
        <v>2</v>
      </c>
      <c r="D35" s="1" t="s">
        <v>42</v>
      </c>
      <c r="E35" s="25" t="s">
        <v>245</v>
      </c>
      <c r="F35" s="25"/>
      <c r="G35" s="1" t="s">
        <v>24</v>
      </c>
      <c r="H35" s="1" t="s">
        <v>5</v>
      </c>
    </row>
    <row r="36" spans="1:8" x14ac:dyDescent="0.25">
      <c r="A36" s="30" t="s">
        <v>120</v>
      </c>
      <c r="B36" s="1" t="s">
        <v>174</v>
      </c>
      <c r="C36" s="1" t="s">
        <v>176</v>
      </c>
      <c r="D36" s="1">
        <v>22.44</v>
      </c>
      <c r="E36" s="25">
        <v>20</v>
      </c>
      <c r="F36" s="25" t="s">
        <v>246</v>
      </c>
      <c r="G36" s="1">
        <f>E36*D36</f>
        <v>448.8</v>
      </c>
      <c r="H36" s="1"/>
    </row>
    <row r="37" spans="1:8" x14ac:dyDescent="0.25">
      <c r="A37" s="30"/>
      <c r="B37" s="1" t="s">
        <v>175</v>
      </c>
      <c r="C37" s="1" t="s">
        <v>136</v>
      </c>
      <c r="D37" s="1">
        <v>72</v>
      </c>
      <c r="E37" s="25">
        <v>10</v>
      </c>
      <c r="F37" s="25" t="s">
        <v>246</v>
      </c>
      <c r="G37" s="25">
        <f>E37*D37</f>
        <v>720</v>
      </c>
      <c r="H37" s="1"/>
    </row>
    <row r="38" spans="1:8" x14ac:dyDescent="0.25">
      <c r="A38" s="30"/>
      <c r="B38" s="31"/>
      <c r="C38" s="32"/>
      <c r="D38" s="33"/>
      <c r="E38" s="28"/>
      <c r="F38" s="28"/>
      <c r="G38" s="16">
        <f>SUM(G36:G37)</f>
        <v>1168.8</v>
      </c>
      <c r="H38" s="1"/>
    </row>
    <row r="39" spans="1:8" x14ac:dyDescent="0.25">
      <c r="A39" s="1" t="s">
        <v>50</v>
      </c>
      <c r="B39" s="1" t="s">
        <v>1</v>
      </c>
      <c r="C39" s="1" t="s">
        <v>2</v>
      </c>
      <c r="D39" s="1" t="s">
        <v>42</v>
      </c>
      <c r="E39" s="28" t="s">
        <v>245</v>
      </c>
      <c r="F39" s="28"/>
      <c r="G39" s="3" t="s">
        <v>24</v>
      </c>
      <c r="H39" s="1" t="s">
        <v>5</v>
      </c>
    </row>
    <row r="40" spans="1:8" x14ac:dyDescent="0.25">
      <c r="A40" s="37"/>
      <c r="B40" s="1" t="s">
        <v>247</v>
      </c>
      <c r="C40" s="1"/>
      <c r="D40" s="1">
        <v>33.299999999999997</v>
      </c>
      <c r="E40" s="25">
        <v>40</v>
      </c>
      <c r="F40" s="25" t="s">
        <v>246</v>
      </c>
      <c r="G40" s="1">
        <f>D40*E40</f>
        <v>1332</v>
      </c>
      <c r="H40" s="1"/>
    </row>
    <row r="41" spans="1:8" x14ac:dyDescent="0.25">
      <c r="A41" s="38"/>
      <c r="B41" s="1"/>
      <c r="C41" s="1"/>
      <c r="D41" s="1"/>
      <c r="E41" s="25"/>
      <c r="F41" s="25"/>
      <c r="G41" s="1"/>
      <c r="H41" s="1"/>
    </row>
    <row r="42" spans="1:8" x14ac:dyDescent="0.25">
      <c r="A42" s="39"/>
      <c r="B42" s="31" t="s">
        <v>44</v>
      </c>
      <c r="C42" s="32"/>
      <c r="D42" s="33"/>
      <c r="E42" s="28"/>
      <c r="F42" s="28"/>
      <c r="G42" s="15">
        <f>SUM(G40:G41)</f>
        <v>1332</v>
      </c>
      <c r="H42" s="6"/>
    </row>
    <row r="43" spans="1:8" x14ac:dyDescent="0.25">
      <c r="A43" s="7" t="s">
        <v>51</v>
      </c>
      <c r="B43" s="1" t="s">
        <v>1</v>
      </c>
      <c r="C43" s="1" t="s">
        <v>2</v>
      </c>
      <c r="D43" s="1" t="s">
        <v>42</v>
      </c>
      <c r="E43" s="25" t="s">
        <v>245</v>
      </c>
      <c r="F43" s="25"/>
      <c r="G43" s="1" t="s">
        <v>24</v>
      </c>
      <c r="H43" s="1"/>
    </row>
    <row r="44" spans="1:8" x14ac:dyDescent="0.25">
      <c r="A44" s="30"/>
      <c r="B44" s="1" t="s">
        <v>248</v>
      </c>
      <c r="C44" s="1"/>
      <c r="D44" s="1">
        <v>21</v>
      </c>
      <c r="E44" s="25">
        <v>7</v>
      </c>
      <c r="F44" s="25" t="s">
        <v>246</v>
      </c>
      <c r="G44" s="1">
        <f>D44*E44</f>
        <v>147</v>
      </c>
      <c r="H44" s="1"/>
    </row>
    <row r="45" spans="1:8" x14ac:dyDescent="0.25">
      <c r="A45" s="30"/>
      <c r="B45" s="1" t="s">
        <v>249</v>
      </c>
      <c r="C45" s="1"/>
      <c r="D45" s="1">
        <v>69</v>
      </c>
      <c r="E45" s="25"/>
      <c r="F45" s="25" t="s">
        <v>246</v>
      </c>
      <c r="G45" s="12">
        <f t="shared" ref="G45:G47" si="3">D45*E45</f>
        <v>0</v>
      </c>
      <c r="H45" s="1"/>
    </row>
    <row r="46" spans="1:8" x14ac:dyDescent="0.25">
      <c r="A46" s="30"/>
      <c r="B46" s="1" t="s">
        <v>250</v>
      </c>
      <c r="C46" s="1"/>
      <c r="D46" s="1">
        <v>10</v>
      </c>
      <c r="E46" s="25">
        <v>25</v>
      </c>
      <c r="F46" s="25" t="s">
        <v>251</v>
      </c>
      <c r="G46" s="25">
        <f t="shared" si="3"/>
        <v>250</v>
      </c>
      <c r="H46" s="1"/>
    </row>
    <row r="47" spans="1:8" x14ac:dyDescent="0.25">
      <c r="A47" s="30"/>
      <c r="B47" s="1"/>
      <c r="C47" s="1"/>
      <c r="D47" s="1"/>
      <c r="E47" s="25"/>
      <c r="F47" s="25"/>
      <c r="G47" s="25">
        <f t="shared" si="3"/>
        <v>0</v>
      </c>
      <c r="H47" s="1"/>
    </row>
    <row r="48" spans="1:8" x14ac:dyDescent="0.25">
      <c r="A48" s="30"/>
      <c r="B48" s="31" t="s">
        <v>44</v>
      </c>
      <c r="C48" s="32"/>
      <c r="D48" s="33"/>
      <c r="E48" s="28"/>
      <c r="F48" s="28"/>
      <c r="G48" s="15">
        <f>SUM(G44:G47)</f>
        <v>397</v>
      </c>
      <c r="H48" s="1"/>
    </row>
    <row r="49" spans="1:8" x14ac:dyDescent="0.25">
      <c r="A49" s="1"/>
      <c r="B49" s="34" t="s">
        <v>52</v>
      </c>
      <c r="C49" s="35"/>
      <c r="D49" s="36"/>
      <c r="E49" s="29"/>
      <c r="F49" s="29"/>
      <c r="G49" s="17">
        <f>G48+G42+G38+G34+G20+G14+G7</f>
        <v>21427.58</v>
      </c>
      <c r="H49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4:A48"/>
    <mergeCell ref="B48:D48"/>
    <mergeCell ref="B49:D49"/>
    <mergeCell ref="A22:A34"/>
    <mergeCell ref="B34:D34"/>
    <mergeCell ref="A36:A38"/>
    <mergeCell ref="B38:D38"/>
    <mergeCell ref="A40:A42"/>
    <mergeCell ref="B42:D42"/>
  </mergeCells>
  <phoneticPr fontId="2" type="noConversion"/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1028</vt:lpstr>
      <vt:lpstr>1029</vt:lpstr>
      <vt:lpstr>1030</vt:lpstr>
      <vt:lpstr>1031</vt:lpstr>
      <vt:lpstr>1101</vt:lpstr>
      <vt:lpstr>'1028'!Print_Area</vt:lpstr>
      <vt:lpstr>'1029'!Print_Area</vt:lpstr>
      <vt:lpstr>'1030'!Print_Area</vt:lpstr>
      <vt:lpstr>'1031'!Print_Area</vt:lpstr>
      <vt:lpstr>'1101'!Print_Area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2024-11-01T04:13:32Z</cp:lastPrinted>
  <dcterms:created xsi:type="dcterms:W3CDTF">2024-10-16T08:02:32Z</dcterms:created>
  <dcterms:modified xsi:type="dcterms:W3CDTF">2024-11-05T03:05:31Z</dcterms:modified>
</cp:coreProperties>
</file>