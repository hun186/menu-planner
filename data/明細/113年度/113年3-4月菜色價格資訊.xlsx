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3月份\"/>
    </mc:Choice>
  </mc:AlternateContent>
  <bookViews>
    <workbookView xWindow="0" yWindow="0" windowWidth="28800" windowHeight="12255"/>
  </bookViews>
  <sheets>
    <sheet name="主菜" sheetId="1" r:id="rId1"/>
    <sheet name="配菜" sheetId="2" r:id="rId2"/>
    <sheet name="週三麵食" sheetId="9" r:id="rId3"/>
    <sheet name="湯" sheetId="4" r:id="rId4"/>
    <sheet name="早餐" sheetId="7" r:id="rId5"/>
    <sheet name="雜貨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2" l="1"/>
  <c r="Y27" i="2"/>
  <c r="Y31" i="2" s="1"/>
  <c r="G171" i="2"/>
  <c r="G170" i="2"/>
  <c r="G169" i="2"/>
  <c r="G173" i="2" s="1"/>
  <c r="G51" i="9"/>
  <c r="G50" i="9"/>
  <c r="G49" i="9"/>
  <c r="G48" i="9"/>
  <c r="G52" i="9" s="1"/>
  <c r="G81" i="1" l="1"/>
  <c r="G85" i="1" s="1"/>
  <c r="P120" i="2"/>
  <c r="P119" i="2"/>
  <c r="G44" i="9"/>
  <c r="G43" i="9"/>
  <c r="G42" i="9"/>
  <c r="G41" i="9"/>
  <c r="G45" i="9" s="1"/>
  <c r="P26" i="8"/>
  <c r="P25" i="8"/>
  <c r="P24" i="8"/>
  <c r="P23" i="8"/>
  <c r="P22" i="8"/>
  <c r="G164" i="2"/>
  <c r="G166" i="2" s="1"/>
  <c r="P33" i="2"/>
  <c r="P35" i="2" s="1"/>
  <c r="G157" i="2"/>
  <c r="G156" i="2"/>
  <c r="G155" i="2"/>
  <c r="G76" i="1"/>
  <c r="G78" i="1" s="1"/>
  <c r="G34" i="4"/>
  <c r="G33" i="4"/>
  <c r="G35" i="4" s="1"/>
  <c r="P18" i="8"/>
  <c r="P17" i="8"/>
  <c r="P16" i="8"/>
  <c r="P132" i="2"/>
  <c r="P131" i="2"/>
  <c r="P123" i="2" l="1"/>
  <c r="P135" i="2"/>
  <c r="G160" i="2"/>
  <c r="G29" i="4" l="1"/>
  <c r="G28" i="4"/>
  <c r="G30" i="4" s="1"/>
  <c r="G150" i="2"/>
  <c r="G149" i="2"/>
  <c r="G148" i="2"/>
  <c r="G147" i="2"/>
  <c r="G71" i="1"/>
  <c r="G73" i="1" s="1"/>
  <c r="G36" i="9"/>
  <c r="G35" i="9"/>
  <c r="G34" i="9"/>
  <c r="G38" i="9" s="1"/>
  <c r="P13" i="8"/>
  <c r="P12" i="8"/>
  <c r="P11" i="8"/>
  <c r="P10" i="8"/>
  <c r="P9" i="8"/>
  <c r="P8" i="8"/>
  <c r="P7" i="8"/>
  <c r="P6" i="8"/>
  <c r="P5" i="8"/>
  <c r="P4" i="8"/>
  <c r="P3" i="8"/>
  <c r="P2" i="8"/>
  <c r="G141" i="2"/>
  <c r="G140" i="2"/>
  <c r="G65" i="1"/>
  <c r="G64" i="1"/>
  <c r="G68" i="1" s="1"/>
  <c r="G24" i="4"/>
  <c r="G23" i="4"/>
  <c r="G25" i="4" s="1"/>
  <c r="P86" i="2"/>
  <c r="P85" i="2"/>
  <c r="P84" i="2"/>
  <c r="P29" i="2"/>
  <c r="P28" i="2"/>
  <c r="P27" i="2"/>
  <c r="Y33" i="1"/>
  <c r="Y37" i="1" s="1"/>
  <c r="G134" i="2"/>
  <c r="G133" i="2"/>
  <c r="Y22" i="2"/>
  <c r="Y21" i="2"/>
  <c r="Y20" i="2"/>
  <c r="G57" i="1"/>
  <c r="G61" i="1" s="1"/>
  <c r="G127" i="2"/>
  <c r="G126" i="2"/>
  <c r="G120" i="2"/>
  <c r="G119" i="2"/>
  <c r="G52" i="1"/>
  <c r="G51" i="1"/>
  <c r="G50" i="1"/>
  <c r="G54" i="1" s="1"/>
  <c r="G123" i="2" l="1"/>
  <c r="G130" i="2"/>
  <c r="P30" i="2"/>
  <c r="P88" i="2"/>
  <c r="G137" i="2"/>
  <c r="G151" i="2"/>
  <c r="Y24" i="2"/>
  <c r="G144" i="2"/>
  <c r="P14" i="8"/>
  <c r="P71" i="2" l="1"/>
  <c r="P70" i="2"/>
  <c r="P74" i="2" s="1"/>
  <c r="P34" i="1"/>
  <c r="P33" i="1"/>
  <c r="P36" i="1" s="1"/>
  <c r="G114" i="2"/>
  <c r="G113" i="2"/>
  <c r="G112" i="2"/>
  <c r="G106" i="2"/>
  <c r="G105" i="2"/>
  <c r="G18" i="4"/>
  <c r="G17" i="4"/>
  <c r="G19" i="4" s="1"/>
  <c r="P22" i="2"/>
  <c r="P21" i="2"/>
  <c r="P20" i="2"/>
  <c r="P78" i="2"/>
  <c r="P77" i="2"/>
  <c r="G46" i="1"/>
  <c r="G47" i="1" s="1"/>
  <c r="G116" i="2" l="1"/>
  <c r="P24" i="2"/>
  <c r="G109" i="2"/>
  <c r="P81" i="2"/>
  <c r="G30" i="9" l="1"/>
  <c r="G31" i="9"/>
  <c r="G13" i="4"/>
  <c r="G12" i="4"/>
  <c r="G14" i="4" s="1"/>
  <c r="G100" i="2"/>
  <c r="G99" i="2"/>
  <c r="G98" i="2"/>
  <c r="G40" i="1"/>
  <c r="G39" i="1"/>
  <c r="G26" i="9"/>
  <c r="G25" i="9"/>
  <c r="G24" i="9"/>
  <c r="G23" i="9"/>
  <c r="G22" i="9"/>
  <c r="G27" i="9" s="1"/>
  <c r="G93" i="2"/>
  <c r="G95" i="2" s="1"/>
  <c r="G32" i="1"/>
  <c r="G36" i="1" s="1"/>
  <c r="P38" i="2"/>
  <c r="P41" i="2" s="1"/>
  <c r="G87" i="2"/>
  <c r="G86" i="2"/>
  <c r="G26" i="1"/>
  <c r="G25" i="1"/>
  <c r="G80" i="2"/>
  <c r="G79" i="2"/>
  <c r="G74" i="2"/>
  <c r="G73" i="2"/>
  <c r="G72" i="2"/>
  <c r="G20" i="1"/>
  <c r="G22" i="1" s="1"/>
  <c r="G17" i="9"/>
  <c r="G16" i="9"/>
  <c r="G15" i="9"/>
  <c r="G19" i="9" s="1"/>
  <c r="G67" i="2"/>
  <c r="G66" i="2"/>
  <c r="G65" i="2"/>
  <c r="G60" i="2"/>
  <c r="G62" i="2" s="1"/>
  <c r="G102" i="2" l="1"/>
  <c r="G76" i="2"/>
  <c r="G29" i="1"/>
  <c r="G43" i="1"/>
  <c r="G69" i="2"/>
  <c r="G83" i="2"/>
  <c r="G90" i="2"/>
  <c r="G12" i="7" l="1"/>
  <c r="G11" i="7"/>
  <c r="G10" i="7"/>
  <c r="G9" i="7"/>
  <c r="G9" i="9"/>
  <c r="G8" i="9"/>
  <c r="G7" i="9"/>
  <c r="G11" i="9" s="1"/>
  <c r="G31" i="8"/>
  <c r="G30" i="8"/>
  <c r="G29" i="8"/>
  <c r="G28" i="8"/>
  <c r="G54" i="2"/>
  <c r="G53" i="2"/>
  <c r="G52" i="2"/>
  <c r="G47" i="2"/>
  <c r="G46" i="2"/>
  <c r="G45" i="2"/>
  <c r="G16" i="1"/>
  <c r="G7" i="4"/>
  <c r="G6" i="4"/>
  <c r="G8" i="4" s="1"/>
  <c r="G39" i="2"/>
  <c r="G38" i="2"/>
  <c r="G42" i="2" s="1"/>
  <c r="G33" i="2"/>
  <c r="G35" i="2" s="1"/>
  <c r="G12" i="1"/>
  <c r="G13" i="1" s="1"/>
  <c r="G6" i="7"/>
  <c r="G3" i="4"/>
  <c r="G4" i="4" s="1"/>
  <c r="G24" i="8"/>
  <c r="G23" i="8"/>
  <c r="G22" i="8"/>
  <c r="G21" i="8"/>
  <c r="G28" i="2"/>
  <c r="G27" i="2"/>
  <c r="G24" i="2"/>
  <c r="G14" i="2"/>
  <c r="G13" i="2"/>
  <c r="G12" i="2"/>
  <c r="G7" i="1"/>
  <c r="G6" i="1"/>
  <c r="G9" i="1" s="1"/>
  <c r="G17" i="8"/>
  <c r="G14" i="8"/>
  <c r="G13" i="8"/>
  <c r="G12" i="8"/>
  <c r="G11" i="8"/>
  <c r="G4" i="9"/>
  <c r="G3" i="9"/>
  <c r="G2" i="9"/>
  <c r="G1" i="9"/>
  <c r="G8" i="8"/>
  <c r="G7" i="8"/>
  <c r="G6" i="8"/>
  <c r="G5" i="8"/>
  <c r="G4" i="8"/>
  <c r="G3" i="8"/>
  <c r="G2" i="8"/>
  <c r="G4" i="2"/>
  <c r="G3" i="2"/>
  <c r="G2" i="2"/>
  <c r="G2" i="1"/>
  <c r="G32" i="8" l="1"/>
  <c r="G25" i="8"/>
  <c r="G13" i="7"/>
  <c r="G30" i="2"/>
  <c r="G5" i="2"/>
  <c r="G56" i="2"/>
  <c r="G49" i="2"/>
  <c r="G15" i="8"/>
  <c r="G16" i="2"/>
</calcChain>
</file>

<file path=xl/sharedStrings.xml><?xml version="1.0" encoding="utf-8"?>
<sst xmlns="http://schemas.openxmlformats.org/spreadsheetml/2006/main" count="1195" uniqueCount="293">
  <si>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</si>
  <si>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</si>
  <si>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</si>
  <si>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</si>
  <si>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</si>
  <si>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</si>
  <si>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</si>
  <si>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滷雞腿</t>
    <phoneticPr fontId="1" type="noConversion"/>
  </si>
  <si>
    <t>棒腿</t>
    <phoneticPr fontId="1" type="noConversion"/>
  </si>
  <si>
    <t>270支</t>
    <phoneticPr fontId="1" type="noConversion"/>
  </si>
  <si>
    <t>斤</t>
    <phoneticPr fontId="1" type="noConversion"/>
  </si>
  <si>
    <t>超秦棒腿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</si>
  <si>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</si>
  <si>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滷味拼盤</t>
    <phoneticPr fontId="1" type="noConversion"/>
  </si>
  <si>
    <t>鳥蛋</t>
    <phoneticPr fontId="1" type="noConversion"/>
  </si>
  <si>
    <t>900粒</t>
    <phoneticPr fontId="1" type="noConversion"/>
  </si>
  <si>
    <t>油豆腐丁</t>
    <phoneticPr fontId="1" type="noConversion"/>
  </si>
  <si>
    <t>20斤</t>
    <phoneticPr fontId="1" type="noConversion"/>
  </si>
  <si>
    <t>非合約項目</t>
    <phoneticPr fontId="1" type="noConversion"/>
  </si>
  <si>
    <t>米血丁
(豬血糕.切)</t>
    <phoneticPr fontId="1" type="noConversion"/>
  </si>
  <si>
    <t>15斤</t>
    <phoneticPr fontId="1" type="noConversion"/>
  </si>
  <si>
    <r>
      <rPr>
        <b/>
        <sz val="12"/>
        <color rgb="FFFF0000"/>
        <rFont val="標楷體"/>
        <family val="4"/>
        <charset val="136"/>
      </rPr>
      <t>早餐</t>
    </r>
    <r>
      <rPr>
        <sz val="12"/>
        <color theme="1"/>
        <rFont val="標楷體"/>
        <family val="4"/>
        <charset val="136"/>
      </rPr>
      <t>/菜名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</si>
  <si>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港式蘿蔔糕</t>
    <phoneticPr fontId="1" type="noConversion"/>
  </si>
  <si>
    <t>包</t>
    <phoneticPr fontId="1" type="noConversion"/>
  </si>
  <si>
    <t>雜貨</t>
    <phoneticPr fontId="1" type="noConversion"/>
  </si>
  <si>
    <t>香油</t>
    <phoneticPr fontId="1" type="noConversion"/>
  </si>
  <si>
    <t>桶</t>
    <phoneticPr fontId="1" type="noConversion"/>
  </si>
  <si>
    <t>香菇素蠔油(5L)</t>
    <phoneticPr fontId="1" type="noConversion"/>
  </si>
  <si>
    <t>甘醇油膏(5L)</t>
    <phoneticPr fontId="1" type="noConversion"/>
  </si>
  <si>
    <t>金蘭醬油</t>
    <phoneticPr fontId="1" type="noConversion"/>
  </si>
  <si>
    <t>非基改味噌</t>
    <phoneticPr fontId="1" type="noConversion"/>
  </si>
  <si>
    <t>件</t>
    <phoneticPr fontId="1" type="noConversion"/>
  </si>
  <si>
    <t>高鮮味素</t>
    <phoneticPr fontId="1" type="noConversion"/>
  </si>
  <si>
    <t>盒</t>
    <phoneticPr fontId="1" type="noConversion"/>
  </si>
  <si>
    <t>安佳奶油</t>
    <phoneticPr fontId="1" type="noConversion"/>
  </si>
  <si>
    <t>條</t>
    <phoneticPr fontId="1" type="noConversion"/>
  </si>
  <si>
    <t>米苔目(湯)</t>
    <phoneticPr fontId="1" type="noConversion"/>
  </si>
  <si>
    <t>粗米苔目</t>
    <phoneticPr fontId="1" type="noConversion"/>
  </si>
  <si>
    <t>50斤</t>
    <phoneticPr fontId="1" type="noConversion"/>
  </si>
  <si>
    <t>韭菜</t>
    <phoneticPr fontId="1" type="noConversion"/>
  </si>
  <si>
    <t>5斤</t>
    <phoneticPr fontId="1" type="noConversion"/>
  </si>
  <si>
    <t>豆芽菜</t>
    <phoneticPr fontId="1" type="noConversion"/>
  </si>
  <si>
    <t>10斤</t>
    <phoneticPr fontId="1" type="noConversion"/>
  </si>
  <si>
    <t>乾豆芽</t>
    <phoneticPr fontId="1" type="noConversion"/>
  </si>
  <si>
    <t>木耳絲</t>
    <phoneticPr fontId="1" type="noConversion"/>
  </si>
  <si>
    <t>濕木耳絲</t>
    <phoneticPr fontId="1" type="noConversion"/>
  </si>
  <si>
    <t>烤腿排</t>
    <phoneticPr fontId="1" type="noConversion"/>
  </si>
  <si>
    <t>腿排</t>
    <phoneticPr fontId="1" type="noConversion"/>
  </si>
  <si>
    <t>240個</t>
    <phoneticPr fontId="1" type="noConversion"/>
  </si>
  <si>
    <t>超秦雞排</t>
    <phoneticPr fontId="1" type="noConversion"/>
  </si>
  <si>
    <t>合      計</t>
    <phoneticPr fontId="1" type="noConversion"/>
  </si>
  <si>
    <t>糖醋豆包</t>
    <phoneticPr fontId="1" type="noConversion"/>
  </si>
  <si>
    <t>豆包</t>
    <phoneticPr fontId="1" type="noConversion"/>
  </si>
  <si>
    <t>240片</t>
    <phoneticPr fontId="1" type="noConversion"/>
  </si>
  <si>
    <t>炸豆包</t>
    <phoneticPr fontId="1" type="noConversion"/>
  </si>
  <si>
    <t>去皮洋蔥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</si>
  <si>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</si>
  <si>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清炒胡瓜</t>
    <phoneticPr fontId="1" type="noConversion"/>
  </si>
  <si>
    <t>胡瓜絲</t>
    <phoneticPr fontId="1" type="noConversion"/>
  </si>
  <si>
    <t>35斤</t>
    <phoneticPr fontId="1" type="noConversion"/>
  </si>
  <si>
    <t>扁蒲切絲</t>
    <phoneticPr fontId="1" type="noConversion"/>
  </si>
  <si>
    <t>乾香菇絲</t>
    <phoneticPr fontId="1" type="noConversion"/>
  </si>
  <si>
    <t>半斤</t>
    <phoneticPr fontId="1" type="noConversion"/>
  </si>
  <si>
    <t>辣椒</t>
    <phoneticPr fontId="1" type="noConversion"/>
  </si>
  <si>
    <t>老薑</t>
    <phoneticPr fontId="1" type="noConversion"/>
  </si>
  <si>
    <t>蒜仁</t>
    <phoneticPr fontId="1" type="noConversion"/>
  </si>
  <si>
    <t>青蔥</t>
    <phoneticPr fontId="1" type="noConversion"/>
  </si>
  <si>
    <t>杏鮑菇</t>
    <phoneticPr fontId="1" type="noConversion"/>
  </si>
  <si>
    <t>奇美蔥抓餅</t>
    <phoneticPr fontId="1" type="noConversion"/>
  </si>
  <si>
    <t>黑胡椒肉片</t>
    <phoneticPr fontId="1" type="noConversion"/>
  </si>
  <si>
    <t>豬肉片</t>
    <phoneticPr fontId="1" type="noConversion"/>
  </si>
  <si>
    <t>力大前腿肉絲</t>
    <phoneticPr fontId="1" type="noConversion"/>
  </si>
  <si>
    <t>洋蔥絲</t>
    <phoneticPr fontId="1" type="noConversion"/>
  </si>
  <si>
    <t>螞蟻上樹</t>
    <phoneticPr fontId="1" type="noConversion"/>
  </si>
  <si>
    <t>冬粉</t>
    <phoneticPr fontId="1" type="noConversion"/>
  </si>
  <si>
    <t>絞肉</t>
    <phoneticPr fontId="1" type="noConversion"/>
  </si>
  <si>
    <t>4斤</t>
    <phoneticPr fontId="1" type="noConversion"/>
  </si>
  <si>
    <t>小黃瓜炒竹輪</t>
    <phoneticPr fontId="1" type="noConversion"/>
  </si>
  <si>
    <t>小黃瓜</t>
    <phoneticPr fontId="1" type="noConversion"/>
  </si>
  <si>
    <t>30斤</t>
    <phoneticPr fontId="1" type="noConversion"/>
  </si>
  <si>
    <t>竹輪</t>
    <phoneticPr fontId="1" type="noConversion"/>
  </si>
  <si>
    <t>8包</t>
    <phoneticPr fontId="1" type="noConversion"/>
  </si>
  <si>
    <t>三好米</t>
    <phoneticPr fontId="1" type="noConversion"/>
  </si>
  <si>
    <t>五穀米</t>
    <phoneticPr fontId="1" type="noConversion"/>
  </si>
  <si>
    <t>沙拉油(台糖18L)</t>
    <phoneticPr fontId="1" type="noConversion"/>
  </si>
  <si>
    <t>湯品</t>
    <phoneticPr fontId="1" type="noConversion"/>
  </si>
  <si>
    <t>味增豆腐湯</t>
    <phoneticPr fontId="1" type="noConversion"/>
  </si>
  <si>
    <t>味增</t>
    <phoneticPr fontId="1" type="noConversion"/>
  </si>
  <si>
    <t>庫存</t>
    <phoneticPr fontId="1" type="noConversion"/>
  </si>
  <si>
    <t>4.3豆腐</t>
    <phoneticPr fontId="1" type="noConversion"/>
  </si>
  <si>
    <t>3板</t>
    <phoneticPr fontId="1" type="noConversion"/>
  </si>
  <si>
    <t>盤</t>
    <phoneticPr fontId="1" type="noConversion"/>
  </si>
  <si>
    <t>早餐/素食</t>
    <phoneticPr fontId="1" type="noConversion"/>
  </si>
  <si>
    <t>吐司(26片)</t>
    <phoneticPr fontId="1" type="noConversion"/>
  </si>
  <si>
    <t>控肉片</t>
    <phoneticPr fontId="1" type="noConversion"/>
  </si>
  <si>
    <t>270片</t>
    <phoneticPr fontId="1" type="noConversion"/>
  </si>
  <si>
    <t>涼拌茄子</t>
    <phoneticPr fontId="1" type="noConversion"/>
  </si>
  <si>
    <t>茄子</t>
    <phoneticPr fontId="1" type="noConversion"/>
  </si>
  <si>
    <t>55斤</t>
    <phoneticPr fontId="1" type="noConversion"/>
  </si>
  <si>
    <t>醬燒甜不辣條</t>
    <phoneticPr fontId="1" type="noConversion"/>
  </si>
  <si>
    <t>甜不辣條</t>
    <phoneticPr fontId="1" type="noConversion"/>
  </si>
  <si>
    <t>8斤</t>
    <phoneticPr fontId="1" type="noConversion"/>
  </si>
  <si>
    <t>白蘿蔔海結湯</t>
    <phoneticPr fontId="1" type="noConversion"/>
  </si>
  <si>
    <t>去皮白蘿蔔</t>
    <phoneticPr fontId="1" type="noConversion"/>
  </si>
  <si>
    <t>海帶結</t>
    <phoneticPr fontId="1" type="noConversion"/>
  </si>
  <si>
    <t>炸雞翅</t>
    <phoneticPr fontId="1" type="noConversion"/>
  </si>
  <si>
    <t>雞翅</t>
    <phoneticPr fontId="1" type="noConversion"/>
  </si>
  <si>
    <t>250支</t>
    <phoneticPr fontId="1" type="noConversion"/>
  </si>
  <si>
    <t>番茄炒蛋</t>
    <phoneticPr fontId="1" type="noConversion"/>
  </si>
  <si>
    <t>牛番茄</t>
    <phoneticPr fontId="1" type="noConversion"/>
  </si>
  <si>
    <t>蛋</t>
    <phoneticPr fontId="1" type="noConversion"/>
  </si>
  <si>
    <t>1件</t>
    <phoneticPr fontId="1" type="noConversion"/>
  </si>
  <si>
    <t>竹筍炒肉絲</t>
    <phoneticPr fontId="1" type="noConversion"/>
  </si>
  <si>
    <t>筍絲</t>
    <phoneticPr fontId="1" type="noConversion"/>
  </si>
  <si>
    <t>鮮筍切絲</t>
    <phoneticPr fontId="1" type="noConversion"/>
  </si>
  <si>
    <t>豬肉絲</t>
    <phoneticPr fontId="1" type="noConversion"/>
  </si>
  <si>
    <t>前腿肉絲</t>
    <phoneticPr fontId="1" type="noConversion"/>
  </si>
  <si>
    <t>雜貨/其他</t>
    <phoneticPr fontId="1" type="noConversion"/>
  </si>
  <si>
    <t>調理米酒(600ml)</t>
    <phoneticPr fontId="1" type="noConversion"/>
  </si>
  <si>
    <t>瓶</t>
    <phoneticPr fontId="1" type="noConversion"/>
  </si>
  <si>
    <t>可果美番茄醬</t>
    <phoneticPr fontId="1" type="noConversion"/>
  </si>
  <si>
    <t>牛頭牌沙茶醬</t>
    <phoneticPr fontId="1" type="noConversion"/>
  </si>
  <si>
    <t>台糖二砂</t>
    <phoneticPr fontId="1" type="noConversion"/>
  </si>
  <si>
    <t>袋</t>
    <phoneticPr fontId="1" type="noConversion"/>
  </si>
  <si>
    <t>晚餐</t>
    <phoneticPr fontId="1" type="noConversion"/>
  </si>
  <si>
    <t>肉燥麵</t>
    <phoneticPr fontId="1" type="noConversion"/>
  </si>
  <si>
    <t>油麵</t>
    <phoneticPr fontId="1" type="noConversion"/>
  </si>
  <si>
    <t>紅蘿蔔切絲</t>
    <phoneticPr fontId="1" type="noConversion"/>
  </si>
  <si>
    <t>早餐</t>
    <phoneticPr fontId="1" type="noConversion"/>
  </si>
  <si>
    <t>鍋貼(50入)</t>
    <phoneticPr fontId="1" type="noConversion"/>
  </si>
  <si>
    <t>個</t>
    <phoneticPr fontId="1" type="noConversion"/>
  </si>
  <si>
    <t>厚片土司</t>
    <phoneticPr fontId="1" type="noConversion"/>
  </si>
  <si>
    <t>綠茶鋁箔包24入</t>
    <phoneticPr fontId="1" type="noConversion"/>
  </si>
  <si>
    <t>紅燒馬鈴薯</t>
    <phoneticPr fontId="1" type="noConversion"/>
  </si>
  <si>
    <t>去皮馬鈴薯</t>
    <phoneticPr fontId="1" type="noConversion"/>
  </si>
  <si>
    <t>40斤</t>
    <phoneticPr fontId="1" type="noConversion"/>
  </si>
  <si>
    <t>斤</t>
  </si>
  <si>
    <t>清炒絲瓜</t>
    <phoneticPr fontId="1" type="noConversion"/>
  </si>
  <si>
    <t>去皮絲瓜</t>
    <phoneticPr fontId="1" type="noConversion"/>
  </si>
  <si>
    <t>60斤</t>
    <phoneticPr fontId="1" type="noConversion"/>
  </si>
  <si>
    <t>薑絲</t>
    <phoneticPr fontId="1" type="noConversion"/>
  </si>
  <si>
    <t>川耳</t>
    <phoneticPr fontId="1" type="noConversion"/>
  </si>
  <si>
    <t>滷蛋</t>
    <phoneticPr fontId="1" type="noConversion"/>
  </si>
  <si>
    <t>油豆腐</t>
    <phoneticPr fontId="1" type="noConversion"/>
  </si>
  <si>
    <t>鐵路豬排</t>
    <phoneticPr fontId="1" type="noConversion"/>
  </si>
  <si>
    <t>4件</t>
    <phoneticPr fontId="1" type="noConversion"/>
  </si>
  <si>
    <t>青椒豆干</t>
    <phoneticPr fontId="1" type="noConversion"/>
  </si>
  <si>
    <t>青椒切絲</t>
    <phoneticPr fontId="1" type="noConversion"/>
  </si>
  <si>
    <t>豆干切片</t>
    <phoneticPr fontId="1" type="noConversion"/>
  </si>
  <si>
    <t>玉米炒蛋</t>
    <phoneticPr fontId="1" type="noConversion"/>
  </si>
  <si>
    <t>冷凍玉米粒</t>
    <phoneticPr fontId="1" type="noConversion"/>
  </si>
  <si>
    <t>醬燒雞丁</t>
    <phoneticPr fontId="1" type="noConversion"/>
  </si>
  <si>
    <t>骨腿丁</t>
    <phoneticPr fontId="1" type="noConversion"/>
  </si>
  <si>
    <t>70斤</t>
    <phoneticPr fontId="1" type="noConversion"/>
  </si>
  <si>
    <t>骨腿塊</t>
    <phoneticPr fontId="1" type="noConversion"/>
  </si>
  <si>
    <t>冬瓜麵輪</t>
    <phoneticPr fontId="1" type="noConversion"/>
  </si>
  <si>
    <t>去皮冬瓜</t>
    <phoneticPr fontId="1" type="noConversion"/>
  </si>
  <si>
    <t>麵輪</t>
    <phoneticPr fontId="1" type="noConversion"/>
  </si>
  <si>
    <t>6斤</t>
    <phoneticPr fontId="1" type="noConversion"/>
  </si>
  <si>
    <t>茄汁甜不辣條</t>
    <phoneticPr fontId="1" type="noConversion"/>
  </si>
  <si>
    <t>橙汁魚片</t>
    <phoneticPr fontId="1" type="noConversion"/>
  </si>
  <si>
    <t>鯛魚片</t>
    <phoneticPr fontId="1" type="noConversion"/>
  </si>
  <si>
    <t>140片</t>
    <phoneticPr fontId="1" type="noConversion"/>
  </si>
  <si>
    <t>豬肉餡餅</t>
    <phoneticPr fontId="1" type="noConversion"/>
  </si>
  <si>
    <t>280個</t>
    <phoneticPr fontId="1" type="noConversion"/>
  </si>
  <si>
    <t>榨菜肉絲麵</t>
    <phoneticPr fontId="1" type="noConversion"/>
  </si>
  <si>
    <t>熟拉麵</t>
    <phoneticPr fontId="1" type="noConversion"/>
  </si>
  <si>
    <t>榨菜絲</t>
    <phoneticPr fontId="1" type="noConversion"/>
  </si>
  <si>
    <t>立大前腿肉絲</t>
    <phoneticPr fontId="1" type="noConversion"/>
  </si>
  <si>
    <t>紅蘿蔔絲</t>
    <phoneticPr fontId="1" type="noConversion"/>
  </si>
  <si>
    <t>3斤</t>
    <phoneticPr fontId="1" type="noConversion"/>
  </si>
  <si>
    <t>蠔油肉片</t>
    <phoneticPr fontId="1" type="noConversion"/>
  </si>
  <si>
    <t>45斤</t>
    <phoneticPr fontId="1" type="noConversion"/>
  </si>
  <si>
    <t>立大前腿肉片</t>
    <phoneticPr fontId="1" type="noConversion"/>
  </si>
  <si>
    <t>紅燒豆腐</t>
    <phoneticPr fontId="1" type="noConversion"/>
  </si>
  <si>
    <t>6板</t>
    <phoneticPr fontId="1" type="noConversion"/>
  </si>
  <si>
    <t>紅蘿蔔片</t>
    <phoneticPr fontId="1" type="noConversion"/>
  </si>
  <si>
    <t>2斤</t>
    <phoneticPr fontId="1" type="noConversion"/>
  </si>
  <si>
    <t>白蘿蔔海帶結湯</t>
    <phoneticPr fontId="1" type="noConversion"/>
  </si>
  <si>
    <t>阿在伯水餃</t>
    <phoneticPr fontId="1" type="noConversion"/>
  </si>
  <si>
    <t>椒鹽花枝排</t>
    <phoneticPr fontId="1" type="noConversion"/>
  </si>
  <si>
    <t>水信花枝排</t>
    <phoneticPr fontId="1" type="noConversion"/>
  </si>
  <si>
    <t>紅蘿蔔炒蛋</t>
    <phoneticPr fontId="1" type="noConversion"/>
  </si>
  <si>
    <t>胡瓜菇菇</t>
    <phoneticPr fontId="1" type="noConversion"/>
  </si>
  <si>
    <t>雪白菇</t>
    <phoneticPr fontId="1" type="noConversion"/>
  </si>
  <si>
    <t>白蘿蔔貢丸湯</t>
    <phoneticPr fontId="1" type="noConversion"/>
  </si>
  <si>
    <t>小貢丸</t>
    <phoneticPr fontId="1" type="noConversion"/>
  </si>
  <si>
    <t>2包</t>
    <phoneticPr fontId="1" type="noConversion"/>
  </si>
  <si>
    <t>三杯百頁</t>
    <phoneticPr fontId="1" type="noConversion"/>
  </si>
  <si>
    <t>百頁豆腐</t>
    <phoneticPr fontId="1" type="noConversion"/>
  </si>
  <si>
    <t>110個</t>
    <phoneticPr fontId="1" type="noConversion"/>
  </si>
  <si>
    <t>薑燒南瓜</t>
    <phoneticPr fontId="1" type="noConversion"/>
  </si>
  <si>
    <t>南瓜切塊</t>
    <phoneticPr fontId="1" type="noConversion"/>
  </si>
  <si>
    <t>薑</t>
    <phoneticPr fontId="1" type="noConversion"/>
  </si>
  <si>
    <t>1斤</t>
    <phoneticPr fontId="1" type="noConversion"/>
  </si>
  <si>
    <t>樹子魚片</t>
    <phoneticPr fontId="1" type="noConversion"/>
  </si>
  <si>
    <t>130片</t>
    <phoneticPr fontId="1" type="noConversion"/>
  </si>
  <si>
    <t>樹子</t>
    <phoneticPr fontId="1" type="noConversion"/>
  </si>
  <si>
    <t>1桶</t>
    <phoneticPr fontId="1" type="noConversion"/>
  </si>
  <si>
    <t>青椒肉絲</t>
    <phoneticPr fontId="1" type="noConversion"/>
  </si>
  <si>
    <t>25斤</t>
    <phoneticPr fontId="1" type="noConversion"/>
  </si>
  <si>
    <t>紅燒豬腳</t>
    <phoneticPr fontId="1" type="noConversion"/>
  </si>
  <si>
    <t>豬腳丁</t>
    <phoneticPr fontId="1" type="noConversion"/>
  </si>
  <si>
    <t>豬腳塊</t>
    <phoneticPr fontId="1" type="noConversion"/>
  </si>
  <si>
    <t>紅蘿蔔</t>
    <phoneticPr fontId="1" type="noConversion"/>
  </si>
  <si>
    <t>白蘿蔔</t>
    <phoneticPr fontId="1" type="noConversion"/>
  </si>
  <si>
    <t>玉米蒸蛋</t>
    <phoneticPr fontId="1" type="noConversion"/>
  </si>
  <si>
    <t>涼拌豆干</t>
    <phoneticPr fontId="1" type="noConversion"/>
  </si>
  <si>
    <t>豆干4X4</t>
    <phoneticPr fontId="1" type="noConversion"/>
  </si>
  <si>
    <t>卡拉雞腿</t>
    <phoneticPr fontId="1" type="noConversion"/>
  </si>
  <si>
    <t>片</t>
    <phoneticPr fontId="1" type="noConversion"/>
  </si>
  <si>
    <t>卡拉雞腿堡</t>
    <phoneticPr fontId="1" type="noConversion"/>
  </si>
  <si>
    <t>青椒菇菇</t>
    <phoneticPr fontId="1" type="noConversion"/>
  </si>
  <si>
    <t>麻婆豆腐</t>
    <phoneticPr fontId="1" type="noConversion"/>
  </si>
  <si>
    <t>糖醋魚片</t>
    <phoneticPr fontId="1" type="noConversion"/>
  </si>
  <si>
    <t>清炒大黃瓜</t>
    <phoneticPr fontId="1" type="noConversion"/>
  </si>
  <si>
    <t>去皮大黃瓜</t>
    <phoneticPr fontId="1" type="noConversion"/>
  </si>
  <si>
    <t>65斤</t>
    <phoneticPr fontId="1" type="noConversion"/>
  </si>
  <si>
    <t>醬燒麵腸</t>
    <phoneticPr fontId="1" type="noConversion"/>
  </si>
  <si>
    <t>麵腸切片</t>
    <phoneticPr fontId="1" type="noConversion"/>
  </si>
  <si>
    <t>白蘿蔔玉米湯</t>
    <phoneticPr fontId="1" type="noConversion"/>
  </si>
  <si>
    <t>去殼玉米</t>
    <phoneticPr fontId="1" type="noConversion"/>
  </si>
  <si>
    <t>蒜泥肉片</t>
    <phoneticPr fontId="1" type="noConversion"/>
  </si>
  <si>
    <t>皮蛋豆腐</t>
    <phoneticPr fontId="1" type="noConversion"/>
  </si>
  <si>
    <t>皮蛋</t>
    <phoneticPr fontId="1" type="noConversion"/>
  </si>
  <si>
    <t>粒</t>
  </si>
  <si>
    <t>家常豆腐</t>
    <phoneticPr fontId="1" type="noConversion"/>
  </si>
  <si>
    <t>盒</t>
  </si>
  <si>
    <t>烏龍麵</t>
    <phoneticPr fontId="1" type="noConversion"/>
  </si>
  <si>
    <t>味霖</t>
    <phoneticPr fontId="1" type="noConversion"/>
  </si>
  <si>
    <t>番茄醬</t>
    <phoneticPr fontId="1" type="noConversion"/>
  </si>
  <si>
    <t>蒜泥</t>
    <phoneticPr fontId="1" type="noConversion"/>
  </si>
  <si>
    <t>紙杯</t>
    <phoneticPr fontId="1" type="noConversion"/>
  </si>
  <si>
    <t>冷凍檸檬汁</t>
    <phoneticPr fontId="1" type="noConversion"/>
  </si>
  <si>
    <t>罐</t>
    <phoneticPr fontId="1" type="noConversion"/>
  </si>
  <si>
    <t>金蘭烤肉醬</t>
    <phoneticPr fontId="1" type="noConversion"/>
  </si>
  <si>
    <t>紫菜</t>
    <phoneticPr fontId="1" type="noConversion"/>
  </si>
  <si>
    <t>週三麵食</t>
    <phoneticPr fontId="1" type="noConversion"/>
  </si>
  <si>
    <t>涼麵(乾)</t>
    <phoneticPr fontId="1" type="noConversion"/>
  </si>
  <si>
    <t>涼麵</t>
    <phoneticPr fontId="1" type="noConversion"/>
  </si>
  <si>
    <t>芝麻醬</t>
    <phoneticPr fontId="1" type="noConversion"/>
  </si>
  <si>
    <t>桶</t>
  </si>
  <si>
    <t>蔥油雞</t>
    <phoneticPr fontId="1" type="noConversion"/>
  </si>
  <si>
    <t>270個</t>
    <phoneticPr fontId="1" type="noConversion"/>
  </si>
  <si>
    <t>麻辣鴨血</t>
    <phoneticPr fontId="1" type="noConversion"/>
  </si>
  <si>
    <t>鴨血</t>
    <phoneticPr fontId="1" type="noConversion"/>
  </si>
  <si>
    <t>50個</t>
    <phoneticPr fontId="1" type="noConversion"/>
  </si>
  <si>
    <t>40個</t>
    <phoneticPr fontId="1" type="noConversion"/>
  </si>
  <si>
    <t>角螺</t>
    <phoneticPr fontId="1" type="noConversion"/>
  </si>
  <si>
    <t>金針菇</t>
    <phoneticPr fontId="1" type="noConversion"/>
  </si>
  <si>
    <t>冬瓜海結湯</t>
    <phoneticPr fontId="1" type="noConversion"/>
  </si>
  <si>
    <t>訂貨數量</t>
  </si>
  <si>
    <t>糖醋豆腐</t>
    <phoneticPr fontId="1" type="noConversion"/>
  </si>
  <si>
    <t>5板</t>
    <phoneticPr fontId="1" type="noConversion"/>
  </si>
  <si>
    <t>工研烏醋</t>
    <phoneticPr fontId="1" type="noConversion"/>
  </si>
  <si>
    <t>工研白醋</t>
    <phoneticPr fontId="1" type="noConversion"/>
  </si>
  <si>
    <t>黑麻油</t>
    <phoneticPr fontId="1" type="noConversion"/>
  </si>
  <si>
    <t>榨菜筍片湯</t>
    <phoneticPr fontId="1" type="noConversion"/>
  </si>
  <si>
    <t>桶筍片</t>
    <phoneticPr fontId="1" type="noConversion"/>
  </si>
  <si>
    <t>烤香腸</t>
    <phoneticPr fontId="1" type="noConversion"/>
  </si>
  <si>
    <t>立大香腸</t>
    <phoneticPr fontId="1" type="noConversion"/>
  </si>
  <si>
    <t>560支</t>
    <phoneticPr fontId="1" type="noConversion"/>
  </si>
  <si>
    <t>四季豆炒豆干肉片</t>
    <phoneticPr fontId="1" type="noConversion"/>
  </si>
  <si>
    <t>冷凍四季豆</t>
    <phoneticPr fontId="1" type="noConversion"/>
  </si>
  <si>
    <t>紅燒茄子</t>
    <phoneticPr fontId="1" type="noConversion"/>
  </si>
  <si>
    <t>蒜炒青花菜</t>
    <phoneticPr fontId="1" type="noConversion"/>
  </si>
  <si>
    <t>冷凍青花菜</t>
    <phoneticPr fontId="1" type="noConversion"/>
  </si>
  <si>
    <t>酥炸粉</t>
    <phoneticPr fontId="1" type="noConversion"/>
  </si>
  <si>
    <t>黑胡椒醬</t>
    <phoneticPr fontId="1" type="noConversion"/>
  </si>
  <si>
    <t>滷包</t>
    <phoneticPr fontId="1" type="noConversion"/>
  </si>
  <si>
    <t>辣豆瓣</t>
    <phoneticPr fontId="1" type="noConversion"/>
  </si>
  <si>
    <t>烹大師</t>
    <phoneticPr fontId="1" type="noConversion"/>
  </si>
  <si>
    <t>沙茶燴飯</t>
    <phoneticPr fontId="1" type="noConversion"/>
  </si>
  <si>
    <t>魚板蒸蛋</t>
    <phoneticPr fontId="1" type="noConversion"/>
  </si>
  <si>
    <t>火鍋魚板</t>
    <phoneticPr fontId="1" type="noConversion"/>
  </si>
  <si>
    <t>食材</t>
  </si>
  <si>
    <t>數量</t>
  </si>
  <si>
    <t>單價</t>
  </si>
  <si>
    <t>椒鹽雞排</t>
    <phoneticPr fontId="1" type="noConversion"/>
  </si>
  <si>
    <t>調理雞排</t>
    <phoneticPr fontId="1" type="noConversion"/>
  </si>
  <si>
    <t>無骨香雞排</t>
    <phoneticPr fontId="1" type="noConversion"/>
  </si>
  <si>
    <t>乾拌麵</t>
    <phoneticPr fontId="1" type="noConversion"/>
  </si>
  <si>
    <t>紅蔥頭切片</t>
    <phoneticPr fontId="1" type="noConversion"/>
  </si>
  <si>
    <t>訂貨數量</t>
    <phoneticPr fontId="1" type="noConversion"/>
  </si>
  <si>
    <t>芹菜炒雞捲</t>
    <phoneticPr fontId="1" type="noConversion"/>
  </si>
  <si>
    <t>去葉中芹</t>
    <phoneticPr fontId="1" type="noConversion"/>
  </si>
  <si>
    <t>斤</t>
    <phoneticPr fontId="1" type="noConversion"/>
  </si>
  <si>
    <t>雞捲</t>
    <phoneticPr fontId="1" type="noConversion"/>
  </si>
  <si>
    <t>非合約項目</t>
    <phoneticPr fontId="1" type="noConversion"/>
  </si>
  <si>
    <t>青椒炒竹輪</t>
    <phoneticPr fontId="1" type="noConversion"/>
  </si>
  <si>
    <t>青椒絲</t>
    <phoneticPr fontId="1" type="noConversion"/>
  </si>
  <si>
    <t>7包</t>
    <phoneticPr fontId="1" type="noConversion"/>
  </si>
  <si>
    <t>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</si>
</sst>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rgb="FF00B05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14" xfId="0" applyFont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workbookViewId="0">
      <selection activeCell="R41" sqref="R41"/>
    </sheetView>
  </sheetViews>
  <sheetFormatPr defaultRowHeight="16.5" x14ac:dyDescent="0.25"/>
  <cols>
    <col min="1" max="2" width="11.625" bestFit="1" customWidth="1"/>
    <col min="8" max="8" width="13.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>
        <v>99</v>
      </c>
      <c r="E2" s="2">
        <v>65.88</v>
      </c>
      <c r="F2" s="1" t="s">
        <v>10</v>
      </c>
      <c r="G2" s="55">
        <f>E2*D2</f>
        <v>6522.12</v>
      </c>
      <c r="H2" s="6" t="s">
        <v>11</v>
      </c>
    </row>
    <row r="3" spans="1:8" x14ac:dyDescent="0.25">
      <c r="A3" s="31"/>
      <c r="B3" s="31"/>
      <c r="C3" s="31"/>
      <c r="D3" s="31"/>
      <c r="E3" s="52"/>
      <c r="F3" s="31"/>
      <c r="G3" s="58"/>
      <c r="H3" s="53"/>
    </row>
    <row r="4" spans="1:8" x14ac:dyDescent="0.25">
      <c r="A4" s="1" t="s">
        <v>46</v>
      </c>
      <c r="B4" s="1" t="s">
        <v>47</v>
      </c>
      <c r="C4" s="1" t="s">
        <v>48</v>
      </c>
      <c r="D4" s="1">
        <v>66</v>
      </c>
      <c r="E4" s="2">
        <v>56.67</v>
      </c>
      <c r="F4" s="1" t="s">
        <v>10</v>
      </c>
      <c r="G4" s="56">
        <v>3740</v>
      </c>
      <c r="H4" s="6" t="s">
        <v>49</v>
      </c>
    </row>
    <row r="5" spans="1:8" s="54" customFormat="1" x14ac:dyDescent="0.25">
      <c r="A5" s="31"/>
      <c r="B5" s="31"/>
      <c r="C5" s="31"/>
      <c r="D5" s="31"/>
      <c r="E5" s="52"/>
      <c r="F5" s="31"/>
      <c r="G5" s="59"/>
      <c r="H5" s="53"/>
    </row>
    <row r="6" spans="1:8" x14ac:dyDescent="0.25">
      <c r="A6" s="57" t="s">
        <v>69</v>
      </c>
      <c r="B6" s="1" t="s">
        <v>70</v>
      </c>
      <c r="C6" s="1" t="s">
        <v>38</v>
      </c>
      <c r="D6" s="1">
        <v>99</v>
      </c>
      <c r="E6" s="2">
        <v>50</v>
      </c>
      <c r="F6" s="1" t="s">
        <v>10</v>
      </c>
      <c r="G6" s="1">
        <f>E6*D6</f>
        <v>4950</v>
      </c>
      <c r="H6" s="6" t="s">
        <v>71</v>
      </c>
    </row>
    <row r="7" spans="1:8" x14ac:dyDescent="0.25">
      <c r="A7" s="57"/>
      <c r="B7" s="1" t="s">
        <v>72</v>
      </c>
      <c r="C7" s="1" t="s">
        <v>20</v>
      </c>
      <c r="D7" s="1">
        <v>34.200000000000003</v>
      </c>
      <c r="E7" s="2">
        <v>15</v>
      </c>
      <c r="F7" s="1" t="s">
        <v>10</v>
      </c>
      <c r="G7" s="1">
        <f>E7*D7</f>
        <v>513</v>
      </c>
      <c r="H7" s="1"/>
    </row>
    <row r="8" spans="1:8" x14ac:dyDescent="0.25">
      <c r="A8" s="57"/>
      <c r="B8" s="1"/>
      <c r="C8" s="1"/>
      <c r="D8" s="1"/>
      <c r="E8" s="2"/>
      <c r="F8" s="2"/>
      <c r="G8" s="1"/>
      <c r="H8" s="1"/>
    </row>
    <row r="9" spans="1:8" x14ac:dyDescent="0.25">
      <c r="A9" s="57"/>
      <c r="B9" s="1"/>
      <c r="C9" s="1"/>
      <c r="D9" s="1"/>
      <c r="E9" s="2"/>
      <c r="F9" s="9"/>
      <c r="G9" s="56">
        <f>SUM(G6:G8)</f>
        <v>5463</v>
      </c>
      <c r="H9" s="1"/>
    </row>
    <row r="11" spans="1: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1" t="s">
        <v>94</v>
      </c>
      <c r="B12" s="1" t="s">
        <v>94</v>
      </c>
      <c r="C12" s="1" t="s">
        <v>95</v>
      </c>
      <c r="D12" s="1">
        <v>168</v>
      </c>
      <c r="E12" s="1">
        <v>42.5</v>
      </c>
      <c r="F12" s="1" t="s">
        <v>10</v>
      </c>
      <c r="G12" s="1">
        <f>E12*D12</f>
        <v>7140</v>
      </c>
      <c r="H12" s="27" t="s">
        <v>18</v>
      </c>
    </row>
    <row r="13" spans="1:8" x14ac:dyDescent="0.25">
      <c r="A13" s="39"/>
      <c r="B13" s="67" t="s">
        <v>50</v>
      </c>
      <c r="C13" s="60"/>
      <c r="D13" s="61"/>
      <c r="E13" s="3"/>
      <c r="F13" s="3"/>
      <c r="G13" s="38">
        <f>G12</f>
        <v>7140</v>
      </c>
      <c r="H13" s="1"/>
    </row>
    <row r="15" spans="1: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1" t="s">
        <v>105</v>
      </c>
      <c r="B16" s="1" t="s">
        <v>106</v>
      </c>
      <c r="C16" s="1" t="s">
        <v>107</v>
      </c>
      <c r="D16" s="1">
        <v>78</v>
      </c>
      <c r="E16" s="1">
        <v>43.28</v>
      </c>
      <c r="F16" s="1" t="s">
        <v>10</v>
      </c>
      <c r="G16" s="76">
        <f>E16*D16</f>
        <v>3375.84</v>
      </c>
      <c r="H16" s="1"/>
    </row>
    <row r="17" spans="1:26" x14ac:dyDescent="0.25">
      <c r="A17" s="39"/>
      <c r="B17" s="67" t="s">
        <v>50</v>
      </c>
      <c r="C17" s="60"/>
      <c r="D17" s="61"/>
      <c r="E17" s="3"/>
      <c r="F17" s="3"/>
      <c r="G17" s="38">
        <v>3376</v>
      </c>
      <c r="H17" s="1"/>
    </row>
    <row r="19" spans="1:26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5</v>
      </c>
      <c r="H19" s="1" t="s">
        <v>6</v>
      </c>
    </row>
    <row r="20" spans="1:26" x14ac:dyDescent="0.25">
      <c r="A20" s="1" t="s">
        <v>144</v>
      </c>
      <c r="B20" s="1" t="s">
        <v>144</v>
      </c>
      <c r="C20" s="1" t="s">
        <v>145</v>
      </c>
      <c r="D20" s="1">
        <v>1300</v>
      </c>
      <c r="E20" s="1">
        <v>4</v>
      </c>
      <c r="F20" s="1" t="s">
        <v>31</v>
      </c>
      <c r="G20" s="1">
        <f>D20*E20</f>
        <v>5200</v>
      </c>
      <c r="H20" s="27" t="s">
        <v>18</v>
      </c>
    </row>
    <row r="21" spans="1:26" x14ac:dyDescent="0.25">
      <c r="A21" s="39"/>
      <c r="B21" s="1"/>
      <c r="C21" s="1"/>
      <c r="D21" s="1"/>
      <c r="E21" s="1"/>
      <c r="F21" s="1"/>
      <c r="G21" s="1"/>
      <c r="H21" s="1"/>
    </row>
    <row r="22" spans="1:26" x14ac:dyDescent="0.25">
      <c r="A22" s="39"/>
      <c r="B22" s="67" t="s">
        <v>50</v>
      </c>
      <c r="C22" s="60"/>
      <c r="D22" s="61"/>
      <c r="E22" s="3"/>
      <c r="F22" s="3"/>
      <c r="G22" s="38">
        <f>G20</f>
        <v>5200</v>
      </c>
      <c r="H22" s="1"/>
    </row>
    <row r="24" spans="1:26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26" x14ac:dyDescent="0.25">
      <c r="A25" s="57" t="s">
        <v>151</v>
      </c>
      <c r="B25" s="1" t="s">
        <v>152</v>
      </c>
      <c r="C25" s="1" t="s">
        <v>153</v>
      </c>
      <c r="D25" s="1">
        <v>75</v>
      </c>
      <c r="E25" s="1">
        <v>70</v>
      </c>
      <c r="F25" s="1" t="s">
        <v>10</v>
      </c>
      <c r="G25" s="1">
        <f>D25*E25</f>
        <v>5250</v>
      </c>
      <c r="H25" s="1" t="s">
        <v>154</v>
      </c>
    </row>
    <row r="26" spans="1:26" x14ac:dyDescent="0.25">
      <c r="A26" s="57"/>
      <c r="B26" s="1" t="s">
        <v>55</v>
      </c>
      <c r="C26" s="1" t="s">
        <v>101</v>
      </c>
      <c r="D26" s="1">
        <v>30.6</v>
      </c>
      <c r="E26" s="1">
        <v>8</v>
      </c>
      <c r="F26" s="1" t="s">
        <v>10</v>
      </c>
      <c r="G26" s="76">
        <f>D26*E26</f>
        <v>244.8</v>
      </c>
      <c r="H26" s="1"/>
    </row>
    <row r="27" spans="1:26" x14ac:dyDescent="0.25">
      <c r="A27" s="57"/>
      <c r="B27" s="1"/>
      <c r="C27" s="1"/>
      <c r="D27" s="1"/>
      <c r="E27" s="1"/>
      <c r="F27" s="1"/>
      <c r="G27" s="1"/>
      <c r="H27" s="1"/>
    </row>
    <row r="28" spans="1:26" x14ac:dyDescent="0.25">
      <c r="A28" s="57"/>
      <c r="B28" s="1"/>
      <c r="C28" s="1"/>
      <c r="D28" s="1"/>
      <c r="E28" s="1"/>
      <c r="F28" s="1"/>
      <c r="G28" s="1"/>
      <c r="H28" s="1"/>
    </row>
    <row r="29" spans="1:26" x14ac:dyDescent="0.25">
      <c r="A29" s="57"/>
      <c r="B29" s="57" t="s">
        <v>50</v>
      </c>
      <c r="C29" s="57"/>
      <c r="D29" s="57"/>
      <c r="E29" s="1"/>
      <c r="F29" s="1"/>
      <c r="G29" s="55">
        <f>SUM(G25:G28)</f>
        <v>5494.8</v>
      </c>
      <c r="H29" s="1"/>
    </row>
    <row r="30" spans="1:26" x14ac:dyDescent="0.25">
      <c r="A30" s="31"/>
      <c r="B30" s="31"/>
      <c r="C30" s="31"/>
      <c r="D30" s="31"/>
      <c r="E30" s="31"/>
      <c r="F30" s="31"/>
      <c r="G30" s="88"/>
      <c r="H30" s="31"/>
    </row>
    <row r="31" spans="1:26" ht="17.25" thickBot="1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26" x14ac:dyDescent="0.25">
      <c r="A32" s="57" t="s">
        <v>160</v>
      </c>
      <c r="B32" s="1" t="s">
        <v>161</v>
      </c>
      <c r="C32" s="1" t="s">
        <v>162</v>
      </c>
      <c r="D32" s="1">
        <v>195</v>
      </c>
      <c r="E32" s="1">
        <v>28</v>
      </c>
      <c r="F32" s="1" t="s">
        <v>23</v>
      </c>
      <c r="G32" s="1">
        <f>E32*D32</f>
        <v>5460</v>
      </c>
      <c r="H32" s="1"/>
      <c r="J32" s="10" t="s">
        <v>0</v>
      </c>
      <c r="K32" s="11" t="s">
        <v>1</v>
      </c>
      <c r="L32" s="11" t="s">
        <v>2</v>
      </c>
      <c r="M32" s="11" t="s">
        <v>3</v>
      </c>
      <c r="N32" s="11" t="s">
        <v>4</v>
      </c>
      <c r="O32" s="11"/>
      <c r="P32" s="11" t="s">
        <v>5</v>
      </c>
      <c r="Q32" s="14" t="s">
        <v>6</v>
      </c>
      <c r="S32" s="1" t="s">
        <v>0</v>
      </c>
      <c r="T32" s="1" t="s">
        <v>1</v>
      </c>
      <c r="U32" s="1" t="s">
        <v>2</v>
      </c>
      <c r="V32" s="1" t="s">
        <v>3</v>
      </c>
      <c r="W32" s="1" t="s">
        <v>4</v>
      </c>
      <c r="X32" s="1"/>
      <c r="Y32" s="1" t="s">
        <v>5</v>
      </c>
      <c r="Z32" s="1" t="s">
        <v>6</v>
      </c>
    </row>
    <row r="33" spans="1:26" x14ac:dyDescent="0.25">
      <c r="A33" s="57"/>
      <c r="B33" s="1"/>
      <c r="C33" s="1"/>
      <c r="D33" s="1"/>
      <c r="E33" s="1"/>
      <c r="F33" s="1"/>
      <c r="G33" s="1"/>
      <c r="H33" s="1"/>
      <c r="J33" s="73" t="s">
        <v>195</v>
      </c>
      <c r="K33" s="1" t="s">
        <v>161</v>
      </c>
      <c r="L33" s="1" t="s">
        <v>196</v>
      </c>
      <c r="M33" s="1">
        <v>195</v>
      </c>
      <c r="N33" s="1">
        <v>26</v>
      </c>
      <c r="O33" s="1" t="s">
        <v>23</v>
      </c>
      <c r="P33" s="1">
        <f>N33*M33</f>
        <v>5070</v>
      </c>
      <c r="Q33" s="18"/>
      <c r="S33" s="57" t="s">
        <v>214</v>
      </c>
      <c r="T33" s="1" t="s">
        <v>161</v>
      </c>
      <c r="U33" s="1" t="s">
        <v>162</v>
      </c>
      <c r="V33" s="1">
        <v>195</v>
      </c>
      <c r="W33" s="1">
        <v>28</v>
      </c>
      <c r="X33" s="1" t="s">
        <v>23</v>
      </c>
      <c r="Y33" s="1">
        <f>W33*V33</f>
        <v>5460</v>
      </c>
      <c r="Z33" s="1"/>
    </row>
    <row r="34" spans="1:26" x14ac:dyDescent="0.25">
      <c r="A34" s="57"/>
      <c r="B34" s="1"/>
      <c r="C34" s="1"/>
      <c r="D34" s="1"/>
      <c r="E34" s="1"/>
      <c r="F34" s="1"/>
      <c r="G34" s="1"/>
      <c r="H34" s="1"/>
      <c r="J34" s="73"/>
      <c r="K34" s="1" t="s">
        <v>197</v>
      </c>
      <c r="L34" s="1" t="s">
        <v>198</v>
      </c>
      <c r="M34" s="1">
        <v>540</v>
      </c>
      <c r="N34" s="1">
        <v>1</v>
      </c>
      <c r="O34" s="1" t="s">
        <v>26</v>
      </c>
      <c r="P34" s="1">
        <f>N34*M34</f>
        <v>540</v>
      </c>
      <c r="Q34" s="32" t="s">
        <v>18</v>
      </c>
      <c r="S34" s="57"/>
      <c r="T34" s="1"/>
      <c r="U34" s="1"/>
      <c r="V34" s="1"/>
      <c r="W34" s="1"/>
      <c r="X34" s="1"/>
      <c r="Y34" s="1"/>
      <c r="Z34" s="1"/>
    </row>
    <row r="35" spans="1:26" x14ac:dyDescent="0.25">
      <c r="A35" s="57"/>
      <c r="B35" s="1"/>
      <c r="C35" s="1"/>
      <c r="D35" s="1"/>
      <c r="E35" s="1"/>
      <c r="F35" s="1"/>
      <c r="G35" s="1"/>
      <c r="H35" s="1"/>
      <c r="J35" s="73"/>
      <c r="K35" s="1"/>
      <c r="L35" s="1"/>
      <c r="M35" s="1"/>
      <c r="N35" s="1"/>
      <c r="O35" s="1"/>
      <c r="P35" s="1"/>
      <c r="Q35" s="18"/>
      <c r="S35" s="57"/>
      <c r="T35" s="1"/>
      <c r="U35" s="1"/>
      <c r="V35" s="1"/>
      <c r="W35" s="1"/>
      <c r="X35" s="1"/>
      <c r="Y35" s="1"/>
      <c r="Z35" s="1"/>
    </row>
    <row r="36" spans="1:26" ht="17.25" thickBot="1" x14ac:dyDescent="0.3">
      <c r="A36" s="57"/>
      <c r="B36" s="57" t="s">
        <v>50</v>
      </c>
      <c r="C36" s="57"/>
      <c r="D36" s="57"/>
      <c r="E36" s="1"/>
      <c r="F36" s="1"/>
      <c r="G36" s="56">
        <f>G32</f>
        <v>5460</v>
      </c>
      <c r="H36" s="1"/>
      <c r="J36" s="74"/>
      <c r="K36" s="83" t="s">
        <v>50</v>
      </c>
      <c r="L36" s="83"/>
      <c r="M36" s="83"/>
      <c r="N36" s="20"/>
      <c r="O36" s="20"/>
      <c r="P36" s="87">
        <f>SUM(P33:P35)</f>
        <v>5610</v>
      </c>
      <c r="Q36" s="23"/>
      <c r="S36" s="57"/>
      <c r="T36" s="1"/>
      <c r="U36" s="1"/>
      <c r="V36" s="1"/>
      <c r="W36" s="3"/>
      <c r="X36" s="3"/>
      <c r="Y36" s="3"/>
      <c r="Z36" s="1"/>
    </row>
    <row r="37" spans="1:26" x14ac:dyDescent="0.25">
      <c r="J37" s="86"/>
      <c r="K37" s="54"/>
      <c r="L37" s="54"/>
      <c r="M37" s="54"/>
      <c r="N37" s="54"/>
      <c r="O37" s="54"/>
      <c r="P37" s="54"/>
      <c r="Q37" s="54"/>
      <c r="S37" s="57"/>
      <c r="T37" s="67" t="s">
        <v>50</v>
      </c>
      <c r="U37" s="60"/>
      <c r="V37" s="61"/>
      <c r="W37" s="3"/>
      <c r="X37" s="3"/>
      <c r="Y37" s="38">
        <f>Y33</f>
        <v>5460</v>
      </c>
      <c r="Z37" s="1"/>
    </row>
    <row r="38" spans="1:26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</row>
    <row r="39" spans="1:26" x14ac:dyDescent="0.25">
      <c r="A39" s="57" t="s">
        <v>171</v>
      </c>
      <c r="B39" s="1" t="s">
        <v>70</v>
      </c>
      <c r="C39" s="1" t="s">
        <v>172</v>
      </c>
      <c r="D39" s="1">
        <v>99</v>
      </c>
      <c r="E39" s="1">
        <v>45</v>
      </c>
      <c r="F39" s="1" t="s">
        <v>10</v>
      </c>
      <c r="G39" s="1">
        <f>E39*D39</f>
        <v>4455</v>
      </c>
      <c r="H39" s="1" t="s">
        <v>173</v>
      </c>
    </row>
    <row r="40" spans="1:26" x14ac:dyDescent="0.25">
      <c r="A40" s="57"/>
      <c r="B40" s="1" t="s">
        <v>55</v>
      </c>
      <c r="C40" s="1" t="s">
        <v>42</v>
      </c>
      <c r="D40" s="1">
        <v>30.6</v>
      </c>
      <c r="E40" s="1">
        <v>10</v>
      </c>
      <c r="F40" s="1" t="s">
        <v>10</v>
      </c>
      <c r="G40" s="1">
        <f>E40*D40</f>
        <v>306</v>
      </c>
      <c r="H40" s="1"/>
    </row>
    <row r="41" spans="1:26" x14ac:dyDescent="0.25">
      <c r="A41" s="57"/>
      <c r="B41" s="1"/>
      <c r="C41" s="1"/>
      <c r="D41" s="1"/>
      <c r="E41" s="1"/>
      <c r="F41" s="1"/>
      <c r="G41" s="1"/>
      <c r="H41" s="1"/>
    </row>
    <row r="42" spans="1:26" x14ac:dyDescent="0.25">
      <c r="A42" s="57"/>
      <c r="B42" s="1"/>
      <c r="C42" s="1"/>
      <c r="D42" s="1"/>
      <c r="E42" s="3"/>
      <c r="F42" s="3"/>
      <c r="G42" s="3"/>
      <c r="H42" s="1"/>
    </row>
    <row r="43" spans="1:26" x14ac:dyDescent="0.25">
      <c r="A43" s="57"/>
      <c r="B43" s="67" t="s">
        <v>50</v>
      </c>
      <c r="C43" s="60"/>
      <c r="D43" s="61"/>
      <c r="E43" s="3"/>
      <c r="F43" s="3"/>
      <c r="G43" s="38">
        <f>SUM(G39:G42)</f>
        <v>4761</v>
      </c>
      <c r="H43" s="1"/>
    </row>
    <row r="45" spans="1:2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 t="s">
        <v>6</v>
      </c>
    </row>
    <row r="46" spans="1:26" x14ac:dyDescent="0.25">
      <c r="A46" s="39" t="s">
        <v>180</v>
      </c>
      <c r="B46" s="1" t="s">
        <v>181</v>
      </c>
      <c r="C46" s="1" t="s">
        <v>145</v>
      </c>
      <c r="D46" s="1">
        <v>650</v>
      </c>
      <c r="E46" s="1">
        <v>4</v>
      </c>
      <c r="F46" s="1" t="s">
        <v>31</v>
      </c>
      <c r="G46" s="1">
        <f>E46*D46</f>
        <v>2600</v>
      </c>
      <c r="H46" s="27" t="s">
        <v>18</v>
      </c>
    </row>
    <row r="47" spans="1:26" x14ac:dyDescent="0.25">
      <c r="A47" s="39"/>
      <c r="B47" s="67" t="s">
        <v>50</v>
      </c>
      <c r="C47" s="60"/>
      <c r="D47" s="61"/>
      <c r="E47" s="3"/>
      <c r="F47" s="3"/>
      <c r="G47" s="38">
        <f>G46</f>
        <v>2600</v>
      </c>
      <c r="H47" s="1"/>
    </row>
    <row r="48" spans="1:26" ht="17.25" thickBot="1" x14ac:dyDescent="0.3"/>
    <row r="49" spans="1:8" x14ac:dyDescent="0.25">
      <c r="A49" s="10" t="s">
        <v>0</v>
      </c>
      <c r="B49" s="11" t="s">
        <v>1</v>
      </c>
      <c r="C49" s="11" t="s">
        <v>2</v>
      </c>
      <c r="D49" s="11" t="s">
        <v>3</v>
      </c>
      <c r="E49" s="11" t="s">
        <v>4</v>
      </c>
      <c r="F49" s="11"/>
      <c r="G49" s="11" t="s">
        <v>5</v>
      </c>
      <c r="H49" s="14" t="s">
        <v>6</v>
      </c>
    </row>
    <row r="50" spans="1:8" x14ac:dyDescent="0.25">
      <c r="A50" s="68" t="s">
        <v>201</v>
      </c>
      <c r="B50" s="1" t="s">
        <v>202</v>
      </c>
      <c r="C50" s="1" t="s">
        <v>139</v>
      </c>
      <c r="D50" s="1">
        <v>87</v>
      </c>
      <c r="E50" s="1">
        <v>60</v>
      </c>
      <c r="F50" s="1" t="s">
        <v>10</v>
      </c>
      <c r="G50" s="1">
        <f>E50*D50</f>
        <v>5220</v>
      </c>
      <c r="H50" s="18" t="s">
        <v>203</v>
      </c>
    </row>
    <row r="51" spans="1:8" x14ac:dyDescent="0.25">
      <c r="A51" s="68"/>
      <c r="B51" s="1" t="s">
        <v>204</v>
      </c>
      <c r="C51" s="1" t="s">
        <v>40</v>
      </c>
      <c r="D51" s="1">
        <v>7.2</v>
      </c>
      <c r="E51" s="1">
        <v>5</v>
      </c>
      <c r="F51" s="1" t="s">
        <v>10</v>
      </c>
      <c r="G51" s="1">
        <f t="shared" ref="G51:G52" si="0">E51*D51</f>
        <v>36</v>
      </c>
      <c r="H51" s="18"/>
    </row>
    <row r="52" spans="1:8" x14ac:dyDescent="0.25">
      <c r="A52" s="68"/>
      <c r="B52" s="1" t="s">
        <v>205</v>
      </c>
      <c r="C52" s="1" t="s">
        <v>101</v>
      </c>
      <c r="D52" s="1">
        <v>8.1</v>
      </c>
      <c r="E52" s="1">
        <v>8</v>
      </c>
      <c r="F52" s="1" t="s">
        <v>10</v>
      </c>
      <c r="G52" s="1">
        <f t="shared" si="0"/>
        <v>64.8</v>
      </c>
      <c r="H52" s="18"/>
    </row>
    <row r="53" spans="1:8" x14ac:dyDescent="0.25">
      <c r="A53" s="68"/>
      <c r="B53" s="1"/>
      <c r="C53" s="1"/>
      <c r="D53" s="1"/>
      <c r="E53" s="3"/>
      <c r="F53" s="3"/>
      <c r="G53" s="3"/>
      <c r="H53" s="18"/>
    </row>
    <row r="54" spans="1:8" ht="17.25" thickBot="1" x14ac:dyDescent="0.3">
      <c r="A54" s="69"/>
      <c r="B54" s="70" t="s">
        <v>50</v>
      </c>
      <c r="C54" s="71"/>
      <c r="D54" s="72"/>
      <c r="E54" s="22"/>
      <c r="F54" s="22"/>
      <c r="G54" s="49">
        <f>SUM(G50:G53)</f>
        <v>5320.8</v>
      </c>
      <c r="H54" s="23"/>
    </row>
    <row r="56" spans="1: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/>
      <c r="G56" s="1" t="s">
        <v>5</v>
      </c>
      <c r="H56" s="1" t="s">
        <v>6</v>
      </c>
    </row>
    <row r="57" spans="1:8" x14ac:dyDescent="0.25">
      <c r="A57" s="57" t="s">
        <v>209</v>
      </c>
      <c r="B57" s="1" t="s">
        <v>209</v>
      </c>
      <c r="C57" s="1" t="s">
        <v>48</v>
      </c>
      <c r="D57" s="1">
        <v>23</v>
      </c>
      <c r="E57" s="1">
        <v>240</v>
      </c>
      <c r="F57" s="1" t="s">
        <v>210</v>
      </c>
      <c r="G57" s="1">
        <f>E57*D57</f>
        <v>5520</v>
      </c>
      <c r="H57" s="1" t="s">
        <v>211</v>
      </c>
    </row>
    <row r="58" spans="1:8" x14ac:dyDescent="0.25">
      <c r="A58" s="57"/>
      <c r="B58" s="1"/>
      <c r="C58" s="1"/>
      <c r="D58" s="1"/>
      <c r="E58" s="1"/>
      <c r="F58" s="1"/>
      <c r="G58" s="1"/>
      <c r="H58" s="1"/>
    </row>
    <row r="59" spans="1:8" x14ac:dyDescent="0.25">
      <c r="A59" s="57"/>
      <c r="B59" s="1"/>
      <c r="C59" s="1"/>
      <c r="D59" s="1"/>
      <c r="E59" s="1"/>
      <c r="F59" s="1"/>
      <c r="G59" s="1"/>
      <c r="H59" s="1"/>
    </row>
    <row r="60" spans="1:8" x14ac:dyDescent="0.25">
      <c r="A60" s="57"/>
      <c r="B60" s="1"/>
      <c r="C60" s="1"/>
      <c r="D60" s="1"/>
      <c r="E60" s="3"/>
      <c r="F60" s="3"/>
      <c r="G60" s="3"/>
      <c r="H60" s="1"/>
    </row>
    <row r="61" spans="1:8" x14ac:dyDescent="0.25">
      <c r="A61" s="57"/>
      <c r="B61" s="67" t="s">
        <v>50</v>
      </c>
      <c r="C61" s="60"/>
      <c r="D61" s="61"/>
      <c r="E61" s="3"/>
      <c r="F61" s="3"/>
      <c r="G61" s="38">
        <f>G57</f>
        <v>5520</v>
      </c>
      <c r="H61" s="1"/>
    </row>
    <row r="63" spans="1: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 t="s">
        <v>5</v>
      </c>
      <c r="H63" s="1" t="s">
        <v>6</v>
      </c>
    </row>
    <row r="64" spans="1:8" x14ac:dyDescent="0.25">
      <c r="A64" s="57" t="s">
        <v>222</v>
      </c>
      <c r="B64" s="1" t="s">
        <v>70</v>
      </c>
      <c r="C64" s="1">
        <v>45</v>
      </c>
      <c r="D64" s="1">
        <v>99</v>
      </c>
      <c r="E64" s="1"/>
      <c r="F64" s="1" t="s">
        <v>10</v>
      </c>
      <c r="G64" s="76">
        <f>C64*D64</f>
        <v>4455</v>
      </c>
      <c r="H64" s="1"/>
    </row>
    <row r="65" spans="1:8" x14ac:dyDescent="0.25">
      <c r="A65" s="57"/>
      <c r="B65" s="1" t="s">
        <v>55</v>
      </c>
      <c r="C65" s="1">
        <v>6</v>
      </c>
      <c r="D65" s="1">
        <v>30.6</v>
      </c>
      <c r="E65" s="1"/>
      <c r="F65" s="1" t="s">
        <v>10</v>
      </c>
      <c r="G65" s="76">
        <f>C65*D65</f>
        <v>183.60000000000002</v>
      </c>
      <c r="H65" s="1"/>
    </row>
    <row r="66" spans="1:8" x14ac:dyDescent="0.25">
      <c r="A66" s="57"/>
      <c r="B66" s="1"/>
      <c r="C66" s="1"/>
      <c r="D66" s="1"/>
      <c r="E66" s="1"/>
      <c r="F66" s="1"/>
      <c r="G66" s="1"/>
      <c r="H66" s="1"/>
    </row>
    <row r="67" spans="1:8" x14ac:dyDescent="0.25">
      <c r="A67" s="57"/>
      <c r="B67" s="1"/>
      <c r="C67" s="1"/>
      <c r="D67" s="1"/>
      <c r="E67" s="3"/>
      <c r="F67" s="3"/>
      <c r="G67" s="3"/>
      <c r="H67" s="1"/>
    </row>
    <row r="68" spans="1:8" x14ac:dyDescent="0.25">
      <c r="A68" s="57"/>
      <c r="B68" s="67" t="s">
        <v>50</v>
      </c>
      <c r="C68" s="60"/>
      <c r="D68" s="61"/>
      <c r="E68" s="3"/>
      <c r="F68" s="3"/>
      <c r="G68" s="47">
        <f>SUM(G64:G67)</f>
        <v>4638.6000000000004</v>
      </c>
      <c r="H68" s="1"/>
    </row>
    <row r="70" spans="1: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/>
      <c r="G70" s="1" t="s">
        <v>5</v>
      </c>
      <c r="H70" s="1" t="s">
        <v>6</v>
      </c>
    </row>
    <row r="71" spans="1:8" x14ac:dyDescent="0.25">
      <c r="A71" s="4" t="s">
        <v>242</v>
      </c>
      <c r="B71" s="1" t="s">
        <v>47</v>
      </c>
      <c r="C71" s="1" t="s">
        <v>243</v>
      </c>
      <c r="D71" s="1">
        <v>66</v>
      </c>
      <c r="E71" s="1">
        <v>67.930000000000007</v>
      </c>
      <c r="F71" s="1" t="s">
        <v>10</v>
      </c>
      <c r="G71" s="76">
        <f>E71*D71</f>
        <v>4483.38</v>
      </c>
      <c r="H71" s="1" t="s">
        <v>49</v>
      </c>
    </row>
    <row r="72" spans="1:8" ht="24.75" customHeight="1" x14ac:dyDescent="0.25">
      <c r="A72" s="8"/>
      <c r="B72" s="1"/>
      <c r="C72" s="1"/>
      <c r="D72" s="1"/>
      <c r="E72" s="1"/>
      <c r="F72" s="1"/>
      <c r="G72" s="1"/>
      <c r="H72" s="1"/>
    </row>
    <row r="73" spans="1:8" x14ac:dyDescent="0.25">
      <c r="A73" s="39"/>
      <c r="B73" s="67" t="s">
        <v>50</v>
      </c>
      <c r="C73" s="60"/>
      <c r="D73" s="61"/>
      <c r="E73" s="3"/>
      <c r="F73" s="3"/>
      <c r="G73" s="47">
        <f>G71</f>
        <v>4483.38</v>
      </c>
      <c r="H73" s="1"/>
    </row>
    <row r="75" spans="1: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251</v>
      </c>
      <c r="F75" s="1"/>
      <c r="G75" s="1" t="s">
        <v>5</v>
      </c>
      <c r="H75" s="1" t="s">
        <v>6</v>
      </c>
    </row>
    <row r="76" spans="1:8" x14ac:dyDescent="0.25">
      <c r="A76" s="4" t="s">
        <v>259</v>
      </c>
      <c r="B76" s="1" t="s">
        <v>260</v>
      </c>
      <c r="C76" s="1" t="s">
        <v>261</v>
      </c>
      <c r="D76" s="1">
        <v>108</v>
      </c>
      <c r="E76" s="1">
        <v>40</v>
      </c>
      <c r="F76" s="1" t="s">
        <v>10</v>
      </c>
      <c r="G76" s="1">
        <f>E76*D76</f>
        <v>4320</v>
      </c>
      <c r="H76" s="1"/>
    </row>
    <row r="77" spans="1:8" x14ac:dyDescent="0.25">
      <c r="A77" s="8"/>
      <c r="B77" s="1"/>
      <c r="C77" s="1"/>
      <c r="D77" s="1"/>
      <c r="E77" s="1"/>
      <c r="F77" s="1"/>
      <c r="G77" s="1"/>
      <c r="H77" s="1"/>
    </row>
    <row r="78" spans="1:8" x14ac:dyDescent="0.25">
      <c r="A78" s="39"/>
      <c r="B78" s="67" t="s">
        <v>50</v>
      </c>
      <c r="C78" s="60"/>
      <c r="D78" s="61"/>
      <c r="E78" s="3"/>
      <c r="F78" s="3"/>
      <c r="G78" s="38">
        <f>G76</f>
        <v>4320</v>
      </c>
      <c r="H78" s="1"/>
    </row>
    <row r="80" spans="1:8" x14ac:dyDescent="0.25">
      <c r="A80" s="1" t="s">
        <v>0</v>
      </c>
      <c r="B80" s="1" t="s">
        <v>275</v>
      </c>
      <c r="C80" s="1" t="s">
        <v>276</v>
      </c>
      <c r="D80" s="1" t="s">
        <v>277</v>
      </c>
      <c r="E80" s="1" t="s">
        <v>251</v>
      </c>
      <c r="F80" s="1"/>
      <c r="G80" s="1" t="s">
        <v>5</v>
      </c>
      <c r="H80" s="1" t="s">
        <v>6</v>
      </c>
    </row>
    <row r="81" spans="1:8" x14ac:dyDescent="0.25">
      <c r="A81" s="57" t="s">
        <v>278</v>
      </c>
      <c r="B81" s="1" t="s">
        <v>279</v>
      </c>
      <c r="C81" s="1" t="s">
        <v>145</v>
      </c>
      <c r="D81" s="1">
        <v>1164</v>
      </c>
      <c r="E81" s="1">
        <v>4</v>
      </c>
      <c r="F81" s="1" t="s">
        <v>31</v>
      </c>
      <c r="G81" s="1">
        <f>E81*D81</f>
        <v>4656</v>
      </c>
      <c r="H81" s="1" t="s">
        <v>280</v>
      </c>
    </row>
    <row r="82" spans="1:8" x14ac:dyDescent="0.25">
      <c r="A82" s="57"/>
      <c r="B82" s="1"/>
      <c r="C82" s="1"/>
      <c r="D82" s="1"/>
      <c r="E82" s="1"/>
      <c r="F82" s="1"/>
      <c r="G82" s="1"/>
      <c r="H82" s="1"/>
    </row>
    <row r="83" spans="1:8" x14ac:dyDescent="0.25">
      <c r="A83" s="57"/>
      <c r="B83" s="1"/>
      <c r="C83" s="1"/>
      <c r="D83" s="1"/>
      <c r="E83" s="1"/>
      <c r="F83" s="1"/>
      <c r="G83" s="1"/>
      <c r="H83" s="1"/>
    </row>
    <row r="84" spans="1:8" x14ac:dyDescent="0.25">
      <c r="A84" s="57"/>
      <c r="B84" s="1"/>
      <c r="C84" s="1"/>
      <c r="D84" s="1"/>
      <c r="E84" s="3"/>
      <c r="F84" s="3"/>
      <c r="G84" s="3"/>
      <c r="H84" s="1"/>
    </row>
    <row r="85" spans="1:8" x14ac:dyDescent="0.25">
      <c r="A85" s="57"/>
      <c r="B85" s="67" t="s">
        <v>50</v>
      </c>
      <c r="C85" s="60"/>
      <c r="D85" s="61"/>
      <c r="E85" s="3"/>
      <c r="F85" s="3"/>
      <c r="G85" s="38">
        <f>G81</f>
        <v>4656</v>
      </c>
      <c r="H85" s="1"/>
    </row>
  </sheetData>
  <mergeCells count="26">
    <mergeCell ref="A81:A85"/>
    <mergeCell ref="B85:D85"/>
    <mergeCell ref="B73:D73"/>
    <mergeCell ref="A71:A72"/>
    <mergeCell ref="B78:D78"/>
    <mergeCell ref="A76:A77"/>
    <mergeCell ref="A57:A61"/>
    <mergeCell ref="B61:D61"/>
    <mergeCell ref="S33:S37"/>
    <mergeCell ref="T37:V37"/>
    <mergeCell ref="A64:A68"/>
    <mergeCell ref="B68:D68"/>
    <mergeCell ref="B47:D47"/>
    <mergeCell ref="K36:M36"/>
    <mergeCell ref="A50:A54"/>
    <mergeCell ref="B54:D54"/>
    <mergeCell ref="A25:A29"/>
    <mergeCell ref="B29:D29"/>
    <mergeCell ref="A32:A36"/>
    <mergeCell ref="B36:D36"/>
    <mergeCell ref="A39:A43"/>
    <mergeCell ref="B43:D43"/>
    <mergeCell ref="A6:A9"/>
    <mergeCell ref="B13:D13"/>
    <mergeCell ref="B17:D17"/>
    <mergeCell ref="B22:D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"/>
  <sheetViews>
    <sheetView topLeftCell="A13" workbookViewId="0">
      <selection activeCell="S27" sqref="S27:S31"/>
    </sheetView>
  </sheetViews>
  <sheetFormatPr defaultRowHeight="16.5" x14ac:dyDescent="0.25"/>
  <cols>
    <col min="1" max="1" width="13.875" bestFit="1" customWidth="1"/>
    <col min="2" max="2" width="11.625" bestFit="1" customWidth="1"/>
    <col min="8" max="8" width="11.625" bestFit="1" customWidth="1"/>
    <col min="10" max="10" width="13.875" bestFit="1" customWidth="1"/>
    <col min="19" max="19" width="11.625" bestFit="1" customWidth="1"/>
  </cols>
  <sheetData>
    <row r="1" spans="1:8" x14ac:dyDescent="0.25">
      <c r="A1" s="10" t="s">
        <v>12</v>
      </c>
      <c r="B1" s="11" t="s">
        <v>1</v>
      </c>
      <c r="C1" s="11" t="s">
        <v>2</v>
      </c>
      <c r="D1" s="11" t="s">
        <v>3</v>
      </c>
      <c r="E1" s="29" t="s">
        <v>4</v>
      </c>
      <c r="F1" s="30"/>
      <c r="G1" s="13" t="s">
        <v>5</v>
      </c>
      <c r="H1" s="14" t="s">
        <v>6</v>
      </c>
    </row>
    <row r="2" spans="1:8" x14ac:dyDescent="0.25">
      <c r="A2" s="15" t="s">
        <v>13</v>
      </c>
      <c r="B2" s="1" t="s">
        <v>14</v>
      </c>
      <c r="C2" s="1" t="s">
        <v>15</v>
      </c>
      <c r="D2" s="1">
        <v>108</v>
      </c>
      <c r="E2" s="24">
        <v>18</v>
      </c>
      <c r="F2" s="1" t="s">
        <v>10</v>
      </c>
      <c r="G2" s="3">
        <f>D2*E2</f>
        <v>1944</v>
      </c>
      <c r="H2" s="16"/>
    </row>
    <row r="3" spans="1:8" x14ac:dyDescent="0.25">
      <c r="A3" s="17"/>
      <c r="B3" s="31" t="s">
        <v>16</v>
      </c>
      <c r="C3" s="1" t="s">
        <v>17</v>
      </c>
      <c r="D3" s="1">
        <v>60</v>
      </c>
      <c r="E3" s="2">
        <v>20</v>
      </c>
      <c r="F3" s="1" t="s">
        <v>10</v>
      </c>
      <c r="G3" s="3">
        <f>E3*D3</f>
        <v>1200</v>
      </c>
      <c r="H3" s="32" t="s">
        <v>18</v>
      </c>
    </row>
    <row r="4" spans="1:8" ht="33" x14ac:dyDescent="0.25">
      <c r="A4" s="17"/>
      <c r="B4" s="28" t="s">
        <v>19</v>
      </c>
      <c r="C4" s="1" t="s">
        <v>20</v>
      </c>
      <c r="D4" s="1">
        <v>42</v>
      </c>
      <c r="E4" s="2">
        <v>15</v>
      </c>
      <c r="F4" s="1" t="s">
        <v>10</v>
      </c>
      <c r="G4" s="3">
        <f>E4*D4</f>
        <v>630</v>
      </c>
      <c r="H4" s="32" t="s">
        <v>18</v>
      </c>
    </row>
    <row r="5" spans="1:8" ht="17.25" thickBot="1" x14ac:dyDescent="0.3">
      <c r="A5" s="19"/>
      <c r="B5" s="20"/>
      <c r="C5" s="20"/>
      <c r="D5" s="20"/>
      <c r="E5" s="21"/>
      <c r="F5" s="21"/>
      <c r="G5" s="46">
        <f>SUM(G2:G4)</f>
        <v>3774</v>
      </c>
      <c r="H5" s="23"/>
    </row>
    <row r="6" spans="1:8" ht="17.25" thickBot="1" x14ac:dyDescent="0.3"/>
    <row r="7" spans="1:8" x14ac:dyDescent="0.25">
      <c r="A7" s="10" t="s">
        <v>12</v>
      </c>
      <c r="B7" s="11" t="s">
        <v>1</v>
      </c>
      <c r="C7" s="11" t="s">
        <v>2</v>
      </c>
      <c r="D7" s="11" t="s">
        <v>3</v>
      </c>
      <c r="E7" s="29" t="s">
        <v>4</v>
      </c>
      <c r="F7" s="30"/>
      <c r="G7" s="13" t="s">
        <v>5</v>
      </c>
      <c r="H7" s="14" t="s">
        <v>6</v>
      </c>
    </row>
    <row r="8" spans="1:8" x14ac:dyDescent="0.25">
      <c r="A8" s="35" t="s">
        <v>51</v>
      </c>
      <c r="B8" s="1" t="s">
        <v>52</v>
      </c>
      <c r="C8" s="1" t="s">
        <v>53</v>
      </c>
      <c r="D8" s="1">
        <v>130</v>
      </c>
      <c r="E8" s="24">
        <v>24.17</v>
      </c>
      <c r="F8" s="1" t="s">
        <v>10</v>
      </c>
      <c r="G8" s="3">
        <v>3142</v>
      </c>
      <c r="H8" s="16" t="s">
        <v>54</v>
      </c>
    </row>
    <row r="9" spans="1:8" ht="17.25" thickBot="1" x14ac:dyDescent="0.3">
      <c r="A9" s="36"/>
      <c r="B9" s="40" t="s">
        <v>55</v>
      </c>
      <c r="C9" s="20" t="s">
        <v>40</v>
      </c>
      <c r="D9" s="20">
        <v>30.6</v>
      </c>
      <c r="E9" s="21">
        <v>5</v>
      </c>
      <c r="F9" s="20" t="s">
        <v>10</v>
      </c>
      <c r="G9" s="22">
        <v>153</v>
      </c>
      <c r="H9" s="23"/>
    </row>
    <row r="11" spans="1:8" x14ac:dyDescent="0.25">
      <c r="A11" s="1" t="s">
        <v>12</v>
      </c>
      <c r="B11" s="1" t="s">
        <v>1</v>
      </c>
      <c r="C11" s="1" t="s">
        <v>2</v>
      </c>
      <c r="D11" s="1" t="s">
        <v>3</v>
      </c>
      <c r="E11" s="24" t="s">
        <v>4</v>
      </c>
      <c r="F11" s="25"/>
      <c r="G11" s="3" t="s">
        <v>5</v>
      </c>
      <c r="H11" s="1" t="s">
        <v>6</v>
      </c>
    </row>
    <row r="12" spans="1:8" x14ac:dyDescent="0.25">
      <c r="A12" s="4" t="s">
        <v>73</v>
      </c>
      <c r="B12" s="1" t="s">
        <v>74</v>
      </c>
      <c r="C12" s="1" t="s">
        <v>40</v>
      </c>
      <c r="D12" s="1">
        <v>93</v>
      </c>
      <c r="E12" s="24">
        <v>5</v>
      </c>
      <c r="F12" s="1" t="s">
        <v>10</v>
      </c>
      <c r="G12" s="3">
        <f>E12*D12</f>
        <v>465</v>
      </c>
      <c r="H12" s="6"/>
    </row>
    <row r="13" spans="1:8" x14ac:dyDescent="0.25">
      <c r="A13" s="7"/>
      <c r="B13" s="26" t="s">
        <v>75</v>
      </c>
      <c r="C13" s="1" t="s">
        <v>42</v>
      </c>
      <c r="D13" s="1">
        <v>93</v>
      </c>
      <c r="E13" s="1">
        <v>10</v>
      </c>
      <c r="F13" s="1" t="s">
        <v>10</v>
      </c>
      <c r="G13" s="3">
        <f t="shared" ref="G13:G14" si="0">E13*D13</f>
        <v>930</v>
      </c>
      <c r="H13" s="1"/>
    </row>
    <row r="14" spans="1:8" x14ac:dyDescent="0.25">
      <c r="A14" s="7"/>
      <c r="B14" s="1" t="s">
        <v>44</v>
      </c>
      <c r="C14" s="1" t="s">
        <v>76</v>
      </c>
      <c r="D14" s="1">
        <v>45</v>
      </c>
      <c r="E14" s="1">
        <v>4</v>
      </c>
      <c r="F14" s="1" t="s">
        <v>10</v>
      </c>
      <c r="G14" s="3">
        <f t="shared" si="0"/>
        <v>180</v>
      </c>
      <c r="H14" s="1" t="s">
        <v>45</v>
      </c>
    </row>
    <row r="15" spans="1:8" x14ac:dyDescent="0.25">
      <c r="A15" s="8"/>
      <c r="B15" s="1"/>
      <c r="C15" s="1"/>
      <c r="D15" s="1"/>
      <c r="E15" s="2"/>
      <c r="F15" s="2"/>
      <c r="G15" s="3"/>
      <c r="H15" s="1"/>
    </row>
    <row r="16" spans="1:8" x14ac:dyDescent="0.25">
      <c r="A16" s="1"/>
      <c r="B16" s="34" t="s">
        <v>50</v>
      </c>
      <c r="C16" s="60"/>
      <c r="D16" s="60"/>
      <c r="E16" s="60"/>
      <c r="F16" s="61"/>
      <c r="G16" s="38">
        <f>SUM(G12:G15)</f>
        <v>1575</v>
      </c>
      <c r="H16" s="1"/>
    </row>
    <row r="18" spans="1:28" ht="17.25" thickBot="1" x14ac:dyDescent="0.3"/>
    <row r="19" spans="1:28" x14ac:dyDescent="0.25">
      <c r="A19" s="10" t="s">
        <v>56</v>
      </c>
      <c r="B19" s="11" t="s">
        <v>1</v>
      </c>
      <c r="C19" s="11" t="s">
        <v>2</v>
      </c>
      <c r="D19" s="11" t="s">
        <v>3</v>
      </c>
      <c r="E19" s="12" t="s">
        <v>4</v>
      </c>
      <c r="F19" s="12"/>
      <c r="G19" s="13" t="s">
        <v>5</v>
      </c>
      <c r="H19" s="14" t="s">
        <v>6</v>
      </c>
      <c r="J19" s="10" t="s">
        <v>56</v>
      </c>
      <c r="K19" s="11" t="s">
        <v>1</v>
      </c>
      <c r="L19" s="11" t="s">
        <v>2</v>
      </c>
      <c r="M19" s="11" t="s">
        <v>3</v>
      </c>
      <c r="N19" s="11" t="s">
        <v>4</v>
      </c>
      <c r="O19" s="11"/>
      <c r="P19" s="11" t="s">
        <v>5</v>
      </c>
      <c r="Q19" s="14" t="s">
        <v>6</v>
      </c>
      <c r="S19" s="1" t="s">
        <v>12</v>
      </c>
      <c r="T19" s="1" t="s">
        <v>1</v>
      </c>
      <c r="U19" s="1" t="s">
        <v>2</v>
      </c>
      <c r="V19" s="1" t="s">
        <v>3</v>
      </c>
      <c r="W19" s="1" t="s">
        <v>4</v>
      </c>
      <c r="X19" s="1"/>
      <c r="Y19" s="1" t="s">
        <v>5</v>
      </c>
      <c r="Z19" s="1" t="s">
        <v>6</v>
      </c>
    </row>
    <row r="20" spans="1:28" x14ac:dyDescent="0.25">
      <c r="A20" s="35" t="s">
        <v>57</v>
      </c>
      <c r="B20" s="1" t="s">
        <v>58</v>
      </c>
      <c r="C20" s="1" t="s">
        <v>59</v>
      </c>
      <c r="D20" s="1">
        <v>28.5</v>
      </c>
      <c r="E20" s="2">
        <v>35</v>
      </c>
      <c r="F20" s="1" t="s">
        <v>10</v>
      </c>
      <c r="G20" s="3">
        <v>998</v>
      </c>
      <c r="H20" s="18" t="s">
        <v>60</v>
      </c>
      <c r="J20" s="68" t="s">
        <v>183</v>
      </c>
      <c r="K20" s="1" t="s">
        <v>58</v>
      </c>
      <c r="L20" s="1" t="s">
        <v>79</v>
      </c>
      <c r="M20" s="1">
        <v>20.52</v>
      </c>
      <c r="N20" s="1">
        <v>30</v>
      </c>
      <c r="O20" s="1" t="s">
        <v>10</v>
      </c>
      <c r="P20" s="76">
        <f>N20*M20</f>
        <v>615.6</v>
      </c>
      <c r="Q20" s="18"/>
      <c r="S20" s="39" t="s">
        <v>212</v>
      </c>
      <c r="T20" s="1" t="s">
        <v>147</v>
      </c>
      <c r="U20" s="1" t="s">
        <v>79</v>
      </c>
      <c r="V20" s="1">
        <v>20.52</v>
      </c>
      <c r="W20" s="1">
        <v>30</v>
      </c>
      <c r="X20" s="1" t="s">
        <v>10</v>
      </c>
      <c r="Y20" s="76">
        <f>W20*V20</f>
        <v>615.6</v>
      </c>
      <c r="Z20" s="1"/>
    </row>
    <row r="21" spans="1:28" x14ac:dyDescent="0.25">
      <c r="A21" s="35"/>
      <c r="B21" s="1" t="s">
        <v>44</v>
      </c>
      <c r="C21" s="1" t="s">
        <v>40</v>
      </c>
      <c r="D21" s="1">
        <v>45</v>
      </c>
      <c r="E21" s="2">
        <v>5</v>
      </c>
      <c r="F21" s="1" t="s">
        <v>10</v>
      </c>
      <c r="G21" s="3">
        <v>225</v>
      </c>
      <c r="H21" s="18" t="s">
        <v>45</v>
      </c>
      <c r="J21" s="68"/>
      <c r="K21" s="1" t="s">
        <v>44</v>
      </c>
      <c r="L21" s="1" t="s">
        <v>76</v>
      </c>
      <c r="M21" s="1">
        <v>45</v>
      </c>
      <c r="N21" s="1">
        <v>4</v>
      </c>
      <c r="O21" s="1" t="s">
        <v>10</v>
      </c>
      <c r="P21" s="76">
        <f t="shared" ref="P21:P22" si="1">N21*M21</f>
        <v>180</v>
      </c>
      <c r="Q21" s="18"/>
      <c r="S21" s="39"/>
      <c r="T21" s="1" t="s">
        <v>44</v>
      </c>
      <c r="U21" s="1" t="s">
        <v>76</v>
      </c>
      <c r="V21" s="1">
        <v>45</v>
      </c>
      <c r="W21" s="1">
        <v>4</v>
      </c>
      <c r="X21" s="1" t="s">
        <v>10</v>
      </c>
      <c r="Y21" s="76">
        <f t="shared" ref="Y21:Y22" si="2">W21*V21</f>
        <v>180</v>
      </c>
      <c r="Z21" s="1"/>
    </row>
    <row r="22" spans="1:28" x14ac:dyDescent="0.25">
      <c r="A22" s="35"/>
      <c r="B22" s="1" t="s">
        <v>61</v>
      </c>
      <c r="C22" s="1" t="s">
        <v>62</v>
      </c>
      <c r="D22" s="1">
        <v>660</v>
      </c>
      <c r="E22" s="2">
        <v>0.5</v>
      </c>
      <c r="F22" s="1" t="s">
        <v>10</v>
      </c>
      <c r="G22" s="3">
        <v>330</v>
      </c>
      <c r="H22" s="18"/>
      <c r="J22" s="68"/>
      <c r="K22" s="1" t="s">
        <v>184</v>
      </c>
      <c r="L22" s="1" t="s">
        <v>158</v>
      </c>
      <c r="M22" s="1">
        <v>90</v>
      </c>
      <c r="N22" s="1">
        <v>6</v>
      </c>
      <c r="O22" s="1" t="s">
        <v>10</v>
      </c>
      <c r="P22" s="76">
        <f t="shared" si="1"/>
        <v>540</v>
      </c>
      <c r="Q22" s="18"/>
      <c r="S22" s="39"/>
      <c r="T22" s="1" t="s">
        <v>184</v>
      </c>
      <c r="U22" s="1" t="s">
        <v>101</v>
      </c>
      <c r="V22" s="1">
        <v>90</v>
      </c>
      <c r="W22" s="1">
        <v>8</v>
      </c>
      <c r="X22" s="1" t="s">
        <v>10</v>
      </c>
      <c r="Y22" s="76">
        <f t="shared" si="2"/>
        <v>720</v>
      </c>
      <c r="Z22" s="1"/>
    </row>
    <row r="23" spans="1:28" x14ac:dyDescent="0.25">
      <c r="A23" s="35"/>
      <c r="B23" s="24"/>
      <c r="C23" s="24"/>
      <c r="D23" s="24"/>
      <c r="E23" s="41"/>
      <c r="F23" s="41"/>
      <c r="G23" s="42"/>
      <c r="H23" s="18"/>
      <c r="J23" s="68"/>
      <c r="K23" s="1"/>
      <c r="L23" s="1"/>
      <c r="M23" s="1"/>
      <c r="N23" s="3"/>
      <c r="O23" s="3"/>
      <c r="P23" s="3"/>
      <c r="Q23" s="18"/>
      <c r="S23" s="39"/>
      <c r="T23" s="1"/>
      <c r="U23" s="1"/>
      <c r="V23" s="1"/>
      <c r="W23" s="1"/>
      <c r="X23" s="1"/>
      <c r="Y23" s="1"/>
      <c r="Z23" s="1"/>
    </row>
    <row r="24" spans="1:28" ht="17.25" thickBot="1" x14ac:dyDescent="0.3">
      <c r="A24" s="36"/>
      <c r="B24" s="43" t="s">
        <v>50</v>
      </c>
      <c r="C24" s="44"/>
      <c r="D24" s="44"/>
      <c r="E24" s="44"/>
      <c r="F24" s="45"/>
      <c r="G24" s="46">
        <f>SUM(G20:G23)</f>
        <v>1553</v>
      </c>
      <c r="H24" s="23"/>
      <c r="J24" s="69"/>
      <c r="K24" s="70" t="s">
        <v>50</v>
      </c>
      <c r="L24" s="71"/>
      <c r="M24" s="72"/>
      <c r="N24" s="22"/>
      <c r="O24" s="22"/>
      <c r="P24" s="49">
        <f>SUM(P20:P23)</f>
        <v>1335.6</v>
      </c>
      <c r="Q24" s="23"/>
      <c r="S24" s="39"/>
      <c r="T24" s="67" t="s">
        <v>50</v>
      </c>
      <c r="U24" s="60"/>
      <c r="V24" s="61"/>
      <c r="W24" s="3"/>
      <c r="X24" s="3"/>
      <c r="Y24" s="47">
        <f>SUM(Y20:Y23)</f>
        <v>1515.6</v>
      </c>
      <c r="Z24" s="1"/>
    </row>
    <row r="26" spans="1:28" x14ac:dyDescent="0.25">
      <c r="A26" s="1" t="s">
        <v>56</v>
      </c>
      <c r="B26" s="1" t="s">
        <v>1</v>
      </c>
      <c r="C26" s="1" t="s">
        <v>2</v>
      </c>
      <c r="D26" s="1" t="s">
        <v>3</v>
      </c>
      <c r="E26" s="2" t="s">
        <v>4</v>
      </c>
      <c r="F26" s="2"/>
      <c r="G26" s="3" t="s">
        <v>5</v>
      </c>
      <c r="H26" s="1" t="s">
        <v>6</v>
      </c>
      <c r="J26" s="1" t="s">
        <v>12</v>
      </c>
      <c r="K26" s="1" t="s">
        <v>1</v>
      </c>
      <c r="L26" s="1" t="s">
        <v>2</v>
      </c>
      <c r="M26" s="1" t="s">
        <v>3</v>
      </c>
      <c r="N26" s="1" t="s">
        <v>4</v>
      </c>
      <c r="O26" s="1"/>
      <c r="P26" s="1" t="s">
        <v>5</v>
      </c>
      <c r="Q26" s="1" t="s">
        <v>6</v>
      </c>
      <c r="S26" s="1" t="s">
        <v>56</v>
      </c>
      <c r="T26" s="1" t="s">
        <v>1</v>
      </c>
      <c r="U26" s="1" t="s">
        <v>2</v>
      </c>
      <c r="V26" s="1" t="s">
        <v>3</v>
      </c>
      <c r="W26" s="1"/>
      <c r="X26" s="1"/>
      <c r="Y26" s="1" t="s">
        <v>5</v>
      </c>
      <c r="Z26" s="1" t="s">
        <v>6</v>
      </c>
    </row>
    <row r="27" spans="1:28" x14ac:dyDescent="0.25">
      <c r="A27" s="4" t="s">
        <v>77</v>
      </c>
      <c r="B27" s="1" t="s">
        <v>78</v>
      </c>
      <c r="C27" s="1" t="s">
        <v>79</v>
      </c>
      <c r="D27" s="1">
        <v>61.2</v>
      </c>
      <c r="E27" s="2">
        <v>30</v>
      </c>
      <c r="F27" s="1" t="s">
        <v>10</v>
      </c>
      <c r="G27" s="3">
        <f>E27*D27</f>
        <v>1836</v>
      </c>
      <c r="H27" s="1"/>
      <c r="J27" s="4" t="s">
        <v>215</v>
      </c>
      <c r="K27" s="1" t="s">
        <v>216</v>
      </c>
      <c r="L27" s="1" t="s">
        <v>217</v>
      </c>
      <c r="M27" s="1">
        <v>28.56</v>
      </c>
      <c r="N27" s="1">
        <v>65</v>
      </c>
      <c r="O27" s="1" t="s">
        <v>10</v>
      </c>
      <c r="P27" s="76">
        <f>N27*M27</f>
        <v>1856.3999999999999</v>
      </c>
      <c r="Q27" s="1"/>
      <c r="S27" s="57" t="s">
        <v>289</v>
      </c>
      <c r="T27" s="1" t="s">
        <v>290</v>
      </c>
      <c r="U27" s="1" t="s">
        <v>200</v>
      </c>
      <c r="V27" s="1">
        <v>28.5</v>
      </c>
      <c r="W27" s="1">
        <v>25</v>
      </c>
      <c r="X27" s="1" t="s">
        <v>286</v>
      </c>
      <c r="Y27" s="76">
        <f>W27*V27</f>
        <v>712.5</v>
      </c>
      <c r="Z27" s="1"/>
    </row>
    <row r="28" spans="1:28" x14ac:dyDescent="0.25">
      <c r="A28" s="7"/>
      <c r="B28" s="1" t="s">
        <v>80</v>
      </c>
      <c r="C28" s="1" t="s">
        <v>81</v>
      </c>
      <c r="D28" s="1">
        <v>85</v>
      </c>
      <c r="E28" s="2">
        <v>8</v>
      </c>
      <c r="F28" s="1" t="s">
        <v>23</v>
      </c>
      <c r="G28" s="3">
        <f>E28*D28</f>
        <v>680</v>
      </c>
      <c r="H28" s="27" t="s">
        <v>18</v>
      </c>
      <c r="J28" s="7"/>
      <c r="K28" s="26" t="s">
        <v>141</v>
      </c>
      <c r="L28" s="1" t="s">
        <v>40</v>
      </c>
      <c r="M28" s="1">
        <v>85</v>
      </c>
      <c r="N28" s="1">
        <v>5</v>
      </c>
      <c r="O28" s="1" t="s">
        <v>10</v>
      </c>
      <c r="P28" s="76">
        <f t="shared" ref="P28:P29" si="3">N28*M28</f>
        <v>425</v>
      </c>
      <c r="Q28" s="1"/>
      <c r="S28" s="57"/>
      <c r="T28" s="1" t="s">
        <v>80</v>
      </c>
      <c r="U28" s="1" t="s">
        <v>291</v>
      </c>
      <c r="V28" s="1">
        <v>85</v>
      </c>
      <c r="W28" s="1">
        <v>7</v>
      </c>
      <c r="X28" s="1" t="s">
        <v>292</v>
      </c>
      <c r="Y28" s="1">
        <f>W28*V28</f>
        <v>595</v>
      </c>
      <c r="Z28" s="1"/>
    </row>
    <row r="29" spans="1:28" x14ac:dyDescent="0.25">
      <c r="A29" s="7"/>
      <c r="B29" s="1"/>
      <c r="C29" s="1"/>
      <c r="D29" s="1"/>
      <c r="E29" s="2"/>
      <c r="F29" s="1"/>
      <c r="G29" s="3"/>
      <c r="H29" s="1"/>
      <c r="J29" s="8"/>
      <c r="K29" s="1" t="s">
        <v>204</v>
      </c>
      <c r="L29" s="1" t="s">
        <v>170</v>
      </c>
      <c r="M29" s="1">
        <v>6.3</v>
      </c>
      <c r="N29" s="1">
        <v>3</v>
      </c>
      <c r="O29" s="1" t="s">
        <v>10</v>
      </c>
      <c r="P29" s="76">
        <f t="shared" si="3"/>
        <v>18.899999999999999</v>
      </c>
      <c r="Q29" s="1"/>
      <c r="S29" s="57"/>
      <c r="T29" s="1"/>
      <c r="U29" s="1"/>
      <c r="V29" s="1"/>
      <c r="W29" s="1"/>
      <c r="X29" s="1"/>
      <c r="Y29" s="1"/>
      <c r="Z29" s="1"/>
    </row>
    <row r="30" spans="1:28" x14ac:dyDescent="0.25">
      <c r="A30" s="8"/>
      <c r="B30" s="24"/>
      <c r="C30" s="24"/>
      <c r="D30" s="24"/>
      <c r="E30" s="41"/>
      <c r="F30" s="41"/>
      <c r="G30" s="38">
        <f>SUM(G27:G29)</f>
        <v>2516</v>
      </c>
      <c r="H30" s="1"/>
      <c r="J30" s="39"/>
      <c r="K30" s="67" t="s">
        <v>50</v>
      </c>
      <c r="L30" s="60"/>
      <c r="M30" s="61"/>
      <c r="N30" s="3"/>
      <c r="O30" s="3"/>
      <c r="P30" s="47">
        <f>SUM(P27:P29)</f>
        <v>2300.2999999999997</v>
      </c>
      <c r="Q30" s="1"/>
      <c r="S30" s="57"/>
      <c r="T30" s="1"/>
      <c r="U30" s="1"/>
      <c r="V30" s="1"/>
      <c r="W30" s="3"/>
      <c r="X30" s="3"/>
      <c r="Y30" s="3"/>
      <c r="Z30" s="1"/>
    </row>
    <row r="31" spans="1:28" ht="17.25" thickBot="1" x14ac:dyDescent="0.3">
      <c r="S31" s="57"/>
      <c r="T31" s="67" t="s">
        <v>50</v>
      </c>
      <c r="U31" s="60"/>
      <c r="V31" s="61"/>
      <c r="W31" s="3"/>
      <c r="X31" s="3"/>
      <c r="Y31" s="47">
        <f>SUM(Y27:Y30)</f>
        <v>1307.5</v>
      </c>
      <c r="Z31" s="1"/>
    </row>
    <row r="32" spans="1:28" x14ac:dyDescent="0.25">
      <c r="A32" s="10" t="s">
        <v>12</v>
      </c>
      <c r="B32" s="11" t="s">
        <v>1</v>
      </c>
      <c r="C32" s="11" t="s">
        <v>2</v>
      </c>
      <c r="D32" s="11" t="s">
        <v>3</v>
      </c>
      <c r="E32" s="11" t="s">
        <v>4</v>
      </c>
      <c r="F32" s="11"/>
      <c r="G32" s="11" t="s">
        <v>5</v>
      </c>
      <c r="H32" s="14" t="s">
        <v>6</v>
      </c>
      <c r="J32" s="1" t="s">
        <v>56</v>
      </c>
      <c r="K32" s="1" t="s">
        <v>1</v>
      </c>
      <c r="L32" s="1" t="s">
        <v>2</v>
      </c>
      <c r="M32" s="1" t="s">
        <v>3</v>
      </c>
      <c r="N32" s="1" t="s">
        <v>251</v>
      </c>
      <c r="O32" s="1"/>
      <c r="P32" s="1" t="s">
        <v>5</v>
      </c>
      <c r="AB32" s="1" t="s">
        <v>6</v>
      </c>
    </row>
    <row r="33" spans="1:28" x14ac:dyDescent="0.25">
      <c r="A33" s="35" t="s">
        <v>96</v>
      </c>
      <c r="B33" s="1" t="s">
        <v>97</v>
      </c>
      <c r="C33" s="1" t="s">
        <v>98</v>
      </c>
      <c r="D33" s="1">
        <v>26.1</v>
      </c>
      <c r="E33" s="1">
        <v>55</v>
      </c>
      <c r="F33" s="1" t="s">
        <v>10</v>
      </c>
      <c r="G33" s="1">
        <f>E33*D33</f>
        <v>1435.5</v>
      </c>
      <c r="H33" s="18"/>
      <c r="J33" s="39" t="s">
        <v>264</v>
      </c>
      <c r="K33" s="1" t="s">
        <v>97</v>
      </c>
      <c r="L33" s="1" t="s">
        <v>38</v>
      </c>
      <c r="M33" s="1">
        <v>20.7</v>
      </c>
      <c r="N33" s="1">
        <v>50</v>
      </c>
      <c r="O33" s="1" t="s">
        <v>10</v>
      </c>
      <c r="P33" s="1">
        <f>N33*M33</f>
        <v>1035</v>
      </c>
      <c r="AB33" s="1"/>
    </row>
    <row r="34" spans="1:28" x14ac:dyDescent="0.25">
      <c r="A34" s="73"/>
      <c r="B34" s="31"/>
      <c r="C34" s="1"/>
      <c r="D34" s="1"/>
      <c r="E34" s="1"/>
      <c r="F34" s="1"/>
      <c r="G34" s="1"/>
      <c r="H34" s="18"/>
      <c r="J34" s="39"/>
      <c r="K34" s="1"/>
      <c r="L34" s="1"/>
      <c r="M34" s="1"/>
      <c r="N34" s="1"/>
      <c r="O34" s="1"/>
      <c r="P34" s="1"/>
      <c r="AB34" s="1"/>
    </row>
    <row r="35" spans="1:28" ht="17.25" thickBot="1" x14ac:dyDescent="0.3">
      <c r="A35" s="74"/>
      <c r="B35" s="70" t="s">
        <v>50</v>
      </c>
      <c r="C35" s="71"/>
      <c r="D35" s="72"/>
      <c r="E35" s="22"/>
      <c r="F35" s="22"/>
      <c r="G35" s="49">
        <f>G33</f>
        <v>1435.5</v>
      </c>
      <c r="H35" s="23"/>
      <c r="J35" s="39"/>
      <c r="K35" s="67" t="s">
        <v>50</v>
      </c>
      <c r="L35" s="60"/>
      <c r="M35" s="61"/>
      <c r="N35" s="3"/>
      <c r="O35" s="3"/>
      <c r="P35" s="38">
        <f>P33</f>
        <v>1035</v>
      </c>
      <c r="AB35" s="1"/>
    </row>
    <row r="36" spans="1:28" ht="17.25" thickBot="1" x14ac:dyDescent="0.3"/>
    <row r="37" spans="1:28" x14ac:dyDescent="0.25">
      <c r="A37" s="10" t="s">
        <v>56</v>
      </c>
      <c r="B37" s="11" t="s">
        <v>1</v>
      </c>
      <c r="C37" s="11" t="s">
        <v>2</v>
      </c>
      <c r="D37" s="11" t="s">
        <v>3</v>
      </c>
      <c r="E37" s="11" t="s">
        <v>4</v>
      </c>
      <c r="F37" s="11"/>
      <c r="G37" s="11" t="s">
        <v>5</v>
      </c>
      <c r="H37" s="14" t="s">
        <v>6</v>
      </c>
      <c r="J37" s="10" t="s">
        <v>56</v>
      </c>
      <c r="K37" s="11" t="s">
        <v>1</v>
      </c>
      <c r="L37" s="11" t="s">
        <v>2</v>
      </c>
      <c r="M37" s="11" t="s">
        <v>3</v>
      </c>
      <c r="N37" s="11" t="s">
        <v>4</v>
      </c>
      <c r="O37" s="11"/>
      <c r="P37" s="11" t="s">
        <v>5</v>
      </c>
      <c r="Q37" s="14" t="s">
        <v>6</v>
      </c>
    </row>
    <row r="38" spans="1:28" x14ac:dyDescent="0.25">
      <c r="A38" s="68" t="s">
        <v>99</v>
      </c>
      <c r="B38" s="1" t="s">
        <v>100</v>
      </c>
      <c r="C38" s="1" t="s">
        <v>59</v>
      </c>
      <c r="D38" s="1">
        <v>48</v>
      </c>
      <c r="E38" s="1">
        <v>35</v>
      </c>
      <c r="F38" s="1" t="s">
        <v>10</v>
      </c>
      <c r="G38" s="1">
        <f>E38*D38</f>
        <v>1680</v>
      </c>
      <c r="H38" s="18"/>
      <c r="J38" s="15" t="s">
        <v>159</v>
      </c>
      <c r="K38" s="1" t="s">
        <v>100</v>
      </c>
      <c r="L38" s="1" t="s">
        <v>59</v>
      </c>
      <c r="M38" s="1">
        <v>48</v>
      </c>
      <c r="N38" s="1">
        <v>35</v>
      </c>
      <c r="O38" s="1" t="s">
        <v>10</v>
      </c>
      <c r="P38" s="1">
        <f>M38*N38</f>
        <v>1680</v>
      </c>
      <c r="Q38" s="18"/>
    </row>
    <row r="39" spans="1:28" x14ac:dyDescent="0.25">
      <c r="A39" s="68"/>
      <c r="B39" s="1" t="s">
        <v>55</v>
      </c>
      <c r="C39" s="1" t="s">
        <v>101</v>
      </c>
      <c r="D39" s="1">
        <v>29.58</v>
      </c>
      <c r="E39" s="1">
        <v>8</v>
      </c>
      <c r="F39" s="1" t="s">
        <v>10</v>
      </c>
      <c r="G39" s="1">
        <f>E39*D39</f>
        <v>236.64</v>
      </c>
      <c r="H39" s="18"/>
      <c r="J39" s="17"/>
      <c r="K39" s="1"/>
      <c r="L39" s="1"/>
      <c r="M39" s="1"/>
      <c r="N39" s="1"/>
      <c r="O39" s="1"/>
      <c r="P39" s="1"/>
      <c r="Q39" s="18"/>
    </row>
    <row r="40" spans="1:28" x14ac:dyDescent="0.25">
      <c r="A40" s="68"/>
      <c r="B40" s="1"/>
      <c r="C40" s="1"/>
      <c r="D40" s="1"/>
      <c r="E40" s="1"/>
      <c r="F40" s="1"/>
      <c r="G40" s="1"/>
      <c r="H40" s="18"/>
      <c r="J40" s="62"/>
      <c r="K40" s="1"/>
      <c r="L40" s="1"/>
      <c r="M40" s="1"/>
      <c r="N40" s="1"/>
      <c r="O40" s="1"/>
      <c r="P40" s="1"/>
      <c r="Q40" s="18"/>
    </row>
    <row r="41" spans="1:28" ht="17.25" thickBot="1" x14ac:dyDescent="0.3">
      <c r="A41" s="68"/>
      <c r="B41" s="1"/>
      <c r="C41" s="1"/>
      <c r="D41" s="1"/>
      <c r="E41" s="3"/>
      <c r="F41" s="3"/>
      <c r="G41" s="3"/>
      <c r="H41" s="18"/>
      <c r="J41" s="74"/>
      <c r="K41" s="70" t="s">
        <v>50</v>
      </c>
      <c r="L41" s="71"/>
      <c r="M41" s="72"/>
      <c r="N41" s="22"/>
      <c r="O41" s="22"/>
      <c r="P41" s="46">
        <f>SUM(P38:P40)</f>
        <v>1680</v>
      </c>
      <c r="Q41" s="23"/>
    </row>
    <row r="42" spans="1:28" ht="17.25" thickBot="1" x14ac:dyDescent="0.3">
      <c r="A42" s="69"/>
      <c r="B42" s="70" t="s">
        <v>50</v>
      </c>
      <c r="C42" s="71"/>
      <c r="D42" s="72"/>
      <c r="E42" s="22"/>
      <c r="F42" s="22"/>
      <c r="G42" s="49">
        <f>SUM(G38:G41)</f>
        <v>1916.6399999999999</v>
      </c>
      <c r="H42" s="23"/>
    </row>
    <row r="44" spans="1:2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1"/>
      <c r="F44" s="1"/>
      <c r="G44" s="1" t="s">
        <v>5</v>
      </c>
      <c r="H44" s="1" t="s">
        <v>6</v>
      </c>
    </row>
    <row r="45" spans="1:28" x14ac:dyDescent="0.25">
      <c r="A45" s="57" t="s">
        <v>108</v>
      </c>
      <c r="B45" s="1" t="s">
        <v>109</v>
      </c>
      <c r="C45" s="1" t="s">
        <v>20</v>
      </c>
      <c r="D45" s="1">
        <v>16.2</v>
      </c>
      <c r="E45" s="1">
        <v>15</v>
      </c>
      <c r="F45" s="1" t="s">
        <v>10</v>
      </c>
      <c r="G45" s="1">
        <f>E45*D45</f>
        <v>243</v>
      </c>
      <c r="H45" s="1"/>
    </row>
    <row r="46" spans="1:28" x14ac:dyDescent="0.25">
      <c r="A46" s="57"/>
      <c r="B46" s="26" t="s">
        <v>55</v>
      </c>
      <c r="C46" s="1" t="s">
        <v>20</v>
      </c>
      <c r="D46" s="1">
        <v>30.6</v>
      </c>
      <c r="E46" s="1">
        <v>15</v>
      </c>
      <c r="F46" s="1" t="s">
        <v>10</v>
      </c>
      <c r="G46" s="1">
        <f>E46*D46</f>
        <v>459</v>
      </c>
      <c r="H46" s="1"/>
    </row>
    <row r="47" spans="1:28" x14ac:dyDescent="0.25">
      <c r="A47" s="57"/>
      <c r="B47" s="1" t="s">
        <v>110</v>
      </c>
      <c r="C47" s="1" t="s">
        <v>111</v>
      </c>
      <c r="D47" s="1">
        <v>55.2</v>
      </c>
      <c r="E47" s="1">
        <v>20</v>
      </c>
      <c r="F47" s="1" t="s">
        <v>10</v>
      </c>
      <c r="G47" s="1">
        <f>E47*D47</f>
        <v>1104</v>
      </c>
      <c r="H47" s="1"/>
    </row>
    <row r="48" spans="1:28" x14ac:dyDescent="0.25">
      <c r="A48" s="57"/>
      <c r="B48" s="1"/>
      <c r="C48" s="1"/>
      <c r="D48" s="1"/>
      <c r="E48" s="1"/>
      <c r="F48" s="1"/>
      <c r="G48" s="1"/>
      <c r="H48" s="1"/>
    </row>
    <row r="49" spans="1:8" x14ac:dyDescent="0.25">
      <c r="A49" s="57"/>
      <c r="B49" s="67" t="s">
        <v>50</v>
      </c>
      <c r="C49" s="60"/>
      <c r="D49" s="61"/>
      <c r="E49" s="3"/>
      <c r="F49" s="3"/>
      <c r="G49" s="38">
        <f>SUM(G45:G48)</f>
        <v>1806</v>
      </c>
      <c r="H49" s="1"/>
    </row>
    <row r="51" spans="1:8" x14ac:dyDescent="0.25">
      <c r="A51" s="1" t="s">
        <v>56</v>
      </c>
      <c r="B51" s="1" t="s">
        <v>1</v>
      </c>
      <c r="C51" s="1" t="s">
        <v>2</v>
      </c>
      <c r="D51" s="1" t="s">
        <v>3</v>
      </c>
      <c r="E51" s="1"/>
      <c r="F51" s="1"/>
      <c r="G51" s="1" t="s">
        <v>5</v>
      </c>
      <c r="H51" s="1" t="s">
        <v>6</v>
      </c>
    </row>
    <row r="52" spans="1:8" x14ac:dyDescent="0.25">
      <c r="A52" s="57" t="s">
        <v>112</v>
      </c>
      <c r="B52" s="1" t="s">
        <v>113</v>
      </c>
      <c r="C52" s="1" t="s">
        <v>17</v>
      </c>
      <c r="D52" s="1">
        <v>57</v>
      </c>
      <c r="E52" s="1">
        <v>20</v>
      </c>
      <c r="F52" s="1" t="s">
        <v>10</v>
      </c>
      <c r="G52" s="1">
        <f>D52*E52</f>
        <v>1140</v>
      </c>
      <c r="H52" s="6" t="s">
        <v>114</v>
      </c>
    </row>
    <row r="53" spans="1:8" x14ac:dyDescent="0.25">
      <c r="A53" s="57"/>
      <c r="B53" s="1" t="s">
        <v>44</v>
      </c>
      <c r="C53" s="1" t="s">
        <v>101</v>
      </c>
      <c r="D53" s="1">
        <v>45</v>
      </c>
      <c r="E53" s="1">
        <v>8</v>
      </c>
      <c r="F53" s="1" t="s">
        <v>10</v>
      </c>
      <c r="G53" s="1">
        <f t="shared" ref="G53:G54" si="4">D53*E53</f>
        <v>360</v>
      </c>
      <c r="H53" s="6" t="s">
        <v>45</v>
      </c>
    </row>
    <row r="54" spans="1:8" x14ac:dyDescent="0.25">
      <c r="A54" s="57"/>
      <c r="B54" s="1" t="s">
        <v>115</v>
      </c>
      <c r="C54" s="1" t="s">
        <v>20</v>
      </c>
      <c r="D54" s="1">
        <v>99</v>
      </c>
      <c r="E54" s="1">
        <v>15</v>
      </c>
      <c r="F54" s="1" t="s">
        <v>10</v>
      </c>
      <c r="G54" s="1">
        <f t="shared" si="4"/>
        <v>1485</v>
      </c>
      <c r="H54" s="6" t="s">
        <v>116</v>
      </c>
    </row>
    <row r="55" spans="1:8" x14ac:dyDescent="0.25">
      <c r="A55" s="57"/>
      <c r="B55" s="1"/>
      <c r="C55" s="1"/>
      <c r="D55" s="1"/>
      <c r="E55" s="3"/>
      <c r="F55" s="3"/>
      <c r="G55" s="3"/>
      <c r="H55" s="1"/>
    </row>
    <row r="56" spans="1:8" x14ac:dyDescent="0.25">
      <c r="A56" s="57"/>
      <c r="B56" s="67" t="s">
        <v>50</v>
      </c>
      <c r="C56" s="60"/>
      <c r="D56" s="61"/>
      <c r="E56" s="3"/>
      <c r="F56" s="3"/>
      <c r="G56" s="38">
        <f>G52+G53+G54</f>
        <v>2985</v>
      </c>
      <c r="H56" s="1"/>
    </row>
    <row r="59" spans="1:8" x14ac:dyDescent="0.25">
      <c r="A59" s="1" t="s">
        <v>12</v>
      </c>
      <c r="B59" s="1" t="s">
        <v>1</v>
      </c>
      <c r="C59" s="1" t="s">
        <v>2</v>
      </c>
      <c r="D59" s="1" t="s">
        <v>3</v>
      </c>
      <c r="E59" s="1" t="s">
        <v>4</v>
      </c>
      <c r="F59" s="1"/>
      <c r="G59" s="1" t="s">
        <v>5</v>
      </c>
      <c r="H59" s="1" t="s">
        <v>6</v>
      </c>
    </row>
    <row r="60" spans="1:8" x14ac:dyDescent="0.25">
      <c r="A60" s="4" t="s">
        <v>133</v>
      </c>
      <c r="B60" s="1" t="s">
        <v>134</v>
      </c>
      <c r="C60" s="1" t="s">
        <v>135</v>
      </c>
      <c r="D60" s="1">
        <v>25.5</v>
      </c>
      <c r="E60" s="1">
        <v>40</v>
      </c>
      <c r="F60" s="1" t="s">
        <v>136</v>
      </c>
      <c r="G60" s="1">
        <f>E60*D60</f>
        <v>1020</v>
      </c>
      <c r="H60" s="1"/>
    </row>
    <row r="61" spans="1:8" x14ac:dyDescent="0.25">
      <c r="A61" s="8"/>
      <c r="B61" s="26"/>
      <c r="C61" s="1"/>
      <c r="D61" s="1"/>
      <c r="E61" s="1"/>
      <c r="F61" s="1"/>
      <c r="G61" s="1"/>
      <c r="H61" s="1"/>
    </row>
    <row r="62" spans="1:8" x14ac:dyDescent="0.25">
      <c r="A62" s="39"/>
      <c r="B62" s="67" t="s">
        <v>50</v>
      </c>
      <c r="C62" s="60"/>
      <c r="D62" s="61"/>
      <c r="E62" s="3"/>
      <c r="F62" s="3"/>
      <c r="G62" s="38">
        <f>SUM(G60:G61)</f>
        <v>1020</v>
      </c>
      <c r="H62" s="1"/>
    </row>
    <row r="64" spans="1:8" x14ac:dyDescent="0.25">
      <c r="A64" s="1" t="s">
        <v>56</v>
      </c>
      <c r="B64" s="1" t="s">
        <v>1</v>
      </c>
      <c r="C64" s="1" t="s">
        <v>2</v>
      </c>
      <c r="D64" s="1" t="s">
        <v>3</v>
      </c>
      <c r="E64" s="1" t="s">
        <v>4</v>
      </c>
      <c r="F64" s="1"/>
      <c r="G64" s="24" t="s">
        <v>5</v>
      </c>
      <c r="H64" s="1" t="s">
        <v>6</v>
      </c>
    </row>
    <row r="65" spans="1:17" x14ac:dyDescent="0.25">
      <c r="A65" s="57" t="s">
        <v>137</v>
      </c>
      <c r="B65" s="1" t="s">
        <v>138</v>
      </c>
      <c r="C65" s="1" t="s">
        <v>139</v>
      </c>
      <c r="D65" s="1">
        <v>28.56</v>
      </c>
      <c r="E65" s="1">
        <v>60</v>
      </c>
      <c r="F65" s="1" t="s">
        <v>136</v>
      </c>
      <c r="G65" s="76">
        <f>E65*D65</f>
        <v>1713.6</v>
      </c>
      <c r="H65" s="1"/>
    </row>
    <row r="66" spans="1:17" x14ac:dyDescent="0.25">
      <c r="A66" s="57"/>
      <c r="B66" s="1" t="s">
        <v>140</v>
      </c>
      <c r="C66" s="1" t="s">
        <v>62</v>
      </c>
      <c r="D66" s="1">
        <v>62.7</v>
      </c>
      <c r="E66" s="1">
        <v>0.5</v>
      </c>
      <c r="F66" s="1" t="s">
        <v>136</v>
      </c>
      <c r="G66" s="76">
        <f t="shared" ref="G66:G67" si="5">E66*D66</f>
        <v>31.35</v>
      </c>
      <c r="H66" s="1"/>
    </row>
    <row r="67" spans="1:17" x14ac:dyDescent="0.25">
      <c r="A67" s="57"/>
      <c r="B67" s="1" t="s">
        <v>141</v>
      </c>
      <c r="C67" s="1" t="s">
        <v>40</v>
      </c>
      <c r="D67" s="1">
        <v>85</v>
      </c>
      <c r="E67" s="1">
        <v>5</v>
      </c>
      <c r="F67" s="1" t="s">
        <v>136</v>
      </c>
      <c r="G67" s="76">
        <f t="shared" si="5"/>
        <v>425</v>
      </c>
      <c r="H67" s="1"/>
    </row>
    <row r="68" spans="1:17" ht="17.25" thickBot="1" x14ac:dyDescent="0.3">
      <c r="A68" s="57"/>
      <c r="B68" s="1"/>
      <c r="C68" s="1"/>
      <c r="D68" s="1"/>
      <c r="E68" s="3"/>
      <c r="F68" s="3"/>
      <c r="G68" s="3"/>
      <c r="H68" s="1"/>
    </row>
    <row r="69" spans="1:17" x14ac:dyDescent="0.25">
      <c r="A69" s="57"/>
      <c r="B69" s="67" t="s">
        <v>50</v>
      </c>
      <c r="C69" s="60"/>
      <c r="D69" s="61"/>
      <c r="E69" s="3"/>
      <c r="F69" s="3"/>
      <c r="G69" s="47">
        <f>SUM(G65:G68)</f>
        <v>2169.9499999999998</v>
      </c>
      <c r="H69" s="1"/>
      <c r="J69" s="10" t="s">
        <v>12</v>
      </c>
      <c r="K69" s="11" t="s">
        <v>1</v>
      </c>
      <c r="L69" s="11" t="s">
        <v>2</v>
      </c>
      <c r="M69" s="11" t="s">
        <v>3</v>
      </c>
      <c r="N69" s="11" t="s">
        <v>4</v>
      </c>
      <c r="O69" s="11"/>
      <c r="P69" s="11" t="s">
        <v>5</v>
      </c>
      <c r="Q69" s="14" t="s">
        <v>6</v>
      </c>
    </row>
    <row r="70" spans="1:17" x14ac:dyDescent="0.25">
      <c r="J70" s="68" t="s">
        <v>199</v>
      </c>
      <c r="K70" s="1" t="s">
        <v>147</v>
      </c>
      <c r="L70" s="1" t="s">
        <v>200</v>
      </c>
      <c r="M70" s="1">
        <v>17.100000000000001</v>
      </c>
      <c r="N70" s="1">
        <v>25</v>
      </c>
      <c r="O70" s="1" t="s">
        <v>10</v>
      </c>
      <c r="P70" s="76">
        <f>N70*M70</f>
        <v>427.50000000000006</v>
      </c>
      <c r="Q70" s="18"/>
    </row>
    <row r="71" spans="1:17" x14ac:dyDescent="0.25">
      <c r="A71" s="1" t="s">
        <v>12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10</v>
      </c>
      <c r="G71" s="1" t="s">
        <v>5</v>
      </c>
      <c r="H71" s="1" t="s">
        <v>6</v>
      </c>
      <c r="J71" s="68"/>
      <c r="K71" s="31" t="s">
        <v>115</v>
      </c>
      <c r="L71" s="1" t="s">
        <v>42</v>
      </c>
      <c r="M71" s="1">
        <v>99</v>
      </c>
      <c r="N71" s="1">
        <v>10</v>
      </c>
      <c r="O71" s="1" t="s">
        <v>10</v>
      </c>
      <c r="P71" s="76">
        <f>N71*M71</f>
        <v>990</v>
      </c>
      <c r="Q71" s="18"/>
    </row>
    <row r="72" spans="1:17" x14ac:dyDescent="0.25">
      <c r="A72" s="57" t="s">
        <v>146</v>
      </c>
      <c r="B72" s="1" t="s">
        <v>147</v>
      </c>
      <c r="C72" s="1" t="s">
        <v>79</v>
      </c>
      <c r="D72" s="1">
        <v>27.36</v>
      </c>
      <c r="E72" s="1">
        <v>30</v>
      </c>
      <c r="F72" s="1" t="s">
        <v>10</v>
      </c>
      <c r="G72" s="76">
        <f>D72*E72</f>
        <v>820.8</v>
      </c>
      <c r="H72" s="1"/>
      <c r="J72" s="68"/>
      <c r="K72" s="1"/>
      <c r="L72" s="1"/>
      <c r="M72" s="1"/>
      <c r="N72" s="1"/>
      <c r="O72" s="1"/>
      <c r="P72" s="1"/>
      <c r="Q72" s="18"/>
    </row>
    <row r="73" spans="1:17" x14ac:dyDescent="0.25">
      <c r="A73" s="57"/>
      <c r="B73" s="26" t="s">
        <v>148</v>
      </c>
      <c r="C73" s="1" t="s">
        <v>42</v>
      </c>
      <c r="D73" s="1">
        <v>43.8</v>
      </c>
      <c r="E73" s="1">
        <v>10</v>
      </c>
      <c r="F73" s="1" t="s">
        <v>10</v>
      </c>
      <c r="G73" s="76">
        <f t="shared" ref="G73:G74" si="6">D73*E73</f>
        <v>438</v>
      </c>
      <c r="H73" s="1"/>
      <c r="J73" s="68"/>
      <c r="K73" s="1"/>
      <c r="L73" s="1"/>
      <c r="M73" s="1"/>
      <c r="N73" s="1"/>
      <c r="O73" s="1"/>
      <c r="P73" s="1"/>
      <c r="Q73" s="18"/>
    </row>
    <row r="74" spans="1:17" ht="17.25" thickBot="1" x14ac:dyDescent="0.3">
      <c r="A74" s="57"/>
      <c r="B74" s="1"/>
      <c r="C74" s="1"/>
      <c r="D74" s="1"/>
      <c r="E74" s="1"/>
      <c r="F74" s="1"/>
      <c r="G74" s="76">
        <f t="shared" si="6"/>
        <v>0</v>
      </c>
      <c r="H74" s="1"/>
      <c r="J74" s="69"/>
      <c r="K74" s="70" t="s">
        <v>50</v>
      </c>
      <c r="L74" s="71"/>
      <c r="M74" s="72"/>
      <c r="N74" s="22"/>
      <c r="O74" s="22"/>
      <c r="P74" s="49">
        <f>SUM(P70:P73)</f>
        <v>1417.5</v>
      </c>
      <c r="Q74" s="23"/>
    </row>
    <row r="75" spans="1:17" ht="17.25" thickBot="1" x14ac:dyDescent="0.3">
      <c r="A75" s="57"/>
      <c r="B75" s="1"/>
      <c r="C75" s="1"/>
      <c r="D75" s="1"/>
      <c r="E75" s="1"/>
      <c r="F75" s="1"/>
      <c r="G75" s="1"/>
      <c r="H75" s="1"/>
    </row>
    <row r="76" spans="1:17" x14ac:dyDescent="0.25">
      <c r="A76" s="57"/>
      <c r="B76" s="67" t="s">
        <v>50</v>
      </c>
      <c r="C76" s="60"/>
      <c r="D76" s="61"/>
      <c r="E76" s="3"/>
      <c r="F76" s="3"/>
      <c r="G76" s="47">
        <f>SUM(G72:G75)</f>
        <v>1258.8</v>
      </c>
      <c r="H76" s="1"/>
      <c r="J76" s="10" t="s">
        <v>12</v>
      </c>
      <c r="K76" s="11" t="s">
        <v>1</v>
      </c>
      <c r="L76" s="11" t="s">
        <v>2</v>
      </c>
      <c r="M76" s="11" t="s">
        <v>3</v>
      </c>
      <c r="N76" s="11" t="s">
        <v>4</v>
      </c>
      <c r="O76" s="11"/>
      <c r="P76" s="11" t="s">
        <v>5</v>
      </c>
      <c r="Q76" s="14" t="s">
        <v>6</v>
      </c>
    </row>
    <row r="77" spans="1:17" x14ac:dyDescent="0.25">
      <c r="J77" s="68" t="s">
        <v>182</v>
      </c>
      <c r="K77" s="1" t="s">
        <v>169</v>
      </c>
      <c r="L77" s="1" t="s">
        <v>20</v>
      </c>
      <c r="M77" s="1">
        <v>5.7</v>
      </c>
      <c r="N77" s="1">
        <v>15</v>
      </c>
      <c r="O77" s="1" t="s">
        <v>10</v>
      </c>
      <c r="P77" s="1">
        <f>N77*M77</f>
        <v>85.5</v>
      </c>
      <c r="Q77" s="18"/>
    </row>
    <row r="78" spans="1:17" x14ac:dyDescent="0.25">
      <c r="A78" s="1" t="s">
        <v>56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10</v>
      </c>
      <c r="G78" s="1" t="s">
        <v>5</v>
      </c>
      <c r="H78" s="1" t="s">
        <v>6</v>
      </c>
      <c r="J78" s="68"/>
      <c r="K78" s="31" t="s">
        <v>110</v>
      </c>
      <c r="L78" s="1" t="s">
        <v>111</v>
      </c>
      <c r="M78" s="1">
        <v>58.8</v>
      </c>
      <c r="N78" s="1">
        <v>40</v>
      </c>
      <c r="O78" s="1" t="s">
        <v>10</v>
      </c>
      <c r="P78" s="1">
        <f>N78*M78</f>
        <v>2352</v>
      </c>
      <c r="Q78" s="18"/>
    </row>
    <row r="79" spans="1:17" x14ac:dyDescent="0.25">
      <c r="A79" s="57" t="s">
        <v>149</v>
      </c>
      <c r="B79" s="1" t="s">
        <v>150</v>
      </c>
      <c r="C79" s="1" t="s">
        <v>111</v>
      </c>
      <c r="D79" s="1">
        <v>75</v>
      </c>
      <c r="E79" s="1">
        <v>15</v>
      </c>
      <c r="F79" s="1" t="s">
        <v>23</v>
      </c>
      <c r="G79" s="1">
        <f>E79*D79</f>
        <v>1125</v>
      </c>
      <c r="H79" s="1"/>
      <c r="J79" s="68"/>
      <c r="K79" s="1"/>
      <c r="L79" s="1"/>
      <c r="M79" s="1"/>
      <c r="N79" s="1"/>
      <c r="O79" s="1"/>
      <c r="P79" s="1"/>
      <c r="Q79" s="18"/>
    </row>
    <row r="80" spans="1:17" x14ac:dyDescent="0.25">
      <c r="A80" s="57"/>
      <c r="B80" s="1" t="s">
        <v>110</v>
      </c>
      <c r="C80" s="1" t="s">
        <v>111</v>
      </c>
      <c r="D80" s="1">
        <v>55.2</v>
      </c>
      <c r="E80" s="1">
        <v>20</v>
      </c>
      <c r="F80" s="1" t="s">
        <v>10</v>
      </c>
      <c r="G80" s="1">
        <f>E80*D80</f>
        <v>1104</v>
      </c>
      <c r="H80" s="1"/>
      <c r="J80" s="68"/>
      <c r="K80" s="1"/>
      <c r="L80" s="1"/>
      <c r="M80" s="1"/>
      <c r="N80" s="1"/>
      <c r="O80" s="1"/>
      <c r="P80" s="1"/>
      <c r="Q80" s="18"/>
    </row>
    <row r="81" spans="1:17" ht="17.25" thickBot="1" x14ac:dyDescent="0.3">
      <c r="A81" s="57"/>
      <c r="B81" s="1"/>
      <c r="C81" s="1"/>
      <c r="D81" s="1"/>
      <c r="E81" s="1"/>
      <c r="F81" s="1"/>
      <c r="G81" s="1"/>
      <c r="H81" s="1"/>
      <c r="J81" s="69"/>
      <c r="K81" s="70" t="s">
        <v>50</v>
      </c>
      <c r="L81" s="71"/>
      <c r="M81" s="72"/>
      <c r="N81" s="22"/>
      <c r="O81" s="22"/>
      <c r="P81" s="49">
        <f>SUM(P77:P80)</f>
        <v>2437.5</v>
      </c>
      <c r="Q81" s="23"/>
    </row>
    <row r="82" spans="1:17" x14ac:dyDescent="0.25">
      <c r="A82" s="57"/>
      <c r="B82" s="1"/>
      <c r="C82" s="1"/>
      <c r="D82" s="1"/>
      <c r="E82" s="3"/>
      <c r="F82" s="3"/>
      <c r="G82" s="3"/>
      <c r="H82" s="1"/>
    </row>
    <row r="83" spans="1:17" x14ac:dyDescent="0.25">
      <c r="A83" s="57"/>
      <c r="B83" s="67" t="s">
        <v>50</v>
      </c>
      <c r="C83" s="60"/>
      <c r="D83" s="61"/>
      <c r="E83" s="3"/>
      <c r="F83" s="3"/>
      <c r="G83" s="38">
        <f>SUM(G79:G82)</f>
        <v>2229</v>
      </c>
      <c r="H83" s="1"/>
      <c r="J83" s="1" t="s">
        <v>56</v>
      </c>
      <c r="K83" s="1" t="s">
        <v>1</v>
      </c>
      <c r="L83" s="1" t="s">
        <v>2</v>
      </c>
      <c r="M83" s="1" t="s">
        <v>3</v>
      </c>
      <c r="N83" s="1" t="s">
        <v>4</v>
      </c>
      <c r="O83" s="1"/>
      <c r="P83" s="1" t="s">
        <v>5</v>
      </c>
      <c r="Q83" s="1" t="s">
        <v>6</v>
      </c>
    </row>
    <row r="84" spans="1:17" x14ac:dyDescent="0.25">
      <c r="J84" s="57" t="s">
        <v>218</v>
      </c>
      <c r="K84" s="1" t="s">
        <v>219</v>
      </c>
      <c r="L84" s="1" t="s">
        <v>79</v>
      </c>
      <c r="M84" s="1">
        <v>54</v>
      </c>
      <c r="N84" s="1">
        <v>30</v>
      </c>
      <c r="O84" s="1" t="s">
        <v>10</v>
      </c>
      <c r="P84" s="1">
        <f>N84*M84</f>
        <v>1620</v>
      </c>
      <c r="Q84" s="1"/>
    </row>
    <row r="85" spans="1:17" x14ac:dyDescent="0.25">
      <c r="A85" s="1" t="s">
        <v>12</v>
      </c>
      <c r="B85" s="1" t="s">
        <v>1</v>
      </c>
      <c r="C85" s="1" t="s">
        <v>2</v>
      </c>
      <c r="D85" s="1" t="s">
        <v>3</v>
      </c>
      <c r="E85" s="1" t="s">
        <v>4</v>
      </c>
      <c r="F85" s="1"/>
      <c r="G85" s="1" t="s">
        <v>5</v>
      </c>
      <c r="H85" s="1" t="s">
        <v>6</v>
      </c>
      <c r="J85" s="57"/>
      <c r="K85" s="1" t="s">
        <v>67</v>
      </c>
      <c r="L85" s="1">
        <v>10</v>
      </c>
      <c r="M85" s="1">
        <v>82.5</v>
      </c>
      <c r="N85" s="1"/>
      <c r="O85" s="1" t="s">
        <v>10</v>
      </c>
      <c r="P85" s="1">
        <f>M85*L85</f>
        <v>825</v>
      </c>
      <c r="Q85" s="1"/>
    </row>
    <row r="86" spans="1:17" x14ac:dyDescent="0.25">
      <c r="A86" s="57" t="s">
        <v>155</v>
      </c>
      <c r="B86" s="1" t="s">
        <v>156</v>
      </c>
      <c r="C86" s="1" t="s">
        <v>38</v>
      </c>
      <c r="D86" s="1">
        <v>23.46</v>
      </c>
      <c r="E86" s="1">
        <v>50</v>
      </c>
      <c r="F86" s="1" t="s">
        <v>10</v>
      </c>
      <c r="G86" s="1">
        <f>D86*E86</f>
        <v>1173</v>
      </c>
      <c r="H86" s="1"/>
      <c r="J86" s="57"/>
      <c r="K86" s="1" t="s">
        <v>55</v>
      </c>
      <c r="L86" s="1" t="s">
        <v>40</v>
      </c>
      <c r="M86" s="1">
        <v>30.6</v>
      </c>
      <c r="N86" s="1">
        <v>5</v>
      </c>
      <c r="O86" s="1"/>
      <c r="P86" s="1">
        <f>N86*M86</f>
        <v>153</v>
      </c>
      <c r="Q86" s="1"/>
    </row>
    <row r="87" spans="1:17" x14ac:dyDescent="0.25">
      <c r="A87" s="57"/>
      <c r="B87" s="26" t="s">
        <v>157</v>
      </c>
      <c r="C87" s="1" t="s">
        <v>158</v>
      </c>
      <c r="D87" s="1">
        <v>159.6</v>
      </c>
      <c r="E87" s="1">
        <v>6</v>
      </c>
      <c r="F87" s="1" t="s">
        <v>10</v>
      </c>
      <c r="G87" s="76">
        <f>D87*E87</f>
        <v>957.59999999999991</v>
      </c>
      <c r="H87" s="1"/>
      <c r="J87" s="57"/>
      <c r="K87" s="1"/>
      <c r="L87" s="1"/>
      <c r="M87" s="1"/>
      <c r="N87" s="3"/>
      <c r="O87" s="3"/>
      <c r="P87" s="3"/>
      <c r="Q87" s="1"/>
    </row>
    <row r="88" spans="1:17" x14ac:dyDescent="0.25">
      <c r="A88" s="57"/>
      <c r="B88" s="1"/>
      <c r="C88" s="1"/>
      <c r="D88" s="1"/>
      <c r="E88" s="1"/>
      <c r="F88" s="1"/>
      <c r="G88" s="1"/>
      <c r="H88" s="1"/>
      <c r="J88" s="57"/>
      <c r="K88" s="67" t="s">
        <v>50</v>
      </c>
      <c r="L88" s="60"/>
      <c r="M88" s="61"/>
      <c r="N88" s="3"/>
      <c r="O88" s="3"/>
      <c r="P88" s="38">
        <f>SUM(P84:P87)</f>
        <v>2598</v>
      </c>
      <c r="Q88" s="1"/>
    </row>
    <row r="89" spans="1:17" x14ac:dyDescent="0.25">
      <c r="A89" s="57"/>
      <c r="B89" s="1"/>
      <c r="C89" s="1"/>
      <c r="D89" s="1"/>
      <c r="E89" s="1"/>
      <c r="F89" s="1"/>
      <c r="G89" s="1"/>
      <c r="H89" s="1"/>
    </row>
    <row r="90" spans="1:17" x14ac:dyDescent="0.25">
      <c r="A90" s="57"/>
      <c r="B90" s="67" t="s">
        <v>50</v>
      </c>
      <c r="C90" s="60"/>
      <c r="D90" s="61"/>
      <c r="E90" s="3"/>
      <c r="F90" s="3"/>
      <c r="G90" s="47">
        <f>SUM(G86:G89)</f>
        <v>2130.6</v>
      </c>
      <c r="H90" s="1"/>
    </row>
    <row r="93" spans="1:17" x14ac:dyDescent="0.25">
      <c r="A93" s="1" t="s">
        <v>163</v>
      </c>
      <c r="B93" s="1" t="s">
        <v>163</v>
      </c>
      <c r="C93" s="1" t="s">
        <v>164</v>
      </c>
      <c r="D93" s="1">
        <v>9.5</v>
      </c>
      <c r="E93" s="1">
        <v>280</v>
      </c>
      <c r="F93" s="1" t="s">
        <v>130</v>
      </c>
      <c r="G93" s="1">
        <f>E93*D93</f>
        <v>2660</v>
      </c>
      <c r="H93" s="1"/>
    </row>
    <row r="94" spans="1:17" x14ac:dyDescent="0.25">
      <c r="A94" s="39"/>
      <c r="B94" s="26"/>
      <c r="C94" s="1"/>
      <c r="D94" s="1"/>
      <c r="E94" s="1"/>
      <c r="F94" s="1"/>
      <c r="G94" s="1"/>
      <c r="H94" s="1"/>
    </row>
    <row r="95" spans="1:17" x14ac:dyDescent="0.25">
      <c r="A95" s="39"/>
      <c r="B95" s="67" t="s">
        <v>50</v>
      </c>
      <c r="C95" s="60"/>
      <c r="D95" s="61"/>
      <c r="E95" s="3"/>
      <c r="F95" s="3"/>
      <c r="G95" s="38">
        <f>G93</f>
        <v>2660</v>
      </c>
      <c r="H95" s="1"/>
    </row>
    <row r="97" spans="1:8" x14ac:dyDescent="0.25">
      <c r="A97" s="1" t="s">
        <v>12</v>
      </c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 t="s">
        <v>5</v>
      </c>
      <c r="H97" s="1" t="s">
        <v>6</v>
      </c>
    </row>
    <row r="98" spans="1:8" x14ac:dyDescent="0.25">
      <c r="A98" s="57" t="s">
        <v>174</v>
      </c>
      <c r="B98" s="1" t="s">
        <v>89</v>
      </c>
      <c r="C98" s="1" t="s">
        <v>175</v>
      </c>
      <c r="D98" s="1">
        <v>150</v>
      </c>
      <c r="E98" s="1">
        <v>6</v>
      </c>
      <c r="F98" s="1" t="s">
        <v>91</v>
      </c>
      <c r="G98" s="1">
        <f>D98*E98</f>
        <v>900</v>
      </c>
      <c r="H98" s="1"/>
    </row>
    <row r="99" spans="1:8" x14ac:dyDescent="0.25">
      <c r="A99" s="57"/>
      <c r="B99" s="26" t="s">
        <v>141</v>
      </c>
      <c r="C99" s="1" t="s">
        <v>76</v>
      </c>
      <c r="D99" s="1">
        <v>85</v>
      </c>
      <c r="E99" s="1">
        <v>4</v>
      </c>
      <c r="F99" s="1" t="s">
        <v>10</v>
      </c>
      <c r="G99" s="1">
        <f t="shared" ref="G99:G100" si="7">D99*E99</f>
        <v>340</v>
      </c>
      <c r="H99" s="1"/>
    </row>
    <row r="100" spans="1:8" x14ac:dyDescent="0.25">
      <c r="A100" s="57"/>
      <c r="B100" s="1" t="s">
        <v>176</v>
      </c>
      <c r="C100" s="1" t="s">
        <v>177</v>
      </c>
      <c r="D100" s="1">
        <v>7.98</v>
      </c>
      <c r="E100" s="1">
        <v>2</v>
      </c>
      <c r="F100" s="1"/>
      <c r="G100" s="76">
        <f t="shared" si="7"/>
        <v>15.96</v>
      </c>
      <c r="H100" s="1"/>
    </row>
    <row r="101" spans="1:8" x14ac:dyDescent="0.25">
      <c r="A101" s="57"/>
      <c r="B101" s="1"/>
      <c r="C101" s="1"/>
      <c r="D101" s="1"/>
      <c r="E101" s="1"/>
      <c r="F101" s="1"/>
      <c r="G101" s="1"/>
      <c r="H101" s="1"/>
    </row>
    <row r="102" spans="1:8" x14ac:dyDescent="0.25">
      <c r="A102" s="57"/>
      <c r="B102" s="67" t="s">
        <v>50</v>
      </c>
      <c r="C102" s="60"/>
      <c r="D102" s="61"/>
      <c r="E102" s="3"/>
      <c r="F102" s="3"/>
      <c r="G102" s="47">
        <f>SUM(G98:G101)</f>
        <v>1255.96</v>
      </c>
      <c r="H102" s="1"/>
    </row>
    <row r="103" spans="1:8" ht="17.25" thickBot="1" x14ac:dyDescent="0.3"/>
    <row r="104" spans="1:8" x14ac:dyDescent="0.25">
      <c r="A104" s="10" t="s">
        <v>12</v>
      </c>
      <c r="B104" s="11" t="s">
        <v>1</v>
      </c>
      <c r="C104" s="11" t="s">
        <v>2</v>
      </c>
      <c r="D104" s="11" t="s">
        <v>3</v>
      </c>
      <c r="E104" s="11" t="s">
        <v>4</v>
      </c>
      <c r="F104" s="11"/>
      <c r="G104" s="11" t="s">
        <v>5</v>
      </c>
      <c r="H104" s="14" t="s">
        <v>6</v>
      </c>
    </row>
    <row r="105" spans="1:8" x14ac:dyDescent="0.25">
      <c r="A105" s="68" t="s">
        <v>188</v>
      </c>
      <c r="B105" s="1" t="s">
        <v>189</v>
      </c>
      <c r="C105" s="1" t="s">
        <v>190</v>
      </c>
      <c r="D105" s="1">
        <v>46.8</v>
      </c>
      <c r="E105" s="1">
        <v>36.67</v>
      </c>
      <c r="F105" s="1" t="s">
        <v>10</v>
      </c>
      <c r="G105" s="76">
        <f>E105*D105</f>
        <v>1716.1559999999999</v>
      </c>
      <c r="H105" s="18"/>
    </row>
    <row r="106" spans="1:8" x14ac:dyDescent="0.25">
      <c r="A106" s="68"/>
      <c r="B106" s="31" t="s">
        <v>55</v>
      </c>
      <c r="C106" s="1" t="s">
        <v>40</v>
      </c>
      <c r="D106" s="1">
        <v>30.6</v>
      </c>
      <c r="E106" s="1">
        <v>5</v>
      </c>
      <c r="F106" s="1" t="s">
        <v>10</v>
      </c>
      <c r="G106" s="76">
        <f>E106*D106</f>
        <v>153</v>
      </c>
      <c r="H106" s="18"/>
    </row>
    <row r="107" spans="1:8" x14ac:dyDescent="0.25">
      <c r="A107" s="68"/>
      <c r="B107" s="1"/>
      <c r="C107" s="1"/>
      <c r="D107" s="1"/>
      <c r="E107" s="1"/>
      <c r="F107" s="1"/>
      <c r="G107" s="1"/>
      <c r="H107" s="18"/>
    </row>
    <row r="108" spans="1:8" x14ac:dyDescent="0.25">
      <c r="A108" s="68"/>
      <c r="B108" s="1"/>
      <c r="C108" s="1"/>
      <c r="D108" s="1"/>
      <c r="E108" s="1"/>
      <c r="F108" s="1"/>
      <c r="G108" s="1"/>
      <c r="H108" s="18"/>
    </row>
    <row r="109" spans="1:8" ht="17.25" thickBot="1" x14ac:dyDescent="0.3">
      <c r="A109" s="69"/>
      <c r="B109" s="70" t="s">
        <v>50</v>
      </c>
      <c r="C109" s="71"/>
      <c r="D109" s="72"/>
      <c r="E109" s="22"/>
      <c r="F109" s="22"/>
      <c r="G109" s="49">
        <f>SUM(G105:G108)</f>
        <v>1869.1559999999999</v>
      </c>
      <c r="H109" s="23"/>
    </row>
    <row r="110" spans="1:8" ht="17.25" thickBot="1" x14ac:dyDescent="0.3"/>
    <row r="111" spans="1:8" x14ac:dyDescent="0.25">
      <c r="A111" s="10" t="s">
        <v>56</v>
      </c>
      <c r="B111" s="11" t="s">
        <v>1</v>
      </c>
      <c r="C111" s="11" t="s">
        <v>2</v>
      </c>
      <c r="D111" s="11" t="s">
        <v>3</v>
      </c>
      <c r="E111" s="11" t="s">
        <v>4</v>
      </c>
      <c r="F111" s="11"/>
      <c r="G111" s="11" t="s">
        <v>5</v>
      </c>
      <c r="H111" s="14" t="s">
        <v>6</v>
      </c>
    </row>
    <row r="112" spans="1:8" x14ac:dyDescent="0.25">
      <c r="A112" s="68" t="s">
        <v>191</v>
      </c>
      <c r="B112" s="1" t="s">
        <v>192</v>
      </c>
      <c r="C112" s="1" t="s">
        <v>135</v>
      </c>
      <c r="D112" s="1">
        <v>22.8</v>
      </c>
      <c r="E112" s="1">
        <v>40</v>
      </c>
      <c r="F112" s="1" t="s">
        <v>10</v>
      </c>
      <c r="G112" s="1">
        <f>E112*D112</f>
        <v>912</v>
      </c>
      <c r="H112" s="18"/>
    </row>
    <row r="113" spans="1:17" x14ac:dyDescent="0.25">
      <c r="A113" s="68"/>
      <c r="B113" s="1" t="s">
        <v>193</v>
      </c>
      <c r="C113" s="1" t="s">
        <v>194</v>
      </c>
      <c r="D113" s="1">
        <v>49.5</v>
      </c>
      <c r="E113" s="1">
        <v>1</v>
      </c>
      <c r="F113" s="1" t="s">
        <v>10</v>
      </c>
      <c r="G113" s="76">
        <f t="shared" ref="G113:G114" si="8">E113*D113</f>
        <v>49.5</v>
      </c>
      <c r="H113" s="18"/>
    </row>
    <row r="114" spans="1:17" x14ac:dyDescent="0.25">
      <c r="A114" s="68"/>
      <c r="B114" s="1" t="s">
        <v>140</v>
      </c>
      <c r="C114" s="1" t="s">
        <v>62</v>
      </c>
      <c r="D114" s="1">
        <v>62.7</v>
      </c>
      <c r="E114" s="1">
        <v>0.5</v>
      </c>
      <c r="F114" s="1" t="s">
        <v>10</v>
      </c>
      <c r="G114" s="76">
        <f t="shared" si="8"/>
        <v>31.35</v>
      </c>
      <c r="H114" s="18"/>
    </row>
    <row r="115" spans="1:17" x14ac:dyDescent="0.25">
      <c r="A115" s="68"/>
      <c r="B115" s="1"/>
      <c r="C115" s="1"/>
      <c r="D115" s="1"/>
      <c r="E115" s="3"/>
      <c r="F115" s="3"/>
      <c r="G115" s="3"/>
      <c r="H115" s="18"/>
    </row>
    <row r="116" spans="1:17" ht="17.25" thickBot="1" x14ac:dyDescent="0.3">
      <c r="A116" s="69"/>
      <c r="B116" s="70" t="s">
        <v>50</v>
      </c>
      <c r="C116" s="71"/>
      <c r="D116" s="72"/>
      <c r="E116" s="22"/>
      <c r="F116" s="22"/>
      <c r="G116" s="49">
        <f>SUM(G112:G115)</f>
        <v>992.85</v>
      </c>
      <c r="H116" s="23"/>
    </row>
    <row r="117" spans="1:17" ht="17.25" thickBot="1" x14ac:dyDescent="0.3"/>
    <row r="118" spans="1:17" x14ac:dyDescent="0.25">
      <c r="A118" s="10" t="s">
        <v>12</v>
      </c>
      <c r="B118" s="11" t="s">
        <v>1</v>
      </c>
      <c r="C118" s="11" t="s">
        <v>2</v>
      </c>
      <c r="D118" s="11" t="s">
        <v>3</v>
      </c>
      <c r="E118" s="11" t="s">
        <v>4</v>
      </c>
      <c r="F118" s="11"/>
      <c r="G118" s="11" t="s">
        <v>5</v>
      </c>
      <c r="H118" s="14" t="s">
        <v>6</v>
      </c>
      <c r="J118" s="10" t="s">
        <v>56</v>
      </c>
      <c r="K118" s="11" t="s">
        <v>1</v>
      </c>
      <c r="L118" s="11" t="s">
        <v>2</v>
      </c>
      <c r="M118" s="11" t="s">
        <v>3</v>
      </c>
      <c r="N118" s="11" t="s">
        <v>251</v>
      </c>
      <c r="O118" s="11"/>
      <c r="P118" s="11" t="s">
        <v>5</v>
      </c>
      <c r="Q118" s="14" t="s">
        <v>6</v>
      </c>
    </row>
    <row r="119" spans="1:17" x14ac:dyDescent="0.25">
      <c r="A119" s="68" t="s">
        <v>206</v>
      </c>
      <c r="B119" s="1" t="s">
        <v>150</v>
      </c>
      <c r="C119" s="1" t="s">
        <v>111</v>
      </c>
      <c r="D119" s="1">
        <v>75</v>
      </c>
      <c r="E119" s="1">
        <v>15</v>
      </c>
      <c r="F119" s="1" t="s">
        <v>23</v>
      </c>
      <c r="G119" s="1">
        <f>E119*D119</f>
        <v>1125</v>
      </c>
      <c r="H119" s="18"/>
      <c r="J119" s="68" t="s">
        <v>273</v>
      </c>
      <c r="K119" s="1" t="s">
        <v>274</v>
      </c>
      <c r="L119" s="1" t="s">
        <v>158</v>
      </c>
      <c r="M119" s="1">
        <v>120</v>
      </c>
      <c r="N119" s="1">
        <v>6</v>
      </c>
      <c r="O119" s="1" t="s">
        <v>10</v>
      </c>
      <c r="P119" s="1">
        <f>N119*M119</f>
        <v>720</v>
      </c>
      <c r="Q119" s="18"/>
    </row>
    <row r="120" spans="1:17" x14ac:dyDescent="0.25">
      <c r="A120" s="68"/>
      <c r="B120" s="1" t="s">
        <v>110</v>
      </c>
      <c r="C120" s="1" t="s">
        <v>111</v>
      </c>
      <c r="D120" s="1">
        <v>58.8</v>
      </c>
      <c r="E120" s="1">
        <v>20</v>
      </c>
      <c r="F120" s="1" t="s">
        <v>10</v>
      </c>
      <c r="G120" s="1">
        <f>E120*D120</f>
        <v>1176</v>
      </c>
      <c r="H120" s="18"/>
      <c r="J120" s="68"/>
      <c r="K120" s="1" t="s">
        <v>110</v>
      </c>
      <c r="L120" s="1" t="s">
        <v>111</v>
      </c>
      <c r="M120" s="1">
        <v>58.8</v>
      </c>
      <c r="N120" s="1">
        <v>20</v>
      </c>
      <c r="O120" s="1" t="s">
        <v>10</v>
      </c>
      <c r="P120" s="1">
        <f>N120*M120</f>
        <v>1176</v>
      </c>
      <c r="Q120" s="18"/>
    </row>
    <row r="121" spans="1:17" x14ac:dyDescent="0.25">
      <c r="A121" s="68"/>
      <c r="B121" s="1"/>
      <c r="C121" s="1"/>
      <c r="D121" s="1"/>
      <c r="E121" s="1"/>
      <c r="F121" s="1"/>
      <c r="G121" s="1"/>
      <c r="H121" s="18"/>
      <c r="J121" s="68"/>
      <c r="K121" s="1"/>
      <c r="L121" s="1"/>
      <c r="M121" s="1"/>
      <c r="N121" s="1"/>
      <c r="O121" s="1"/>
      <c r="P121" s="1"/>
      <c r="Q121" s="18"/>
    </row>
    <row r="122" spans="1:17" x14ac:dyDescent="0.25">
      <c r="A122" s="68"/>
      <c r="B122" s="1"/>
      <c r="C122" s="1"/>
      <c r="D122" s="1"/>
      <c r="E122" s="1"/>
      <c r="F122" s="1"/>
      <c r="G122" s="1"/>
      <c r="H122" s="18"/>
      <c r="J122" s="68"/>
      <c r="K122" s="1"/>
      <c r="L122" s="1"/>
      <c r="M122" s="1"/>
      <c r="N122" s="3"/>
      <c r="O122" s="3"/>
      <c r="P122" s="3"/>
      <c r="Q122" s="18"/>
    </row>
    <row r="123" spans="1:17" ht="17.25" thickBot="1" x14ac:dyDescent="0.3">
      <c r="A123" s="69"/>
      <c r="B123" s="70" t="s">
        <v>50</v>
      </c>
      <c r="C123" s="71"/>
      <c r="D123" s="72"/>
      <c r="E123" s="22"/>
      <c r="F123" s="22"/>
      <c r="G123" s="46">
        <f>SUM(G119:G122)</f>
        <v>2301</v>
      </c>
      <c r="H123" s="23"/>
      <c r="J123" s="69"/>
      <c r="K123" s="70" t="s">
        <v>50</v>
      </c>
      <c r="L123" s="71"/>
      <c r="M123" s="72"/>
      <c r="N123" s="22"/>
      <c r="O123" s="22"/>
      <c r="P123" s="46">
        <f>SUM(P119:P122)</f>
        <v>1896</v>
      </c>
      <c r="Q123" s="23"/>
    </row>
    <row r="124" spans="1:17" ht="17.25" thickBot="1" x14ac:dyDescent="0.3"/>
    <row r="125" spans="1:17" x14ac:dyDescent="0.25">
      <c r="A125" s="10" t="s">
        <v>56</v>
      </c>
      <c r="B125" s="11" t="s">
        <v>1</v>
      </c>
      <c r="C125" s="11" t="s">
        <v>2</v>
      </c>
      <c r="D125" s="11" t="s">
        <v>3</v>
      </c>
      <c r="E125" s="11" t="s">
        <v>4</v>
      </c>
      <c r="F125" s="11"/>
      <c r="G125" s="11" t="s">
        <v>5</v>
      </c>
      <c r="H125" s="14" t="s">
        <v>6</v>
      </c>
    </row>
    <row r="126" spans="1:17" x14ac:dyDescent="0.25">
      <c r="A126" s="68" t="s">
        <v>207</v>
      </c>
      <c r="B126" s="1" t="s">
        <v>208</v>
      </c>
      <c r="C126" s="1" t="s">
        <v>135</v>
      </c>
      <c r="D126" s="1">
        <v>43.8</v>
      </c>
      <c r="E126" s="1">
        <v>40</v>
      </c>
      <c r="F126" s="1" t="s">
        <v>10</v>
      </c>
      <c r="G126" s="1">
        <f>E126*D126</f>
        <v>1752</v>
      </c>
      <c r="H126" s="18"/>
    </row>
    <row r="127" spans="1:17" x14ac:dyDescent="0.25">
      <c r="A127" s="68"/>
      <c r="B127" s="1" t="s">
        <v>55</v>
      </c>
      <c r="C127" s="1" t="s">
        <v>158</v>
      </c>
      <c r="D127" s="1">
        <v>30.6</v>
      </c>
      <c r="E127" s="1">
        <v>6</v>
      </c>
      <c r="F127" s="1" t="s">
        <v>10</v>
      </c>
      <c r="G127" s="76">
        <f>E127*D127</f>
        <v>183.60000000000002</v>
      </c>
      <c r="H127" s="18"/>
    </row>
    <row r="128" spans="1:17" x14ac:dyDescent="0.25">
      <c r="A128" s="68"/>
      <c r="B128" s="1"/>
      <c r="C128" s="1"/>
      <c r="D128" s="1"/>
      <c r="E128" s="1"/>
      <c r="F128" s="1"/>
      <c r="G128" s="1"/>
      <c r="H128" s="18"/>
    </row>
    <row r="129" spans="1:17" x14ac:dyDescent="0.25">
      <c r="A129" s="68"/>
      <c r="B129" s="1"/>
      <c r="C129" s="1"/>
      <c r="D129" s="1"/>
      <c r="E129" s="3"/>
      <c r="F129" s="3"/>
      <c r="G129" s="3"/>
      <c r="H129" s="18"/>
    </row>
    <row r="130" spans="1:17" ht="17.25" thickBot="1" x14ac:dyDescent="0.3">
      <c r="A130" s="69"/>
      <c r="B130" s="70" t="s">
        <v>50</v>
      </c>
      <c r="C130" s="71"/>
      <c r="D130" s="72"/>
      <c r="E130" s="22"/>
      <c r="F130" s="22"/>
      <c r="G130" s="49">
        <f>SUM(G126:G129)</f>
        <v>1935.6</v>
      </c>
      <c r="H130" s="23"/>
      <c r="J130" s="1" t="s">
        <v>56</v>
      </c>
      <c r="K130" s="1" t="s">
        <v>1</v>
      </c>
      <c r="L130" s="1" t="s">
        <v>2</v>
      </c>
      <c r="M130" s="1" t="s">
        <v>3</v>
      </c>
      <c r="N130" s="1" t="s">
        <v>251</v>
      </c>
      <c r="O130" s="1"/>
      <c r="P130" s="1" t="s">
        <v>5</v>
      </c>
      <c r="Q130" s="1" t="s">
        <v>6</v>
      </c>
    </row>
    <row r="131" spans="1:17" x14ac:dyDescent="0.25">
      <c r="J131" s="57" t="s">
        <v>252</v>
      </c>
      <c r="K131" s="1" t="s">
        <v>89</v>
      </c>
      <c r="L131" s="1" t="s">
        <v>253</v>
      </c>
      <c r="M131" s="1">
        <v>150</v>
      </c>
      <c r="N131" s="1">
        <v>5</v>
      </c>
      <c r="O131" s="1" t="s">
        <v>91</v>
      </c>
      <c r="P131" s="1">
        <f>N131*M131</f>
        <v>750</v>
      </c>
      <c r="Q131" s="1"/>
    </row>
    <row r="132" spans="1:17" x14ac:dyDescent="0.25">
      <c r="A132" s="1" t="s">
        <v>56</v>
      </c>
      <c r="B132" s="1" t="s">
        <v>1</v>
      </c>
      <c r="C132" s="1" t="s">
        <v>2</v>
      </c>
      <c r="D132" s="1" t="s">
        <v>3</v>
      </c>
      <c r="E132" s="1" t="s">
        <v>4</v>
      </c>
      <c r="F132" s="1"/>
      <c r="G132" s="1" t="s">
        <v>5</v>
      </c>
      <c r="H132" s="1" t="s">
        <v>6</v>
      </c>
      <c r="J132" s="57"/>
      <c r="K132" s="1" t="s">
        <v>55</v>
      </c>
      <c r="L132" s="1" t="s">
        <v>40</v>
      </c>
      <c r="M132" s="1">
        <v>30.6</v>
      </c>
      <c r="N132" s="1">
        <v>5</v>
      </c>
      <c r="O132" s="1" t="s">
        <v>10</v>
      </c>
      <c r="P132" s="1">
        <f>N132*M132</f>
        <v>153</v>
      </c>
      <c r="Q132" s="1"/>
    </row>
    <row r="133" spans="1:17" x14ac:dyDescent="0.25">
      <c r="A133" s="57" t="s">
        <v>213</v>
      </c>
      <c r="B133" s="1" t="s">
        <v>89</v>
      </c>
      <c r="C133" s="1" t="s">
        <v>175</v>
      </c>
      <c r="D133" s="1">
        <v>150</v>
      </c>
      <c r="E133" s="1">
        <v>6</v>
      </c>
      <c r="F133" s="1" t="s">
        <v>91</v>
      </c>
      <c r="G133" s="1">
        <f>E133*D133</f>
        <v>900</v>
      </c>
      <c r="H133" s="1"/>
      <c r="J133" s="57"/>
      <c r="K133" s="1"/>
      <c r="L133" s="1"/>
      <c r="M133" s="1"/>
      <c r="N133" s="1"/>
      <c r="O133" s="1"/>
      <c r="P133" s="1"/>
      <c r="Q133" s="1"/>
    </row>
    <row r="134" spans="1:17" x14ac:dyDescent="0.25">
      <c r="A134" s="57"/>
      <c r="B134" s="1" t="s">
        <v>75</v>
      </c>
      <c r="C134" s="1" t="s">
        <v>42</v>
      </c>
      <c r="D134" s="1">
        <v>93</v>
      </c>
      <c r="E134" s="1">
        <v>10</v>
      </c>
      <c r="F134" s="1" t="s">
        <v>10</v>
      </c>
      <c r="G134" s="1">
        <f>E134*D134</f>
        <v>930</v>
      </c>
      <c r="H134" s="1"/>
      <c r="J134" s="57"/>
      <c r="K134" s="1"/>
      <c r="L134" s="1"/>
      <c r="M134" s="1"/>
      <c r="N134" s="3"/>
      <c r="O134" s="3"/>
      <c r="P134" s="3"/>
      <c r="Q134" s="1"/>
    </row>
    <row r="135" spans="1:17" x14ac:dyDescent="0.25">
      <c r="A135" s="57"/>
      <c r="B135" s="1"/>
      <c r="C135" s="1"/>
      <c r="D135" s="1"/>
      <c r="E135" s="1"/>
      <c r="F135" s="1"/>
      <c r="G135" s="1"/>
      <c r="H135" s="1"/>
      <c r="J135" s="57"/>
      <c r="K135" s="67" t="s">
        <v>50</v>
      </c>
      <c r="L135" s="60"/>
      <c r="M135" s="61"/>
      <c r="N135" s="3"/>
      <c r="O135" s="3"/>
      <c r="P135" s="38">
        <f>SUM(P131:P134)</f>
        <v>903</v>
      </c>
      <c r="Q135" s="1"/>
    </row>
    <row r="136" spans="1:17" x14ac:dyDescent="0.25">
      <c r="A136" s="57"/>
      <c r="B136" s="1"/>
      <c r="C136" s="1"/>
      <c r="D136" s="1"/>
      <c r="E136" s="3"/>
      <c r="F136" s="3"/>
      <c r="G136" s="3"/>
      <c r="H136" s="1"/>
    </row>
    <row r="137" spans="1:17" x14ac:dyDescent="0.25">
      <c r="A137" s="57"/>
      <c r="B137" s="67" t="s">
        <v>50</v>
      </c>
      <c r="C137" s="60"/>
      <c r="D137" s="61"/>
      <c r="E137" s="3"/>
      <c r="F137" s="3"/>
      <c r="G137" s="38">
        <f>SUM(G133:G136)</f>
        <v>1830</v>
      </c>
      <c r="H137" s="1"/>
    </row>
    <row r="139" spans="1:17" x14ac:dyDescent="0.25">
      <c r="A139" s="1" t="s">
        <v>12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  <c r="G139" s="1" t="s">
        <v>5</v>
      </c>
      <c r="H139" s="1" t="s">
        <v>6</v>
      </c>
    </row>
    <row r="140" spans="1:17" x14ac:dyDescent="0.25">
      <c r="A140" s="57" t="s">
        <v>223</v>
      </c>
      <c r="B140" s="1" t="s">
        <v>224</v>
      </c>
      <c r="C140" s="1">
        <v>140</v>
      </c>
      <c r="D140" s="1">
        <v>12</v>
      </c>
      <c r="E140" s="1"/>
      <c r="F140" s="1" t="s">
        <v>225</v>
      </c>
      <c r="G140" s="1">
        <f>D140*C140</f>
        <v>1680</v>
      </c>
      <c r="H140" s="1"/>
    </row>
    <row r="141" spans="1:17" x14ac:dyDescent="0.25">
      <c r="A141" s="57"/>
      <c r="B141" s="1" t="s">
        <v>226</v>
      </c>
      <c r="C141" s="1">
        <v>50</v>
      </c>
      <c r="D141" s="1">
        <v>16</v>
      </c>
      <c r="E141" s="1"/>
      <c r="F141" s="1" t="s">
        <v>227</v>
      </c>
      <c r="G141" s="1">
        <f>D141*C141</f>
        <v>800</v>
      </c>
      <c r="H141" s="27" t="s">
        <v>18</v>
      </c>
    </row>
    <row r="142" spans="1:17" x14ac:dyDescent="0.25">
      <c r="A142" s="57"/>
      <c r="B142" s="1"/>
      <c r="C142" s="1"/>
      <c r="D142" s="1"/>
      <c r="E142" s="1"/>
      <c r="F142" s="1"/>
      <c r="G142" s="1"/>
      <c r="H142" s="1"/>
    </row>
    <row r="143" spans="1:17" x14ac:dyDescent="0.25">
      <c r="A143" s="57"/>
      <c r="B143" s="1"/>
      <c r="C143" s="1"/>
      <c r="D143" s="1"/>
      <c r="E143" s="1"/>
      <c r="F143" s="1"/>
      <c r="G143" s="1"/>
      <c r="H143" s="1"/>
    </row>
    <row r="144" spans="1:17" x14ac:dyDescent="0.25">
      <c r="A144" s="57"/>
      <c r="B144" s="67" t="s">
        <v>50</v>
      </c>
      <c r="C144" s="60"/>
      <c r="D144" s="61"/>
      <c r="E144" s="3"/>
      <c r="F144" s="3"/>
      <c r="G144" s="38">
        <f>SUM(G140:G143)</f>
        <v>2480</v>
      </c>
      <c r="H144" s="1"/>
    </row>
    <row r="146" spans="1:8" x14ac:dyDescent="0.25">
      <c r="A146" s="1" t="s">
        <v>12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 t="s">
        <v>5</v>
      </c>
      <c r="H146" s="1" t="s">
        <v>6</v>
      </c>
    </row>
    <row r="147" spans="1:8" x14ac:dyDescent="0.25">
      <c r="A147" s="57" t="s">
        <v>244</v>
      </c>
      <c r="B147" s="1" t="s">
        <v>245</v>
      </c>
      <c r="C147" s="1" t="s">
        <v>246</v>
      </c>
      <c r="D147" s="1">
        <v>11</v>
      </c>
      <c r="E147" s="1">
        <v>50</v>
      </c>
      <c r="F147" s="1" t="s">
        <v>130</v>
      </c>
      <c r="G147" s="1">
        <f>E147*D147</f>
        <v>550</v>
      </c>
      <c r="H147" s="1"/>
    </row>
    <row r="148" spans="1:8" x14ac:dyDescent="0.25">
      <c r="A148" s="57"/>
      <c r="B148" s="1" t="s">
        <v>189</v>
      </c>
      <c r="C148" s="1" t="s">
        <v>247</v>
      </c>
      <c r="D148" s="1">
        <v>46.8</v>
      </c>
      <c r="E148" s="1">
        <v>13.3</v>
      </c>
      <c r="F148" s="1" t="s">
        <v>10</v>
      </c>
      <c r="G148" s="76">
        <f>E148*D148</f>
        <v>622.43999999999994</v>
      </c>
      <c r="H148" s="1"/>
    </row>
    <row r="149" spans="1:8" x14ac:dyDescent="0.25">
      <c r="A149" s="57"/>
      <c r="B149" s="1" t="s">
        <v>248</v>
      </c>
      <c r="C149" s="1" t="s">
        <v>170</v>
      </c>
      <c r="D149" s="1">
        <v>144</v>
      </c>
      <c r="E149" s="1">
        <v>3</v>
      </c>
      <c r="F149" s="1" t="s">
        <v>10</v>
      </c>
      <c r="G149" s="76">
        <f t="shared" ref="G149:G150" si="9">E149*D149</f>
        <v>432</v>
      </c>
      <c r="H149" s="1"/>
    </row>
    <row r="150" spans="1:8" x14ac:dyDescent="0.25">
      <c r="A150" s="57"/>
      <c r="B150" s="1" t="s">
        <v>249</v>
      </c>
      <c r="C150" s="1" t="s">
        <v>40</v>
      </c>
      <c r="D150" s="1">
        <v>45</v>
      </c>
      <c r="E150" s="1">
        <v>5</v>
      </c>
      <c r="F150" s="1" t="s">
        <v>10</v>
      </c>
      <c r="G150" s="76">
        <f t="shared" si="9"/>
        <v>225</v>
      </c>
      <c r="H150" s="1"/>
    </row>
    <row r="151" spans="1:8" x14ac:dyDescent="0.25">
      <c r="A151" s="57"/>
      <c r="B151" s="67" t="s">
        <v>50</v>
      </c>
      <c r="C151" s="60"/>
      <c r="D151" s="61"/>
      <c r="E151" s="3"/>
      <c r="F151" s="3"/>
      <c r="G151" s="47">
        <f>SUM(G147:G150)</f>
        <v>1829.44</v>
      </c>
      <c r="H151" s="1"/>
    </row>
    <row r="154" spans="1:8" x14ac:dyDescent="0.25">
      <c r="A154" s="1" t="s">
        <v>12</v>
      </c>
      <c r="B154" s="1" t="s">
        <v>1</v>
      </c>
      <c r="C154" s="1" t="s">
        <v>2</v>
      </c>
      <c r="D154" s="1" t="s">
        <v>3</v>
      </c>
      <c r="E154" s="1" t="s">
        <v>251</v>
      </c>
      <c r="F154" s="1"/>
      <c r="G154" s="1" t="s">
        <v>5</v>
      </c>
      <c r="H154" s="1" t="s">
        <v>6</v>
      </c>
    </row>
    <row r="155" spans="1:8" x14ac:dyDescent="0.25">
      <c r="A155" s="89" t="s">
        <v>262</v>
      </c>
      <c r="B155" s="1" t="s">
        <v>263</v>
      </c>
      <c r="C155" s="1" t="s">
        <v>111</v>
      </c>
      <c r="D155" s="1">
        <v>82</v>
      </c>
      <c r="E155" s="1">
        <v>12</v>
      </c>
      <c r="F155" s="1" t="s">
        <v>23</v>
      </c>
      <c r="G155" s="1">
        <f>E155*D155</f>
        <v>984</v>
      </c>
      <c r="H155" s="27" t="s">
        <v>18</v>
      </c>
    </row>
    <row r="156" spans="1:8" x14ac:dyDescent="0.25">
      <c r="A156" s="89"/>
      <c r="B156" s="1" t="s">
        <v>208</v>
      </c>
      <c r="C156" s="1" t="s">
        <v>17</v>
      </c>
      <c r="D156" s="1">
        <v>43.8</v>
      </c>
      <c r="E156" s="1">
        <v>20</v>
      </c>
      <c r="F156" s="1" t="s">
        <v>10</v>
      </c>
      <c r="G156" s="1">
        <f t="shared" ref="G156:G157" si="10">E156*D156</f>
        <v>876</v>
      </c>
      <c r="H156" s="1"/>
    </row>
    <row r="157" spans="1:8" x14ac:dyDescent="0.25">
      <c r="A157" s="89"/>
      <c r="B157" s="1" t="s">
        <v>70</v>
      </c>
      <c r="C157" s="1" t="s">
        <v>42</v>
      </c>
      <c r="D157" s="1">
        <v>99</v>
      </c>
      <c r="E157" s="1">
        <v>10</v>
      </c>
      <c r="F157" s="1" t="s">
        <v>10</v>
      </c>
      <c r="G157" s="1">
        <f t="shared" si="10"/>
        <v>990</v>
      </c>
      <c r="H157" s="1"/>
    </row>
    <row r="158" spans="1:8" x14ac:dyDescent="0.25">
      <c r="A158" s="89"/>
      <c r="B158" s="1"/>
      <c r="C158" s="1"/>
      <c r="D158" s="1"/>
      <c r="E158" s="1"/>
      <c r="F158" s="1"/>
      <c r="G158" s="1"/>
      <c r="H158" s="1"/>
    </row>
    <row r="159" spans="1:8" x14ac:dyDescent="0.25">
      <c r="A159" s="89"/>
      <c r="B159" s="1"/>
      <c r="C159" s="1"/>
      <c r="D159" s="1"/>
      <c r="E159" s="1"/>
      <c r="F159" s="1"/>
      <c r="G159" s="1"/>
      <c r="H159" s="1"/>
    </row>
    <row r="160" spans="1:8" x14ac:dyDescent="0.25">
      <c r="A160" s="89"/>
      <c r="B160" s="57" t="s">
        <v>50</v>
      </c>
      <c r="C160" s="57"/>
      <c r="D160" s="57"/>
      <c r="E160" s="1"/>
      <c r="F160" s="1"/>
      <c r="G160" s="56">
        <f>SUM(G155:G159)</f>
        <v>2850</v>
      </c>
      <c r="H160" s="1"/>
    </row>
    <row r="161" spans="1:8" x14ac:dyDescent="0.25">
      <c r="A161" s="90"/>
      <c r="B161" s="31"/>
      <c r="C161" s="31"/>
      <c r="D161" s="31"/>
      <c r="E161" s="31"/>
      <c r="F161" s="31"/>
      <c r="G161" s="59"/>
      <c r="H161" s="31"/>
    </row>
    <row r="162" spans="1:8" x14ac:dyDescent="0.25">
      <c r="A162" s="90"/>
      <c r="B162" s="31"/>
      <c r="C162" s="31"/>
      <c r="D162" s="31"/>
      <c r="E162" s="31"/>
      <c r="F162" s="31"/>
      <c r="G162" s="59"/>
      <c r="H162" s="31"/>
    </row>
    <row r="163" spans="1:8" x14ac:dyDescent="0.25">
      <c r="A163" s="1" t="s">
        <v>12</v>
      </c>
      <c r="B163" s="1" t="s">
        <v>1</v>
      </c>
      <c r="C163" s="1" t="s">
        <v>2</v>
      </c>
      <c r="D163" s="1" t="s">
        <v>3</v>
      </c>
      <c r="E163" s="1" t="s">
        <v>251</v>
      </c>
      <c r="F163" s="1"/>
      <c r="G163" s="1" t="s">
        <v>5</v>
      </c>
      <c r="H163" s="1" t="s">
        <v>6</v>
      </c>
    </row>
    <row r="164" spans="1:8" x14ac:dyDescent="0.25">
      <c r="A164" s="57" t="s">
        <v>265</v>
      </c>
      <c r="B164" s="1" t="s">
        <v>266</v>
      </c>
      <c r="C164" s="1" t="s">
        <v>145</v>
      </c>
      <c r="D164" s="1">
        <v>70</v>
      </c>
      <c r="E164" s="1">
        <v>40</v>
      </c>
      <c r="F164" s="1" t="s">
        <v>23</v>
      </c>
      <c r="G164" s="1">
        <f>E164*D164</f>
        <v>2800</v>
      </c>
      <c r="H164" s="27" t="s">
        <v>18</v>
      </c>
    </row>
    <row r="165" spans="1:8" x14ac:dyDescent="0.25">
      <c r="A165" s="57"/>
      <c r="B165" s="1"/>
      <c r="C165" s="1"/>
      <c r="D165" s="1"/>
      <c r="E165" s="1"/>
      <c r="F165" s="1"/>
      <c r="G165" s="1"/>
      <c r="H165" s="1"/>
    </row>
    <row r="166" spans="1:8" x14ac:dyDescent="0.25">
      <c r="A166" s="39"/>
      <c r="B166" s="67" t="s">
        <v>50</v>
      </c>
      <c r="C166" s="60"/>
      <c r="D166" s="61"/>
      <c r="E166" s="3"/>
      <c r="F166" s="3"/>
      <c r="G166" s="38">
        <f>G164</f>
        <v>2800</v>
      </c>
      <c r="H166" s="1"/>
    </row>
    <row r="168" spans="1:8" x14ac:dyDescent="0.25">
      <c r="A168" s="1" t="s">
        <v>56</v>
      </c>
      <c r="B168" s="1" t="s">
        <v>1</v>
      </c>
      <c r="C168" s="1" t="s">
        <v>2</v>
      </c>
      <c r="D168" s="1" t="s">
        <v>3</v>
      </c>
      <c r="E168" s="1" t="s">
        <v>283</v>
      </c>
      <c r="F168" s="1"/>
      <c r="G168" s="1" t="s">
        <v>5</v>
      </c>
      <c r="H168" s="1" t="s">
        <v>6</v>
      </c>
    </row>
    <row r="169" spans="1:8" x14ac:dyDescent="0.25">
      <c r="A169" s="57" t="s">
        <v>284</v>
      </c>
      <c r="B169" s="1" t="s">
        <v>285</v>
      </c>
      <c r="C169" s="1" t="s">
        <v>42</v>
      </c>
      <c r="D169" s="1">
        <v>27.54</v>
      </c>
      <c r="E169" s="1">
        <v>10</v>
      </c>
      <c r="F169" s="1" t="s">
        <v>286</v>
      </c>
      <c r="G169" s="76">
        <f>D169*E169</f>
        <v>275.39999999999998</v>
      </c>
      <c r="H169" s="1"/>
    </row>
    <row r="170" spans="1:8" x14ac:dyDescent="0.25">
      <c r="A170" s="57"/>
      <c r="B170" s="1" t="s">
        <v>287</v>
      </c>
      <c r="C170" s="1" t="s">
        <v>200</v>
      </c>
      <c r="D170" s="1">
        <v>50</v>
      </c>
      <c r="E170" s="1">
        <v>25</v>
      </c>
      <c r="F170" s="1" t="s">
        <v>286</v>
      </c>
      <c r="G170" s="76">
        <f t="shared" ref="G170:G171" si="11">D170*E170</f>
        <v>1250</v>
      </c>
      <c r="H170" s="1" t="s">
        <v>288</v>
      </c>
    </row>
    <row r="171" spans="1:8" x14ac:dyDescent="0.25">
      <c r="A171" s="57"/>
      <c r="B171" s="1" t="s">
        <v>141</v>
      </c>
      <c r="C171" s="1" t="s">
        <v>76</v>
      </c>
      <c r="D171" s="1">
        <v>85</v>
      </c>
      <c r="E171" s="1">
        <v>4</v>
      </c>
      <c r="F171" s="1" t="s">
        <v>286</v>
      </c>
      <c r="G171" s="76">
        <f t="shared" si="11"/>
        <v>340</v>
      </c>
      <c r="H171" s="1"/>
    </row>
    <row r="172" spans="1:8" x14ac:dyDescent="0.25">
      <c r="A172" s="57"/>
      <c r="B172" s="1"/>
      <c r="C172" s="1"/>
      <c r="D172" s="1"/>
      <c r="E172" s="3"/>
      <c r="F172" s="3"/>
      <c r="G172" s="3"/>
      <c r="H172" s="1"/>
    </row>
    <row r="173" spans="1:8" x14ac:dyDescent="0.25">
      <c r="A173" s="57"/>
      <c r="B173" s="67" t="s">
        <v>50</v>
      </c>
      <c r="C173" s="60"/>
      <c r="D173" s="61"/>
      <c r="E173" s="3"/>
      <c r="F173" s="3"/>
      <c r="G173" s="47">
        <f>SUM(G169:G172)</f>
        <v>1865.4</v>
      </c>
      <c r="H173" s="1"/>
    </row>
  </sheetData>
  <mergeCells count="65">
    <mergeCell ref="B166:D166"/>
    <mergeCell ref="A164:A165"/>
    <mergeCell ref="J119:J123"/>
    <mergeCell ref="K123:M123"/>
    <mergeCell ref="A169:A173"/>
    <mergeCell ref="B173:D173"/>
    <mergeCell ref="A155:A160"/>
    <mergeCell ref="B160:D160"/>
    <mergeCell ref="K35:M35"/>
    <mergeCell ref="J27:J29"/>
    <mergeCell ref="J38:J40"/>
    <mergeCell ref="A140:A144"/>
    <mergeCell ref="B144:D144"/>
    <mergeCell ref="A147:A151"/>
    <mergeCell ref="B151:D151"/>
    <mergeCell ref="J131:J135"/>
    <mergeCell ref="K135:M135"/>
    <mergeCell ref="A133:A137"/>
    <mergeCell ref="B137:D137"/>
    <mergeCell ref="K30:M30"/>
    <mergeCell ref="J84:J88"/>
    <mergeCell ref="K88:M88"/>
    <mergeCell ref="A119:A123"/>
    <mergeCell ref="B123:D123"/>
    <mergeCell ref="A126:A130"/>
    <mergeCell ref="B130:D130"/>
    <mergeCell ref="T24:V24"/>
    <mergeCell ref="S27:S31"/>
    <mergeCell ref="T31:V31"/>
    <mergeCell ref="J70:J74"/>
    <mergeCell ref="K74:M74"/>
    <mergeCell ref="J20:J24"/>
    <mergeCell ref="K24:M24"/>
    <mergeCell ref="A105:A109"/>
    <mergeCell ref="B109:D109"/>
    <mergeCell ref="A112:A116"/>
    <mergeCell ref="B116:D116"/>
    <mergeCell ref="B95:D95"/>
    <mergeCell ref="A98:A102"/>
    <mergeCell ref="B102:D102"/>
    <mergeCell ref="J77:J81"/>
    <mergeCell ref="K81:M81"/>
    <mergeCell ref="A79:A83"/>
    <mergeCell ref="B83:D83"/>
    <mergeCell ref="A86:A90"/>
    <mergeCell ref="B90:D90"/>
    <mergeCell ref="K41:M41"/>
    <mergeCell ref="B62:D62"/>
    <mergeCell ref="A60:A61"/>
    <mergeCell ref="A65:A69"/>
    <mergeCell ref="B69:D69"/>
    <mergeCell ref="A72:A76"/>
    <mergeCell ref="B76:D76"/>
    <mergeCell ref="A38:A42"/>
    <mergeCell ref="B42:D42"/>
    <mergeCell ref="A45:A49"/>
    <mergeCell ref="B49:D49"/>
    <mergeCell ref="A52:A56"/>
    <mergeCell ref="B56:D56"/>
    <mergeCell ref="A2:A5"/>
    <mergeCell ref="A12:A15"/>
    <mergeCell ref="C16:F16"/>
    <mergeCell ref="B24:F24"/>
    <mergeCell ref="A27:A30"/>
    <mergeCell ref="B35:D3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K12" sqref="K12"/>
    </sheetView>
  </sheetViews>
  <sheetFormatPr defaultRowHeight="16.5" x14ac:dyDescent="0.25"/>
  <cols>
    <col min="1" max="2" width="11.625" bestFit="1" customWidth="1"/>
    <col min="7" max="7" width="5.5" bestFit="1" customWidth="1"/>
    <col min="8" max="8" width="13.875" bestFit="1" customWidth="1"/>
  </cols>
  <sheetData>
    <row r="1" spans="1:8" x14ac:dyDescent="0.25">
      <c r="A1" s="10" t="s">
        <v>36</v>
      </c>
      <c r="B1" s="11" t="s">
        <v>37</v>
      </c>
      <c r="C1" s="11" t="s">
        <v>38</v>
      </c>
      <c r="D1" s="11">
        <v>30</v>
      </c>
      <c r="E1" s="12">
        <v>50</v>
      </c>
      <c r="F1" s="12" t="s">
        <v>10</v>
      </c>
      <c r="G1" s="13">
        <f>E1*D1</f>
        <v>1500</v>
      </c>
      <c r="H1" s="14"/>
    </row>
    <row r="2" spans="1:8" x14ac:dyDescent="0.25">
      <c r="A2" s="35"/>
      <c r="B2" s="1" t="s">
        <v>39</v>
      </c>
      <c r="C2" s="1" t="s">
        <v>40</v>
      </c>
      <c r="D2" s="1">
        <v>40.5</v>
      </c>
      <c r="E2" s="2">
        <v>5</v>
      </c>
      <c r="F2" s="2"/>
      <c r="G2" s="5">
        <f>E2*D2</f>
        <v>202.5</v>
      </c>
      <c r="H2" s="18"/>
    </row>
    <row r="3" spans="1:8" x14ac:dyDescent="0.25">
      <c r="A3" s="35"/>
      <c r="B3" s="1" t="s">
        <v>41</v>
      </c>
      <c r="C3" s="1" t="s">
        <v>42</v>
      </c>
      <c r="D3" s="1">
        <v>30</v>
      </c>
      <c r="E3" s="2">
        <v>10</v>
      </c>
      <c r="F3" s="2"/>
      <c r="G3" s="5">
        <f>E3*D3</f>
        <v>300</v>
      </c>
      <c r="H3" s="18" t="s">
        <v>43</v>
      </c>
    </row>
    <row r="4" spans="1:8" ht="17.25" thickBot="1" x14ac:dyDescent="0.3">
      <c r="A4" s="36"/>
      <c r="B4" s="20" t="s">
        <v>44</v>
      </c>
      <c r="C4" s="20" t="s">
        <v>40</v>
      </c>
      <c r="D4" s="20">
        <v>45</v>
      </c>
      <c r="E4" s="21">
        <v>5</v>
      </c>
      <c r="F4" s="21"/>
      <c r="G4" s="37">
        <f>E4*D4</f>
        <v>225</v>
      </c>
      <c r="H4" s="23" t="s">
        <v>45</v>
      </c>
    </row>
    <row r="5" spans="1:8" ht="17.25" thickBot="1" x14ac:dyDescent="0.3"/>
    <row r="6" spans="1:8" x14ac:dyDescent="0.25">
      <c r="A6" s="66" t="s">
        <v>124</v>
      </c>
      <c r="B6" s="11" t="s">
        <v>1</v>
      </c>
      <c r="C6" s="11" t="s">
        <v>2</v>
      </c>
      <c r="D6" s="11" t="s">
        <v>3</v>
      </c>
      <c r="E6" s="11"/>
      <c r="F6" s="11"/>
      <c r="G6" s="11" t="s">
        <v>5</v>
      </c>
      <c r="H6" s="14"/>
    </row>
    <row r="7" spans="1:8" x14ac:dyDescent="0.25">
      <c r="A7" s="68" t="s">
        <v>125</v>
      </c>
      <c r="B7" s="1" t="s">
        <v>126</v>
      </c>
      <c r="C7" s="1"/>
      <c r="D7" s="1">
        <v>19.8</v>
      </c>
      <c r="E7" s="1">
        <v>15</v>
      </c>
      <c r="F7" s="1" t="s">
        <v>10</v>
      </c>
      <c r="G7" s="1">
        <f>E7*D7</f>
        <v>297</v>
      </c>
      <c r="H7" s="18"/>
    </row>
    <row r="8" spans="1:8" x14ac:dyDescent="0.25">
      <c r="A8" s="68"/>
      <c r="B8" s="1" t="s">
        <v>43</v>
      </c>
      <c r="C8" s="1"/>
      <c r="D8" s="1">
        <v>30</v>
      </c>
      <c r="E8" s="1">
        <v>5</v>
      </c>
      <c r="F8" s="1" t="s">
        <v>10</v>
      </c>
      <c r="G8" s="1">
        <f t="shared" ref="G8:G9" si="0">E8*D8</f>
        <v>150</v>
      </c>
      <c r="H8" s="18"/>
    </row>
    <row r="9" spans="1:8" x14ac:dyDescent="0.25">
      <c r="A9" s="68"/>
      <c r="B9" s="1" t="s">
        <v>127</v>
      </c>
      <c r="C9" s="1"/>
      <c r="D9" s="1">
        <v>7.98</v>
      </c>
      <c r="E9" s="1">
        <v>3</v>
      </c>
      <c r="F9" s="1" t="s">
        <v>10</v>
      </c>
      <c r="G9" s="76">
        <f t="shared" si="0"/>
        <v>23.94</v>
      </c>
      <c r="H9" s="18"/>
    </row>
    <row r="10" spans="1:8" x14ac:dyDescent="0.25">
      <c r="A10" s="68"/>
      <c r="B10" s="1"/>
      <c r="C10" s="1"/>
      <c r="D10" s="1"/>
      <c r="E10" s="1"/>
      <c r="F10" s="1"/>
      <c r="G10" s="1"/>
      <c r="H10" s="18"/>
    </row>
    <row r="11" spans="1:8" ht="17.25" thickBot="1" x14ac:dyDescent="0.3">
      <c r="A11" s="69"/>
      <c r="B11" s="70" t="s">
        <v>50</v>
      </c>
      <c r="C11" s="71"/>
      <c r="D11" s="72"/>
      <c r="E11" s="22"/>
      <c r="F11" s="22"/>
      <c r="G11" s="81">
        <f>G7+G8+G9</f>
        <v>470.94</v>
      </c>
      <c r="H11" s="23"/>
    </row>
    <row r="13" spans="1:8" ht="17.25" thickBot="1" x14ac:dyDescent="0.3"/>
    <row r="14" spans="1:8" x14ac:dyDescent="0.25">
      <c r="A14" s="66" t="s">
        <v>124</v>
      </c>
      <c r="B14" s="11" t="s">
        <v>1</v>
      </c>
      <c r="C14" s="11" t="s">
        <v>2</v>
      </c>
      <c r="D14" s="11" t="s">
        <v>3</v>
      </c>
      <c r="E14" s="11" t="s">
        <v>4</v>
      </c>
      <c r="F14" s="11"/>
      <c r="G14" s="29" t="s">
        <v>5</v>
      </c>
      <c r="H14" s="14"/>
    </row>
    <row r="15" spans="1:8" x14ac:dyDescent="0.25">
      <c r="A15" s="68"/>
      <c r="B15" s="1" t="s">
        <v>126</v>
      </c>
      <c r="C15" s="1"/>
      <c r="D15" s="1">
        <v>19.8</v>
      </c>
      <c r="E15" s="1">
        <v>10</v>
      </c>
      <c r="F15" s="1" t="s">
        <v>136</v>
      </c>
      <c r="G15" s="1">
        <f>E15*D15</f>
        <v>198</v>
      </c>
      <c r="H15" s="18"/>
    </row>
    <row r="16" spans="1:8" x14ac:dyDescent="0.25">
      <c r="A16" s="68"/>
      <c r="B16" s="1" t="s">
        <v>142</v>
      </c>
      <c r="C16" s="1"/>
      <c r="D16" s="1">
        <v>10</v>
      </c>
      <c r="E16" s="1">
        <v>30</v>
      </c>
      <c r="F16" s="1" t="s">
        <v>130</v>
      </c>
      <c r="G16" s="1">
        <f t="shared" ref="G16:G17" si="1">E16*D16</f>
        <v>300</v>
      </c>
      <c r="H16" s="18"/>
    </row>
    <row r="17" spans="1:8" x14ac:dyDescent="0.25">
      <c r="A17" s="68"/>
      <c r="B17" s="1" t="s">
        <v>143</v>
      </c>
      <c r="C17" s="1"/>
      <c r="D17" s="1">
        <v>52.8</v>
      </c>
      <c r="E17" s="1">
        <v>2.84</v>
      </c>
      <c r="F17" s="1" t="s">
        <v>136</v>
      </c>
      <c r="G17" s="76">
        <f t="shared" si="1"/>
        <v>149.952</v>
      </c>
      <c r="H17" s="18"/>
    </row>
    <row r="18" spans="1:8" x14ac:dyDescent="0.25">
      <c r="A18" s="68"/>
      <c r="B18" s="1"/>
      <c r="C18" s="1"/>
      <c r="D18" s="1"/>
      <c r="E18" s="1"/>
      <c r="F18" s="1"/>
      <c r="G18" s="1"/>
      <c r="H18" s="18"/>
    </row>
    <row r="19" spans="1:8" ht="17.25" thickBot="1" x14ac:dyDescent="0.3">
      <c r="A19" s="69"/>
      <c r="B19" s="70" t="s">
        <v>50</v>
      </c>
      <c r="C19" s="71"/>
      <c r="D19" s="72"/>
      <c r="E19" s="22"/>
      <c r="F19" s="22"/>
      <c r="G19" s="49">
        <f>SUM(G15:G18)</f>
        <v>647.952</v>
      </c>
      <c r="H19" s="23"/>
    </row>
    <row r="20" spans="1:8" ht="17.25" thickBot="1" x14ac:dyDescent="0.3"/>
    <row r="21" spans="1:8" x14ac:dyDescent="0.25">
      <c r="A21" s="82"/>
      <c r="B21" s="11" t="s">
        <v>1</v>
      </c>
      <c r="C21" s="11" t="s">
        <v>2</v>
      </c>
      <c r="D21" s="11" t="s">
        <v>3</v>
      </c>
      <c r="E21" s="11" t="s">
        <v>4</v>
      </c>
      <c r="F21" s="11"/>
      <c r="G21" s="29" t="s">
        <v>5</v>
      </c>
      <c r="H21" s="14"/>
    </row>
    <row r="22" spans="1:8" x14ac:dyDescent="0.25">
      <c r="A22" s="68" t="s">
        <v>165</v>
      </c>
      <c r="B22" s="1" t="s">
        <v>166</v>
      </c>
      <c r="C22" s="1" t="s">
        <v>139</v>
      </c>
      <c r="D22" s="1">
        <v>30</v>
      </c>
      <c r="E22" s="1">
        <v>60</v>
      </c>
      <c r="F22" s="1" t="s">
        <v>10</v>
      </c>
      <c r="G22" s="1">
        <f>E22*D22</f>
        <v>1800</v>
      </c>
      <c r="H22" s="18"/>
    </row>
    <row r="23" spans="1:8" x14ac:dyDescent="0.25">
      <c r="A23" s="68"/>
      <c r="B23" s="1" t="s">
        <v>167</v>
      </c>
      <c r="C23" s="1" t="s">
        <v>42</v>
      </c>
      <c r="D23" s="1">
        <v>21</v>
      </c>
      <c r="E23" s="1">
        <v>10</v>
      </c>
      <c r="F23" s="1" t="s">
        <v>10</v>
      </c>
      <c r="G23" s="1">
        <f t="shared" ref="G23:G26" si="2">E23*D23</f>
        <v>210</v>
      </c>
      <c r="H23" s="18"/>
    </row>
    <row r="24" spans="1:8" x14ac:dyDescent="0.25">
      <c r="A24" s="68"/>
      <c r="B24" s="1" t="s">
        <v>115</v>
      </c>
      <c r="C24" s="1" t="s">
        <v>17</v>
      </c>
      <c r="D24" s="1">
        <v>99</v>
      </c>
      <c r="E24" s="1">
        <v>20</v>
      </c>
      <c r="F24" s="1" t="s">
        <v>10</v>
      </c>
      <c r="G24" s="1">
        <f t="shared" si="2"/>
        <v>1980</v>
      </c>
      <c r="H24" s="18" t="s">
        <v>168</v>
      </c>
    </row>
    <row r="25" spans="1:8" x14ac:dyDescent="0.25">
      <c r="A25" s="68"/>
      <c r="B25" s="1" t="s">
        <v>44</v>
      </c>
      <c r="C25" s="1" t="s">
        <v>40</v>
      </c>
      <c r="D25" s="1">
        <v>45</v>
      </c>
      <c r="E25" s="1">
        <v>5</v>
      </c>
      <c r="F25" s="1" t="s">
        <v>10</v>
      </c>
      <c r="G25" s="1">
        <f t="shared" si="2"/>
        <v>225</v>
      </c>
      <c r="H25" s="18" t="s">
        <v>45</v>
      </c>
    </row>
    <row r="26" spans="1:8" x14ac:dyDescent="0.25">
      <c r="A26" s="68"/>
      <c r="B26" s="1" t="s">
        <v>169</v>
      </c>
      <c r="C26" s="1" t="s">
        <v>170</v>
      </c>
      <c r="D26" s="1">
        <v>7.98</v>
      </c>
      <c r="E26" s="1">
        <v>3</v>
      </c>
      <c r="F26" s="1" t="s">
        <v>10</v>
      </c>
      <c r="G26" s="76">
        <f t="shared" si="2"/>
        <v>23.94</v>
      </c>
      <c r="H26" s="18"/>
    </row>
    <row r="27" spans="1:8" ht="17.25" thickBot="1" x14ac:dyDescent="0.3">
      <c r="A27" s="69"/>
      <c r="B27" s="83" t="s">
        <v>50</v>
      </c>
      <c r="C27" s="83"/>
      <c r="D27" s="83"/>
      <c r="E27" s="20"/>
      <c r="F27" s="20"/>
      <c r="G27" s="84">
        <f>SUM(G22:G26)</f>
        <v>4238.9399999999996</v>
      </c>
      <c r="H27" s="23"/>
    </row>
    <row r="29" spans="1:8" x14ac:dyDescent="0.25">
      <c r="A29" s="65" t="s">
        <v>124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/>
    </row>
    <row r="30" spans="1:8" x14ac:dyDescent="0.25">
      <c r="A30" s="57"/>
      <c r="B30" s="1" t="s">
        <v>179</v>
      </c>
      <c r="C30" s="1">
        <v>12</v>
      </c>
      <c r="D30" s="1">
        <v>125</v>
      </c>
      <c r="E30" s="1"/>
      <c r="F30" s="1" t="s">
        <v>23</v>
      </c>
      <c r="G30" s="1">
        <f>C30*D30</f>
        <v>1500</v>
      </c>
      <c r="H30" s="1"/>
    </row>
    <row r="31" spans="1:8" x14ac:dyDescent="0.25">
      <c r="A31" s="57"/>
      <c r="B31" s="67" t="s">
        <v>50</v>
      </c>
      <c r="C31" s="60"/>
      <c r="D31" s="61"/>
      <c r="E31" s="3"/>
      <c r="F31" s="3"/>
      <c r="G31" s="38">
        <f>SUM(G30:G30)</f>
        <v>1500</v>
      </c>
      <c r="H31" s="1"/>
    </row>
    <row r="33" spans="1:8" x14ac:dyDescent="0.25">
      <c r="A33" s="65" t="s">
        <v>237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/>
    </row>
    <row r="34" spans="1:8" x14ac:dyDescent="0.25">
      <c r="A34" s="57" t="s">
        <v>238</v>
      </c>
      <c r="B34" s="1" t="s">
        <v>239</v>
      </c>
      <c r="C34" s="1">
        <v>65</v>
      </c>
      <c r="D34" s="1">
        <v>21</v>
      </c>
      <c r="E34" s="1"/>
      <c r="F34" s="1" t="s">
        <v>10</v>
      </c>
      <c r="G34" s="1">
        <f>D34*C34</f>
        <v>1365</v>
      </c>
      <c r="H34" s="1"/>
    </row>
    <row r="35" spans="1:8" x14ac:dyDescent="0.25">
      <c r="A35" s="57"/>
      <c r="B35" s="1" t="s">
        <v>78</v>
      </c>
      <c r="C35" s="1">
        <v>15</v>
      </c>
      <c r="D35" s="1">
        <v>21.6</v>
      </c>
      <c r="E35" s="1"/>
      <c r="F35" s="1" t="s">
        <v>136</v>
      </c>
      <c r="G35" s="1">
        <f t="shared" ref="G35:G36" si="3">D35*C35</f>
        <v>324</v>
      </c>
      <c r="H35" s="1"/>
    </row>
    <row r="36" spans="1:8" x14ac:dyDescent="0.25">
      <c r="A36" s="57"/>
      <c r="B36" s="1" t="s">
        <v>240</v>
      </c>
      <c r="C36" s="1">
        <v>3</v>
      </c>
      <c r="D36" s="1">
        <v>330</v>
      </c>
      <c r="E36" s="1"/>
      <c r="F36" s="1" t="s">
        <v>241</v>
      </c>
      <c r="G36" s="1">
        <f t="shared" si="3"/>
        <v>990</v>
      </c>
      <c r="H36" s="27" t="s">
        <v>18</v>
      </c>
    </row>
    <row r="37" spans="1:8" x14ac:dyDescent="0.25">
      <c r="A37" s="57"/>
      <c r="B37" s="1"/>
      <c r="C37" s="1"/>
      <c r="D37" s="1"/>
      <c r="E37" s="1"/>
      <c r="F37" s="1"/>
      <c r="G37" s="1"/>
      <c r="H37" s="1"/>
    </row>
    <row r="38" spans="1:8" x14ac:dyDescent="0.25">
      <c r="A38" s="57"/>
      <c r="B38" s="67" t="s">
        <v>50</v>
      </c>
      <c r="C38" s="60"/>
      <c r="D38" s="61"/>
      <c r="E38" s="3"/>
      <c r="F38" s="3"/>
      <c r="G38" s="38">
        <f>SUM(G34:G37)</f>
        <v>2679</v>
      </c>
      <c r="H38" s="1"/>
    </row>
    <row r="39" spans="1:8" ht="17.25" thickBot="1" x14ac:dyDescent="0.3"/>
    <row r="40" spans="1:8" x14ac:dyDescent="0.25">
      <c r="A40" s="66" t="s">
        <v>237</v>
      </c>
      <c r="B40" s="11" t="s">
        <v>1</v>
      </c>
      <c r="C40" s="11" t="s">
        <v>2</v>
      </c>
      <c r="D40" s="11" t="s">
        <v>3</v>
      </c>
      <c r="E40" s="11" t="s">
        <v>251</v>
      </c>
      <c r="F40" s="11"/>
      <c r="G40" s="11" t="s">
        <v>5</v>
      </c>
      <c r="H40" s="14"/>
    </row>
    <row r="41" spans="1:8" x14ac:dyDescent="0.25">
      <c r="A41" s="68" t="s">
        <v>272</v>
      </c>
      <c r="B41" s="1" t="s">
        <v>55</v>
      </c>
      <c r="C41" s="1" t="s">
        <v>42</v>
      </c>
      <c r="D41" s="1">
        <v>30.6</v>
      </c>
      <c r="E41" s="1">
        <v>10</v>
      </c>
      <c r="F41" s="1" t="s">
        <v>10</v>
      </c>
      <c r="G41" s="1">
        <f>E41*D41</f>
        <v>306</v>
      </c>
      <c r="H41" s="18"/>
    </row>
    <row r="42" spans="1:8" x14ac:dyDescent="0.25">
      <c r="A42" s="68"/>
      <c r="B42" s="1" t="s">
        <v>258</v>
      </c>
      <c r="C42" s="1" t="s">
        <v>20</v>
      </c>
      <c r="D42" s="1">
        <v>27</v>
      </c>
      <c r="E42" s="1">
        <v>15</v>
      </c>
      <c r="F42" s="1" t="s">
        <v>10</v>
      </c>
      <c r="G42" s="1">
        <f t="shared" ref="G42:G44" si="4">E42*D42</f>
        <v>405</v>
      </c>
      <c r="H42" s="18"/>
    </row>
    <row r="43" spans="1:8" x14ac:dyDescent="0.25">
      <c r="A43" s="68"/>
      <c r="B43" s="1" t="s">
        <v>204</v>
      </c>
      <c r="C43" s="1" t="s">
        <v>170</v>
      </c>
      <c r="D43" s="1">
        <v>5.4</v>
      </c>
      <c r="E43" s="1">
        <v>3</v>
      </c>
      <c r="F43" s="1" t="s">
        <v>10</v>
      </c>
      <c r="G43" s="76">
        <f t="shared" si="4"/>
        <v>16.200000000000003</v>
      </c>
      <c r="H43" s="18"/>
    </row>
    <row r="44" spans="1:8" x14ac:dyDescent="0.25">
      <c r="A44" s="68"/>
      <c r="B44" s="1" t="s">
        <v>44</v>
      </c>
      <c r="C44" s="1" t="s">
        <v>40</v>
      </c>
      <c r="D44" s="1">
        <v>45</v>
      </c>
      <c r="E44" s="1">
        <v>5</v>
      </c>
      <c r="F44" s="1" t="s">
        <v>10</v>
      </c>
      <c r="G44" s="1">
        <f t="shared" si="4"/>
        <v>225</v>
      </c>
      <c r="H44" s="18"/>
    </row>
    <row r="45" spans="1:8" ht="17.25" thickBot="1" x14ac:dyDescent="0.3">
      <c r="A45" s="69"/>
      <c r="B45" s="70" t="s">
        <v>50</v>
      </c>
      <c r="C45" s="71"/>
      <c r="D45" s="72"/>
      <c r="E45" s="22"/>
      <c r="F45" s="22"/>
      <c r="G45" s="49">
        <f>SUM(G41:G44)</f>
        <v>952.2</v>
      </c>
      <c r="H45" s="23"/>
    </row>
    <row r="47" spans="1:8" x14ac:dyDescent="0.25">
      <c r="A47" s="65" t="s">
        <v>237</v>
      </c>
      <c r="B47" s="1" t="s">
        <v>1</v>
      </c>
      <c r="C47" s="1" t="s">
        <v>2</v>
      </c>
      <c r="D47" s="1" t="s">
        <v>3</v>
      </c>
      <c r="E47" s="1" t="s">
        <v>251</v>
      </c>
      <c r="F47" s="1"/>
      <c r="G47" s="1" t="s">
        <v>5</v>
      </c>
      <c r="H47" s="1"/>
    </row>
    <row r="48" spans="1:8" x14ac:dyDescent="0.25">
      <c r="A48" s="57" t="s">
        <v>281</v>
      </c>
      <c r="B48" s="1" t="s">
        <v>126</v>
      </c>
      <c r="C48" s="1" t="s">
        <v>217</v>
      </c>
      <c r="D48" s="1">
        <v>19.8</v>
      </c>
      <c r="E48" s="1">
        <v>65</v>
      </c>
      <c r="F48" s="1" t="s">
        <v>136</v>
      </c>
      <c r="G48" s="1">
        <f>E48*D48</f>
        <v>1287</v>
      </c>
      <c r="H48" s="1"/>
    </row>
    <row r="49" spans="1:8" x14ac:dyDescent="0.25">
      <c r="A49" s="57"/>
      <c r="B49" s="1" t="s">
        <v>41</v>
      </c>
      <c r="C49" s="1" t="s">
        <v>42</v>
      </c>
      <c r="D49" s="1">
        <v>30</v>
      </c>
      <c r="E49" s="1">
        <v>10</v>
      </c>
      <c r="F49" s="1" t="s">
        <v>136</v>
      </c>
      <c r="G49" s="1">
        <f t="shared" ref="G49:G51" si="5">E49*D49</f>
        <v>300</v>
      </c>
      <c r="H49" s="1"/>
    </row>
    <row r="50" spans="1:8" x14ac:dyDescent="0.25">
      <c r="A50" s="57"/>
      <c r="B50" s="1" t="s">
        <v>44</v>
      </c>
      <c r="C50" s="1" t="s">
        <v>76</v>
      </c>
      <c r="D50" s="1">
        <v>45</v>
      </c>
      <c r="E50" s="1">
        <v>4</v>
      </c>
      <c r="F50" s="1" t="s">
        <v>136</v>
      </c>
      <c r="G50" s="1">
        <f t="shared" si="5"/>
        <v>180</v>
      </c>
      <c r="H50" s="1"/>
    </row>
    <row r="51" spans="1:8" x14ac:dyDescent="0.25">
      <c r="A51" s="57"/>
      <c r="B51" s="1" t="s">
        <v>282</v>
      </c>
      <c r="C51" s="1" t="s">
        <v>76</v>
      </c>
      <c r="D51" s="1">
        <v>130</v>
      </c>
      <c r="E51" s="1">
        <v>4</v>
      </c>
      <c r="F51" s="1" t="s">
        <v>136</v>
      </c>
      <c r="G51" s="1">
        <f t="shared" si="5"/>
        <v>520</v>
      </c>
      <c r="H51" s="1"/>
    </row>
    <row r="52" spans="1:8" x14ac:dyDescent="0.25">
      <c r="A52" s="57"/>
      <c r="B52" s="67" t="s">
        <v>50</v>
      </c>
      <c r="C52" s="60"/>
      <c r="D52" s="61"/>
      <c r="E52" s="3"/>
      <c r="F52" s="3"/>
      <c r="G52" s="38">
        <f>SUM(G48:G51)</f>
        <v>2287</v>
      </c>
      <c r="H52" s="1"/>
    </row>
  </sheetData>
  <mergeCells count="14">
    <mergeCell ref="A48:A52"/>
    <mergeCell ref="B52:D52"/>
    <mergeCell ref="A30:A31"/>
    <mergeCell ref="B31:D31"/>
    <mergeCell ref="A34:A38"/>
    <mergeCell ref="B38:D38"/>
    <mergeCell ref="A41:A45"/>
    <mergeCell ref="B45:D45"/>
    <mergeCell ref="A7:A11"/>
    <mergeCell ref="B11:D11"/>
    <mergeCell ref="A15:A19"/>
    <mergeCell ref="B19:D19"/>
    <mergeCell ref="A22:A27"/>
    <mergeCell ref="B27:D2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M20" sqref="M20"/>
    </sheetView>
  </sheetViews>
  <sheetFormatPr defaultRowHeight="16.5" x14ac:dyDescent="0.25"/>
  <cols>
    <col min="1" max="1" width="13.875" bestFit="1" customWidth="1"/>
  </cols>
  <sheetData>
    <row r="1" spans="1:8" x14ac:dyDescent="0.25">
      <c r="A1" s="10" t="s">
        <v>85</v>
      </c>
      <c r="B1" s="11" t="s">
        <v>1</v>
      </c>
      <c r="C1" s="11" t="s">
        <v>2</v>
      </c>
      <c r="D1" s="11" t="s">
        <v>3</v>
      </c>
      <c r="E1" s="11" t="s">
        <v>4</v>
      </c>
      <c r="F1" s="12"/>
      <c r="G1" s="13" t="s">
        <v>5</v>
      </c>
      <c r="H1" s="14" t="s">
        <v>6</v>
      </c>
    </row>
    <row r="2" spans="1:8" x14ac:dyDescent="0.25">
      <c r="A2" s="15" t="s">
        <v>86</v>
      </c>
      <c r="B2" s="1" t="s">
        <v>87</v>
      </c>
      <c r="C2" s="1"/>
      <c r="D2" s="1"/>
      <c r="E2" s="2"/>
      <c r="F2" s="2"/>
      <c r="G2" s="3"/>
      <c r="H2" s="18" t="s">
        <v>88</v>
      </c>
    </row>
    <row r="3" spans="1:8" x14ac:dyDescent="0.25">
      <c r="A3" s="62"/>
      <c r="B3" s="1" t="s">
        <v>89</v>
      </c>
      <c r="C3" s="1" t="s">
        <v>90</v>
      </c>
      <c r="D3" s="1">
        <v>150</v>
      </c>
      <c r="E3" s="2">
        <v>3</v>
      </c>
      <c r="F3" s="2" t="s">
        <v>91</v>
      </c>
      <c r="G3" s="3">
        <f>E3*D3</f>
        <v>450</v>
      </c>
      <c r="H3" s="18"/>
    </row>
    <row r="4" spans="1:8" ht="17.25" thickBot="1" x14ac:dyDescent="0.3">
      <c r="A4" s="36"/>
      <c r="B4" s="63" t="s">
        <v>50</v>
      </c>
      <c r="C4" s="64"/>
      <c r="D4" s="22"/>
      <c r="E4" s="21"/>
      <c r="F4" s="21"/>
      <c r="G4" s="46">
        <f>G3</f>
        <v>450</v>
      </c>
      <c r="H4" s="23"/>
    </row>
    <row r="5" spans="1:8" ht="17.25" thickBot="1" x14ac:dyDescent="0.3"/>
    <row r="6" spans="1:8" x14ac:dyDescent="0.25">
      <c r="A6" s="75" t="s">
        <v>102</v>
      </c>
      <c r="B6" s="11" t="s">
        <v>103</v>
      </c>
      <c r="C6" s="11" t="s">
        <v>20</v>
      </c>
      <c r="D6" s="11">
        <v>10.199999999999999</v>
      </c>
      <c r="E6" s="11">
        <v>15</v>
      </c>
      <c r="F6" s="11" t="s">
        <v>10</v>
      </c>
      <c r="G6" s="11">
        <f>E6*D6</f>
        <v>153</v>
      </c>
      <c r="H6" s="14"/>
    </row>
    <row r="7" spans="1:8" x14ac:dyDescent="0.25">
      <c r="A7" s="68"/>
      <c r="B7" s="1" t="s">
        <v>104</v>
      </c>
      <c r="C7" s="1" t="s">
        <v>40</v>
      </c>
      <c r="D7" s="1">
        <v>63</v>
      </c>
      <c r="E7" s="1">
        <v>5</v>
      </c>
      <c r="F7" s="1" t="s">
        <v>10</v>
      </c>
      <c r="G7" s="1">
        <f>E7*D7</f>
        <v>315</v>
      </c>
      <c r="H7" s="18"/>
    </row>
    <row r="8" spans="1:8" ht="17.25" thickBot="1" x14ac:dyDescent="0.3">
      <c r="A8" s="69"/>
      <c r="B8" s="70" t="s">
        <v>50</v>
      </c>
      <c r="C8" s="71"/>
      <c r="D8" s="72"/>
      <c r="E8" s="22"/>
      <c r="F8" s="22"/>
      <c r="G8" s="46">
        <f>SUM(G6:G7)</f>
        <v>468</v>
      </c>
      <c r="H8" s="23"/>
    </row>
    <row r="10" spans="1:8" ht="17.25" thickBot="1" x14ac:dyDescent="0.3"/>
    <row r="11" spans="1:8" x14ac:dyDescent="0.25">
      <c r="A11" s="10" t="s">
        <v>85</v>
      </c>
      <c r="B11" s="11" t="s">
        <v>1</v>
      </c>
      <c r="C11" s="11" t="s">
        <v>2</v>
      </c>
      <c r="D11" s="11" t="s">
        <v>3</v>
      </c>
      <c r="E11" s="11" t="s">
        <v>4</v>
      </c>
      <c r="F11" s="11"/>
      <c r="G11" s="11" t="s">
        <v>5</v>
      </c>
      <c r="H11" s="14" t="s">
        <v>6</v>
      </c>
    </row>
    <row r="12" spans="1:8" x14ac:dyDescent="0.25">
      <c r="A12" s="68" t="s">
        <v>178</v>
      </c>
      <c r="B12" s="1" t="s">
        <v>103</v>
      </c>
      <c r="C12" s="1" t="s">
        <v>20</v>
      </c>
      <c r="D12" s="1">
        <v>8.16</v>
      </c>
      <c r="E12" s="1">
        <v>15</v>
      </c>
      <c r="F12" s="1" t="s">
        <v>10</v>
      </c>
      <c r="G12" s="76">
        <f>D12*E12</f>
        <v>122.4</v>
      </c>
      <c r="H12" s="18"/>
    </row>
    <row r="13" spans="1:8" x14ac:dyDescent="0.25">
      <c r="A13" s="68"/>
      <c r="B13" s="1" t="s">
        <v>104</v>
      </c>
      <c r="C13" s="1" t="s">
        <v>40</v>
      </c>
      <c r="D13" s="1">
        <v>63</v>
      </c>
      <c r="E13" s="1">
        <v>5</v>
      </c>
      <c r="F13" s="1" t="s">
        <v>10</v>
      </c>
      <c r="G13" s="76">
        <f>D13*E13</f>
        <v>315</v>
      </c>
      <c r="H13" s="18"/>
    </row>
    <row r="14" spans="1:8" ht="17.25" thickBot="1" x14ac:dyDescent="0.3">
      <c r="A14" s="69"/>
      <c r="B14" s="70"/>
      <c r="C14" s="71"/>
      <c r="D14" s="72"/>
      <c r="E14" s="22"/>
      <c r="F14" s="22"/>
      <c r="G14" s="49">
        <f>SUM(G12:G13)</f>
        <v>437.4</v>
      </c>
      <c r="H14" s="23"/>
    </row>
    <row r="16" spans="1:8" ht="17.25" thickBot="1" x14ac:dyDescent="0.3"/>
    <row r="17" spans="1:8" x14ac:dyDescent="0.25">
      <c r="A17" s="75" t="s">
        <v>185</v>
      </c>
      <c r="B17" s="11" t="s">
        <v>103</v>
      </c>
      <c r="C17" s="11" t="s">
        <v>20</v>
      </c>
      <c r="D17" s="11">
        <v>9.18</v>
      </c>
      <c r="E17" s="11">
        <v>15</v>
      </c>
      <c r="F17" s="11" t="s">
        <v>10</v>
      </c>
      <c r="G17" s="85">
        <f>E17*D17</f>
        <v>137.69999999999999</v>
      </c>
      <c r="H17" s="14"/>
    </row>
    <row r="18" spans="1:8" x14ac:dyDescent="0.25">
      <c r="A18" s="68"/>
      <c r="B18" s="1" t="s">
        <v>186</v>
      </c>
      <c r="C18" s="1" t="s">
        <v>187</v>
      </c>
      <c r="D18" s="1">
        <v>98.4</v>
      </c>
      <c r="E18" s="1">
        <v>10</v>
      </c>
      <c r="F18" s="1" t="s">
        <v>10</v>
      </c>
      <c r="G18" s="76">
        <f>E18*D18</f>
        <v>984</v>
      </c>
      <c r="H18" s="18"/>
    </row>
    <row r="19" spans="1:8" ht="17.25" thickBot="1" x14ac:dyDescent="0.3">
      <c r="A19" s="69"/>
      <c r="B19" s="70" t="s">
        <v>50</v>
      </c>
      <c r="C19" s="71"/>
      <c r="D19" s="72"/>
      <c r="E19" s="22"/>
      <c r="F19" s="22"/>
      <c r="G19" s="49">
        <f>SUM(G17:G18)</f>
        <v>1121.7</v>
      </c>
      <c r="H19" s="23"/>
    </row>
    <row r="22" spans="1:8" x14ac:dyDescent="0.25">
      <c r="A22" s="1" t="s">
        <v>85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7" t="s">
        <v>220</v>
      </c>
      <c r="B23" s="1" t="s">
        <v>205</v>
      </c>
      <c r="C23" s="1" t="s">
        <v>42</v>
      </c>
      <c r="D23" s="1">
        <v>8.1</v>
      </c>
      <c r="E23" s="1">
        <v>10</v>
      </c>
      <c r="F23" s="1" t="s">
        <v>10</v>
      </c>
      <c r="G23" s="1">
        <f>E23*D23</f>
        <v>81</v>
      </c>
      <c r="H23" s="1"/>
    </row>
    <row r="24" spans="1:8" x14ac:dyDescent="0.25">
      <c r="A24" s="57"/>
      <c r="B24" s="1" t="s">
        <v>221</v>
      </c>
      <c r="C24" s="1" t="s">
        <v>20</v>
      </c>
      <c r="D24" s="1">
        <v>25.5</v>
      </c>
      <c r="E24" s="1">
        <v>15</v>
      </c>
      <c r="F24" s="1" t="s">
        <v>10</v>
      </c>
      <c r="G24" s="76">
        <f>E24*D24</f>
        <v>382.5</v>
      </c>
      <c r="H24" s="1"/>
    </row>
    <row r="25" spans="1:8" x14ac:dyDescent="0.25">
      <c r="A25" s="57"/>
      <c r="B25" s="67" t="s">
        <v>50</v>
      </c>
      <c r="C25" s="60"/>
      <c r="D25" s="61"/>
      <c r="E25" s="3"/>
      <c r="F25" s="3"/>
      <c r="G25" s="47">
        <f>SUM(G23:G24)</f>
        <v>463.5</v>
      </c>
      <c r="H25" s="1"/>
    </row>
    <row r="27" spans="1:8" x14ac:dyDescent="0.25">
      <c r="A27" s="1" t="s">
        <v>85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7" t="s">
        <v>250</v>
      </c>
      <c r="B28" s="1" t="s">
        <v>156</v>
      </c>
      <c r="C28" s="1" t="s">
        <v>17</v>
      </c>
      <c r="D28" s="1">
        <v>12.24</v>
      </c>
      <c r="E28" s="1">
        <v>20</v>
      </c>
      <c r="F28" s="1" t="s">
        <v>10</v>
      </c>
      <c r="G28" s="76">
        <f>E28*D28</f>
        <v>244.8</v>
      </c>
      <c r="H28" s="1"/>
    </row>
    <row r="29" spans="1:8" x14ac:dyDescent="0.25">
      <c r="A29" s="57"/>
      <c r="B29" s="1" t="s">
        <v>104</v>
      </c>
      <c r="C29" s="1" t="s">
        <v>158</v>
      </c>
      <c r="D29" s="1">
        <v>63</v>
      </c>
      <c r="E29" s="1">
        <v>6</v>
      </c>
      <c r="F29" s="1" t="s">
        <v>10</v>
      </c>
      <c r="G29" s="76">
        <f>E29*D29</f>
        <v>378</v>
      </c>
      <c r="H29" s="1"/>
    </row>
    <row r="30" spans="1:8" x14ac:dyDescent="0.25">
      <c r="A30" s="57"/>
      <c r="B30" s="67" t="s">
        <v>50</v>
      </c>
      <c r="C30" s="60"/>
      <c r="D30" s="61"/>
      <c r="E30" s="3"/>
      <c r="F30" s="3"/>
      <c r="G30" s="47">
        <f>SUM(G28:G29)</f>
        <v>622.79999999999995</v>
      </c>
      <c r="H30" s="1"/>
    </row>
    <row r="32" spans="1:8" x14ac:dyDescent="0.25">
      <c r="A32" s="1" t="s">
        <v>85</v>
      </c>
      <c r="B32" s="1" t="s">
        <v>1</v>
      </c>
      <c r="C32" s="1" t="s">
        <v>2</v>
      </c>
      <c r="D32" s="1" t="s">
        <v>3</v>
      </c>
      <c r="E32" s="1" t="s">
        <v>251</v>
      </c>
      <c r="F32" s="1"/>
      <c r="G32" s="1" t="s">
        <v>5</v>
      </c>
      <c r="H32" s="1" t="s">
        <v>6</v>
      </c>
    </row>
    <row r="33" spans="1:8" x14ac:dyDescent="0.25">
      <c r="A33" s="57" t="s">
        <v>257</v>
      </c>
      <c r="B33" s="1" t="s">
        <v>167</v>
      </c>
      <c r="C33" s="1" t="s">
        <v>158</v>
      </c>
      <c r="D33" s="1">
        <v>21</v>
      </c>
      <c r="E33" s="1">
        <v>6</v>
      </c>
      <c r="F33" s="1" t="s">
        <v>10</v>
      </c>
      <c r="G33" s="1">
        <f>E33*D33</f>
        <v>126</v>
      </c>
      <c r="H33" s="1"/>
    </row>
    <row r="34" spans="1:8" x14ac:dyDescent="0.25">
      <c r="A34" s="57"/>
      <c r="B34" s="1" t="s">
        <v>258</v>
      </c>
      <c r="C34" s="1" t="s">
        <v>20</v>
      </c>
      <c r="D34" s="1">
        <v>27</v>
      </c>
      <c r="E34" s="1">
        <v>15</v>
      </c>
      <c r="F34" s="1" t="s">
        <v>10</v>
      </c>
      <c r="G34" s="1">
        <f>E34*D34</f>
        <v>405</v>
      </c>
      <c r="H34" s="1"/>
    </row>
    <row r="35" spans="1:8" x14ac:dyDescent="0.25">
      <c r="A35" s="57"/>
      <c r="B35" s="67" t="s">
        <v>50</v>
      </c>
      <c r="C35" s="60"/>
      <c r="D35" s="61"/>
      <c r="E35" s="3"/>
      <c r="F35" s="3"/>
      <c r="G35" s="38">
        <f>SUM(G33:G34)</f>
        <v>531</v>
      </c>
      <c r="H35" s="1"/>
    </row>
  </sheetData>
  <mergeCells count="13">
    <mergeCell ref="A23:A25"/>
    <mergeCell ref="B25:D25"/>
    <mergeCell ref="A28:A30"/>
    <mergeCell ref="B30:D30"/>
    <mergeCell ref="A33:A35"/>
    <mergeCell ref="B35:D35"/>
    <mergeCell ref="A2:A3"/>
    <mergeCell ref="A6:A8"/>
    <mergeCell ref="B8:D8"/>
    <mergeCell ref="A12:A14"/>
    <mergeCell ref="B14:D14"/>
    <mergeCell ref="A17:A19"/>
    <mergeCell ref="B19:D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29" sqref="D29"/>
    </sheetView>
  </sheetViews>
  <sheetFormatPr defaultRowHeight="16.5" x14ac:dyDescent="0.25"/>
  <cols>
    <col min="1" max="1" width="16.375" bestFit="1" customWidth="1"/>
    <col min="2" max="2" width="16.125" bestFit="1" customWidth="1"/>
    <col min="8" max="8" width="11.625" bestFit="1" customWidth="1"/>
  </cols>
  <sheetData>
    <row r="1" spans="1:8" x14ac:dyDescent="0.25">
      <c r="A1" s="1" t="s">
        <v>21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3" t="s">
        <v>5</v>
      </c>
      <c r="H1" s="1" t="s">
        <v>6</v>
      </c>
    </row>
    <row r="2" spans="1:8" x14ac:dyDescent="0.25">
      <c r="A2" s="1" t="s">
        <v>22</v>
      </c>
      <c r="B2" s="1"/>
      <c r="C2" s="1"/>
      <c r="D2" s="1">
        <v>210</v>
      </c>
      <c r="E2" s="2">
        <v>1</v>
      </c>
      <c r="F2" s="1" t="s">
        <v>23</v>
      </c>
      <c r="G2" s="3">
        <v>210</v>
      </c>
      <c r="H2" s="1" t="s">
        <v>18</v>
      </c>
    </row>
    <row r="3" spans="1:8" x14ac:dyDescent="0.25">
      <c r="A3" s="1"/>
      <c r="B3" s="1"/>
      <c r="C3" s="1"/>
      <c r="D3" s="1"/>
      <c r="E3" s="2"/>
      <c r="F3" s="1" t="s">
        <v>10</v>
      </c>
      <c r="G3" s="3"/>
      <c r="H3" s="1"/>
    </row>
    <row r="4" spans="1:8" ht="17.25" thickBot="1" x14ac:dyDescent="0.3"/>
    <row r="5" spans="1:8" x14ac:dyDescent="0.25">
      <c r="A5" s="66" t="s">
        <v>92</v>
      </c>
      <c r="B5" s="11" t="s">
        <v>1</v>
      </c>
      <c r="C5" s="11" t="s">
        <v>2</v>
      </c>
      <c r="D5" s="11" t="s">
        <v>3</v>
      </c>
      <c r="E5" s="11" t="s">
        <v>4</v>
      </c>
      <c r="F5" s="12"/>
      <c r="G5" s="13" t="s">
        <v>5</v>
      </c>
      <c r="H5" s="14"/>
    </row>
    <row r="6" spans="1:8" ht="17.25" thickBot="1" x14ac:dyDescent="0.3">
      <c r="A6" s="36"/>
      <c r="B6" s="20" t="s">
        <v>93</v>
      </c>
      <c r="C6" s="20">
        <v>1</v>
      </c>
      <c r="D6" s="20">
        <v>50</v>
      </c>
      <c r="E6" s="21"/>
      <c r="F6" s="21" t="s">
        <v>35</v>
      </c>
      <c r="G6" s="22">
        <f>C6*D6</f>
        <v>50</v>
      </c>
      <c r="H6" s="23"/>
    </row>
    <row r="7" spans="1:8" ht="17.25" thickBot="1" x14ac:dyDescent="0.3"/>
    <row r="8" spans="1:8" x14ac:dyDescent="0.25">
      <c r="A8" s="79" t="s">
        <v>128</v>
      </c>
      <c r="B8" s="11" t="s">
        <v>1</v>
      </c>
      <c r="C8" s="11" t="s">
        <v>2</v>
      </c>
      <c r="D8" s="11" t="s">
        <v>3</v>
      </c>
      <c r="E8" s="13"/>
      <c r="F8" s="13"/>
      <c r="G8" s="80"/>
      <c r="H8" s="14"/>
    </row>
    <row r="9" spans="1:8" x14ac:dyDescent="0.25">
      <c r="A9" s="15"/>
      <c r="B9" s="1" t="s">
        <v>93</v>
      </c>
      <c r="C9" s="1">
        <v>2</v>
      </c>
      <c r="D9" s="1">
        <v>50</v>
      </c>
      <c r="E9" s="3"/>
      <c r="F9" s="1" t="s">
        <v>35</v>
      </c>
      <c r="G9" s="1">
        <f>C9*D9</f>
        <v>100</v>
      </c>
      <c r="H9" s="18"/>
    </row>
    <row r="10" spans="1:8" x14ac:dyDescent="0.25">
      <c r="A10" s="17"/>
      <c r="B10" s="1" t="s">
        <v>129</v>
      </c>
      <c r="C10" s="1">
        <v>100</v>
      </c>
      <c r="D10" s="1">
        <v>4.5</v>
      </c>
      <c r="E10" s="3"/>
      <c r="F10" s="3" t="s">
        <v>130</v>
      </c>
      <c r="G10" s="78">
        <f>C10*D10</f>
        <v>450</v>
      </c>
      <c r="H10" s="32" t="s">
        <v>18</v>
      </c>
    </row>
    <row r="11" spans="1:8" x14ac:dyDescent="0.25">
      <c r="A11" s="17"/>
      <c r="B11" s="1" t="s">
        <v>131</v>
      </c>
      <c r="C11" s="1">
        <v>2</v>
      </c>
      <c r="D11" s="1">
        <v>50</v>
      </c>
      <c r="E11" s="3"/>
      <c r="F11" s="3" t="s">
        <v>35</v>
      </c>
      <c r="G11" s="78">
        <f t="shared" ref="G11:G12" si="0">C11*D11</f>
        <v>100</v>
      </c>
      <c r="H11" s="32" t="s">
        <v>18</v>
      </c>
    </row>
    <row r="12" spans="1:8" x14ac:dyDescent="0.25">
      <c r="A12" s="62"/>
      <c r="B12" s="1" t="s">
        <v>132</v>
      </c>
      <c r="C12" s="1">
        <v>1</v>
      </c>
      <c r="D12" s="1">
        <v>270</v>
      </c>
      <c r="E12" s="3"/>
      <c r="F12" s="3" t="s">
        <v>31</v>
      </c>
      <c r="G12" s="78">
        <f t="shared" si="0"/>
        <v>270</v>
      </c>
      <c r="H12" s="32" t="s">
        <v>18</v>
      </c>
    </row>
    <row r="13" spans="1:8" ht="17.25" thickBot="1" x14ac:dyDescent="0.3">
      <c r="A13" s="36"/>
      <c r="B13" s="70" t="s">
        <v>50</v>
      </c>
      <c r="C13" s="71"/>
      <c r="D13" s="72"/>
      <c r="E13" s="22"/>
      <c r="F13" s="22"/>
      <c r="G13" s="81">
        <f>SUM(G9:G12)</f>
        <v>920</v>
      </c>
      <c r="H13" s="23"/>
    </row>
  </sheetData>
  <mergeCells count="2">
    <mergeCell ref="A9:A12"/>
    <mergeCell ref="B13:D1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N35" sqref="N35"/>
    </sheetView>
  </sheetViews>
  <sheetFormatPr defaultRowHeight="16.5" x14ac:dyDescent="0.25"/>
  <cols>
    <col min="1" max="1" width="5.5" bestFit="1" customWidth="1"/>
    <col min="2" max="2" width="16.125" bestFit="1" customWidth="1"/>
    <col min="10" max="10" width="5.5" bestFit="1" customWidth="1"/>
    <col min="11" max="11" width="16.125" bestFit="1" customWidth="1"/>
  </cols>
  <sheetData>
    <row r="1" spans="1:17" x14ac:dyDescent="0.25">
      <c r="A1" s="33" t="s">
        <v>24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1" t="s">
        <v>6</v>
      </c>
      <c r="J1" s="33" t="s">
        <v>24</v>
      </c>
      <c r="K1" s="1" t="s">
        <v>1</v>
      </c>
      <c r="L1" s="1" t="s">
        <v>2</v>
      </c>
      <c r="M1" s="1" t="s">
        <v>3</v>
      </c>
      <c r="N1" s="1" t="s">
        <v>4</v>
      </c>
      <c r="O1" s="1"/>
      <c r="P1" s="1" t="s">
        <v>5</v>
      </c>
      <c r="Q1" s="1" t="s">
        <v>6</v>
      </c>
    </row>
    <row r="2" spans="1:17" x14ac:dyDescent="0.25">
      <c r="A2" s="1"/>
      <c r="B2" s="1" t="s">
        <v>25</v>
      </c>
      <c r="C2" s="1"/>
      <c r="D2" s="1">
        <v>339</v>
      </c>
      <c r="E2" s="2">
        <v>2</v>
      </c>
      <c r="F2" s="1" t="s">
        <v>26</v>
      </c>
      <c r="G2" s="3">
        <f>D2*E2</f>
        <v>678</v>
      </c>
      <c r="H2" s="1"/>
      <c r="J2" s="39"/>
      <c r="K2" s="1" t="s">
        <v>140</v>
      </c>
      <c r="L2" s="1">
        <v>1</v>
      </c>
      <c r="M2" s="1">
        <v>62.7</v>
      </c>
      <c r="N2" s="1"/>
      <c r="O2" s="1" t="s">
        <v>10</v>
      </c>
      <c r="P2" s="76">
        <f>M2*L2</f>
        <v>62.7</v>
      </c>
      <c r="Q2" s="1"/>
    </row>
    <row r="3" spans="1:17" x14ac:dyDescent="0.25">
      <c r="A3" s="1"/>
      <c r="B3" s="1" t="s">
        <v>27</v>
      </c>
      <c r="C3" s="1"/>
      <c r="D3" s="1">
        <v>291</v>
      </c>
      <c r="E3" s="2">
        <v>1</v>
      </c>
      <c r="F3" s="1" t="s">
        <v>26</v>
      </c>
      <c r="G3" s="5">
        <f t="shared" ref="G3:G8" si="0">D3*E3</f>
        <v>291</v>
      </c>
      <c r="H3" s="1"/>
      <c r="J3" s="39"/>
      <c r="K3" s="1" t="s">
        <v>228</v>
      </c>
      <c r="L3" s="1">
        <v>10</v>
      </c>
      <c r="M3" s="1">
        <v>21</v>
      </c>
      <c r="N3" s="1"/>
      <c r="O3" s="1" t="s">
        <v>10</v>
      </c>
      <c r="P3" s="76">
        <f>M3*L3</f>
        <v>210</v>
      </c>
      <c r="Q3" s="1"/>
    </row>
    <row r="4" spans="1:17" x14ac:dyDescent="0.25">
      <c r="A4" s="1"/>
      <c r="B4" s="1" t="s">
        <v>28</v>
      </c>
      <c r="C4" s="1"/>
      <c r="D4" s="1">
        <v>235</v>
      </c>
      <c r="E4" s="2">
        <v>1</v>
      </c>
      <c r="F4" s="1" t="s">
        <v>26</v>
      </c>
      <c r="G4" s="5">
        <f t="shared" si="0"/>
        <v>235</v>
      </c>
      <c r="H4" s="1"/>
      <c r="J4" s="39"/>
      <c r="K4" s="1" t="s">
        <v>229</v>
      </c>
      <c r="L4" s="1"/>
      <c r="M4" s="1">
        <v>181</v>
      </c>
      <c r="N4" s="1">
        <v>1</v>
      </c>
      <c r="O4" s="1" t="s">
        <v>26</v>
      </c>
      <c r="P4" s="1">
        <f t="shared" ref="P4:P13" si="1">N4*M4</f>
        <v>181</v>
      </c>
      <c r="Q4" s="1"/>
    </row>
    <row r="5" spans="1:17" x14ac:dyDescent="0.25">
      <c r="A5" s="1"/>
      <c r="B5" s="1" t="s">
        <v>29</v>
      </c>
      <c r="C5" s="1"/>
      <c r="D5" s="1">
        <v>225</v>
      </c>
      <c r="E5" s="2">
        <v>1</v>
      </c>
      <c r="F5" s="1" t="s">
        <v>26</v>
      </c>
      <c r="G5" s="3">
        <f t="shared" si="0"/>
        <v>225</v>
      </c>
      <c r="H5" s="1"/>
      <c r="J5" s="39"/>
      <c r="K5" s="1" t="s">
        <v>25</v>
      </c>
      <c r="L5" s="1"/>
      <c r="M5" s="1">
        <v>339</v>
      </c>
      <c r="N5" s="1">
        <v>2</v>
      </c>
      <c r="O5" s="1" t="s">
        <v>26</v>
      </c>
      <c r="P5" s="1">
        <f t="shared" si="1"/>
        <v>678</v>
      </c>
      <c r="Q5" s="1"/>
    </row>
    <row r="6" spans="1:17" x14ac:dyDescent="0.25">
      <c r="A6" s="1"/>
      <c r="B6" s="34" t="s">
        <v>30</v>
      </c>
      <c r="C6" s="1"/>
      <c r="D6" s="1">
        <v>175</v>
      </c>
      <c r="E6" s="2">
        <v>1</v>
      </c>
      <c r="F6" s="1" t="s">
        <v>31</v>
      </c>
      <c r="G6" s="3">
        <f t="shared" si="0"/>
        <v>175</v>
      </c>
      <c r="H6" s="1"/>
      <c r="J6" s="39"/>
      <c r="K6" s="1" t="s">
        <v>230</v>
      </c>
      <c r="L6" s="1"/>
      <c r="M6" s="1">
        <v>219</v>
      </c>
      <c r="N6" s="1">
        <v>1</v>
      </c>
      <c r="O6" s="1" t="s">
        <v>26</v>
      </c>
      <c r="P6" s="3">
        <f t="shared" si="1"/>
        <v>219</v>
      </c>
      <c r="Q6" s="1"/>
    </row>
    <row r="7" spans="1:17" x14ac:dyDescent="0.25">
      <c r="A7" s="1"/>
      <c r="B7" s="1" t="s">
        <v>32</v>
      </c>
      <c r="C7" s="1"/>
      <c r="D7" s="1">
        <v>235</v>
      </c>
      <c r="E7" s="2">
        <v>2</v>
      </c>
      <c r="F7" s="1" t="s">
        <v>33</v>
      </c>
      <c r="G7" s="1">
        <f t="shared" si="0"/>
        <v>470</v>
      </c>
      <c r="H7" s="27" t="s">
        <v>18</v>
      </c>
      <c r="J7" s="39"/>
      <c r="K7" s="34" t="s">
        <v>30</v>
      </c>
      <c r="L7" s="1"/>
      <c r="M7" s="1">
        <v>175</v>
      </c>
      <c r="N7" s="3">
        <v>1</v>
      </c>
      <c r="O7" s="3" t="s">
        <v>31</v>
      </c>
      <c r="P7" s="3">
        <f t="shared" si="1"/>
        <v>175</v>
      </c>
      <c r="Q7" s="1"/>
    </row>
    <row r="8" spans="1:17" x14ac:dyDescent="0.25">
      <c r="A8" s="1"/>
      <c r="B8" s="34" t="s">
        <v>34</v>
      </c>
      <c r="C8" s="1"/>
      <c r="D8" s="1">
        <v>226</v>
      </c>
      <c r="E8" s="2">
        <v>1</v>
      </c>
      <c r="F8" s="1" t="s">
        <v>35</v>
      </c>
      <c r="G8" s="1">
        <f t="shared" si="0"/>
        <v>226</v>
      </c>
      <c r="H8" s="27" t="s">
        <v>18</v>
      </c>
      <c r="J8" s="39"/>
      <c r="K8" s="1" t="s">
        <v>231</v>
      </c>
      <c r="L8" s="1"/>
      <c r="M8" s="1">
        <v>148.19999999999999</v>
      </c>
      <c r="N8" s="3">
        <v>2</v>
      </c>
      <c r="O8" s="3" t="s">
        <v>10</v>
      </c>
      <c r="P8" s="5">
        <f t="shared" si="1"/>
        <v>296.39999999999998</v>
      </c>
      <c r="Q8" s="1"/>
    </row>
    <row r="9" spans="1:17" ht="17.25" thickBot="1" x14ac:dyDescent="0.3">
      <c r="J9" s="39"/>
      <c r="K9" s="1" t="s">
        <v>22</v>
      </c>
      <c r="L9" s="1"/>
      <c r="M9" s="1">
        <v>210</v>
      </c>
      <c r="N9" s="3">
        <v>1</v>
      </c>
      <c r="O9" s="3" t="s">
        <v>23</v>
      </c>
      <c r="P9" s="3">
        <f t="shared" si="1"/>
        <v>210</v>
      </c>
      <c r="Q9" s="27" t="s">
        <v>18</v>
      </c>
    </row>
    <row r="10" spans="1:17" x14ac:dyDescent="0.25">
      <c r="A10" s="48" t="s">
        <v>24</v>
      </c>
      <c r="B10" s="11" t="s">
        <v>1</v>
      </c>
      <c r="C10" s="11" t="s">
        <v>2</v>
      </c>
      <c r="D10" s="11" t="s">
        <v>3</v>
      </c>
      <c r="E10" s="11" t="s">
        <v>4</v>
      </c>
      <c r="F10" s="12"/>
      <c r="G10" s="13" t="s">
        <v>5</v>
      </c>
      <c r="H10" s="14" t="s">
        <v>6</v>
      </c>
      <c r="J10" s="39"/>
      <c r="K10" s="1" t="s">
        <v>232</v>
      </c>
      <c r="L10" s="1"/>
      <c r="M10" s="1">
        <v>4</v>
      </c>
      <c r="N10" s="3">
        <v>200</v>
      </c>
      <c r="O10" s="3" t="s">
        <v>130</v>
      </c>
      <c r="P10" s="3">
        <f t="shared" si="1"/>
        <v>800</v>
      </c>
      <c r="Q10" s="27" t="s">
        <v>18</v>
      </c>
    </row>
    <row r="11" spans="1:17" x14ac:dyDescent="0.25">
      <c r="A11" s="35"/>
      <c r="B11" s="1" t="s">
        <v>63</v>
      </c>
      <c r="C11" s="1"/>
      <c r="D11" s="6">
        <v>150</v>
      </c>
      <c r="E11" s="2">
        <v>2</v>
      </c>
      <c r="F11" s="1" t="s">
        <v>10</v>
      </c>
      <c r="G11" s="3">
        <f>D11*E11</f>
        <v>300</v>
      </c>
      <c r="H11" s="18"/>
      <c r="J11" s="39"/>
      <c r="K11" s="1" t="s">
        <v>233</v>
      </c>
      <c r="L11" s="1"/>
      <c r="M11" s="1">
        <v>225</v>
      </c>
      <c r="N11" s="3">
        <v>2</v>
      </c>
      <c r="O11" s="3" t="s">
        <v>234</v>
      </c>
      <c r="P11" s="3">
        <f t="shared" si="1"/>
        <v>450</v>
      </c>
      <c r="Q11" s="27" t="s">
        <v>18</v>
      </c>
    </row>
    <row r="12" spans="1:17" x14ac:dyDescent="0.25">
      <c r="A12" s="35"/>
      <c r="B12" s="1" t="s">
        <v>64</v>
      </c>
      <c r="C12" s="1"/>
      <c r="D12" s="6">
        <v>49.5</v>
      </c>
      <c r="E12" s="2">
        <v>0.5</v>
      </c>
      <c r="F12" s="2"/>
      <c r="G12" s="5">
        <f t="shared" ref="G12:G14" si="2">D12*E12</f>
        <v>24.75</v>
      </c>
      <c r="H12" s="18"/>
      <c r="J12" s="39"/>
      <c r="K12" s="1" t="s">
        <v>235</v>
      </c>
      <c r="L12" s="1"/>
      <c r="M12" s="1">
        <v>480</v>
      </c>
      <c r="N12" s="1">
        <v>1</v>
      </c>
      <c r="O12" s="1" t="s">
        <v>26</v>
      </c>
      <c r="P12" s="3">
        <f t="shared" si="1"/>
        <v>480</v>
      </c>
      <c r="Q12" s="27" t="s">
        <v>18</v>
      </c>
    </row>
    <row r="13" spans="1:17" x14ac:dyDescent="0.25">
      <c r="A13" s="35"/>
      <c r="B13" s="1" t="s">
        <v>65</v>
      </c>
      <c r="C13" s="1"/>
      <c r="D13" s="6">
        <v>132.6</v>
      </c>
      <c r="E13" s="2">
        <v>8</v>
      </c>
      <c r="F13" s="2"/>
      <c r="G13" s="5">
        <f t="shared" si="2"/>
        <v>1060.8</v>
      </c>
      <c r="H13" s="18"/>
      <c r="J13" s="39"/>
      <c r="K13" s="1" t="s">
        <v>236</v>
      </c>
      <c r="L13" s="1"/>
      <c r="M13" s="1">
        <v>450</v>
      </c>
      <c r="N13" s="3">
        <v>1</v>
      </c>
      <c r="O13" s="3" t="s">
        <v>23</v>
      </c>
      <c r="P13" s="3">
        <f t="shared" si="1"/>
        <v>450</v>
      </c>
      <c r="Q13" s="27" t="s">
        <v>18</v>
      </c>
    </row>
    <row r="14" spans="1:17" x14ac:dyDescent="0.25">
      <c r="A14" s="35"/>
      <c r="B14" s="1" t="s">
        <v>66</v>
      </c>
      <c r="C14" s="1"/>
      <c r="D14" s="6">
        <v>39.6</v>
      </c>
      <c r="E14" s="2">
        <v>5</v>
      </c>
      <c r="F14" s="2"/>
      <c r="G14" s="3">
        <f t="shared" si="2"/>
        <v>198</v>
      </c>
      <c r="H14" s="18"/>
      <c r="J14" s="39"/>
      <c r="K14" s="67" t="s">
        <v>50</v>
      </c>
      <c r="L14" s="60"/>
      <c r="M14" s="61"/>
      <c r="N14" s="3"/>
      <c r="O14" s="3"/>
      <c r="P14" s="47">
        <f>SUM(P2:P13)</f>
        <v>4212.1000000000004</v>
      </c>
      <c r="Q14" s="1"/>
    </row>
    <row r="15" spans="1:17" ht="17.25" thickBot="1" x14ac:dyDescent="0.3">
      <c r="A15" s="36"/>
      <c r="B15" s="43" t="s">
        <v>50</v>
      </c>
      <c r="C15" s="44"/>
      <c r="D15" s="44"/>
      <c r="E15" s="44"/>
      <c r="F15" s="45"/>
      <c r="G15" s="49">
        <f>SUM(G11:G14)</f>
        <v>1583.55</v>
      </c>
      <c r="H15" s="23"/>
    </row>
    <row r="16" spans="1:17" ht="17.25" thickBot="1" x14ac:dyDescent="0.3">
      <c r="K16" s="1" t="s">
        <v>254</v>
      </c>
      <c r="L16" s="77"/>
      <c r="M16" s="1">
        <v>225</v>
      </c>
      <c r="N16" s="1">
        <v>1</v>
      </c>
      <c r="O16" s="1" t="s">
        <v>26</v>
      </c>
      <c r="P16" s="1">
        <f t="shared" ref="P16:P18" si="3">N16*M16</f>
        <v>225</v>
      </c>
      <c r="Q16" s="77"/>
    </row>
    <row r="17" spans="1:17" x14ac:dyDescent="0.25">
      <c r="A17" s="10"/>
      <c r="B17" s="11" t="s">
        <v>67</v>
      </c>
      <c r="C17" s="11"/>
      <c r="D17" s="11">
        <v>82.5</v>
      </c>
      <c r="E17" s="12">
        <v>8</v>
      </c>
      <c r="F17" s="12" t="s">
        <v>10</v>
      </c>
      <c r="G17" s="13">
        <f>E17*D17</f>
        <v>660</v>
      </c>
      <c r="H17" s="50"/>
      <c r="K17" s="1" t="s">
        <v>255</v>
      </c>
      <c r="L17" s="77"/>
      <c r="M17" s="1">
        <v>225</v>
      </c>
      <c r="N17" s="1">
        <v>1</v>
      </c>
      <c r="O17" s="1" t="s">
        <v>26</v>
      </c>
      <c r="P17" s="1">
        <f t="shared" si="3"/>
        <v>225</v>
      </c>
      <c r="Q17" s="77"/>
    </row>
    <row r="18" spans="1:17" ht="17.25" thickBot="1" x14ac:dyDescent="0.3">
      <c r="A18" s="36"/>
      <c r="B18" s="20" t="s">
        <v>68</v>
      </c>
      <c r="C18" s="20"/>
      <c r="D18" s="20">
        <v>130</v>
      </c>
      <c r="E18" s="21">
        <v>1</v>
      </c>
      <c r="F18" s="21" t="s">
        <v>23</v>
      </c>
      <c r="G18" s="22">
        <v>130</v>
      </c>
      <c r="H18" s="51"/>
      <c r="K18" s="1" t="s">
        <v>256</v>
      </c>
      <c r="L18" s="77"/>
      <c r="M18" s="1">
        <v>555</v>
      </c>
      <c r="N18" s="1">
        <v>1</v>
      </c>
      <c r="O18" s="1" t="s">
        <v>26</v>
      </c>
      <c r="P18" s="1">
        <f t="shared" si="3"/>
        <v>555</v>
      </c>
      <c r="Q18" s="77"/>
    </row>
    <row r="19" spans="1:17" ht="17.25" thickBot="1" x14ac:dyDescent="0.3"/>
    <row r="20" spans="1:17" x14ac:dyDescent="0.25">
      <c r="A20" s="48" t="s">
        <v>24</v>
      </c>
      <c r="B20" s="11" t="s">
        <v>1</v>
      </c>
      <c r="C20" s="11" t="s">
        <v>2</v>
      </c>
      <c r="D20" s="11" t="s">
        <v>3</v>
      </c>
      <c r="E20" s="11" t="s">
        <v>4</v>
      </c>
      <c r="F20" s="12"/>
      <c r="G20" s="13" t="s">
        <v>5</v>
      </c>
      <c r="H20" s="14" t="s">
        <v>6</v>
      </c>
    </row>
    <row r="21" spans="1:17" x14ac:dyDescent="0.25">
      <c r="A21" s="35"/>
      <c r="B21" s="1" t="s">
        <v>82</v>
      </c>
      <c r="C21" s="1"/>
      <c r="D21" s="1">
        <v>29.38</v>
      </c>
      <c r="E21" s="2">
        <v>100</v>
      </c>
      <c r="F21" s="1" t="s">
        <v>10</v>
      </c>
      <c r="G21" s="3">
        <f>D21*E21</f>
        <v>2938</v>
      </c>
      <c r="H21" s="18"/>
      <c r="K21" s="1" t="s">
        <v>1</v>
      </c>
      <c r="L21" s="1" t="s">
        <v>2</v>
      </c>
      <c r="M21" s="1" t="s">
        <v>3</v>
      </c>
      <c r="N21" s="1" t="s">
        <v>251</v>
      </c>
      <c r="O21" s="1"/>
      <c r="P21" s="1" t="s">
        <v>5</v>
      </c>
      <c r="Q21" s="1" t="s">
        <v>6</v>
      </c>
    </row>
    <row r="22" spans="1:17" x14ac:dyDescent="0.25">
      <c r="A22" s="35"/>
      <c r="B22" s="1" t="s">
        <v>83</v>
      </c>
      <c r="C22" s="1"/>
      <c r="D22" s="1">
        <v>55</v>
      </c>
      <c r="E22" s="2">
        <v>20</v>
      </c>
      <c r="F22" s="1" t="s">
        <v>10</v>
      </c>
      <c r="G22" s="5">
        <f t="shared" ref="G22:G24" si="4">D22*E22</f>
        <v>1100</v>
      </c>
      <c r="H22" s="18"/>
      <c r="K22" s="1" t="s">
        <v>267</v>
      </c>
      <c r="L22" s="1">
        <v>5</v>
      </c>
      <c r="M22" s="1">
        <v>93</v>
      </c>
      <c r="N22" s="1"/>
      <c r="O22" s="1" t="s">
        <v>23</v>
      </c>
      <c r="P22" s="1">
        <f>M22*L22</f>
        <v>465</v>
      </c>
      <c r="Q22" s="1"/>
    </row>
    <row r="23" spans="1:17" x14ac:dyDescent="0.25">
      <c r="A23" s="35"/>
      <c r="B23" s="1" t="s">
        <v>84</v>
      </c>
      <c r="C23" s="1"/>
      <c r="D23" s="1">
        <v>3</v>
      </c>
      <c r="E23" s="2">
        <v>1188</v>
      </c>
      <c r="F23" s="1" t="s">
        <v>26</v>
      </c>
      <c r="G23" s="5">
        <f t="shared" si="4"/>
        <v>3564</v>
      </c>
      <c r="H23" s="18"/>
      <c r="K23" s="1" t="s">
        <v>268</v>
      </c>
      <c r="L23" s="1">
        <v>2</v>
      </c>
      <c r="M23" s="1">
        <v>500</v>
      </c>
      <c r="N23" s="1"/>
      <c r="O23" s="1" t="s">
        <v>26</v>
      </c>
      <c r="P23" s="1">
        <f t="shared" ref="P23:P26" si="5">M23*L23</f>
        <v>1000</v>
      </c>
      <c r="Q23" s="1"/>
    </row>
    <row r="24" spans="1:17" x14ac:dyDescent="0.25">
      <c r="A24" s="35"/>
      <c r="B24" s="1"/>
      <c r="C24" s="1"/>
      <c r="D24" s="1"/>
      <c r="E24" s="2"/>
      <c r="F24" s="1" t="s">
        <v>10</v>
      </c>
      <c r="G24" s="3">
        <f t="shared" si="4"/>
        <v>0</v>
      </c>
      <c r="H24" s="18"/>
      <c r="K24" s="1" t="s">
        <v>269</v>
      </c>
      <c r="L24" s="1">
        <v>1</v>
      </c>
      <c r="M24" s="1">
        <v>138</v>
      </c>
      <c r="N24" s="1"/>
      <c r="O24" s="1" t="s">
        <v>23</v>
      </c>
      <c r="P24" s="1">
        <f t="shared" si="5"/>
        <v>138</v>
      </c>
      <c r="Q24" s="1"/>
    </row>
    <row r="25" spans="1:17" ht="17.25" thickBot="1" x14ac:dyDescent="0.3">
      <c r="A25" s="36"/>
      <c r="B25" s="43" t="s">
        <v>50</v>
      </c>
      <c r="C25" s="44"/>
      <c r="D25" s="44"/>
      <c r="E25" s="44"/>
      <c r="F25" s="45"/>
      <c r="G25" s="49">
        <f>G21+G22+G23</f>
        <v>7602</v>
      </c>
      <c r="H25" s="23"/>
      <c r="K25" s="1" t="s">
        <v>270</v>
      </c>
      <c r="L25" s="1">
        <v>1</v>
      </c>
      <c r="M25" s="1">
        <v>250</v>
      </c>
      <c r="N25" s="1"/>
      <c r="O25" s="1" t="s">
        <v>26</v>
      </c>
      <c r="P25" s="3">
        <f t="shared" si="5"/>
        <v>250</v>
      </c>
      <c r="Q25" s="27" t="s">
        <v>18</v>
      </c>
    </row>
    <row r="26" spans="1:17" x14ac:dyDescent="0.25">
      <c r="K26" s="1" t="s">
        <v>271</v>
      </c>
      <c r="L26" s="1">
        <v>1</v>
      </c>
      <c r="M26" s="1">
        <v>360</v>
      </c>
      <c r="N26" s="1"/>
      <c r="O26" s="1" t="s">
        <v>23</v>
      </c>
      <c r="P26" s="3">
        <f t="shared" si="5"/>
        <v>360</v>
      </c>
      <c r="Q26" s="27" t="s">
        <v>18</v>
      </c>
    </row>
    <row r="27" spans="1:17" x14ac:dyDescent="0.25">
      <c r="A27" s="33" t="s">
        <v>117</v>
      </c>
      <c r="B27" s="1" t="s">
        <v>1</v>
      </c>
      <c r="C27" s="1" t="s">
        <v>2</v>
      </c>
      <c r="D27" s="1" t="s">
        <v>3</v>
      </c>
      <c r="E27" s="1"/>
      <c r="F27" s="1"/>
      <c r="G27" s="1" t="s">
        <v>5</v>
      </c>
      <c r="H27" s="1" t="s">
        <v>6</v>
      </c>
    </row>
    <row r="28" spans="1:17" x14ac:dyDescent="0.25">
      <c r="A28" s="57"/>
      <c r="B28" s="1" t="s">
        <v>118</v>
      </c>
      <c r="C28" s="1">
        <v>20</v>
      </c>
      <c r="D28" s="1">
        <v>37</v>
      </c>
      <c r="E28" s="1"/>
      <c r="F28" s="1" t="s">
        <v>119</v>
      </c>
      <c r="G28" s="1">
        <f t="shared" ref="G28:G31" si="6">C28*D28</f>
        <v>740</v>
      </c>
      <c r="H28" s="1"/>
    </row>
    <row r="29" spans="1:17" x14ac:dyDescent="0.25">
      <c r="A29" s="57"/>
      <c r="B29" s="34" t="s">
        <v>120</v>
      </c>
      <c r="C29" s="1">
        <v>1</v>
      </c>
      <c r="D29" s="3">
        <v>219</v>
      </c>
      <c r="E29" s="3"/>
      <c r="F29" s="1" t="s">
        <v>26</v>
      </c>
      <c r="G29" s="3">
        <f t="shared" si="6"/>
        <v>219</v>
      </c>
      <c r="H29" s="1"/>
    </row>
    <row r="30" spans="1:17" x14ac:dyDescent="0.25">
      <c r="A30" s="57"/>
      <c r="B30" s="34" t="s">
        <v>121</v>
      </c>
      <c r="C30" s="1">
        <v>1</v>
      </c>
      <c r="D30" s="3">
        <v>613</v>
      </c>
      <c r="E30" s="3"/>
      <c r="F30" s="1" t="s">
        <v>26</v>
      </c>
      <c r="G30" s="3">
        <f t="shared" si="6"/>
        <v>613</v>
      </c>
      <c r="H30" s="1"/>
    </row>
    <row r="31" spans="1:17" x14ac:dyDescent="0.25">
      <c r="A31" s="57"/>
      <c r="B31" s="1" t="s">
        <v>122</v>
      </c>
      <c r="C31" s="1">
        <v>1</v>
      </c>
      <c r="D31" s="1">
        <v>844</v>
      </c>
      <c r="E31" s="1"/>
      <c r="F31" s="3" t="s">
        <v>123</v>
      </c>
      <c r="G31" s="3">
        <f t="shared" si="6"/>
        <v>844</v>
      </c>
      <c r="H31" s="1"/>
    </row>
    <row r="32" spans="1:17" x14ac:dyDescent="0.25">
      <c r="A32" s="57"/>
      <c r="B32" s="67" t="s">
        <v>50</v>
      </c>
      <c r="C32" s="60"/>
      <c r="D32" s="61"/>
      <c r="E32" s="3"/>
      <c r="F32" s="3"/>
      <c r="G32" s="38">
        <f>SUM(G28:G31)</f>
        <v>2416</v>
      </c>
      <c r="H32" s="1"/>
    </row>
  </sheetData>
  <mergeCells count="5">
    <mergeCell ref="B15:F15"/>
    <mergeCell ref="B25:F25"/>
    <mergeCell ref="A28:A32"/>
    <mergeCell ref="B32:D32"/>
    <mergeCell ref="K14:M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主菜</vt:lpstr>
      <vt:lpstr>配菜</vt:lpstr>
      <vt:lpstr>週三麵食</vt:lpstr>
      <vt:lpstr>湯</vt:lpstr>
      <vt:lpstr>早餐</vt:lpstr>
      <vt:lpstr>雜貨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賴姿云</dc:creator>
  <cp:lastModifiedBy>賴姿云</cp:lastModifiedBy>
  <dcterms:created xsi:type="dcterms:W3CDTF">2024-04-30T07:32:29Z</dcterms:created>
  <dcterms:modified xsi:type="dcterms:W3CDTF">2024-04-30T08:25:05Z</dcterms:modified>
</cp:coreProperties>
</file>