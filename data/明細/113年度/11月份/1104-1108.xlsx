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1月份\"/>
    </mc:Choice>
  </mc:AlternateContent>
  <bookViews>
    <workbookView xWindow="0" yWindow="0" windowWidth="28800" windowHeight="12255" activeTab="4"/>
  </bookViews>
  <sheets>
    <sheet name="1104" sheetId="1" r:id="rId1"/>
    <sheet name="1105+" sheetId="2" r:id="rId2"/>
    <sheet name="1106" sheetId="3" r:id="rId3"/>
    <sheet name="1107" sheetId="4" r:id="rId4"/>
    <sheet name="1108" sheetId="5" r:id="rId5"/>
  </sheets>
  <definedNames>
    <definedName name="_xlnm.Print_Area" localSheetId="1">'1105+'!$A$1:$H$44</definedName>
    <definedName name="_xlnm.Print_Area" localSheetId="2">'1106'!$A$1:$H$53</definedName>
    <definedName name="_xlnm.Print_Area" localSheetId="4">'1108'!$A$1:$H$49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5" l="1"/>
  <c r="G14" i="5"/>
  <c r="G20" i="5"/>
  <c r="G32" i="5"/>
  <c r="G36" i="5"/>
  <c r="G40" i="5"/>
  <c r="G48" i="5"/>
  <c r="G34" i="5"/>
  <c r="G47" i="5"/>
  <c r="G43" i="5"/>
  <c r="G44" i="5"/>
  <c r="G45" i="5"/>
  <c r="G46" i="5"/>
  <c r="G42" i="5"/>
  <c r="G31" i="5"/>
  <c r="G30" i="5"/>
  <c r="G29" i="5"/>
  <c r="G28" i="5"/>
  <c r="G27" i="5"/>
  <c r="G23" i="5"/>
  <c r="G24" i="5"/>
  <c r="G25" i="5"/>
  <c r="G26" i="5"/>
  <c r="G22" i="5"/>
  <c r="G4" i="5"/>
  <c r="G5" i="5"/>
  <c r="G3" i="5"/>
  <c r="G39" i="5"/>
  <c r="G38" i="5"/>
  <c r="G17" i="5"/>
  <c r="G18" i="5"/>
  <c r="G19" i="5"/>
  <c r="G35" i="5"/>
  <c r="G16" i="5"/>
  <c r="G10" i="5"/>
  <c r="G11" i="5"/>
  <c r="G9" i="5"/>
  <c r="G49" i="5" l="1"/>
  <c r="G41" i="4"/>
  <c r="G30" i="4"/>
  <c r="G40" i="4"/>
  <c r="G37" i="4"/>
  <c r="G29" i="4"/>
  <c r="G28" i="4"/>
  <c r="G36" i="3"/>
  <c r="G42" i="3" s="1"/>
  <c r="G34" i="4"/>
  <c r="G33" i="4"/>
  <c r="G20" i="4"/>
  <c r="G14" i="4"/>
  <c r="G7" i="4"/>
  <c r="G10" i="4"/>
  <c r="G11" i="4"/>
  <c r="G17" i="4"/>
  <c r="G18" i="4"/>
  <c r="G16" i="4"/>
  <c r="G9" i="4"/>
  <c r="G32" i="4"/>
  <c r="G36" i="4"/>
  <c r="G3" i="4"/>
  <c r="G7" i="3"/>
  <c r="G14" i="3"/>
  <c r="G34" i="3"/>
  <c r="G52" i="3"/>
  <c r="G53" i="3" l="1"/>
  <c r="G33" i="3"/>
  <c r="G32" i="3"/>
  <c r="G31" i="3"/>
  <c r="G30" i="3"/>
  <c r="G29" i="3"/>
  <c r="G28" i="3"/>
  <c r="G27" i="3"/>
  <c r="G46" i="3"/>
  <c r="G45" i="3"/>
  <c r="G37" i="3"/>
  <c r="G38" i="3"/>
  <c r="G39" i="3"/>
  <c r="G40" i="3"/>
  <c r="G41" i="3"/>
  <c r="G3" i="3"/>
  <c r="G48" i="3"/>
  <c r="G26" i="3"/>
  <c r="G23" i="3"/>
  <c r="G24" i="3"/>
  <c r="G25" i="3"/>
  <c r="G22" i="3"/>
  <c r="G50" i="3"/>
  <c r="G51" i="3"/>
  <c r="G49" i="3"/>
  <c r="G10" i="3"/>
  <c r="G11" i="3"/>
  <c r="G12" i="3"/>
  <c r="G9" i="3"/>
  <c r="G44" i="3"/>
  <c r="G35" i="2" l="1"/>
  <c r="G37" i="2" s="1"/>
  <c r="G44" i="2" s="1"/>
  <c r="G43" i="2"/>
  <c r="G33" i="2"/>
  <c r="G34" i="2"/>
  <c r="G40" i="2"/>
  <c r="G41" i="2"/>
  <c r="G39" i="2"/>
  <c r="G30" i="2"/>
  <c r="G29" i="2"/>
  <c r="G28" i="2"/>
  <c r="G26" i="2"/>
  <c r="G20" i="2"/>
  <c r="G4" i="2"/>
  <c r="G7" i="2" s="1"/>
  <c r="G5" i="2"/>
  <c r="G6" i="2"/>
  <c r="G23" i="2"/>
  <c r="G24" i="2"/>
  <c r="G22" i="2"/>
  <c r="G10" i="2"/>
  <c r="G11" i="2"/>
  <c r="G12" i="2"/>
  <c r="G9" i="2"/>
  <c r="G17" i="2"/>
  <c r="G18" i="2"/>
  <c r="G19" i="2"/>
  <c r="G16" i="2"/>
  <c r="G32" i="2"/>
  <c r="G3" i="2"/>
  <c r="G14" i="2" l="1"/>
</calcChain>
</file>

<file path=xl/sharedStrings.xml><?xml version="1.0" encoding="utf-8"?>
<sst xmlns="http://schemas.openxmlformats.org/spreadsheetml/2006/main" count="542" uniqueCount="189">
  <si>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</si>
  <si>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</si>
  <si>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</si>
  <si>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</si>
  <si>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</si>
  <si>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</si>
  <si>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1斤</t>
    <phoneticPr fontId="2" type="noConversion"/>
  </si>
  <si>
    <t>去皮洋蔥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</si>
  <si>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</si>
  <si>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</si>
  <si>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蛋</t>
    <phoneticPr fontId="2" type="noConversion"/>
  </si>
  <si>
    <t>1件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</si>
  <si>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</si>
  <si>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油豆腐丁</t>
    <phoneticPr fontId="2" type="noConversion"/>
  </si>
  <si>
    <t>25斤</t>
    <phoneticPr fontId="2" type="noConversion"/>
  </si>
  <si>
    <t>絞肉</t>
    <phoneticPr fontId="2" type="noConversion"/>
  </si>
  <si>
    <t>20斤</t>
    <phoneticPr fontId="2" type="noConversion"/>
  </si>
  <si>
    <t>雜貨</t>
    <phoneticPr fontId="2" type="noConversion"/>
  </si>
  <si>
    <t>湯品</t>
    <phoneticPr fontId="2" type="noConversion"/>
  </si>
  <si>
    <t>味增貢丸湯</t>
    <phoneticPr fontId="2" type="noConversion"/>
  </si>
  <si>
    <t>小貢丸</t>
    <phoneticPr fontId="2" type="noConversion"/>
  </si>
  <si>
    <t>3包</t>
    <phoneticPr fontId="2" type="noConversion"/>
  </si>
  <si>
    <t>味增</t>
    <phoneticPr fontId="2" type="noConversion"/>
  </si>
  <si>
    <t>1箱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</si>
  <si>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</si>
  <si>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</si>
  <si>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</si>
  <si>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11月   4日      午餐明細表</t>
    <phoneticPr fontId="2" type="noConversion"/>
  </si>
  <si>
    <t>電訊科技中心(安康營區)     113年      11月   5日      午餐明細表</t>
    <phoneticPr fontId="2" type="noConversion"/>
  </si>
  <si>
    <t>電訊科技中心(安康營區)     113年      11月   6日      午餐明細表</t>
    <phoneticPr fontId="2" type="noConversion"/>
  </si>
  <si>
    <t>電訊科技中心(安康營區)     113年      11月   7日      午餐明細表</t>
    <phoneticPr fontId="2" type="noConversion"/>
  </si>
  <si>
    <t>電訊科技中心(安康營區)     113年      11月   8日      午餐明細表</t>
    <phoneticPr fontId="2" type="noConversion"/>
  </si>
  <si>
    <t>烤腿排</t>
    <phoneticPr fontId="2" type="noConversion"/>
  </si>
  <si>
    <t>腿排</t>
    <phoneticPr fontId="2" type="noConversion"/>
  </si>
  <si>
    <t>250個</t>
    <phoneticPr fontId="2" type="noConversion"/>
  </si>
  <si>
    <t>南瓜蒸排骨</t>
    <phoneticPr fontId="2" type="noConversion"/>
  </si>
  <si>
    <t>南瓜塊</t>
    <phoneticPr fontId="2" type="noConversion"/>
  </si>
  <si>
    <t>軟骨丁</t>
    <phoneticPr fontId="2" type="noConversion"/>
  </si>
  <si>
    <t>30斤</t>
    <phoneticPr fontId="2" type="noConversion"/>
  </si>
  <si>
    <t>木須炒蛋</t>
    <phoneticPr fontId="2" type="noConversion"/>
  </si>
  <si>
    <t>木耳絲</t>
    <phoneticPr fontId="2" type="noConversion"/>
  </si>
  <si>
    <t>紅蘿蔔絲</t>
    <phoneticPr fontId="2" type="noConversion"/>
  </si>
  <si>
    <t>10斤</t>
    <phoneticPr fontId="2" type="noConversion"/>
  </si>
  <si>
    <t>3斤</t>
    <phoneticPr fontId="2" type="noConversion"/>
  </si>
  <si>
    <t>5斤</t>
    <phoneticPr fontId="2" type="noConversion"/>
  </si>
  <si>
    <t>海帶芽蛋花湯</t>
    <phoneticPr fontId="2" type="noConversion"/>
  </si>
  <si>
    <t>海帶芽</t>
    <phoneticPr fontId="2" type="noConversion"/>
  </si>
  <si>
    <t>半斤</t>
    <phoneticPr fontId="2" type="noConversion"/>
  </si>
  <si>
    <t>庫存</t>
    <phoneticPr fontId="2" type="noConversion"/>
  </si>
  <si>
    <t>薑汁燒肉</t>
    <phoneticPr fontId="2" type="noConversion"/>
  </si>
  <si>
    <t>小黃瓜炒竹輪</t>
    <phoneticPr fontId="2" type="noConversion"/>
  </si>
  <si>
    <t>泡菜年糕</t>
    <phoneticPr fontId="2" type="noConversion"/>
  </si>
  <si>
    <t>白蘿蔔玉米湯</t>
    <phoneticPr fontId="2" type="noConversion"/>
  </si>
  <si>
    <t>白蘿蔔</t>
    <phoneticPr fontId="2" type="noConversion"/>
  </si>
  <si>
    <t>去殼玉米條</t>
    <phoneticPr fontId="2" type="noConversion"/>
  </si>
  <si>
    <t>15斤</t>
    <phoneticPr fontId="2" type="noConversion"/>
  </si>
  <si>
    <t>韓式泡菜</t>
    <phoneticPr fontId="2" type="noConversion"/>
  </si>
  <si>
    <t>甜不辣條</t>
    <phoneticPr fontId="2" type="noConversion"/>
  </si>
  <si>
    <t>年糕片</t>
    <phoneticPr fontId="2" type="noConversion"/>
  </si>
  <si>
    <t>韓式辣椒醬(小)</t>
    <phoneticPr fontId="2" type="noConversion"/>
  </si>
  <si>
    <t>2盒</t>
    <phoneticPr fontId="2" type="noConversion"/>
  </si>
  <si>
    <t>小黃瓜</t>
    <phoneticPr fontId="2" type="noConversion"/>
  </si>
  <si>
    <t>竹輪</t>
    <phoneticPr fontId="2" type="noConversion"/>
  </si>
  <si>
    <t>川耳</t>
    <phoneticPr fontId="2" type="noConversion"/>
  </si>
  <si>
    <t>10包</t>
    <phoneticPr fontId="2" type="noConversion"/>
  </si>
  <si>
    <t>薑泥</t>
    <phoneticPr fontId="2" type="noConversion"/>
  </si>
  <si>
    <t>豬肉片</t>
    <phoneticPr fontId="2" type="noConversion"/>
  </si>
  <si>
    <t>五花肉片</t>
    <phoneticPr fontId="2" type="noConversion"/>
  </si>
  <si>
    <t>薑絲</t>
    <phoneticPr fontId="2" type="noConversion"/>
  </si>
  <si>
    <t>酥炸雞翅</t>
    <phoneticPr fontId="2" type="noConversion"/>
  </si>
  <si>
    <t>滷味拼盤</t>
    <phoneticPr fontId="2" type="noConversion"/>
  </si>
  <si>
    <t>酸辣湯</t>
    <phoneticPr fontId="2" type="noConversion"/>
  </si>
  <si>
    <t>水餃</t>
    <phoneticPr fontId="2" type="noConversion"/>
  </si>
  <si>
    <t>6件</t>
    <phoneticPr fontId="2" type="noConversion"/>
  </si>
  <si>
    <t>雞翅</t>
    <phoneticPr fontId="2" type="noConversion"/>
  </si>
  <si>
    <t>290隻</t>
    <phoneticPr fontId="2" type="noConversion"/>
  </si>
  <si>
    <t>鳥蛋</t>
    <phoneticPr fontId="2" type="noConversion"/>
  </si>
  <si>
    <t>米血丁</t>
    <phoneticPr fontId="2" type="noConversion"/>
  </si>
  <si>
    <t>素肚切片</t>
    <phoneticPr fontId="2" type="noConversion"/>
  </si>
  <si>
    <t>700粒</t>
    <phoneticPr fontId="2" type="noConversion"/>
  </si>
  <si>
    <t>鴨血</t>
    <phoneticPr fontId="2" type="noConversion"/>
  </si>
  <si>
    <t>筍絲</t>
    <phoneticPr fontId="2" type="noConversion"/>
  </si>
  <si>
    <t>1盒</t>
    <phoneticPr fontId="2" type="noConversion"/>
  </si>
  <si>
    <t>10個</t>
    <phoneticPr fontId="2" type="noConversion"/>
  </si>
  <si>
    <t>8斤</t>
    <phoneticPr fontId="2" type="noConversion"/>
  </si>
  <si>
    <t>4斤</t>
    <phoneticPr fontId="2" type="noConversion"/>
  </si>
  <si>
    <t>鐵路豬排</t>
    <phoneticPr fontId="2" type="noConversion"/>
  </si>
  <si>
    <t>麻婆豆腐</t>
    <phoneticPr fontId="2" type="noConversion"/>
  </si>
  <si>
    <t>絲瓜鮑菇</t>
    <phoneticPr fontId="2" type="noConversion"/>
  </si>
  <si>
    <t>照燒豬排</t>
    <phoneticPr fontId="2" type="noConversion"/>
  </si>
  <si>
    <t>5件</t>
    <phoneticPr fontId="2" type="noConversion"/>
  </si>
  <si>
    <t>4.3豆腐</t>
    <phoneticPr fontId="2" type="noConversion"/>
  </si>
  <si>
    <t>6板</t>
    <phoneticPr fontId="2" type="noConversion"/>
  </si>
  <si>
    <t>去皮絲瓜</t>
    <phoneticPr fontId="2" type="noConversion"/>
  </si>
  <si>
    <t>杏鮑菇</t>
    <phoneticPr fontId="2" type="noConversion"/>
  </si>
  <si>
    <t>55斤</t>
    <phoneticPr fontId="2" type="noConversion"/>
  </si>
  <si>
    <t>糖醋雞丁</t>
    <phoneticPr fontId="2" type="noConversion"/>
  </si>
  <si>
    <t>冬瓜麵輪</t>
    <phoneticPr fontId="2" type="noConversion"/>
  </si>
  <si>
    <t>糯米椒小魚豆干</t>
    <phoneticPr fontId="2" type="noConversion"/>
  </si>
  <si>
    <t>無骨腿丁</t>
    <phoneticPr fontId="2" type="noConversion"/>
  </si>
  <si>
    <t>鳳梨切片罐頭(大)</t>
    <phoneticPr fontId="2" type="noConversion"/>
  </si>
  <si>
    <t>40斤</t>
    <phoneticPr fontId="2" type="noConversion"/>
  </si>
  <si>
    <t>2罐</t>
    <phoneticPr fontId="2" type="noConversion"/>
  </si>
  <si>
    <t>去皮冬瓜</t>
    <phoneticPr fontId="2" type="noConversion"/>
  </si>
  <si>
    <t>麵輪</t>
    <phoneticPr fontId="2" type="noConversion"/>
  </si>
  <si>
    <t>海帶結</t>
    <phoneticPr fontId="2" type="noConversion"/>
  </si>
  <si>
    <t>糯米椒</t>
    <phoneticPr fontId="2" type="noConversion"/>
  </si>
  <si>
    <t>豆干</t>
    <phoneticPr fontId="2" type="noConversion"/>
  </si>
  <si>
    <t>小魚乾</t>
    <phoneticPr fontId="2" type="noConversion"/>
  </si>
  <si>
    <t>豬肉絲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</si>
  <si>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</si>
  <si>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</si>
  <si>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</si>
  <si>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盒</t>
    <phoneticPr fontId="2" type="noConversion"/>
  </si>
  <si>
    <t>冷凍青花菜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</si>
  <si>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</si>
  <si>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</si>
  <si>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</si>
  <si>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</si>
  <si>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油麵</t>
    <phoneticPr fontId="2" type="noConversion"/>
  </si>
  <si>
    <t>吐司</t>
    <phoneticPr fontId="2" type="noConversion"/>
  </si>
  <si>
    <t>條</t>
    <phoneticPr fontId="2" type="noConversion"/>
  </si>
  <si>
    <t>鮮木耳</t>
    <phoneticPr fontId="2" type="noConversion"/>
  </si>
  <si>
    <t>紅蘿蔔</t>
    <phoneticPr fontId="2" type="noConversion"/>
  </si>
  <si>
    <t>香蕉</t>
    <phoneticPr fontId="2" type="noConversion"/>
  </si>
  <si>
    <t>柳丁</t>
    <phoneticPr fontId="2" type="noConversion"/>
  </si>
  <si>
    <t>訂貨數量</t>
    <phoneticPr fontId="2" type="noConversion"/>
  </si>
  <si>
    <t>斤</t>
    <phoneticPr fontId="2" type="noConversion"/>
  </si>
  <si>
    <t>香椿水餃</t>
    <phoneticPr fontId="2" type="noConversion"/>
  </si>
  <si>
    <t>包</t>
    <phoneticPr fontId="2" type="noConversion"/>
  </si>
  <si>
    <t>蘿蔔糕</t>
    <phoneticPr fontId="2" type="noConversion"/>
  </si>
  <si>
    <t>味素</t>
    <phoneticPr fontId="2" type="noConversion"/>
  </si>
  <si>
    <t>盒</t>
    <phoneticPr fontId="2" type="noConversion"/>
  </si>
  <si>
    <t>麻辣醬</t>
    <phoneticPr fontId="2" type="noConversion"/>
  </si>
  <si>
    <t>桶</t>
    <phoneticPr fontId="2" type="noConversion"/>
  </si>
  <si>
    <t>飛馬胡椒鹽</t>
    <phoneticPr fontId="2" type="noConversion"/>
  </si>
  <si>
    <t>芝麻球</t>
    <phoneticPr fontId="2" type="noConversion"/>
  </si>
  <si>
    <t>件</t>
    <phoneticPr fontId="2" type="noConversion"/>
  </si>
  <si>
    <t>芋泥球</t>
    <phoneticPr fontId="2" type="noConversion"/>
  </si>
  <si>
    <t>個</t>
    <phoneticPr fontId="2" type="noConversion"/>
  </si>
  <si>
    <t>飛馬胡椒粉</t>
    <phoneticPr fontId="2" type="noConversion"/>
  </si>
  <si>
    <t>高麗菜</t>
    <phoneticPr fontId="2" type="noConversion"/>
  </si>
  <si>
    <t>蒜仁</t>
    <phoneticPr fontId="2" type="noConversion"/>
  </si>
  <si>
    <t>辣椒</t>
    <phoneticPr fontId="2" type="noConversion"/>
  </si>
  <si>
    <t>青蔥</t>
    <phoneticPr fontId="2" type="noConversion"/>
  </si>
  <si>
    <t>洗選蛋</t>
    <phoneticPr fontId="2" type="noConversion"/>
  </si>
  <si>
    <t>金蘭醬油</t>
    <phoneticPr fontId="2" type="noConversion"/>
  </si>
  <si>
    <t>素蠔油</t>
    <phoneticPr fontId="2" type="noConversion"/>
  </si>
  <si>
    <t>味霖</t>
    <phoneticPr fontId="2" type="noConversion"/>
  </si>
  <si>
    <t>訂貨數量</t>
    <phoneticPr fontId="2" type="noConversion"/>
  </si>
  <si>
    <t>件</t>
    <phoneticPr fontId="2" type="noConversion"/>
  </si>
  <si>
    <t>厚片土司</t>
    <phoneticPr fontId="2" type="noConversion"/>
  </si>
  <si>
    <t>條</t>
    <phoneticPr fontId="2" type="noConversion"/>
  </si>
  <si>
    <t>木瓜</t>
    <phoneticPr fontId="2" type="noConversion"/>
  </si>
  <si>
    <t>斤</t>
    <phoneticPr fontId="2" type="noConversion"/>
  </si>
  <si>
    <t>盤</t>
    <phoneticPr fontId="2" type="noConversion"/>
  </si>
  <si>
    <t>綠豆芽</t>
    <phoneticPr fontId="2" type="noConversion"/>
  </si>
  <si>
    <t>豆腐</t>
    <phoneticPr fontId="2" type="noConversion"/>
  </si>
  <si>
    <t>盒</t>
    <phoneticPr fontId="2" type="noConversion"/>
  </si>
  <si>
    <t>四神湯</t>
    <phoneticPr fontId="2" type="noConversion"/>
  </si>
  <si>
    <t>四神料</t>
    <phoneticPr fontId="2" type="noConversion"/>
  </si>
  <si>
    <t>小腸</t>
    <phoneticPr fontId="2" type="noConversion"/>
  </si>
  <si>
    <t>小排塊</t>
    <phoneticPr fontId="2" type="noConversion"/>
  </si>
  <si>
    <t>訂貨數量</t>
    <phoneticPr fontId="2" type="noConversion"/>
  </si>
  <si>
    <t>斤</t>
    <phoneticPr fontId="2" type="noConversion"/>
  </si>
  <si>
    <t>高麗菜</t>
    <phoneticPr fontId="2" type="noConversion"/>
  </si>
  <si>
    <t>柳丁</t>
    <phoneticPr fontId="2" type="noConversion"/>
  </si>
  <si>
    <t>海帶捲</t>
    <phoneticPr fontId="2" type="noConversion"/>
  </si>
  <si>
    <t>滷蛋</t>
    <phoneticPr fontId="2" type="noConversion"/>
  </si>
  <si>
    <t>個</t>
    <phoneticPr fontId="2" type="noConversion"/>
  </si>
  <si>
    <t>吐司</t>
    <phoneticPr fontId="2" type="noConversion"/>
  </si>
  <si>
    <t>條</t>
    <phoneticPr fontId="2" type="noConversion"/>
  </si>
  <si>
    <t>桶</t>
    <phoneticPr fontId="2" type="noConversion"/>
  </si>
  <si>
    <t>番茄醬</t>
    <phoneticPr fontId="2" type="noConversion"/>
  </si>
  <si>
    <t>調理米酒</t>
    <phoneticPr fontId="2" type="noConversion"/>
  </si>
  <si>
    <t>瓶</t>
    <phoneticPr fontId="2" type="noConversion"/>
  </si>
  <si>
    <t>地瓜粉</t>
    <phoneticPr fontId="2" type="noConversion"/>
  </si>
  <si>
    <t>二砂</t>
    <phoneticPr fontId="2" type="noConversion"/>
  </si>
  <si>
    <t>包</t>
    <phoneticPr fontId="2" type="noConversion"/>
  </si>
  <si>
    <t>滷包</t>
    <phoneticPr fontId="2" type="noConversion"/>
  </si>
  <si>
    <t>素蠔油</t>
    <phoneticPr fontId="2" type="noConversion"/>
  </si>
  <si>
    <t>油膏</t>
    <phoneticPr fontId="2" type="noConversion"/>
  </si>
  <si>
    <t>醬油</t>
    <phoneticPr fontId="2" type="noConversion"/>
  </si>
  <si>
    <t>沙拉油</t>
    <phoneticPr fontId="2" type="noConversion"/>
  </si>
  <si>
    <t>乾辣椒</t>
    <phoneticPr fontId="2" type="noConversion"/>
  </si>
  <si>
    <t>鍋貼</t>
    <phoneticPr fontId="2" type="noConversion"/>
  </si>
  <si>
    <t>厚片土司</t>
    <phoneticPr fontId="2" type="noConversion"/>
  </si>
  <si>
    <t>葡萄汁</t>
    <phoneticPr fontId="2" type="noConversion"/>
  </si>
  <si>
    <t>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</si>
</sst>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29" sqref="F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30" t="s">
        <v>27</v>
      </c>
      <c r="B1" s="31"/>
      <c r="C1" s="31"/>
      <c r="D1" s="31"/>
      <c r="E1" s="31"/>
      <c r="F1" s="32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6" t="s">
        <v>32</v>
      </c>
      <c r="B3" s="1" t="s">
        <v>33</v>
      </c>
      <c r="C3" s="1" t="s">
        <v>34</v>
      </c>
      <c r="D3" s="1"/>
      <c r="E3" s="1"/>
      <c r="F3" s="1"/>
    </row>
    <row r="4" spans="1:6" x14ac:dyDescent="0.25">
      <c r="A4" s="26"/>
      <c r="B4" s="1"/>
      <c r="C4" s="1"/>
      <c r="D4" s="1"/>
      <c r="E4" s="1"/>
      <c r="F4" s="1"/>
    </row>
    <row r="5" spans="1:6" x14ac:dyDescent="0.25">
      <c r="A5" s="26"/>
      <c r="B5" s="1"/>
      <c r="C5" s="1"/>
      <c r="D5" s="1"/>
      <c r="E5" s="1"/>
      <c r="F5" s="1"/>
    </row>
    <row r="6" spans="1:6" x14ac:dyDescent="0.25">
      <c r="A6" s="26"/>
      <c r="B6" s="1"/>
      <c r="C6" s="1"/>
      <c r="D6" s="1"/>
      <c r="E6" s="3"/>
      <c r="F6" s="1"/>
    </row>
    <row r="7" spans="1:6" x14ac:dyDescent="0.25">
      <c r="A7" s="26"/>
      <c r="B7" s="27" t="s">
        <v>8</v>
      </c>
      <c r="C7" s="28"/>
      <c r="D7" s="29"/>
      <c r="E7" s="3"/>
      <c r="F7" s="1"/>
    </row>
    <row r="8" spans="1:6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26" t="s">
        <v>35</v>
      </c>
      <c r="B9" s="1" t="s">
        <v>36</v>
      </c>
      <c r="C9" s="1" t="s">
        <v>14</v>
      </c>
      <c r="D9" s="1"/>
      <c r="E9" s="1"/>
      <c r="F9" s="1"/>
    </row>
    <row r="10" spans="1:6" x14ac:dyDescent="0.25">
      <c r="A10" s="26"/>
      <c r="B10" s="1" t="s">
        <v>37</v>
      </c>
      <c r="C10" s="1" t="s">
        <v>38</v>
      </c>
      <c r="D10" s="1"/>
      <c r="E10" s="1"/>
      <c r="F10" s="1"/>
    </row>
    <row r="11" spans="1:6" x14ac:dyDescent="0.25">
      <c r="A11" s="26"/>
      <c r="B11" s="1"/>
      <c r="C11" s="1"/>
      <c r="D11" s="1"/>
      <c r="E11" s="1"/>
      <c r="F11" s="1"/>
    </row>
    <row r="12" spans="1:6" x14ac:dyDescent="0.25">
      <c r="A12" s="26"/>
      <c r="B12" s="1"/>
      <c r="C12" s="1"/>
      <c r="D12" s="1"/>
      <c r="E12" s="1"/>
      <c r="F12" s="1"/>
    </row>
    <row r="13" spans="1:6" x14ac:dyDescent="0.25">
      <c r="A13" s="26"/>
      <c r="B13" s="1"/>
      <c r="C13" s="1"/>
      <c r="D13" s="1"/>
      <c r="E13" s="1"/>
      <c r="F13" s="1"/>
    </row>
    <row r="14" spans="1:6" x14ac:dyDescent="0.25">
      <c r="A14" s="26"/>
      <c r="B14" s="27" t="s">
        <v>8</v>
      </c>
      <c r="C14" s="28"/>
      <c r="D14" s="29"/>
      <c r="E14" s="3"/>
      <c r="F14" s="1"/>
    </row>
    <row r="15" spans="1:6" x14ac:dyDescent="0.25">
      <c r="A15" s="1" t="s">
        <v>12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s="26" t="s">
        <v>39</v>
      </c>
      <c r="B16" s="1" t="s">
        <v>10</v>
      </c>
      <c r="C16" s="1" t="s">
        <v>11</v>
      </c>
      <c r="D16" s="1"/>
      <c r="E16" s="1"/>
      <c r="F16" s="1"/>
    </row>
    <row r="17" spans="1:6" x14ac:dyDescent="0.25">
      <c r="A17" s="26"/>
      <c r="B17" s="1" t="s">
        <v>40</v>
      </c>
      <c r="C17" s="1" t="s">
        <v>42</v>
      </c>
      <c r="D17" s="1"/>
      <c r="E17" s="1"/>
      <c r="F17" s="1"/>
    </row>
    <row r="18" spans="1:6" x14ac:dyDescent="0.25">
      <c r="A18" s="26"/>
      <c r="B18" s="1" t="s">
        <v>41</v>
      </c>
      <c r="C18" s="1" t="s">
        <v>43</v>
      </c>
      <c r="D18" s="1"/>
      <c r="E18" s="1"/>
      <c r="F18" s="1"/>
    </row>
    <row r="19" spans="1:6" x14ac:dyDescent="0.25">
      <c r="A19" s="26"/>
      <c r="B19" s="1" t="s">
        <v>7</v>
      </c>
      <c r="C19" s="1" t="s">
        <v>44</v>
      </c>
      <c r="D19" s="1"/>
      <c r="E19" s="3"/>
      <c r="F19" s="1"/>
    </row>
    <row r="20" spans="1:6" x14ac:dyDescent="0.25">
      <c r="A20" s="26"/>
      <c r="B20" s="27" t="s">
        <v>8</v>
      </c>
      <c r="C20" s="28"/>
      <c r="D20" s="29"/>
      <c r="E20" s="3"/>
      <c r="F20" s="1"/>
    </row>
    <row r="21" spans="1:6" x14ac:dyDescent="0.25">
      <c r="A21" s="5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26"/>
      <c r="B22" s="1"/>
      <c r="C22" s="1"/>
      <c r="D22" s="1"/>
      <c r="E22" s="1"/>
      <c r="F22" s="1"/>
    </row>
    <row r="23" spans="1:6" x14ac:dyDescent="0.25">
      <c r="A23" s="26"/>
      <c r="B23" s="1"/>
      <c r="C23" s="1"/>
      <c r="D23" s="1"/>
      <c r="E23" s="1"/>
      <c r="F23" s="1"/>
    </row>
    <row r="24" spans="1:6" x14ac:dyDescent="0.25">
      <c r="A24" s="26"/>
      <c r="B24" s="1"/>
      <c r="C24" s="1"/>
      <c r="D24" s="1"/>
      <c r="E24" s="1"/>
      <c r="F24" s="1"/>
    </row>
    <row r="25" spans="1:6" x14ac:dyDescent="0.25">
      <c r="A25" s="26"/>
      <c r="B25" s="1"/>
      <c r="C25" s="1"/>
      <c r="D25" s="1"/>
      <c r="E25" s="1"/>
      <c r="F25" s="1"/>
    </row>
    <row r="26" spans="1:6" x14ac:dyDescent="0.25">
      <c r="A26" s="26"/>
      <c r="B26" s="27" t="s">
        <v>8</v>
      </c>
      <c r="C26" s="28"/>
      <c r="D26" s="29"/>
      <c r="E26" s="3"/>
      <c r="F26" s="1"/>
    </row>
    <row r="27" spans="1:6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26" t="s">
        <v>45</v>
      </c>
      <c r="B28" s="1" t="s">
        <v>46</v>
      </c>
      <c r="C28" s="1" t="s">
        <v>47</v>
      </c>
      <c r="D28" s="1"/>
      <c r="E28" s="1"/>
      <c r="F28" s="1"/>
    </row>
    <row r="29" spans="1:6" x14ac:dyDescent="0.25">
      <c r="A29" s="26"/>
      <c r="B29" s="1" t="s">
        <v>10</v>
      </c>
      <c r="C29" s="1"/>
      <c r="D29" s="1"/>
      <c r="E29" s="1"/>
      <c r="F29" s="1" t="s">
        <v>48</v>
      </c>
    </row>
    <row r="30" spans="1:6" x14ac:dyDescent="0.25">
      <c r="A30" s="26"/>
      <c r="B30" s="27"/>
      <c r="C30" s="28"/>
      <c r="D30" s="29"/>
      <c r="E30" s="3"/>
      <c r="F30" s="1"/>
    </row>
    <row r="31" spans="1:6" x14ac:dyDescent="0.25">
      <c r="A31" s="1" t="s">
        <v>24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x14ac:dyDescent="0.25">
      <c r="A32" s="36"/>
      <c r="B32" s="1"/>
      <c r="C32" s="1"/>
      <c r="D32" s="1"/>
      <c r="E32" s="1"/>
      <c r="F32" s="1"/>
    </row>
    <row r="33" spans="1:6" x14ac:dyDescent="0.25">
      <c r="A33" s="37"/>
      <c r="B33" s="1"/>
      <c r="C33" s="1"/>
      <c r="D33" s="1"/>
      <c r="E33" s="1"/>
      <c r="F33" s="1"/>
    </row>
    <row r="34" spans="1:6" x14ac:dyDescent="0.25">
      <c r="A34" s="38"/>
      <c r="B34" s="27" t="s">
        <v>8</v>
      </c>
      <c r="C34" s="28"/>
      <c r="D34" s="29"/>
      <c r="E34" s="3"/>
      <c r="F34" s="6"/>
    </row>
    <row r="35" spans="1:6" x14ac:dyDescent="0.25">
      <c r="A35" s="7" t="s">
        <v>25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26"/>
      <c r="B36" s="1"/>
      <c r="C36" s="1"/>
      <c r="D36" s="1"/>
      <c r="E36" s="1"/>
      <c r="F36" s="1"/>
    </row>
    <row r="37" spans="1:6" x14ac:dyDescent="0.25">
      <c r="A37" s="26"/>
      <c r="B37" s="1"/>
      <c r="C37" s="1"/>
      <c r="D37" s="1"/>
      <c r="E37" s="1"/>
      <c r="F37" s="1"/>
    </row>
    <row r="38" spans="1:6" x14ac:dyDescent="0.25">
      <c r="A38" s="26"/>
      <c r="B38" s="1"/>
      <c r="C38" s="1"/>
      <c r="D38" s="1"/>
      <c r="E38" s="1"/>
      <c r="F38" s="1"/>
    </row>
    <row r="39" spans="1:6" x14ac:dyDescent="0.25">
      <c r="A39" s="26"/>
      <c r="B39" s="1"/>
      <c r="C39" s="1"/>
      <c r="D39" s="1"/>
      <c r="E39" s="1"/>
      <c r="F39" s="1"/>
    </row>
    <row r="40" spans="1:6" x14ac:dyDescent="0.25">
      <c r="A40" s="26"/>
      <c r="B40" s="27" t="s">
        <v>8</v>
      </c>
      <c r="C40" s="28"/>
      <c r="D40" s="29"/>
      <c r="E40" s="3"/>
      <c r="F40" s="1"/>
    </row>
    <row r="41" spans="1:6" x14ac:dyDescent="0.25">
      <c r="A41" s="1"/>
      <c r="B41" s="33" t="s">
        <v>26</v>
      </c>
      <c r="C41" s="34"/>
      <c r="D41" s="35"/>
      <c r="E41" s="8"/>
      <c r="F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F1"/>
    <mergeCell ref="A3:A7"/>
    <mergeCell ref="B7:D7"/>
    <mergeCell ref="A9:A14"/>
    <mergeCell ref="B14:D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workbookViewId="0">
      <selection activeCell="B40" sqref="B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28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110</v>
      </c>
      <c r="F2" s="2"/>
      <c r="G2" s="1" t="s">
        <v>4</v>
      </c>
      <c r="H2" s="1" t="s">
        <v>5</v>
      </c>
    </row>
    <row r="3" spans="1:8" x14ac:dyDescent="0.25">
      <c r="A3" s="26" t="s">
        <v>49</v>
      </c>
      <c r="B3" s="1" t="s">
        <v>65</v>
      </c>
      <c r="C3" s="1" t="s">
        <v>43</v>
      </c>
      <c r="D3" s="1">
        <v>85.5</v>
      </c>
      <c r="E3" s="2">
        <v>3</v>
      </c>
      <c r="F3" s="2" t="s">
        <v>111</v>
      </c>
      <c r="G3" s="12">
        <f>D3*E3</f>
        <v>256.5</v>
      </c>
      <c r="H3" s="1"/>
    </row>
    <row r="4" spans="1:8" x14ac:dyDescent="0.25">
      <c r="A4" s="26"/>
      <c r="B4" s="1" t="s">
        <v>66</v>
      </c>
      <c r="C4" s="1" t="s">
        <v>38</v>
      </c>
      <c r="D4" s="1">
        <v>99</v>
      </c>
      <c r="E4" s="2">
        <v>10</v>
      </c>
      <c r="F4" s="2" t="s">
        <v>111</v>
      </c>
      <c r="G4" s="12">
        <f t="shared" ref="G4:G6" si="0">D4*E4</f>
        <v>990</v>
      </c>
      <c r="H4" s="1"/>
    </row>
    <row r="5" spans="1:8" x14ac:dyDescent="0.25">
      <c r="A5" s="26"/>
      <c r="B5" s="1" t="s">
        <v>67</v>
      </c>
      <c r="C5" s="1" t="s">
        <v>16</v>
      </c>
      <c r="D5" s="1">
        <v>168</v>
      </c>
      <c r="E5" s="2">
        <v>20</v>
      </c>
      <c r="F5" s="2" t="s">
        <v>111</v>
      </c>
      <c r="G5" s="12">
        <f t="shared" si="0"/>
        <v>3360</v>
      </c>
      <c r="H5" s="1"/>
    </row>
    <row r="6" spans="1:8" x14ac:dyDescent="0.25">
      <c r="A6" s="26"/>
      <c r="B6" s="1" t="s">
        <v>68</v>
      </c>
      <c r="C6" s="1" t="s">
        <v>6</v>
      </c>
      <c r="D6" s="1">
        <v>85.5</v>
      </c>
      <c r="E6" s="4">
        <v>1</v>
      </c>
      <c r="F6" s="2" t="s">
        <v>111</v>
      </c>
      <c r="G6" s="12">
        <f t="shared" si="0"/>
        <v>85.5</v>
      </c>
      <c r="H6" s="1"/>
    </row>
    <row r="7" spans="1:8" x14ac:dyDescent="0.25">
      <c r="A7" s="26"/>
      <c r="B7" s="27" t="s">
        <v>8</v>
      </c>
      <c r="C7" s="28"/>
      <c r="D7" s="29"/>
      <c r="E7" s="4"/>
      <c r="F7" s="4"/>
      <c r="G7" s="13">
        <f>SUM(G3:G6)</f>
        <v>4692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2" t="s">
        <v>110</v>
      </c>
      <c r="F8" s="2"/>
      <c r="G8" s="1" t="s">
        <v>4</v>
      </c>
      <c r="H8" s="1" t="s">
        <v>5</v>
      </c>
    </row>
    <row r="9" spans="1:8" x14ac:dyDescent="0.25">
      <c r="A9" s="26" t="s">
        <v>50</v>
      </c>
      <c r="B9" s="1" t="s">
        <v>61</v>
      </c>
      <c r="C9" s="1" t="s">
        <v>14</v>
      </c>
      <c r="D9" s="1">
        <v>78.3</v>
      </c>
      <c r="E9" s="2">
        <v>25</v>
      </c>
      <c r="F9" s="2" t="s">
        <v>111</v>
      </c>
      <c r="G9" s="12">
        <f>D9*E9</f>
        <v>1957.5</v>
      </c>
      <c r="H9" s="1"/>
    </row>
    <row r="10" spans="1:8" x14ac:dyDescent="0.25">
      <c r="A10" s="26"/>
      <c r="B10" s="1" t="s">
        <v>62</v>
      </c>
      <c r="C10" s="1" t="s">
        <v>64</v>
      </c>
      <c r="D10" s="1">
        <v>105</v>
      </c>
      <c r="E10" s="2">
        <v>10</v>
      </c>
      <c r="F10" s="2" t="s">
        <v>112</v>
      </c>
      <c r="G10" s="2">
        <f t="shared" ref="G10:G12" si="1">D10*E10</f>
        <v>1050</v>
      </c>
      <c r="H10" s="1"/>
    </row>
    <row r="11" spans="1:8" x14ac:dyDescent="0.25">
      <c r="A11" s="26"/>
      <c r="B11" s="1" t="s">
        <v>63</v>
      </c>
      <c r="C11" s="1" t="s">
        <v>44</v>
      </c>
      <c r="D11" s="1">
        <v>85</v>
      </c>
      <c r="E11" s="2">
        <v>5</v>
      </c>
      <c r="F11" s="2" t="s">
        <v>111</v>
      </c>
      <c r="G11" s="2">
        <f t="shared" si="1"/>
        <v>425</v>
      </c>
      <c r="H11" s="1"/>
    </row>
    <row r="12" spans="1:8" x14ac:dyDescent="0.25">
      <c r="A12" s="26"/>
      <c r="B12" s="1" t="s">
        <v>7</v>
      </c>
      <c r="C12" s="1" t="s">
        <v>44</v>
      </c>
      <c r="D12" s="1">
        <v>28.56</v>
      </c>
      <c r="E12" s="2">
        <v>5</v>
      </c>
      <c r="F12" s="2" t="s">
        <v>111</v>
      </c>
      <c r="G12" s="2">
        <f t="shared" si="1"/>
        <v>142.79999999999998</v>
      </c>
      <c r="H12" s="1"/>
    </row>
    <row r="13" spans="1:8" x14ac:dyDescent="0.25">
      <c r="A13" s="26"/>
      <c r="B13" s="1"/>
      <c r="C13" s="1"/>
      <c r="D13" s="1"/>
      <c r="E13" s="2"/>
      <c r="F13" s="2"/>
      <c r="G13" s="1"/>
      <c r="H13" s="1"/>
    </row>
    <row r="14" spans="1:8" x14ac:dyDescent="0.25">
      <c r="A14" s="26"/>
      <c r="B14" s="27" t="s">
        <v>8</v>
      </c>
      <c r="C14" s="28"/>
      <c r="D14" s="29"/>
      <c r="E14" s="4"/>
      <c r="F14" s="4"/>
      <c r="G14" s="13">
        <f>SUM(G9:G13)</f>
        <v>3575.3</v>
      </c>
      <c r="H14" s="1"/>
    </row>
    <row r="15" spans="1:8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" t="s">
        <v>110</v>
      </c>
      <c r="F15" s="2"/>
      <c r="G15" s="1" t="s">
        <v>4</v>
      </c>
      <c r="H15" s="1" t="s">
        <v>5</v>
      </c>
    </row>
    <row r="16" spans="1:8" x14ac:dyDescent="0.25">
      <c r="A16" s="26" t="s">
        <v>51</v>
      </c>
      <c r="B16" s="1" t="s">
        <v>56</v>
      </c>
      <c r="C16" s="1" t="s">
        <v>55</v>
      </c>
      <c r="D16" s="1">
        <v>87</v>
      </c>
      <c r="E16" s="2">
        <v>15</v>
      </c>
      <c r="F16" s="2" t="s">
        <v>111</v>
      </c>
      <c r="G16" s="1">
        <f>D16*E16</f>
        <v>1305</v>
      </c>
      <c r="H16" s="1"/>
    </row>
    <row r="17" spans="1:8" x14ac:dyDescent="0.25">
      <c r="A17" s="26"/>
      <c r="B17" s="1" t="s">
        <v>57</v>
      </c>
      <c r="C17" s="1" t="s">
        <v>16</v>
      </c>
      <c r="D17" s="1">
        <v>48</v>
      </c>
      <c r="E17" s="2">
        <v>20</v>
      </c>
      <c r="F17" s="2" t="s">
        <v>111</v>
      </c>
      <c r="G17" s="2">
        <f t="shared" ref="G17:G19" si="2">D17*E17</f>
        <v>960</v>
      </c>
      <c r="H17" s="1"/>
    </row>
    <row r="18" spans="1:8" x14ac:dyDescent="0.25">
      <c r="A18" s="26"/>
      <c r="B18" s="1" t="s">
        <v>58</v>
      </c>
      <c r="C18" s="1" t="s">
        <v>55</v>
      </c>
      <c r="D18" s="1">
        <v>85</v>
      </c>
      <c r="E18" s="2">
        <v>17</v>
      </c>
      <c r="F18" s="2" t="s">
        <v>112</v>
      </c>
      <c r="G18" s="2">
        <f t="shared" si="2"/>
        <v>1445</v>
      </c>
      <c r="H18" s="1"/>
    </row>
    <row r="19" spans="1:8" x14ac:dyDescent="0.25">
      <c r="A19" s="26"/>
      <c r="B19" s="1" t="s">
        <v>59</v>
      </c>
      <c r="C19" s="1" t="s">
        <v>60</v>
      </c>
      <c r="D19" s="1">
        <v>190</v>
      </c>
      <c r="E19" s="4">
        <v>2</v>
      </c>
      <c r="F19" s="4" t="s">
        <v>113</v>
      </c>
      <c r="G19" s="2">
        <f t="shared" si="2"/>
        <v>380</v>
      </c>
      <c r="H19" s="1"/>
    </row>
    <row r="20" spans="1:8" x14ac:dyDescent="0.25">
      <c r="A20" s="26"/>
      <c r="B20" s="27" t="s">
        <v>8</v>
      </c>
      <c r="C20" s="28"/>
      <c r="D20" s="29"/>
      <c r="E20" s="4"/>
      <c r="F20" s="4"/>
      <c r="G20" s="14">
        <f>SUM(G16:G19)</f>
        <v>4090</v>
      </c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2" t="s">
        <v>110</v>
      </c>
      <c r="F21" s="2"/>
      <c r="G21" s="1" t="s">
        <v>4</v>
      </c>
      <c r="H21" s="1" t="s">
        <v>5</v>
      </c>
    </row>
    <row r="22" spans="1:8" x14ac:dyDescent="0.25">
      <c r="A22" s="26"/>
      <c r="B22" s="1" t="s">
        <v>115</v>
      </c>
      <c r="C22" s="1"/>
      <c r="D22" s="1">
        <v>55</v>
      </c>
      <c r="E22" s="2">
        <v>20</v>
      </c>
      <c r="F22" s="2" t="s">
        <v>111</v>
      </c>
      <c r="G22" s="1">
        <f>D22*E22</f>
        <v>1100</v>
      </c>
      <c r="H22" s="1"/>
    </row>
    <row r="23" spans="1:8" x14ac:dyDescent="0.25">
      <c r="A23" s="26"/>
      <c r="B23" s="1" t="s">
        <v>116</v>
      </c>
      <c r="C23" s="1"/>
      <c r="D23" s="1">
        <v>29.38</v>
      </c>
      <c r="E23" s="2">
        <v>100</v>
      </c>
      <c r="F23" s="2" t="s">
        <v>111</v>
      </c>
      <c r="G23" s="2">
        <f t="shared" ref="G23:G24" si="3">D23*E23</f>
        <v>2938</v>
      </c>
      <c r="H23" s="1"/>
    </row>
    <row r="24" spans="1:8" x14ac:dyDescent="0.25">
      <c r="A24" s="26"/>
      <c r="B24" s="1" t="s">
        <v>117</v>
      </c>
      <c r="C24" s="1"/>
      <c r="D24" s="1">
        <v>1188</v>
      </c>
      <c r="E24" s="2">
        <v>2</v>
      </c>
      <c r="F24" s="2" t="s">
        <v>118</v>
      </c>
      <c r="G24" s="2">
        <f t="shared" si="3"/>
        <v>2376</v>
      </c>
      <c r="H24" s="1"/>
    </row>
    <row r="25" spans="1:8" x14ac:dyDescent="0.25">
      <c r="A25" s="26"/>
      <c r="B25" s="1"/>
      <c r="C25" s="1"/>
      <c r="D25" s="1"/>
      <c r="E25" s="2"/>
      <c r="F25" s="2"/>
      <c r="G25" s="1"/>
      <c r="H25" s="1"/>
    </row>
    <row r="26" spans="1:8" x14ac:dyDescent="0.25">
      <c r="A26" s="26"/>
      <c r="B26" s="27" t="s">
        <v>8</v>
      </c>
      <c r="C26" s="28"/>
      <c r="D26" s="29"/>
      <c r="E26" s="4"/>
      <c r="F26" s="4"/>
      <c r="G26" s="14">
        <f>SUM(G22:G25)</f>
        <v>6414</v>
      </c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2" t="s">
        <v>110</v>
      </c>
      <c r="F27" s="2"/>
      <c r="G27" s="1" t="s">
        <v>4</v>
      </c>
      <c r="H27" s="1" t="s">
        <v>5</v>
      </c>
    </row>
    <row r="28" spans="1:8" x14ac:dyDescent="0.25">
      <c r="A28" s="26" t="s">
        <v>52</v>
      </c>
      <c r="B28" s="1" t="s">
        <v>53</v>
      </c>
      <c r="C28" s="1" t="s">
        <v>55</v>
      </c>
      <c r="D28" s="1">
        <v>24.3</v>
      </c>
      <c r="E28" s="2">
        <v>15</v>
      </c>
      <c r="F28" s="2" t="s">
        <v>111</v>
      </c>
      <c r="G28" s="12">
        <f>E28*D28</f>
        <v>364.5</v>
      </c>
      <c r="H28" s="1"/>
    </row>
    <row r="29" spans="1:8" x14ac:dyDescent="0.25">
      <c r="A29" s="26"/>
      <c r="B29" s="1" t="s">
        <v>54</v>
      </c>
      <c r="C29" s="1" t="s">
        <v>55</v>
      </c>
      <c r="D29" s="1">
        <v>17.34</v>
      </c>
      <c r="E29" s="2">
        <v>15</v>
      </c>
      <c r="F29" s="2" t="s">
        <v>111</v>
      </c>
      <c r="G29" s="12">
        <f>E29*D29</f>
        <v>260.10000000000002</v>
      </c>
      <c r="H29" s="1"/>
    </row>
    <row r="30" spans="1:8" x14ac:dyDescent="0.25">
      <c r="A30" s="26"/>
      <c r="B30" s="27"/>
      <c r="C30" s="28"/>
      <c r="D30" s="29"/>
      <c r="E30" s="4"/>
      <c r="F30" s="4"/>
      <c r="G30" s="13">
        <f>SUM(G28:G29)</f>
        <v>624.6</v>
      </c>
      <c r="H30" s="1"/>
    </row>
    <row r="31" spans="1:8" x14ac:dyDescent="0.25">
      <c r="A31" s="1" t="s">
        <v>24</v>
      </c>
      <c r="B31" s="1" t="s">
        <v>1</v>
      </c>
      <c r="C31" s="1" t="s">
        <v>2</v>
      </c>
      <c r="D31" s="1" t="s">
        <v>3</v>
      </c>
      <c r="E31" s="4" t="s">
        <v>110</v>
      </c>
      <c r="F31" s="4"/>
      <c r="G31" s="3" t="s">
        <v>4</v>
      </c>
      <c r="H31" s="1" t="s">
        <v>5</v>
      </c>
    </row>
    <row r="32" spans="1:8" x14ac:dyDescent="0.25">
      <c r="A32" s="36"/>
      <c r="B32" s="1" t="s">
        <v>114</v>
      </c>
      <c r="C32" s="1"/>
      <c r="D32" s="1">
        <v>70</v>
      </c>
      <c r="E32" s="2">
        <v>30</v>
      </c>
      <c r="F32" s="2" t="s">
        <v>112</v>
      </c>
      <c r="G32" s="12">
        <f>D32*E32</f>
        <v>2100</v>
      </c>
      <c r="H32" s="1"/>
    </row>
    <row r="33" spans="1:8" x14ac:dyDescent="0.25">
      <c r="A33" s="37"/>
      <c r="B33" s="2" t="s">
        <v>122</v>
      </c>
      <c r="C33" s="2"/>
      <c r="D33" s="2">
        <v>85</v>
      </c>
      <c r="E33" s="2">
        <v>4</v>
      </c>
      <c r="F33" s="2" t="s">
        <v>111</v>
      </c>
      <c r="G33" s="12">
        <f t="shared" ref="G33:G35" si="4">D33*E33</f>
        <v>340</v>
      </c>
      <c r="H33" s="1"/>
    </row>
    <row r="34" spans="1:8" x14ac:dyDescent="0.25">
      <c r="A34" s="37"/>
      <c r="B34" s="2" t="s">
        <v>123</v>
      </c>
      <c r="C34" s="2"/>
      <c r="D34" s="2">
        <v>19.8</v>
      </c>
      <c r="E34" s="2">
        <v>2</v>
      </c>
      <c r="F34" s="4" t="s">
        <v>111</v>
      </c>
      <c r="G34" s="12">
        <f t="shared" si="4"/>
        <v>39.6</v>
      </c>
      <c r="H34" s="2"/>
    </row>
    <row r="35" spans="1:8" x14ac:dyDescent="0.25">
      <c r="A35" s="37"/>
      <c r="B35" s="2" t="s">
        <v>124</v>
      </c>
      <c r="C35" s="2"/>
      <c r="D35" s="2">
        <v>58.56</v>
      </c>
      <c r="E35" s="20">
        <v>68</v>
      </c>
      <c r="F35" s="4"/>
      <c r="G35" s="19">
        <f t="shared" si="4"/>
        <v>3982.08</v>
      </c>
      <c r="H35" s="2"/>
    </row>
    <row r="36" spans="1:8" x14ac:dyDescent="0.25">
      <c r="A36" s="37"/>
      <c r="B36" s="2"/>
      <c r="C36" s="2"/>
      <c r="D36" s="2"/>
      <c r="E36" s="2"/>
      <c r="F36" s="4"/>
      <c r="G36" s="4"/>
      <c r="H36" s="2"/>
    </row>
    <row r="37" spans="1:8" x14ac:dyDescent="0.25">
      <c r="A37" s="38"/>
      <c r="B37" s="27" t="s">
        <v>8</v>
      </c>
      <c r="C37" s="28"/>
      <c r="D37" s="29"/>
      <c r="E37" s="4"/>
      <c r="F37" s="4"/>
      <c r="G37" s="13">
        <f>SUM(G32:G36)</f>
        <v>6461.68</v>
      </c>
      <c r="H37" s="6"/>
    </row>
    <row r="38" spans="1:8" x14ac:dyDescent="0.25">
      <c r="A38" s="7" t="s">
        <v>25</v>
      </c>
      <c r="B38" s="1" t="s">
        <v>1</v>
      </c>
      <c r="C38" s="1" t="s">
        <v>2</v>
      </c>
      <c r="D38" s="1" t="s">
        <v>3</v>
      </c>
      <c r="E38" s="2" t="s">
        <v>110</v>
      </c>
      <c r="F38" s="2"/>
      <c r="G38" s="1" t="s">
        <v>4</v>
      </c>
      <c r="H38" s="1"/>
    </row>
    <row r="39" spans="1:8" x14ac:dyDescent="0.25">
      <c r="A39" s="26"/>
      <c r="B39" s="1" t="s">
        <v>119</v>
      </c>
      <c r="C39" s="1"/>
      <c r="D39" s="1">
        <v>19.8</v>
      </c>
      <c r="E39" s="2">
        <v>87</v>
      </c>
      <c r="F39" s="2" t="s">
        <v>111</v>
      </c>
      <c r="G39" s="12">
        <f>D39*E39</f>
        <v>1722.6000000000001</v>
      </c>
      <c r="H39" s="1"/>
    </row>
    <row r="40" spans="1:8" x14ac:dyDescent="0.25">
      <c r="A40" s="26"/>
      <c r="B40" s="1" t="s">
        <v>120</v>
      </c>
      <c r="C40" s="1"/>
      <c r="D40" s="1">
        <v>1</v>
      </c>
      <c r="E40" s="2">
        <v>50</v>
      </c>
      <c r="F40" s="2" t="s">
        <v>121</v>
      </c>
      <c r="G40" s="12">
        <f t="shared" ref="G40:G41" si="5">D40*E40</f>
        <v>50</v>
      </c>
      <c r="H40" s="1"/>
    </row>
    <row r="41" spans="1:8" x14ac:dyDescent="0.25">
      <c r="A41" s="26"/>
      <c r="B41" s="1"/>
      <c r="C41" s="1"/>
      <c r="D41" s="1"/>
      <c r="E41" s="2"/>
      <c r="F41" s="2"/>
      <c r="G41" s="12">
        <f t="shared" si="5"/>
        <v>0</v>
      </c>
      <c r="H41" s="1"/>
    </row>
    <row r="42" spans="1:8" x14ac:dyDescent="0.25">
      <c r="A42" s="26"/>
      <c r="B42" s="1"/>
      <c r="C42" s="1"/>
      <c r="D42" s="1"/>
      <c r="E42" s="2"/>
      <c r="F42" s="2"/>
      <c r="G42" s="1"/>
      <c r="H42" s="1"/>
    </row>
    <row r="43" spans="1:8" x14ac:dyDescent="0.25">
      <c r="A43" s="26"/>
      <c r="B43" s="27" t="s">
        <v>8</v>
      </c>
      <c r="C43" s="28"/>
      <c r="D43" s="29"/>
      <c r="E43" s="4"/>
      <c r="F43" s="4"/>
      <c r="G43" s="13">
        <f>SUM(G39:G42)</f>
        <v>1772.6000000000001</v>
      </c>
      <c r="H43" s="1"/>
    </row>
    <row r="44" spans="1:8" x14ac:dyDescent="0.25">
      <c r="A44" s="1"/>
      <c r="B44" s="33" t="s">
        <v>26</v>
      </c>
      <c r="C44" s="34"/>
      <c r="D44" s="35"/>
      <c r="E44" s="8"/>
      <c r="F44" s="8"/>
      <c r="G44" s="15">
        <f>G43+G37+G30+G26+G20+G7+G14</f>
        <v>27630.18</v>
      </c>
      <c r="H44" s="1"/>
    </row>
  </sheetData>
  <mergeCells count="16">
    <mergeCell ref="A39:A43"/>
    <mergeCell ref="B43:D43"/>
    <mergeCell ref="B44:D44"/>
    <mergeCell ref="A22:A26"/>
    <mergeCell ref="B26:D26"/>
    <mergeCell ref="A28:A30"/>
    <mergeCell ref="B30:D30"/>
    <mergeCell ref="A32:A37"/>
    <mergeCell ref="B37:D3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25" workbookViewId="0">
      <selection activeCell="G37" sqref="G3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29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0" t="s">
        <v>126</v>
      </c>
      <c r="F2" s="9"/>
      <c r="G2" s="1" t="s">
        <v>4</v>
      </c>
      <c r="H2" s="1" t="s">
        <v>5</v>
      </c>
    </row>
    <row r="3" spans="1:8" x14ac:dyDescent="0.25">
      <c r="A3" s="26" t="s">
        <v>69</v>
      </c>
      <c r="B3" s="1" t="s">
        <v>74</v>
      </c>
      <c r="C3" s="1" t="s">
        <v>75</v>
      </c>
      <c r="D3" s="1">
        <v>78</v>
      </c>
      <c r="E3" s="9">
        <v>51.65</v>
      </c>
      <c r="F3" s="9" t="s">
        <v>127</v>
      </c>
      <c r="G3" s="12">
        <f>D3*E3</f>
        <v>4028.7</v>
      </c>
      <c r="H3" s="1"/>
    </row>
    <row r="4" spans="1:8" x14ac:dyDescent="0.25">
      <c r="A4" s="26"/>
      <c r="B4" s="1"/>
      <c r="C4" s="1"/>
      <c r="D4" s="1"/>
      <c r="E4" s="9"/>
      <c r="F4" s="9"/>
      <c r="G4" s="1"/>
      <c r="H4" s="1"/>
    </row>
    <row r="5" spans="1:8" x14ac:dyDescent="0.25">
      <c r="A5" s="26"/>
      <c r="B5" s="1"/>
      <c r="C5" s="1"/>
      <c r="D5" s="1"/>
      <c r="E5" s="9"/>
      <c r="F5" s="9"/>
      <c r="G5" s="1"/>
      <c r="H5" s="1"/>
    </row>
    <row r="6" spans="1:8" x14ac:dyDescent="0.25">
      <c r="A6" s="26"/>
      <c r="B6" s="1"/>
      <c r="C6" s="1"/>
      <c r="D6" s="1"/>
      <c r="E6" s="10"/>
      <c r="F6" s="10"/>
      <c r="G6" s="3"/>
      <c r="H6" s="1"/>
    </row>
    <row r="7" spans="1:8" x14ac:dyDescent="0.25">
      <c r="A7" s="26"/>
      <c r="B7" s="27" t="s">
        <v>8</v>
      </c>
      <c r="C7" s="28"/>
      <c r="D7" s="29"/>
      <c r="E7" s="10"/>
      <c r="F7" s="10"/>
      <c r="G7" s="13">
        <f>SUM(G3:G6)</f>
        <v>4028.7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10" t="s">
        <v>126</v>
      </c>
      <c r="F8" s="9"/>
      <c r="G8" s="1" t="s">
        <v>4</v>
      </c>
      <c r="H8" s="1" t="s">
        <v>5</v>
      </c>
    </row>
    <row r="9" spans="1:8" x14ac:dyDescent="0.25">
      <c r="A9" s="26" t="s">
        <v>70</v>
      </c>
      <c r="B9" s="1" t="s">
        <v>13</v>
      </c>
      <c r="C9" s="1" t="s">
        <v>55</v>
      </c>
      <c r="D9" s="1">
        <v>60</v>
      </c>
      <c r="E9" s="9">
        <v>15</v>
      </c>
      <c r="F9" s="9" t="s">
        <v>127</v>
      </c>
      <c r="G9" s="1">
        <f>D9*E9</f>
        <v>900</v>
      </c>
      <c r="H9" s="1"/>
    </row>
    <row r="10" spans="1:8" x14ac:dyDescent="0.25">
      <c r="A10" s="26"/>
      <c r="B10" s="1" t="s">
        <v>76</v>
      </c>
      <c r="C10" s="1" t="s">
        <v>79</v>
      </c>
      <c r="D10" s="1">
        <v>108</v>
      </c>
      <c r="E10" s="20">
        <v>14</v>
      </c>
      <c r="F10" s="9" t="s">
        <v>127</v>
      </c>
      <c r="G10" s="20">
        <f t="shared" ref="G10:G12" si="0">D10*E10</f>
        <v>1512</v>
      </c>
      <c r="H10" s="1"/>
    </row>
    <row r="11" spans="1:8" x14ac:dyDescent="0.25">
      <c r="A11" s="26"/>
      <c r="B11" s="1" t="s">
        <v>77</v>
      </c>
      <c r="C11" s="1" t="s">
        <v>55</v>
      </c>
      <c r="D11" s="1">
        <v>42</v>
      </c>
      <c r="E11" s="9">
        <v>15</v>
      </c>
      <c r="F11" s="9" t="s">
        <v>127</v>
      </c>
      <c r="G11" s="9">
        <f t="shared" si="0"/>
        <v>630</v>
      </c>
      <c r="H11" s="1"/>
    </row>
    <row r="12" spans="1:8" x14ac:dyDescent="0.25">
      <c r="A12" s="26"/>
      <c r="B12" s="1" t="s">
        <v>78</v>
      </c>
      <c r="C12" s="1" t="s">
        <v>55</v>
      </c>
      <c r="D12" s="20">
        <v>85</v>
      </c>
      <c r="E12" s="9">
        <v>15</v>
      </c>
      <c r="F12" s="9" t="s">
        <v>127</v>
      </c>
      <c r="G12" s="20">
        <f t="shared" si="0"/>
        <v>1275</v>
      </c>
      <c r="H12" s="1"/>
    </row>
    <row r="13" spans="1:8" x14ac:dyDescent="0.25">
      <c r="A13" s="26"/>
      <c r="B13" s="1"/>
      <c r="C13" s="1"/>
      <c r="D13" s="1"/>
      <c r="E13" s="9"/>
      <c r="F13" s="9" t="s">
        <v>127</v>
      </c>
      <c r="G13" s="1"/>
      <c r="H13" s="1"/>
    </row>
    <row r="14" spans="1:8" x14ac:dyDescent="0.25">
      <c r="A14" s="26"/>
      <c r="B14" s="27" t="s">
        <v>8</v>
      </c>
      <c r="C14" s="28"/>
      <c r="D14" s="29"/>
      <c r="E14" s="10"/>
      <c r="F14" s="10"/>
      <c r="G14" s="14">
        <f>SUM(G9:G13)</f>
        <v>4317</v>
      </c>
      <c r="H14" s="1"/>
    </row>
    <row r="15" spans="1:8" x14ac:dyDescent="0.25">
      <c r="A15" s="1" t="s">
        <v>12</v>
      </c>
      <c r="B15" s="1" t="s">
        <v>1</v>
      </c>
      <c r="C15" s="1" t="s">
        <v>2</v>
      </c>
      <c r="D15" s="1" t="s">
        <v>3</v>
      </c>
      <c r="E15" s="10" t="s">
        <v>126</v>
      </c>
      <c r="F15" s="9"/>
      <c r="G15" s="1" t="s">
        <v>4</v>
      </c>
      <c r="H15" s="1" t="s">
        <v>5</v>
      </c>
    </row>
    <row r="16" spans="1:8" x14ac:dyDescent="0.25">
      <c r="A16" s="26"/>
      <c r="B16" s="1"/>
      <c r="C16" s="1"/>
      <c r="D16" s="1"/>
      <c r="E16" s="9"/>
      <c r="F16" s="9"/>
      <c r="G16" s="1"/>
      <c r="H16" s="1"/>
    </row>
    <row r="17" spans="1:8" x14ac:dyDescent="0.25">
      <c r="A17" s="26"/>
      <c r="B17" s="1"/>
      <c r="C17" s="1"/>
      <c r="D17" s="1"/>
      <c r="E17" s="9"/>
      <c r="F17" s="9"/>
      <c r="G17" s="1"/>
      <c r="H17" s="1"/>
    </row>
    <row r="18" spans="1:8" x14ac:dyDescent="0.25">
      <c r="A18" s="26"/>
      <c r="B18" s="1"/>
      <c r="C18" s="1"/>
      <c r="D18" s="1"/>
      <c r="E18" s="9"/>
      <c r="F18" s="9"/>
      <c r="G18" s="1"/>
      <c r="H18" s="1"/>
    </row>
    <row r="19" spans="1:8" x14ac:dyDescent="0.25">
      <c r="A19" s="26"/>
      <c r="B19" s="1"/>
      <c r="C19" s="1"/>
      <c r="D19" s="1"/>
      <c r="E19" s="10"/>
      <c r="F19" s="10"/>
      <c r="G19" s="3"/>
      <c r="H19" s="1"/>
    </row>
    <row r="20" spans="1:8" x14ac:dyDescent="0.25">
      <c r="A20" s="26"/>
      <c r="B20" s="27" t="s">
        <v>8</v>
      </c>
      <c r="C20" s="28"/>
      <c r="D20" s="29"/>
      <c r="E20" s="10"/>
      <c r="F20" s="10"/>
      <c r="G20" s="3"/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10" t="s">
        <v>126</v>
      </c>
      <c r="F21" s="9"/>
      <c r="G21" s="1" t="s">
        <v>4</v>
      </c>
      <c r="H21" s="1" t="s">
        <v>5</v>
      </c>
    </row>
    <row r="22" spans="1:8" x14ac:dyDescent="0.25">
      <c r="A22" s="26"/>
      <c r="B22" s="1" t="s">
        <v>131</v>
      </c>
      <c r="C22" s="1"/>
      <c r="D22" s="1">
        <v>235</v>
      </c>
      <c r="E22" s="9">
        <v>2</v>
      </c>
      <c r="F22" s="9" t="s">
        <v>132</v>
      </c>
      <c r="G22" s="1">
        <f>D22*E22</f>
        <v>470</v>
      </c>
      <c r="H22" s="1"/>
    </row>
    <row r="23" spans="1:8" x14ac:dyDescent="0.25">
      <c r="A23" s="26"/>
      <c r="B23" s="1" t="s">
        <v>133</v>
      </c>
      <c r="C23" s="1"/>
      <c r="D23" s="1">
        <v>960</v>
      </c>
      <c r="E23" s="9">
        <v>1</v>
      </c>
      <c r="F23" s="9" t="s">
        <v>134</v>
      </c>
      <c r="G23" s="9">
        <f t="shared" ref="G23:G33" si="1">D23*E23</f>
        <v>960</v>
      </c>
      <c r="H23" s="1"/>
    </row>
    <row r="24" spans="1:8" x14ac:dyDescent="0.25">
      <c r="A24" s="26"/>
      <c r="B24" s="21" t="s">
        <v>135</v>
      </c>
      <c r="C24" s="1"/>
      <c r="D24" s="1">
        <v>195</v>
      </c>
      <c r="E24" s="9">
        <v>1</v>
      </c>
      <c r="F24" s="9" t="s">
        <v>132</v>
      </c>
      <c r="G24" s="9">
        <f t="shared" si="1"/>
        <v>195</v>
      </c>
      <c r="H24" s="1"/>
    </row>
    <row r="25" spans="1:8" x14ac:dyDescent="0.25">
      <c r="A25" s="26"/>
      <c r="B25" s="1" t="s">
        <v>136</v>
      </c>
      <c r="C25" s="1"/>
      <c r="D25" s="1">
        <v>300</v>
      </c>
      <c r="E25" s="9">
        <v>1</v>
      </c>
      <c r="F25" s="9" t="s">
        <v>137</v>
      </c>
      <c r="G25" s="9">
        <f t="shared" si="1"/>
        <v>300</v>
      </c>
      <c r="H25" s="1"/>
    </row>
    <row r="26" spans="1:8" x14ac:dyDescent="0.25">
      <c r="A26" s="26"/>
      <c r="B26" s="9" t="s">
        <v>138</v>
      </c>
      <c r="C26" s="9"/>
      <c r="D26" s="9">
        <v>3.5</v>
      </c>
      <c r="E26" s="10">
        <v>100</v>
      </c>
      <c r="F26" s="10" t="s">
        <v>139</v>
      </c>
      <c r="G26" s="10">
        <f t="shared" si="1"/>
        <v>350</v>
      </c>
      <c r="H26" s="9"/>
    </row>
    <row r="27" spans="1:8" x14ac:dyDescent="0.25">
      <c r="A27" s="26"/>
      <c r="B27" s="9" t="s">
        <v>142</v>
      </c>
      <c r="C27" s="9"/>
      <c r="D27" s="9">
        <v>173.4</v>
      </c>
      <c r="E27" s="9">
        <v>6</v>
      </c>
      <c r="F27" s="10" t="s">
        <v>127</v>
      </c>
      <c r="G27" s="25">
        <f t="shared" si="1"/>
        <v>1040.4000000000001</v>
      </c>
      <c r="H27" s="9"/>
    </row>
    <row r="28" spans="1:8" x14ac:dyDescent="0.25">
      <c r="A28" s="26"/>
      <c r="B28" s="9" t="s">
        <v>143</v>
      </c>
      <c r="C28" s="9"/>
      <c r="D28" s="9">
        <v>150</v>
      </c>
      <c r="E28" s="9">
        <v>2</v>
      </c>
      <c r="F28" s="10" t="s">
        <v>127</v>
      </c>
      <c r="G28" s="10">
        <f t="shared" si="1"/>
        <v>300</v>
      </c>
      <c r="H28" s="9"/>
    </row>
    <row r="29" spans="1:8" x14ac:dyDescent="0.25">
      <c r="A29" s="26"/>
      <c r="B29" s="9" t="s">
        <v>144</v>
      </c>
      <c r="C29" s="9"/>
      <c r="D29" s="9">
        <v>189</v>
      </c>
      <c r="E29" s="9">
        <v>3</v>
      </c>
      <c r="F29" s="10" t="s">
        <v>127</v>
      </c>
      <c r="G29" s="10">
        <f t="shared" si="1"/>
        <v>567</v>
      </c>
      <c r="H29" s="9"/>
    </row>
    <row r="30" spans="1:8" x14ac:dyDescent="0.25">
      <c r="A30" s="26"/>
      <c r="B30" s="9" t="s">
        <v>145</v>
      </c>
      <c r="C30" s="9"/>
      <c r="D30" s="9">
        <v>43.2</v>
      </c>
      <c r="E30" s="9">
        <v>20</v>
      </c>
      <c r="F30" s="10" t="s">
        <v>127</v>
      </c>
      <c r="G30" s="10">
        <f t="shared" si="1"/>
        <v>864</v>
      </c>
      <c r="H30" s="9"/>
    </row>
    <row r="31" spans="1:8" x14ac:dyDescent="0.25">
      <c r="A31" s="26"/>
      <c r="B31" s="9" t="s">
        <v>146</v>
      </c>
      <c r="C31" s="9"/>
      <c r="D31" s="9">
        <v>225</v>
      </c>
      <c r="E31" s="9">
        <v>2</v>
      </c>
      <c r="F31" s="10" t="s">
        <v>134</v>
      </c>
      <c r="G31" s="10">
        <f t="shared" si="1"/>
        <v>450</v>
      </c>
      <c r="H31" s="9"/>
    </row>
    <row r="32" spans="1:8" x14ac:dyDescent="0.25">
      <c r="A32" s="26"/>
      <c r="B32" s="9" t="s">
        <v>147</v>
      </c>
      <c r="C32" s="9"/>
      <c r="D32" s="9">
        <v>291</v>
      </c>
      <c r="E32" s="9">
        <v>1</v>
      </c>
      <c r="F32" s="10" t="s">
        <v>134</v>
      </c>
      <c r="G32" s="10">
        <f t="shared" si="1"/>
        <v>291</v>
      </c>
      <c r="H32" s="9"/>
    </row>
    <row r="33" spans="1:8" x14ac:dyDescent="0.25">
      <c r="A33" s="26"/>
      <c r="B33" s="9" t="s">
        <v>148</v>
      </c>
      <c r="C33" s="9"/>
      <c r="D33" s="9">
        <v>181</v>
      </c>
      <c r="E33" s="9">
        <v>2</v>
      </c>
      <c r="F33" s="10" t="s">
        <v>134</v>
      </c>
      <c r="G33" s="10">
        <f t="shared" si="1"/>
        <v>362</v>
      </c>
      <c r="H33" s="9"/>
    </row>
    <row r="34" spans="1:8" x14ac:dyDescent="0.25">
      <c r="A34" s="26"/>
      <c r="B34" s="27" t="s">
        <v>8</v>
      </c>
      <c r="C34" s="28"/>
      <c r="D34" s="29"/>
      <c r="E34" s="10"/>
      <c r="F34" s="10"/>
      <c r="G34" s="14">
        <f>SUM(G22:G33)</f>
        <v>6149.4</v>
      </c>
      <c r="H34" s="1"/>
    </row>
    <row r="35" spans="1:8" x14ac:dyDescent="0.25">
      <c r="A35" s="1" t="s">
        <v>18</v>
      </c>
      <c r="B35" s="1" t="s">
        <v>1</v>
      </c>
      <c r="C35" s="1" t="s">
        <v>2</v>
      </c>
      <c r="D35" s="1" t="s">
        <v>3</v>
      </c>
      <c r="E35" s="10" t="s">
        <v>126</v>
      </c>
      <c r="F35" s="9"/>
      <c r="G35" s="1" t="s">
        <v>4</v>
      </c>
      <c r="H35" s="1" t="s">
        <v>5</v>
      </c>
    </row>
    <row r="36" spans="1:8" x14ac:dyDescent="0.25">
      <c r="A36" s="26" t="s">
        <v>71</v>
      </c>
      <c r="B36" s="1" t="s">
        <v>157</v>
      </c>
      <c r="C36" s="1"/>
      <c r="D36" s="1">
        <v>16</v>
      </c>
      <c r="E36" s="9">
        <v>10</v>
      </c>
      <c r="F36" s="9" t="s">
        <v>158</v>
      </c>
      <c r="G36" s="16">
        <f t="shared" ref="G36:G41" si="2">D36*E36</f>
        <v>160</v>
      </c>
      <c r="H36" s="1"/>
    </row>
    <row r="37" spans="1:8" x14ac:dyDescent="0.25">
      <c r="A37" s="26"/>
      <c r="B37" s="1" t="s">
        <v>80</v>
      </c>
      <c r="C37" s="1" t="s">
        <v>83</v>
      </c>
      <c r="D37" s="1">
        <v>11</v>
      </c>
      <c r="E37" s="9">
        <v>10</v>
      </c>
      <c r="F37" s="9" t="s">
        <v>139</v>
      </c>
      <c r="G37" s="9">
        <f t="shared" si="2"/>
        <v>110</v>
      </c>
      <c r="H37" s="1"/>
    </row>
    <row r="38" spans="1:8" x14ac:dyDescent="0.25">
      <c r="A38" s="26"/>
      <c r="B38" s="1" t="s">
        <v>81</v>
      </c>
      <c r="C38" s="1" t="s">
        <v>84</v>
      </c>
      <c r="D38" s="1">
        <v>45.6</v>
      </c>
      <c r="E38" s="9">
        <v>8</v>
      </c>
      <c r="F38" s="9" t="s">
        <v>127</v>
      </c>
      <c r="G38" s="12">
        <f t="shared" si="2"/>
        <v>364.8</v>
      </c>
      <c r="H38" s="1"/>
    </row>
    <row r="39" spans="1:8" x14ac:dyDescent="0.25">
      <c r="A39" s="26"/>
      <c r="B39" s="1" t="s">
        <v>40</v>
      </c>
      <c r="C39" s="1" t="s">
        <v>85</v>
      </c>
      <c r="D39" s="1">
        <v>45</v>
      </c>
      <c r="E39" s="9">
        <v>4</v>
      </c>
      <c r="F39" s="9" t="s">
        <v>127</v>
      </c>
      <c r="G39" s="9">
        <f t="shared" si="2"/>
        <v>180</v>
      </c>
      <c r="H39" s="1"/>
    </row>
    <row r="40" spans="1:8" x14ac:dyDescent="0.25">
      <c r="A40" s="26"/>
      <c r="B40" s="1" t="s">
        <v>41</v>
      </c>
      <c r="C40" s="1" t="s">
        <v>43</v>
      </c>
      <c r="D40" s="1">
        <v>26.22</v>
      </c>
      <c r="E40" s="9">
        <v>3</v>
      </c>
      <c r="F40" s="9" t="s">
        <v>127</v>
      </c>
      <c r="G40" s="12">
        <f t="shared" si="2"/>
        <v>78.66</v>
      </c>
      <c r="H40" s="1"/>
    </row>
    <row r="41" spans="1:8" x14ac:dyDescent="0.25">
      <c r="A41" s="26"/>
      <c r="B41" s="21" t="s">
        <v>140</v>
      </c>
      <c r="C41" s="1" t="s">
        <v>82</v>
      </c>
      <c r="D41" s="1">
        <v>110</v>
      </c>
      <c r="E41" s="9">
        <v>1</v>
      </c>
      <c r="F41" s="9" t="s">
        <v>132</v>
      </c>
      <c r="G41" s="9">
        <f t="shared" si="2"/>
        <v>110</v>
      </c>
      <c r="H41" s="1"/>
    </row>
    <row r="42" spans="1:8" x14ac:dyDescent="0.25">
      <c r="A42" s="26"/>
      <c r="B42" s="27"/>
      <c r="C42" s="28"/>
      <c r="D42" s="29"/>
      <c r="E42" s="10"/>
      <c r="F42" s="10"/>
      <c r="G42" s="13">
        <f>SUM(G36:G41)</f>
        <v>1003.4599999999999</v>
      </c>
      <c r="H42" s="1"/>
    </row>
    <row r="43" spans="1:8" x14ac:dyDescent="0.25">
      <c r="A43" s="1" t="s">
        <v>24</v>
      </c>
      <c r="B43" s="1" t="s">
        <v>1</v>
      </c>
      <c r="C43" s="1" t="s">
        <v>2</v>
      </c>
      <c r="D43" s="1" t="s">
        <v>3</v>
      </c>
      <c r="E43" s="10" t="s">
        <v>126</v>
      </c>
      <c r="F43" s="10"/>
      <c r="G43" s="3" t="s">
        <v>4</v>
      </c>
      <c r="H43" s="1" t="s">
        <v>5</v>
      </c>
    </row>
    <row r="44" spans="1:8" x14ac:dyDescent="0.25">
      <c r="A44" s="36"/>
      <c r="B44" s="1" t="s">
        <v>125</v>
      </c>
      <c r="C44" s="1"/>
      <c r="D44" s="1">
        <v>34.56</v>
      </c>
      <c r="E44" s="9">
        <v>62.67</v>
      </c>
      <c r="F44" s="9" t="s">
        <v>127</v>
      </c>
      <c r="G44" s="12">
        <f>D44*E44</f>
        <v>2165.8752000000004</v>
      </c>
      <c r="H44" s="1"/>
    </row>
    <row r="45" spans="1:8" x14ac:dyDescent="0.25">
      <c r="A45" s="37"/>
      <c r="B45" s="1" t="s">
        <v>141</v>
      </c>
      <c r="C45" s="1"/>
      <c r="D45" s="1">
        <v>32.64</v>
      </c>
      <c r="E45" s="9">
        <v>65</v>
      </c>
      <c r="F45" s="9" t="s">
        <v>127</v>
      </c>
      <c r="G45" s="12">
        <f>D45*E45</f>
        <v>2121.6</v>
      </c>
      <c r="H45" s="1"/>
    </row>
    <row r="46" spans="1:8" x14ac:dyDescent="0.25">
      <c r="A46" s="38"/>
      <c r="B46" s="27" t="s">
        <v>8</v>
      </c>
      <c r="C46" s="28"/>
      <c r="D46" s="29"/>
      <c r="E46" s="10"/>
      <c r="F46" s="10"/>
      <c r="G46" s="13">
        <f>SUM(G44:G45)</f>
        <v>4287.4752000000008</v>
      </c>
      <c r="H46" s="6"/>
    </row>
    <row r="47" spans="1:8" x14ac:dyDescent="0.25">
      <c r="A47" s="7" t="s">
        <v>25</v>
      </c>
      <c r="B47" s="1" t="s">
        <v>1</v>
      </c>
      <c r="C47" s="1" t="s">
        <v>2</v>
      </c>
      <c r="D47" s="1" t="s">
        <v>3</v>
      </c>
      <c r="E47" s="10" t="s">
        <v>126</v>
      </c>
      <c r="F47" s="9"/>
      <c r="G47" s="1" t="s">
        <v>4</v>
      </c>
      <c r="H47" s="1"/>
    </row>
    <row r="48" spans="1:8" x14ac:dyDescent="0.25">
      <c r="A48" s="26" t="s">
        <v>72</v>
      </c>
      <c r="B48" s="1" t="s">
        <v>72</v>
      </c>
      <c r="C48" s="1" t="s">
        <v>73</v>
      </c>
      <c r="D48" s="1">
        <v>125</v>
      </c>
      <c r="E48" s="9">
        <v>60</v>
      </c>
      <c r="F48" s="9" t="s">
        <v>129</v>
      </c>
      <c r="G48" s="9">
        <f>D48*E48</f>
        <v>7500</v>
      </c>
      <c r="H48" s="1"/>
    </row>
    <row r="49" spans="1:8" x14ac:dyDescent="0.25">
      <c r="A49" s="26"/>
      <c r="B49" s="1" t="s">
        <v>128</v>
      </c>
      <c r="C49" s="1"/>
      <c r="D49" s="1">
        <v>120</v>
      </c>
      <c r="E49" s="9">
        <v>3</v>
      </c>
      <c r="F49" s="9" t="s">
        <v>129</v>
      </c>
      <c r="G49" s="1">
        <f>D49*E49</f>
        <v>360</v>
      </c>
      <c r="H49" s="1"/>
    </row>
    <row r="50" spans="1:8" x14ac:dyDescent="0.25">
      <c r="A50" s="26"/>
      <c r="B50" s="1" t="s">
        <v>130</v>
      </c>
      <c r="C50" s="1"/>
      <c r="D50" s="1">
        <v>210</v>
      </c>
      <c r="E50" s="9">
        <v>1</v>
      </c>
      <c r="F50" s="9" t="s">
        <v>129</v>
      </c>
      <c r="G50" s="9">
        <f t="shared" ref="G50:G51" si="3">D50*E50</f>
        <v>210</v>
      </c>
      <c r="H50" s="1"/>
    </row>
    <row r="51" spans="1:8" x14ac:dyDescent="0.25">
      <c r="A51" s="26"/>
      <c r="B51" s="1"/>
      <c r="C51" s="1"/>
      <c r="D51" s="1"/>
      <c r="E51" s="9"/>
      <c r="F51" s="9"/>
      <c r="G51" s="9">
        <f t="shared" si="3"/>
        <v>0</v>
      </c>
      <c r="H51" s="1"/>
    </row>
    <row r="52" spans="1:8" x14ac:dyDescent="0.25">
      <c r="A52" s="26"/>
      <c r="B52" s="27" t="s">
        <v>8</v>
      </c>
      <c r="C52" s="28"/>
      <c r="D52" s="29"/>
      <c r="E52" s="10"/>
      <c r="F52" s="10"/>
      <c r="G52" s="14">
        <f>SUM(G48:G51)</f>
        <v>8070</v>
      </c>
      <c r="H52" s="1"/>
    </row>
    <row r="53" spans="1:8" x14ac:dyDescent="0.25">
      <c r="A53" s="1"/>
      <c r="B53" s="33" t="s">
        <v>26</v>
      </c>
      <c r="C53" s="34"/>
      <c r="D53" s="35"/>
      <c r="E53" s="11"/>
      <c r="F53" s="11"/>
      <c r="G53" s="15">
        <f>G52+G46+G42+G34+G14+G7</f>
        <v>27856.035200000002</v>
      </c>
      <c r="H53" s="1"/>
    </row>
  </sheetData>
  <mergeCells count="16">
    <mergeCell ref="A48:A52"/>
    <mergeCell ref="B52:D52"/>
    <mergeCell ref="B53:D53"/>
    <mergeCell ref="A22:A34"/>
    <mergeCell ref="B34:D34"/>
    <mergeCell ref="A36:A42"/>
    <mergeCell ref="B42:D42"/>
    <mergeCell ref="A44:A46"/>
    <mergeCell ref="B46:D4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workbookViewId="0">
      <selection activeCell="H41" sqref="H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30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6" t="s">
        <v>149</v>
      </c>
      <c r="F2" s="16"/>
      <c r="G2" s="1" t="s">
        <v>4</v>
      </c>
      <c r="H2" s="1" t="s">
        <v>5</v>
      </c>
    </row>
    <row r="3" spans="1:8" x14ac:dyDescent="0.25">
      <c r="A3" s="26" t="s">
        <v>86</v>
      </c>
      <c r="B3" s="1" t="s">
        <v>89</v>
      </c>
      <c r="C3" s="1" t="s">
        <v>90</v>
      </c>
      <c r="D3" s="1">
        <v>1300</v>
      </c>
      <c r="E3" s="16">
        <v>5</v>
      </c>
      <c r="F3" s="16" t="s">
        <v>150</v>
      </c>
      <c r="G3" s="1">
        <f>D3*E3</f>
        <v>6500</v>
      </c>
      <c r="H3" s="1"/>
    </row>
    <row r="4" spans="1:8" x14ac:dyDescent="0.25">
      <c r="A4" s="26"/>
      <c r="B4" s="1"/>
      <c r="C4" s="1"/>
      <c r="D4" s="1"/>
      <c r="E4" s="16"/>
      <c r="F4" s="16"/>
      <c r="G4" s="1"/>
      <c r="H4" s="1"/>
    </row>
    <row r="5" spans="1:8" x14ac:dyDescent="0.25">
      <c r="A5" s="26"/>
      <c r="B5" s="1"/>
      <c r="C5" s="1"/>
      <c r="D5" s="1"/>
      <c r="E5" s="16"/>
      <c r="F5" s="16"/>
      <c r="G5" s="1"/>
      <c r="H5" s="1"/>
    </row>
    <row r="6" spans="1:8" x14ac:dyDescent="0.25">
      <c r="A6" s="26"/>
      <c r="B6" s="1"/>
      <c r="C6" s="1"/>
      <c r="D6" s="1"/>
      <c r="E6" s="17"/>
      <c r="F6" s="17"/>
      <c r="G6" s="3"/>
      <c r="H6" s="1"/>
    </row>
    <row r="7" spans="1:8" x14ac:dyDescent="0.25">
      <c r="A7" s="26"/>
      <c r="B7" s="27"/>
      <c r="C7" s="28"/>
      <c r="D7" s="29"/>
      <c r="E7" s="17"/>
      <c r="F7" s="17"/>
      <c r="G7" s="14">
        <f>SUM(G3:G6)</f>
        <v>6500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16" t="s">
        <v>149</v>
      </c>
      <c r="F8" s="16"/>
      <c r="G8" s="1" t="s">
        <v>4</v>
      </c>
      <c r="H8" s="1" t="s">
        <v>5</v>
      </c>
    </row>
    <row r="9" spans="1:8" x14ac:dyDescent="0.25">
      <c r="A9" s="26" t="s">
        <v>87</v>
      </c>
      <c r="B9" s="1" t="s">
        <v>15</v>
      </c>
      <c r="C9" s="1" t="s">
        <v>42</v>
      </c>
      <c r="D9" s="1">
        <v>93</v>
      </c>
      <c r="E9" s="16">
        <v>10</v>
      </c>
      <c r="F9" s="16" t="s">
        <v>154</v>
      </c>
      <c r="G9" s="1">
        <f>D9*E9</f>
        <v>930</v>
      </c>
      <c r="H9" s="1"/>
    </row>
    <row r="10" spans="1:8" x14ac:dyDescent="0.25">
      <c r="A10" s="26"/>
      <c r="B10" s="1" t="s">
        <v>91</v>
      </c>
      <c r="C10" s="1" t="s">
        <v>92</v>
      </c>
      <c r="D10" s="1">
        <v>150</v>
      </c>
      <c r="E10" s="16">
        <v>6</v>
      </c>
      <c r="F10" s="16" t="s">
        <v>155</v>
      </c>
      <c r="G10" s="16">
        <f t="shared" ref="G10:G11" si="0">D10*E10</f>
        <v>900</v>
      </c>
      <c r="H10" s="1"/>
    </row>
    <row r="11" spans="1:8" x14ac:dyDescent="0.25">
      <c r="A11" s="26"/>
      <c r="B11" s="1" t="s">
        <v>7</v>
      </c>
      <c r="C11" s="1" t="s">
        <v>44</v>
      </c>
      <c r="D11" s="1">
        <v>30.6</v>
      </c>
      <c r="E11" s="16">
        <v>5</v>
      </c>
      <c r="F11" s="16" t="s">
        <v>154</v>
      </c>
      <c r="G11" s="16">
        <f t="shared" si="0"/>
        <v>153</v>
      </c>
      <c r="H11" s="1"/>
    </row>
    <row r="12" spans="1:8" x14ac:dyDescent="0.25">
      <c r="A12" s="26"/>
      <c r="B12" s="1"/>
      <c r="C12" s="1"/>
      <c r="D12" s="1"/>
      <c r="E12" s="16"/>
      <c r="F12" s="16"/>
      <c r="G12" s="1"/>
      <c r="H12" s="1"/>
    </row>
    <row r="13" spans="1:8" x14ac:dyDescent="0.25">
      <c r="A13" s="26"/>
      <c r="B13" s="1"/>
      <c r="C13" s="1"/>
      <c r="D13" s="1"/>
      <c r="E13" s="16"/>
      <c r="F13" s="16"/>
      <c r="G13" s="1"/>
      <c r="H13" s="1"/>
    </row>
    <row r="14" spans="1:8" x14ac:dyDescent="0.25">
      <c r="A14" s="26"/>
      <c r="B14" s="27" t="s">
        <v>8</v>
      </c>
      <c r="C14" s="28"/>
      <c r="D14" s="29"/>
      <c r="E14" s="17"/>
      <c r="F14" s="17"/>
      <c r="G14" s="14">
        <f>SUM(G9:G13)</f>
        <v>1983</v>
      </c>
      <c r="H14" s="1"/>
    </row>
    <row r="15" spans="1:8" x14ac:dyDescent="0.25">
      <c r="A15" s="1" t="s">
        <v>12</v>
      </c>
      <c r="B15" s="1" t="s">
        <v>1</v>
      </c>
      <c r="C15" s="1" t="s">
        <v>2</v>
      </c>
      <c r="D15" s="1" t="s">
        <v>3</v>
      </c>
      <c r="E15" s="16" t="s">
        <v>149</v>
      </c>
      <c r="F15" s="16"/>
      <c r="G15" s="1" t="s">
        <v>4</v>
      </c>
      <c r="H15" s="1" t="s">
        <v>5</v>
      </c>
    </row>
    <row r="16" spans="1:8" x14ac:dyDescent="0.25">
      <c r="A16" s="26" t="s">
        <v>88</v>
      </c>
      <c r="B16" s="1" t="s">
        <v>93</v>
      </c>
      <c r="C16" s="1" t="s">
        <v>95</v>
      </c>
      <c r="D16" s="1">
        <v>46.92</v>
      </c>
      <c r="E16" s="16">
        <v>55</v>
      </c>
      <c r="F16" s="16" t="s">
        <v>154</v>
      </c>
      <c r="G16" s="12">
        <f>D16*E16</f>
        <v>2580.6</v>
      </c>
      <c r="H16" s="1"/>
    </row>
    <row r="17" spans="1:8" x14ac:dyDescent="0.25">
      <c r="A17" s="26"/>
      <c r="B17" s="1" t="s">
        <v>94</v>
      </c>
      <c r="C17" s="1" t="s">
        <v>55</v>
      </c>
      <c r="D17" s="1">
        <v>97.5</v>
      </c>
      <c r="E17" s="16">
        <v>15</v>
      </c>
      <c r="F17" s="16" t="s">
        <v>154</v>
      </c>
      <c r="G17" s="12">
        <f t="shared" ref="G17:G18" si="1">D17*E17</f>
        <v>1462.5</v>
      </c>
      <c r="H17" s="1"/>
    </row>
    <row r="18" spans="1:8" x14ac:dyDescent="0.25">
      <c r="A18" s="26"/>
      <c r="B18" s="1" t="s">
        <v>63</v>
      </c>
      <c r="C18" s="1" t="s">
        <v>85</v>
      </c>
      <c r="D18" s="1">
        <v>85</v>
      </c>
      <c r="E18" s="16">
        <v>4</v>
      </c>
      <c r="F18" s="16" t="s">
        <v>154</v>
      </c>
      <c r="G18" s="12">
        <f t="shared" si="1"/>
        <v>340</v>
      </c>
      <c r="H18" s="1"/>
    </row>
    <row r="19" spans="1:8" x14ac:dyDescent="0.25">
      <c r="A19" s="26"/>
      <c r="B19" s="1"/>
      <c r="C19" s="1"/>
      <c r="D19" s="1"/>
      <c r="E19" s="17"/>
      <c r="F19" s="17"/>
      <c r="G19" s="3"/>
      <c r="H19" s="1"/>
    </row>
    <row r="20" spans="1:8" x14ac:dyDescent="0.25">
      <c r="A20" s="26"/>
      <c r="B20" s="27" t="s">
        <v>8</v>
      </c>
      <c r="C20" s="28"/>
      <c r="D20" s="29"/>
      <c r="E20" s="17"/>
      <c r="F20" s="17"/>
      <c r="G20" s="13">
        <f>SUM(G16:G19)</f>
        <v>4383.1000000000004</v>
      </c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16" t="s">
        <v>149</v>
      </c>
      <c r="F21" s="16"/>
      <c r="G21" s="1" t="s">
        <v>4</v>
      </c>
      <c r="H21" s="1" t="s">
        <v>5</v>
      </c>
    </row>
    <row r="22" spans="1:8" x14ac:dyDescent="0.25">
      <c r="A22" s="26"/>
      <c r="B22" s="1"/>
      <c r="C22" s="1"/>
      <c r="D22" s="1"/>
      <c r="E22" s="16"/>
      <c r="F22" s="16"/>
      <c r="G22" s="1"/>
      <c r="H22" s="1"/>
    </row>
    <row r="23" spans="1:8" x14ac:dyDescent="0.25">
      <c r="A23" s="26"/>
      <c r="B23" s="1"/>
      <c r="C23" s="1"/>
      <c r="D23" s="1"/>
      <c r="E23" s="16"/>
      <c r="F23" s="16"/>
      <c r="G23" s="1"/>
      <c r="H23" s="1"/>
    </row>
    <row r="24" spans="1:8" x14ac:dyDescent="0.25">
      <c r="A24" s="26"/>
      <c r="B24" s="1"/>
      <c r="C24" s="1"/>
      <c r="D24" s="1"/>
      <c r="E24" s="16"/>
      <c r="F24" s="16"/>
      <c r="G24" s="1"/>
      <c r="H24" s="1"/>
    </row>
    <row r="25" spans="1:8" x14ac:dyDescent="0.25">
      <c r="A25" s="26"/>
      <c r="B25" s="1"/>
      <c r="C25" s="1"/>
      <c r="D25" s="1"/>
      <c r="E25" s="16"/>
      <c r="F25" s="16"/>
      <c r="G25" s="1"/>
      <c r="H25" s="1"/>
    </row>
    <row r="26" spans="1:8" x14ac:dyDescent="0.25">
      <c r="A26" s="26"/>
      <c r="B26" s="27" t="s">
        <v>8</v>
      </c>
      <c r="C26" s="28"/>
      <c r="D26" s="29"/>
      <c r="E26" s="17"/>
      <c r="F26" s="17"/>
      <c r="G26" s="3"/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6" t="s">
        <v>149</v>
      </c>
      <c r="F27" s="16"/>
      <c r="G27" s="1" t="s">
        <v>4</v>
      </c>
      <c r="H27" s="1" t="s">
        <v>5</v>
      </c>
    </row>
    <row r="28" spans="1:8" x14ac:dyDescent="0.25">
      <c r="A28" s="26" t="s">
        <v>159</v>
      </c>
      <c r="B28" s="1" t="s">
        <v>160</v>
      </c>
      <c r="C28" s="1"/>
      <c r="D28" s="1">
        <v>162</v>
      </c>
      <c r="E28" s="16">
        <v>8</v>
      </c>
      <c r="F28" s="16" t="s">
        <v>154</v>
      </c>
      <c r="G28" s="1">
        <f>D28*E28</f>
        <v>1296</v>
      </c>
      <c r="H28" s="1"/>
    </row>
    <row r="29" spans="1:8" x14ac:dyDescent="0.25">
      <c r="A29" s="26"/>
      <c r="B29" s="1" t="s">
        <v>161</v>
      </c>
      <c r="C29" s="1"/>
      <c r="D29" s="1">
        <v>60</v>
      </c>
      <c r="E29" s="16">
        <v>20</v>
      </c>
      <c r="F29" s="16" t="s">
        <v>154</v>
      </c>
      <c r="G29" s="16">
        <f>D29*E29</f>
        <v>1200</v>
      </c>
      <c r="H29" s="1"/>
    </row>
    <row r="30" spans="1:8" x14ac:dyDescent="0.25">
      <c r="A30" s="26"/>
      <c r="B30" s="27"/>
      <c r="C30" s="28"/>
      <c r="D30" s="29"/>
      <c r="E30" s="17"/>
      <c r="F30" s="17"/>
      <c r="G30" s="14">
        <f>SUM(G28:G29)</f>
        <v>2496</v>
      </c>
      <c r="H30" s="1"/>
    </row>
    <row r="31" spans="1:8" x14ac:dyDescent="0.25">
      <c r="A31" s="1" t="s">
        <v>24</v>
      </c>
      <c r="B31" s="1" t="s">
        <v>1</v>
      </c>
      <c r="C31" s="1" t="s">
        <v>2</v>
      </c>
      <c r="D31" s="1" t="s">
        <v>3</v>
      </c>
      <c r="E31" s="17" t="s">
        <v>149</v>
      </c>
      <c r="F31" s="17"/>
      <c r="G31" s="3" t="s">
        <v>4</v>
      </c>
      <c r="H31" s="1" t="s">
        <v>5</v>
      </c>
    </row>
    <row r="32" spans="1:8" x14ac:dyDescent="0.25">
      <c r="A32" s="36"/>
      <c r="B32" s="1" t="s">
        <v>153</v>
      </c>
      <c r="C32" s="1"/>
      <c r="D32" s="1">
        <v>35.520000000000003</v>
      </c>
      <c r="E32" s="16">
        <v>48.34</v>
      </c>
      <c r="F32" s="16" t="s">
        <v>154</v>
      </c>
      <c r="G32" s="12">
        <f>D32*E32</f>
        <v>1717.0368000000003</v>
      </c>
      <c r="H32" s="1"/>
    </row>
    <row r="33" spans="1:8" x14ac:dyDescent="0.25">
      <c r="A33" s="37"/>
      <c r="B33" s="1" t="s">
        <v>156</v>
      </c>
      <c r="C33" s="1"/>
      <c r="D33" s="1">
        <v>11.7</v>
      </c>
      <c r="E33" s="16">
        <v>45</v>
      </c>
      <c r="F33" s="16" t="s">
        <v>154</v>
      </c>
      <c r="G33" s="12">
        <f>D33*E33</f>
        <v>526.5</v>
      </c>
      <c r="H33" s="1"/>
    </row>
    <row r="34" spans="1:8" x14ac:dyDescent="0.25">
      <c r="A34" s="38"/>
      <c r="B34" s="27" t="s">
        <v>8</v>
      </c>
      <c r="C34" s="28"/>
      <c r="D34" s="29"/>
      <c r="E34" s="17"/>
      <c r="F34" s="17"/>
      <c r="G34" s="13">
        <f>SUM(G32:G33)</f>
        <v>2243.5368000000003</v>
      </c>
      <c r="H34" s="6"/>
    </row>
    <row r="35" spans="1:8" x14ac:dyDescent="0.25">
      <c r="A35" s="7" t="s">
        <v>25</v>
      </c>
      <c r="B35" s="1" t="s">
        <v>1</v>
      </c>
      <c r="C35" s="1" t="s">
        <v>2</v>
      </c>
      <c r="D35" s="1" t="s">
        <v>3</v>
      </c>
      <c r="E35" s="16" t="s">
        <v>149</v>
      </c>
      <c r="F35" s="16"/>
      <c r="G35" s="1" t="s">
        <v>4</v>
      </c>
      <c r="H35" s="1"/>
    </row>
    <row r="36" spans="1:8" x14ac:dyDescent="0.25">
      <c r="A36" s="26"/>
      <c r="B36" s="1" t="s">
        <v>151</v>
      </c>
      <c r="C36" s="1"/>
      <c r="D36" s="1">
        <v>60</v>
      </c>
      <c r="E36" s="16">
        <v>1</v>
      </c>
      <c r="F36" s="16" t="s">
        <v>152</v>
      </c>
      <c r="G36" s="1">
        <f>D36*E36</f>
        <v>60</v>
      </c>
      <c r="H36" s="1"/>
    </row>
    <row r="37" spans="1:8" x14ac:dyDescent="0.25">
      <c r="A37" s="26"/>
      <c r="B37" s="1" t="s">
        <v>162</v>
      </c>
      <c r="C37" s="1"/>
      <c r="D37" s="1">
        <v>138</v>
      </c>
      <c r="E37" s="16">
        <v>25</v>
      </c>
      <c r="F37" s="16" t="s">
        <v>154</v>
      </c>
      <c r="G37" s="16">
        <f>D37*E37</f>
        <v>3450</v>
      </c>
      <c r="H37" s="1"/>
    </row>
    <row r="38" spans="1:8" x14ac:dyDescent="0.25">
      <c r="A38" s="26"/>
      <c r="B38" s="1"/>
      <c r="C38" s="1"/>
      <c r="D38" s="1"/>
      <c r="E38" s="16"/>
      <c r="F38" s="16"/>
      <c r="G38" s="1"/>
      <c r="H38" s="1"/>
    </row>
    <row r="39" spans="1:8" x14ac:dyDescent="0.25">
      <c r="A39" s="26"/>
      <c r="B39" s="1"/>
      <c r="C39" s="1"/>
      <c r="D39" s="1"/>
      <c r="E39" s="16"/>
      <c r="F39" s="16"/>
      <c r="G39" s="1"/>
      <c r="H39" s="1"/>
    </row>
    <row r="40" spans="1:8" x14ac:dyDescent="0.25">
      <c r="A40" s="26"/>
      <c r="B40" s="27" t="s">
        <v>8</v>
      </c>
      <c r="C40" s="28"/>
      <c r="D40" s="29"/>
      <c r="E40" s="17"/>
      <c r="F40" s="17"/>
      <c r="G40" s="14">
        <f>SUM(G36:G39)</f>
        <v>3510</v>
      </c>
      <c r="H40" s="1"/>
    </row>
    <row r="41" spans="1:8" x14ac:dyDescent="0.25">
      <c r="A41" s="1"/>
      <c r="B41" s="33" t="s">
        <v>26</v>
      </c>
      <c r="C41" s="34"/>
      <c r="D41" s="35"/>
      <c r="E41" s="18"/>
      <c r="F41" s="18"/>
      <c r="G41" s="15">
        <f>G40+G34+G30+G20+G14+G7</f>
        <v>21115.6368</v>
      </c>
      <c r="H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abSelected="1" topLeftCell="A32" workbookViewId="0">
      <selection activeCell="H49" sqref="A1:H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31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2" t="s">
        <v>163</v>
      </c>
      <c r="F2" s="22"/>
      <c r="G2" s="1" t="s">
        <v>4</v>
      </c>
      <c r="H2" s="1" t="s">
        <v>5</v>
      </c>
    </row>
    <row r="3" spans="1:8" x14ac:dyDescent="0.25">
      <c r="A3" s="26" t="s">
        <v>96</v>
      </c>
      <c r="B3" s="1" t="s">
        <v>99</v>
      </c>
      <c r="C3" s="1" t="s">
        <v>101</v>
      </c>
      <c r="D3" s="1">
        <v>168</v>
      </c>
      <c r="E3" s="22">
        <v>40</v>
      </c>
      <c r="F3" s="22" t="s">
        <v>164</v>
      </c>
      <c r="G3" s="1">
        <f>D3*E3</f>
        <v>6720</v>
      </c>
      <c r="H3" s="1"/>
    </row>
    <row r="4" spans="1:8" x14ac:dyDescent="0.25">
      <c r="A4" s="26"/>
      <c r="B4" s="1" t="s">
        <v>7</v>
      </c>
      <c r="C4" s="1" t="s">
        <v>42</v>
      </c>
      <c r="D4" s="1">
        <v>30.6</v>
      </c>
      <c r="E4" s="22">
        <v>10</v>
      </c>
      <c r="F4" s="22" t="s">
        <v>164</v>
      </c>
      <c r="G4" s="22">
        <f t="shared" ref="G4:G5" si="0">D4*E4</f>
        <v>306</v>
      </c>
      <c r="H4" s="1"/>
    </row>
    <row r="5" spans="1:8" x14ac:dyDescent="0.25">
      <c r="A5" s="26"/>
      <c r="B5" s="1" t="s">
        <v>100</v>
      </c>
      <c r="C5" s="1" t="s">
        <v>102</v>
      </c>
      <c r="D5" s="1">
        <v>206</v>
      </c>
      <c r="E5" s="22">
        <v>2</v>
      </c>
      <c r="F5" s="22" t="s">
        <v>172</v>
      </c>
      <c r="G5" s="22">
        <f t="shared" si="0"/>
        <v>412</v>
      </c>
      <c r="H5" s="1"/>
    </row>
    <row r="6" spans="1:8" x14ac:dyDescent="0.25">
      <c r="A6" s="26"/>
      <c r="B6" s="1"/>
      <c r="C6" s="1"/>
      <c r="D6" s="1"/>
      <c r="E6" s="23"/>
      <c r="F6" s="23"/>
      <c r="G6" s="3"/>
      <c r="H6" s="1"/>
    </row>
    <row r="7" spans="1:8" x14ac:dyDescent="0.25">
      <c r="A7" s="26"/>
      <c r="B7" s="27" t="s">
        <v>8</v>
      </c>
      <c r="C7" s="28"/>
      <c r="D7" s="29"/>
      <c r="E7" s="23"/>
      <c r="F7" s="23"/>
      <c r="G7" s="14">
        <f>SUM(G3:G6)</f>
        <v>7438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22" t="s">
        <v>163</v>
      </c>
      <c r="F8" s="22"/>
      <c r="G8" s="1" t="s">
        <v>4</v>
      </c>
      <c r="H8" s="1" t="s">
        <v>5</v>
      </c>
    </row>
    <row r="9" spans="1:8" x14ac:dyDescent="0.25">
      <c r="A9" s="26" t="s">
        <v>97</v>
      </c>
      <c r="B9" s="1" t="s">
        <v>103</v>
      </c>
      <c r="C9" s="1" t="s">
        <v>101</v>
      </c>
      <c r="D9" s="1">
        <v>17.34</v>
      </c>
      <c r="E9" s="22">
        <v>40</v>
      </c>
      <c r="F9" s="22" t="s">
        <v>164</v>
      </c>
      <c r="G9" s="12">
        <f>D9*E9</f>
        <v>693.6</v>
      </c>
      <c r="H9" s="1"/>
    </row>
    <row r="10" spans="1:8" x14ac:dyDescent="0.25">
      <c r="A10" s="26"/>
      <c r="B10" s="1" t="s">
        <v>104</v>
      </c>
      <c r="C10" s="1" t="s">
        <v>42</v>
      </c>
      <c r="D10" s="1">
        <v>159.6</v>
      </c>
      <c r="E10" s="22">
        <v>10</v>
      </c>
      <c r="F10" s="22" t="s">
        <v>164</v>
      </c>
      <c r="G10" s="12">
        <f t="shared" ref="G10:G11" si="1">D10*E10</f>
        <v>1596</v>
      </c>
      <c r="H10" s="1"/>
    </row>
    <row r="11" spans="1:8" x14ac:dyDescent="0.25">
      <c r="A11" s="26"/>
      <c r="B11" s="1" t="s">
        <v>105</v>
      </c>
      <c r="C11" s="1" t="s">
        <v>84</v>
      </c>
      <c r="D11" s="1">
        <v>63</v>
      </c>
      <c r="E11" s="22">
        <v>8</v>
      </c>
      <c r="F11" s="22" t="s">
        <v>164</v>
      </c>
      <c r="G11" s="12">
        <f t="shared" si="1"/>
        <v>504</v>
      </c>
      <c r="H11" s="1"/>
    </row>
    <row r="12" spans="1:8" x14ac:dyDescent="0.25">
      <c r="A12" s="26"/>
      <c r="B12" s="1"/>
      <c r="C12" s="1"/>
      <c r="D12" s="1"/>
      <c r="E12" s="22"/>
      <c r="F12" s="22"/>
      <c r="G12" s="1"/>
      <c r="H12" s="1"/>
    </row>
    <row r="13" spans="1:8" x14ac:dyDescent="0.25">
      <c r="A13" s="26"/>
      <c r="B13" s="1"/>
      <c r="C13" s="1"/>
      <c r="D13" s="1"/>
      <c r="E13" s="22"/>
      <c r="F13" s="22"/>
      <c r="G13" s="1"/>
      <c r="H13" s="1"/>
    </row>
    <row r="14" spans="1:8" x14ac:dyDescent="0.25">
      <c r="A14" s="26"/>
      <c r="B14" s="27" t="s">
        <v>8</v>
      </c>
      <c r="C14" s="28"/>
      <c r="D14" s="29"/>
      <c r="E14" s="23"/>
      <c r="F14" s="23"/>
      <c r="G14" s="13">
        <f>SUM(G9:G13)</f>
        <v>2793.6</v>
      </c>
      <c r="H14" s="1"/>
    </row>
    <row r="15" spans="1:8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2" t="s">
        <v>163</v>
      </c>
      <c r="F15" s="22"/>
      <c r="G15" s="1" t="s">
        <v>4</v>
      </c>
      <c r="H15" s="1" t="s">
        <v>5</v>
      </c>
    </row>
    <row r="16" spans="1:8" x14ac:dyDescent="0.25">
      <c r="A16" s="26" t="s">
        <v>98</v>
      </c>
      <c r="B16" s="1" t="s">
        <v>106</v>
      </c>
      <c r="C16" s="1" t="s">
        <v>84</v>
      </c>
      <c r="D16" s="1">
        <v>132</v>
      </c>
      <c r="E16" s="22">
        <v>8</v>
      </c>
      <c r="F16" s="22" t="s">
        <v>164</v>
      </c>
      <c r="G16" s="1">
        <f>E16*D16</f>
        <v>1056</v>
      </c>
      <c r="H16" s="1"/>
    </row>
    <row r="17" spans="1:8" x14ac:dyDescent="0.25">
      <c r="A17" s="26"/>
      <c r="B17" s="1" t="s">
        <v>107</v>
      </c>
      <c r="C17" s="1" t="s">
        <v>14</v>
      </c>
      <c r="D17" s="1">
        <v>43.8</v>
      </c>
      <c r="E17" s="22">
        <v>25</v>
      </c>
      <c r="F17" s="22" t="s">
        <v>164</v>
      </c>
      <c r="G17" s="22">
        <f t="shared" ref="G17:G19" si="2">E17*D17</f>
        <v>1095</v>
      </c>
      <c r="H17" s="1"/>
    </row>
    <row r="18" spans="1:8" x14ac:dyDescent="0.25">
      <c r="A18" s="26"/>
      <c r="B18" s="1" t="s">
        <v>108</v>
      </c>
      <c r="C18" s="1" t="s">
        <v>85</v>
      </c>
      <c r="D18" s="1">
        <v>180</v>
      </c>
      <c r="E18" s="22">
        <v>4</v>
      </c>
      <c r="F18" s="22" t="s">
        <v>164</v>
      </c>
      <c r="G18" s="22">
        <f t="shared" si="2"/>
        <v>720</v>
      </c>
      <c r="H18" s="1"/>
    </row>
    <row r="19" spans="1:8" x14ac:dyDescent="0.25">
      <c r="A19" s="26"/>
      <c r="B19" s="1" t="s">
        <v>109</v>
      </c>
      <c r="C19" s="1" t="s">
        <v>55</v>
      </c>
      <c r="D19" s="1">
        <v>99</v>
      </c>
      <c r="E19" s="23">
        <v>15</v>
      </c>
      <c r="F19" s="22" t="s">
        <v>164</v>
      </c>
      <c r="G19" s="22">
        <f t="shared" si="2"/>
        <v>1485</v>
      </c>
      <c r="H19" s="1"/>
    </row>
    <row r="20" spans="1:8" x14ac:dyDescent="0.25">
      <c r="A20" s="26"/>
      <c r="B20" s="27" t="s">
        <v>8</v>
      </c>
      <c r="C20" s="28"/>
      <c r="D20" s="29"/>
      <c r="E20" s="23"/>
      <c r="F20" s="23"/>
      <c r="G20" s="14">
        <f>SUM(G16:G19)</f>
        <v>4356</v>
      </c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22" t="s">
        <v>163</v>
      </c>
      <c r="F21" s="22"/>
      <c r="G21" s="1" t="s">
        <v>4</v>
      </c>
      <c r="H21" s="1" t="s">
        <v>5</v>
      </c>
    </row>
    <row r="22" spans="1:8" x14ac:dyDescent="0.25">
      <c r="A22" s="26"/>
      <c r="B22" s="1" t="s">
        <v>173</v>
      </c>
      <c r="C22" s="1"/>
      <c r="D22" s="1">
        <v>219</v>
      </c>
      <c r="E22" s="22">
        <v>1</v>
      </c>
      <c r="F22" s="22" t="s">
        <v>172</v>
      </c>
      <c r="G22" s="1">
        <f>D22*E22</f>
        <v>219</v>
      </c>
      <c r="H22" s="1"/>
    </row>
    <row r="23" spans="1:8" x14ac:dyDescent="0.25">
      <c r="A23" s="26"/>
      <c r="B23" s="1" t="s">
        <v>174</v>
      </c>
      <c r="C23" s="1"/>
      <c r="D23" s="1">
        <v>37</v>
      </c>
      <c r="E23" s="22">
        <v>20</v>
      </c>
      <c r="F23" s="22" t="s">
        <v>175</v>
      </c>
      <c r="G23" s="22">
        <f t="shared" ref="G23:G31" si="3">D23*E23</f>
        <v>740</v>
      </c>
      <c r="H23" s="1"/>
    </row>
    <row r="24" spans="1:8" x14ac:dyDescent="0.25">
      <c r="A24" s="26"/>
      <c r="B24" s="1" t="s">
        <v>176</v>
      </c>
      <c r="C24" s="1"/>
      <c r="D24" s="1">
        <v>688</v>
      </c>
      <c r="E24" s="22">
        <v>1</v>
      </c>
      <c r="F24" s="22" t="s">
        <v>178</v>
      </c>
      <c r="G24" s="22">
        <f t="shared" si="3"/>
        <v>688</v>
      </c>
      <c r="H24" s="1"/>
    </row>
    <row r="25" spans="1:8" x14ac:dyDescent="0.25">
      <c r="A25" s="26"/>
      <c r="B25" s="1" t="s">
        <v>177</v>
      </c>
      <c r="C25" s="1"/>
      <c r="D25" s="1">
        <v>844</v>
      </c>
      <c r="E25" s="22">
        <v>1</v>
      </c>
      <c r="F25" s="22" t="s">
        <v>178</v>
      </c>
      <c r="G25" s="22">
        <f t="shared" si="3"/>
        <v>844</v>
      </c>
      <c r="H25" s="1"/>
    </row>
    <row r="26" spans="1:8" x14ac:dyDescent="0.25">
      <c r="A26" s="26"/>
      <c r="B26" s="22" t="s">
        <v>179</v>
      </c>
      <c r="C26" s="22"/>
      <c r="D26" s="22">
        <v>138</v>
      </c>
      <c r="E26" s="22">
        <v>2</v>
      </c>
      <c r="F26" s="22" t="s">
        <v>178</v>
      </c>
      <c r="G26" s="22">
        <f t="shared" si="3"/>
        <v>276</v>
      </c>
      <c r="H26" s="22"/>
    </row>
    <row r="27" spans="1:8" x14ac:dyDescent="0.25">
      <c r="A27" s="26"/>
      <c r="B27" s="22" t="s">
        <v>180</v>
      </c>
      <c r="C27" s="22"/>
      <c r="D27" s="22">
        <v>291</v>
      </c>
      <c r="E27" s="22">
        <v>2</v>
      </c>
      <c r="F27" s="23" t="s">
        <v>172</v>
      </c>
      <c r="G27" s="23">
        <f t="shared" si="3"/>
        <v>582</v>
      </c>
      <c r="H27" s="22"/>
    </row>
    <row r="28" spans="1:8" x14ac:dyDescent="0.25">
      <c r="A28" s="26"/>
      <c r="B28" s="22" t="s">
        <v>181</v>
      </c>
      <c r="C28" s="22"/>
      <c r="D28" s="22">
        <v>235</v>
      </c>
      <c r="E28" s="22">
        <v>2</v>
      </c>
      <c r="F28" s="23" t="s">
        <v>172</v>
      </c>
      <c r="G28" s="23">
        <f t="shared" si="3"/>
        <v>470</v>
      </c>
      <c r="H28" s="22"/>
    </row>
    <row r="29" spans="1:8" x14ac:dyDescent="0.25">
      <c r="A29" s="26"/>
      <c r="B29" s="22" t="s">
        <v>182</v>
      </c>
      <c r="C29" s="22"/>
      <c r="D29" s="22">
        <v>255</v>
      </c>
      <c r="E29" s="22">
        <v>1</v>
      </c>
      <c r="F29" s="23" t="s">
        <v>172</v>
      </c>
      <c r="G29" s="23">
        <f t="shared" si="3"/>
        <v>255</v>
      </c>
      <c r="H29" s="22"/>
    </row>
    <row r="30" spans="1:8" x14ac:dyDescent="0.25">
      <c r="A30" s="26"/>
      <c r="B30" s="22" t="s">
        <v>183</v>
      </c>
      <c r="C30" s="22"/>
      <c r="D30" s="22">
        <v>1188</v>
      </c>
      <c r="E30" s="22">
        <v>2</v>
      </c>
      <c r="F30" s="23" t="s">
        <v>172</v>
      </c>
      <c r="G30" s="23">
        <f t="shared" si="3"/>
        <v>2376</v>
      </c>
      <c r="H30" s="22"/>
    </row>
    <row r="31" spans="1:8" x14ac:dyDescent="0.25">
      <c r="A31" s="26"/>
      <c r="B31" s="22" t="s">
        <v>184</v>
      </c>
      <c r="C31" s="22"/>
      <c r="D31" s="22">
        <v>350</v>
      </c>
      <c r="E31" s="22">
        <v>1</v>
      </c>
      <c r="F31" s="23" t="s">
        <v>164</v>
      </c>
      <c r="G31" s="23">
        <f t="shared" si="3"/>
        <v>350</v>
      </c>
      <c r="H31" s="22"/>
    </row>
    <row r="32" spans="1:8" x14ac:dyDescent="0.25">
      <c r="A32" s="26"/>
      <c r="B32" s="27" t="s">
        <v>8</v>
      </c>
      <c r="C32" s="28"/>
      <c r="D32" s="29"/>
      <c r="E32" s="23"/>
      <c r="F32" s="23"/>
      <c r="G32" s="14">
        <f>SUM(G22:G31)</f>
        <v>6800</v>
      </c>
      <c r="H32" s="1"/>
    </row>
    <row r="33" spans="1:8" x14ac:dyDescent="0.25">
      <c r="A33" s="1" t="s">
        <v>18</v>
      </c>
      <c r="B33" s="1" t="s">
        <v>1</v>
      </c>
      <c r="C33" s="1" t="s">
        <v>2</v>
      </c>
      <c r="D33" s="1" t="s">
        <v>3</v>
      </c>
      <c r="E33" s="22" t="s">
        <v>163</v>
      </c>
      <c r="F33" s="22"/>
      <c r="G33" s="1" t="s">
        <v>4</v>
      </c>
      <c r="H33" s="1" t="s">
        <v>5</v>
      </c>
    </row>
    <row r="34" spans="1:8" x14ac:dyDescent="0.25">
      <c r="A34" s="26" t="s">
        <v>19</v>
      </c>
      <c r="B34" s="1" t="s">
        <v>22</v>
      </c>
      <c r="C34" s="1" t="s">
        <v>23</v>
      </c>
      <c r="D34" s="1">
        <v>175</v>
      </c>
      <c r="E34" s="22">
        <v>1</v>
      </c>
      <c r="F34" s="22" t="s">
        <v>188</v>
      </c>
      <c r="G34" s="22">
        <f>D34*E34</f>
        <v>175</v>
      </c>
      <c r="H34" s="1"/>
    </row>
    <row r="35" spans="1:8" x14ac:dyDescent="0.25">
      <c r="A35" s="26"/>
      <c r="B35" s="1" t="s">
        <v>20</v>
      </c>
      <c r="C35" s="1" t="s">
        <v>21</v>
      </c>
      <c r="D35" s="1">
        <v>98.4</v>
      </c>
      <c r="E35" s="22">
        <v>15</v>
      </c>
      <c r="F35" s="22" t="s">
        <v>164</v>
      </c>
      <c r="G35" s="1">
        <f>D35*E35</f>
        <v>1476</v>
      </c>
      <c r="H35" s="1"/>
    </row>
    <row r="36" spans="1:8" x14ac:dyDescent="0.25">
      <c r="A36" s="26"/>
      <c r="B36" s="26"/>
      <c r="C36" s="26"/>
      <c r="D36" s="26"/>
      <c r="E36" s="22"/>
      <c r="F36" s="23"/>
      <c r="G36" s="14">
        <f>SUM(G34:G35)</f>
        <v>1651</v>
      </c>
      <c r="H36" s="1"/>
    </row>
    <row r="37" spans="1:8" x14ac:dyDescent="0.25">
      <c r="A37" s="1" t="s">
        <v>24</v>
      </c>
      <c r="B37" s="1" t="s">
        <v>1</v>
      </c>
      <c r="C37" s="1" t="s">
        <v>2</v>
      </c>
      <c r="D37" s="1" t="s">
        <v>3</v>
      </c>
      <c r="E37" s="23" t="s">
        <v>163</v>
      </c>
      <c r="F37" s="23"/>
      <c r="G37" s="3" t="s">
        <v>4</v>
      </c>
      <c r="H37" s="1" t="s">
        <v>5</v>
      </c>
    </row>
    <row r="38" spans="1:8" x14ac:dyDescent="0.25">
      <c r="A38" s="36"/>
      <c r="B38" s="1" t="s">
        <v>165</v>
      </c>
      <c r="C38" s="1"/>
      <c r="D38" s="1">
        <v>23.46</v>
      </c>
      <c r="E38" s="22">
        <v>65</v>
      </c>
      <c r="F38" s="22" t="s">
        <v>164</v>
      </c>
      <c r="G38" s="12">
        <f>D38*E38</f>
        <v>1524.9</v>
      </c>
      <c r="H38" s="1"/>
    </row>
    <row r="39" spans="1:8" x14ac:dyDescent="0.25">
      <c r="A39" s="37"/>
      <c r="B39" s="1" t="s">
        <v>166</v>
      </c>
      <c r="C39" s="1"/>
      <c r="D39" s="1">
        <v>35.520000000000003</v>
      </c>
      <c r="E39" s="22">
        <v>86.67</v>
      </c>
      <c r="F39" s="22" t="s">
        <v>164</v>
      </c>
      <c r="G39" s="12">
        <f>D39*E39</f>
        <v>3078.5184000000004</v>
      </c>
      <c r="H39" s="1"/>
    </row>
    <row r="40" spans="1:8" x14ac:dyDescent="0.25">
      <c r="A40" s="38"/>
      <c r="B40" s="27" t="s">
        <v>8</v>
      </c>
      <c r="C40" s="28"/>
      <c r="D40" s="29"/>
      <c r="E40" s="23"/>
      <c r="F40" s="23"/>
      <c r="G40" s="13">
        <f>SUM(G38:G39)</f>
        <v>4603.4184000000005</v>
      </c>
      <c r="H40" s="6"/>
    </row>
    <row r="41" spans="1:8" x14ac:dyDescent="0.25">
      <c r="A41" s="7" t="s">
        <v>25</v>
      </c>
      <c r="B41" s="1" t="s">
        <v>1</v>
      </c>
      <c r="C41" s="1" t="s">
        <v>2</v>
      </c>
      <c r="D41" s="1" t="s">
        <v>3</v>
      </c>
      <c r="E41" s="22" t="s">
        <v>163</v>
      </c>
      <c r="F41" s="22"/>
      <c r="G41" s="1" t="s">
        <v>4</v>
      </c>
      <c r="H41" s="1"/>
    </row>
    <row r="42" spans="1:8" x14ac:dyDescent="0.25">
      <c r="A42" s="26"/>
      <c r="B42" s="1" t="s">
        <v>167</v>
      </c>
      <c r="C42" s="1"/>
      <c r="D42" s="1">
        <v>69</v>
      </c>
      <c r="E42" s="39"/>
      <c r="F42" s="22" t="s">
        <v>164</v>
      </c>
      <c r="G42" s="39">
        <f>D42*E42</f>
        <v>0</v>
      </c>
      <c r="H42" s="1"/>
    </row>
    <row r="43" spans="1:8" x14ac:dyDescent="0.25">
      <c r="A43" s="26"/>
      <c r="B43" s="1" t="s">
        <v>168</v>
      </c>
      <c r="C43" s="1"/>
      <c r="D43" s="1">
        <v>10</v>
      </c>
      <c r="E43" s="22">
        <v>25</v>
      </c>
      <c r="F43" s="22" t="s">
        <v>169</v>
      </c>
      <c r="G43" s="22">
        <f t="shared" ref="G43:G47" si="4">D43*E43</f>
        <v>250</v>
      </c>
      <c r="H43" s="1"/>
    </row>
    <row r="44" spans="1:8" x14ac:dyDescent="0.25">
      <c r="A44" s="26"/>
      <c r="B44" s="1" t="s">
        <v>170</v>
      </c>
      <c r="C44" s="1"/>
      <c r="D44" s="1">
        <v>50</v>
      </c>
      <c r="E44" s="22">
        <v>1</v>
      </c>
      <c r="F44" s="22" t="s">
        <v>171</v>
      </c>
      <c r="G44" s="22">
        <f t="shared" si="4"/>
        <v>50</v>
      </c>
      <c r="H44" s="1"/>
    </row>
    <row r="45" spans="1:8" x14ac:dyDescent="0.25">
      <c r="A45" s="26"/>
      <c r="B45" s="1" t="s">
        <v>185</v>
      </c>
      <c r="C45" s="1"/>
      <c r="D45" s="1">
        <v>4.5</v>
      </c>
      <c r="E45" s="22">
        <v>50</v>
      </c>
      <c r="F45" s="22" t="s">
        <v>169</v>
      </c>
      <c r="G45" s="22">
        <f t="shared" si="4"/>
        <v>225</v>
      </c>
      <c r="H45" s="1"/>
    </row>
    <row r="46" spans="1:8" x14ac:dyDescent="0.25">
      <c r="A46" s="26"/>
      <c r="B46" s="22" t="s">
        <v>186</v>
      </c>
      <c r="C46" s="22"/>
      <c r="D46" s="22">
        <v>60</v>
      </c>
      <c r="E46" s="22">
        <v>1</v>
      </c>
      <c r="F46" s="23" t="s">
        <v>171</v>
      </c>
      <c r="G46" s="22">
        <f t="shared" si="4"/>
        <v>60</v>
      </c>
      <c r="H46" s="22"/>
    </row>
    <row r="47" spans="1:8" x14ac:dyDescent="0.25">
      <c r="A47" s="26"/>
      <c r="B47" s="22" t="s">
        <v>187</v>
      </c>
      <c r="C47" s="22"/>
      <c r="D47" s="22">
        <v>12</v>
      </c>
      <c r="E47" s="23">
        <v>24</v>
      </c>
      <c r="F47" s="23" t="s">
        <v>175</v>
      </c>
      <c r="G47" s="23">
        <f t="shared" si="4"/>
        <v>288</v>
      </c>
      <c r="H47" s="22"/>
    </row>
    <row r="48" spans="1:8" x14ac:dyDescent="0.25">
      <c r="A48" s="26"/>
      <c r="B48" s="27" t="s">
        <v>8</v>
      </c>
      <c r="C48" s="28"/>
      <c r="D48" s="29"/>
      <c r="E48" s="23"/>
      <c r="F48" s="23"/>
      <c r="G48" s="14">
        <f>SUM(G42:G47)</f>
        <v>873</v>
      </c>
      <c r="H48" s="1"/>
    </row>
    <row r="49" spans="1:8" x14ac:dyDescent="0.25">
      <c r="A49" s="1"/>
      <c r="B49" s="33" t="s">
        <v>26</v>
      </c>
      <c r="C49" s="34"/>
      <c r="D49" s="35"/>
      <c r="E49" s="24"/>
      <c r="F49" s="24"/>
      <c r="G49" s="15">
        <f>G48+G40+G36+G32+G20+G14+G7</f>
        <v>28515.018400000001</v>
      </c>
      <c r="H49" s="1"/>
    </row>
  </sheetData>
  <mergeCells count="16">
    <mergeCell ref="A42:A48"/>
    <mergeCell ref="B48:D48"/>
    <mergeCell ref="B49:D49"/>
    <mergeCell ref="A22:A32"/>
    <mergeCell ref="B32:D32"/>
    <mergeCell ref="A34:A36"/>
    <mergeCell ref="B36:D36"/>
    <mergeCell ref="A38:A40"/>
    <mergeCell ref="B40:D40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1104</vt:lpstr>
      <vt:lpstr>1105+</vt:lpstr>
      <vt:lpstr>1106</vt:lpstr>
      <vt:lpstr>1107</vt:lpstr>
      <vt:lpstr>1108</vt:lpstr>
      <vt:lpstr>'1105+'!Print_Area</vt:lpstr>
      <vt:lpstr>'1106'!Print_Area</vt:lpstr>
      <vt:lpstr>'1108'!Print_Area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2024-11-08T05:49:04Z</cp:lastPrinted>
  <dcterms:created xsi:type="dcterms:W3CDTF">2024-10-22T05:17:58Z</dcterms:created>
  <dcterms:modified xsi:type="dcterms:W3CDTF">2024-11-08T05:49:07Z</dcterms:modified>
</cp:coreProperties>
</file>