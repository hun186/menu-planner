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1月份\"/>
    </mc:Choice>
  </mc:AlternateContent>
  <bookViews>
    <workbookView xWindow="0" yWindow="0" windowWidth="28800" windowHeight="12255" activeTab="4"/>
  </bookViews>
  <sheets>
    <sheet name="1125+" sheetId="1" r:id="rId1"/>
    <sheet name="1126+" sheetId="2" r:id="rId2"/>
    <sheet name="1127+" sheetId="3" r:id="rId3"/>
    <sheet name="1128" sheetId="4" r:id="rId4"/>
    <sheet name="1129" sheetId="5" r:id="rId5"/>
  </sheets>
  <definedNames>
    <definedName name="_xlnm.Print_Area" localSheetId="0">'1125+'!$A$1:$H$47</definedName>
    <definedName name="_xlnm.Print_Area" localSheetId="1">'1126+'!$A$1:$H$44</definedName>
    <definedName name="_xlnm.Print_Area" localSheetId="2">'1127+'!$A$1:$H$57</definedName>
    <definedName name="_xlnm.Print_Area" localSheetId="3">'1128'!$A$1:$H$41</definedName>
    <definedName name="_xlnm.Print_Area" localSheetId="4">'1129'!$A$1:$H$45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5" l="1"/>
  <c r="G45" i="5" s="1"/>
  <c r="G44" i="5"/>
  <c r="G30" i="5"/>
  <c r="G29" i="5"/>
  <c r="G28" i="5"/>
  <c r="G27" i="5"/>
  <c r="G41" i="5"/>
  <c r="G42" i="5"/>
  <c r="G40" i="5"/>
  <c r="G36" i="5"/>
  <c r="G34" i="5"/>
  <c r="G33" i="5"/>
  <c r="G32" i="5"/>
  <c r="G20" i="5"/>
  <c r="G14" i="5"/>
  <c r="G10" i="5"/>
  <c r="G11" i="5"/>
  <c r="G9" i="5"/>
  <c r="G7" i="5"/>
  <c r="G3" i="5"/>
  <c r="G4" i="5"/>
  <c r="G23" i="5"/>
  <c r="G24" i="5"/>
  <c r="G25" i="5"/>
  <c r="G26" i="5"/>
  <c r="G17" i="5"/>
  <c r="G18" i="5"/>
  <c r="G16" i="5"/>
  <c r="G5" i="5"/>
  <c r="G41" i="4" l="1"/>
  <c r="G34" i="4"/>
  <c r="G24" i="4"/>
  <c r="G30" i="4"/>
  <c r="G28" i="4"/>
  <c r="G20" i="4"/>
  <c r="G23" i="4"/>
  <c r="G26" i="4"/>
  <c r="G22" i="4"/>
  <c r="G32" i="4"/>
  <c r="G16" i="4"/>
  <c r="G18" i="4"/>
  <c r="G19" i="4"/>
  <c r="G17" i="4"/>
  <c r="G14" i="4"/>
  <c r="G12" i="4"/>
  <c r="G10" i="4"/>
  <c r="G11" i="4"/>
  <c r="G9" i="4"/>
  <c r="G7" i="4"/>
  <c r="G4" i="4"/>
  <c r="G3" i="4"/>
  <c r="G42" i="3" l="1"/>
  <c r="G14" i="3"/>
  <c r="G10" i="3"/>
  <c r="G36" i="3"/>
  <c r="G35" i="3"/>
  <c r="G34" i="3"/>
  <c r="G33" i="3"/>
  <c r="G37" i="3" s="1"/>
  <c r="G57" i="3" s="1"/>
  <c r="G32" i="3"/>
  <c r="G31" i="3"/>
  <c r="G48" i="3"/>
  <c r="G56" i="3"/>
  <c r="G30" i="3"/>
  <c r="G29" i="3"/>
  <c r="G28" i="3"/>
  <c r="G27" i="3"/>
  <c r="G26" i="3"/>
  <c r="G25" i="3"/>
  <c r="G7" i="3"/>
  <c r="G3" i="3"/>
  <c r="G23" i="3"/>
  <c r="G24" i="3"/>
  <c r="G22" i="3"/>
  <c r="G45" i="3"/>
  <c r="G46" i="3"/>
  <c r="G47" i="3"/>
  <c r="G40" i="3"/>
  <c r="G41" i="3"/>
  <c r="G39" i="3"/>
  <c r="G20" i="3"/>
  <c r="G17" i="3"/>
  <c r="G16" i="3"/>
  <c r="G9" i="3"/>
  <c r="G51" i="3"/>
  <c r="G52" i="3"/>
  <c r="G53" i="3"/>
  <c r="G54" i="3"/>
  <c r="G55" i="3"/>
  <c r="G50" i="3"/>
  <c r="G44" i="3"/>
  <c r="G7" i="2" l="1"/>
  <c r="G14" i="2"/>
  <c r="G20" i="2"/>
  <c r="G29" i="2"/>
  <c r="G37" i="2"/>
  <c r="G44" i="2"/>
  <c r="G28" i="2"/>
  <c r="G36" i="2"/>
  <c r="G23" i="2"/>
  <c r="G24" i="2"/>
  <c r="G25" i="2"/>
  <c r="G26" i="2"/>
  <c r="G27" i="2"/>
  <c r="G18" i="2"/>
  <c r="G16" i="2"/>
  <c r="G10" i="2"/>
  <c r="G11" i="2"/>
  <c r="G9" i="2"/>
  <c r="G3" i="2"/>
  <c r="G22" i="2"/>
  <c r="G17" i="2"/>
  <c r="G35" i="2"/>
  <c r="G39" i="1" l="1"/>
  <c r="G28" i="1"/>
  <c r="G37" i="1"/>
  <c r="G38" i="1"/>
  <c r="G36" i="1"/>
  <c r="G40" i="1" s="1"/>
  <c r="G6" i="1"/>
  <c r="G4" i="1"/>
  <c r="G5" i="1"/>
  <c r="G3" i="1"/>
  <c r="G7" i="1" s="1"/>
  <c r="G33" i="1"/>
  <c r="G32" i="1"/>
  <c r="G34" i="1" s="1"/>
  <c r="G16" i="1"/>
  <c r="G21" i="1" s="1"/>
  <c r="G17" i="1"/>
  <c r="G19" i="1"/>
  <c r="G20" i="1"/>
  <c r="G10" i="1"/>
  <c r="G11" i="1"/>
  <c r="G9" i="1"/>
  <c r="G14" i="1" s="1"/>
  <c r="G18" i="1"/>
  <c r="G27" i="1"/>
  <c r="G26" i="1"/>
  <c r="G30" i="1" s="1"/>
  <c r="G25" i="1"/>
  <c r="G24" i="1"/>
  <c r="G23" i="1"/>
  <c r="G47" i="1" l="1"/>
</calcChain>
</file>

<file path=xl/sharedStrings.xml><?xml version="1.0" encoding="utf-8"?>
<sst xmlns="http://schemas.openxmlformats.org/spreadsheetml/2006/main" count="580" uniqueCount="273">
  <si>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</si>
  <si>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</si>
  <si>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</si>
  <si>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</si>
  <si>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</si>
  <si>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</si>
  <si>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</si>
  <si>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</si>
  <si>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</si>
  <si>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</si>
  <si>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</si>
  <si>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</si>
  <si>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</si>
  <si>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</si>
  <si>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</si>
  <si>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</si>
  <si>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雜貨</t>
    <phoneticPr fontId="2" type="noConversion"/>
  </si>
  <si>
    <t>單價</t>
    <phoneticPr fontId="2" type="noConversion"/>
  </si>
  <si>
    <t>備考</t>
    <phoneticPr fontId="2" type="noConversion"/>
  </si>
  <si>
    <t>湯品</t>
    <phoneticPr fontId="2" type="noConversion"/>
  </si>
  <si>
    <t>青菜 水果</t>
    <phoneticPr fontId="2" type="noConversion"/>
  </si>
  <si>
    <t>合      計</t>
    <phoneticPr fontId="2" type="noConversion"/>
  </si>
  <si>
    <t>週三麵食</t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</si>
  <si>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</si>
  <si>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</si>
  <si>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</si>
  <si>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</si>
  <si>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</si>
  <si>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</si>
  <si>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</si>
  <si>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</si>
  <si>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</si>
  <si>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</si>
  <si>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</si>
  <si>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</si>
  <si>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</si>
  <si>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</si>
  <si>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</si>
  <si>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</si>
  <si>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金額</t>
    <phoneticPr fontId="2" type="noConversion"/>
  </si>
  <si>
    <t>雜貨</t>
    <phoneticPr fontId="2" type="noConversion"/>
  </si>
  <si>
    <t>備考</t>
    <phoneticPr fontId="2" type="noConversion"/>
  </si>
  <si>
    <t>湯品</t>
    <phoneticPr fontId="2" type="noConversion"/>
  </si>
  <si>
    <t>食材</t>
    <phoneticPr fontId="2" type="noConversion"/>
  </si>
  <si>
    <t>青菜 水果</t>
    <phoneticPr fontId="2" type="noConversion"/>
  </si>
  <si>
    <t>週三麵食</t>
    <phoneticPr fontId="2" type="noConversion"/>
  </si>
  <si>
    <t>食材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</si>
  <si>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</si>
  <si>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</si>
  <si>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</si>
  <si>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</si>
  <si>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</si>
  <si>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</si>
  <si>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</si>
  <si>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食材</t>
    <phoneticPr fontId="2" type="noConversion"/>
  </si>
  <si>
    <t>數量</t>
    <phoneticPr fontId="2" type="noConversion"/>
  </si>
  <si>
    <t>合      計</t>
    <phoneticPr fontId="2" type="noConversion"/>
  </si>
  <si>
    <t>數量</t>
    <phoneticPr fontId="2" type="noConversion"/>
  </si>
  <si>
    <t>湯品</t>
    <phoneticPr fontId="2" type="noConversion"/>
  </si>
  <si>
    <t>金額</t>
    <phoneticPr fontId="2" type="noConversion"/>
  </si>
  <si>
    <t>青菜 水果</t>
    <phoneticPr fontId="2" type="noConversion"/>
  </si>
  <si>
    <t>數量</t>
    <phoneticPr fontId="2" type="noConversion"/>
  </si>
  <si>
    <t>單價</t>
    <phoneticPr fontId="2" type="noConversion"/>
  </si>
  <si>
    <t>備考</t>
    <phoneticPr fontId="2" type="noConversion"/>
  </si>
  <si>
    <t>週三麵食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</si>
  <si>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</si>
  <si>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</si>
  <si>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</si>
  <si>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</si>
  <si>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數量</t>
    <phoneticPr fontId="2" type="noConversion"/>
  </si>
  <si>
    <t>單價</t>
    <phoneticPr fontId="2" type="noConversion"/>
  </si>
  <si>
    <t>雜貨</t>
    <phoneticPr fontId="2" type="noConversion"/>
  </si>
  <si>
    <t>湯品</t>
    <phoneticPr fontId="2" type="noConversion"/>
  </si>
  <si>
    <t>週三麵食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</si>
  <si>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</si>
  <si>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</si>
  <si>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單價</t>
    <phoneticPr fontId="2" type="noConversion"/>
  </si>
  <si>
    <t>數量</t>
    <phoneticPr fontId="2" type="noConversion"/>
  </si>
  <si>
    <t>雜貨</t>
    <phoneticPr fontId="2" type="noConversion"/>
  </si>
  <si>
    <t>金額</t>
    <phoneticPr fontId="2" type="noConversion"/>
  </si>
  <si>
    <t>湯品</t>
    <phoneticPr fontId="2" type="noConversion"/>
  </si>
  <si>
    <t>食材</t>
    <phoneticPr fontId="2" type="noConversion"/>
  </si>
  <si>
    <t>青菜 水果</t>
    <phoneticPr fontId="2" type="noConversion"/>
  </si>
  <si>
    <t>電訊科技中心(安康營區)     113年      11月   25日      午餐明細表</t>
    <phoneticPr fontId="2" type="noConversion"/>
  </si>
  <si>
    <t>電訊科技中心(安康營區)     113年      11月   26日      午餐明細表</t>
    <phoneticPr fontId="2" type="noConversion"/>
  </si>
  <si>
    <t>電訊科技中心(安康營區)     113年      11月   27日      午餐明細表</t>
    <phoneticPr fontId="2" type="noConversion"/>
  </si>
  <si>
    <t>電訊科技中心(安康營區)     113年      11月   28日      午餐明細表</t>
    <phoneticPr fontId="2" type="noConversion"/>
  </si>
  <si>
    <t>電訊科技中心(安康營區)     113年      11月   29日      午餐明細表</t>
    <phoneticPr fontId="2" type="noConversion"/>
  </si>
  <si>
    <t>腐乳肉片</t>
    <phoneticPr fontId="2" type="noConversion"/>
  </si>
  <si>
    <t>腐乳醬(大)</t>
    <phoneticPr fontId="2" type="noConversion"/>
  </si>
  <si>
    <t>1桶</t>
    <phoneticPr fontId="2" type="noConversion"/>
  </si>
  <si>
    <t>去皮洋蔥</t>
    <phoneticPr fontId="2" type="noConversion"/>
  </si>
  <si>
    <t>豬肉片</t>
    <phoneticPr fontId="2" type="noConversion"/>
  </si>
  <si>
    <t>五花肉片</t>
    <phoneticPr fontId="2" type="noConversion"/>
  </si>
  <si>
    <t>8斤</t>
    <phoneticPr fontId="2" type="noConversion"/>
  </si>
  <si>
    <t>30斤</t>
    <phoneticPr fontId="2" type="noConversion"/>
  </si>
  <si>
    <t>15斤</t>
    <phoneticPr fontId="2" type="noConversion"/>
  </si>
  <si>
    <t>薑燒南瓜</t>
    <phoneticPr fontId="2" type="noConversion"/>
  </si>
  <si>
    <t>薑絲</t>
    <phoneticPr fontId="2" type="noConversion"/>
  </si>
  <si>
    <t>薑</t>
    <phoneticPr fontId="2" type="noConversion"/>
  </si>
  <si>
    <t>南瓜塊3X3</t>
    <phoneticPr fontId="2" type="noConversion"/>
  </si>
  <si>
    <t>2斤</t>
    <phoneticPr fontId="2" type="noConversion"/>
  </si>
  <si>
    <t>1斤</t>
    <phoneticPr fontId="2" type="noConversion"/>
  </si>
  <si>
    <t>45斤</t>
    <phoneticPr fontId="2" type="noConversion"/>
  </si>
  <si>
    <t>芹香雞捲</t>
    <phoneticPr fontId="2" type="noConversion"/>
  </si>
  <si>
    <t>去葉中芹</t>
    <phoneticPr fontId="2" type="noConversion"/>
  </si>
  <si>
    <t>雞捲</t>
    <phoneticPr fontId="2" type="noConversion"/>
  </si>
  <si>
    <t>川耳</t>
    <phoneticPr fontId="2" type="noConversion"/>
  </si>
  <si>
    <t>紅蘿蔔</t>
    <phoneticPr fontId="2" type="noConversion"/>
  </si>
  <si>
    <t>7斤</t>
    <phoneticPr fontId="2" type="noConversion"/>
  </si>
  <si>
    <t>4斤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</si>
  <si>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</si>
  <si>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</si>
  <si>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</si>
  <si>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1箱</t>
    <phoneticPr fontId="2" type="noConversion"/>
  </si>
  <si>
    <t>3包</t>
    <phoneticPr fontId="2" type="noConversion"/>
  </si>
  <si>
    <t>滷雞腿</t>
    <phoneticPr fontId="2" type="noConversion"/>
  </si>
  <si>
    <t>紅蘿蔔炒蛋</t>
    <phoneticPr fontId="2" type="noConversion"/>
  </si>
  <si>
    <t>絲瓜寬粉</t>
    <phoneticPr fontId="2" type="noConversion"/>
  </si>
  <si>
    <t>庫存</t>
    <phoneticPr fontId="2" type="noConversion"/>
  </si>
  <si>
    <t>棒腿</t>
    <phoneticPr fontId="2" type="noConversion"/>
  </si>
  <si>
    <t>270隻</t>
    <phoneticPr fontId="2" type="noConversion"/>
  </si>
  <si>
    <t>紅蘿蔔絲</t>
    <phoneticPr fontId="2" type="noConversion"/>
  </si>
  <si>
    <t>蛋</t>
    <phoneticPr fontId="2" type="noConversion"/>
  </si>
  <si>
    <t>1件</t>
    <phoneticPr fontId="2" type="noConversion"/>
  </si>
  <si>
    <t>12斤</t>
    <phoneticPr fontId="2" type="noConversion"/>
  </si>
  <si>
    <t>10斤</t>
    <phoneticPr fontId="2" type="noConversion"/>
  </si>
  <si>
    <t>木耳絲</t>
    <phoneticPr fontId="2" type="noConversion"/>
  </si>
  <si>
    <t>寬冬粉</t>
    <phoneticPr fontId="2" type="noConversion"/>
  </si>
  <si>
    <t>去皮絲瓜</t>
    <phoneticPr fontId="2" type="noConversion"/>
  </si>
  <si>
    <t>50斤</t>
    <phoneticPr fontId="2" type="noConversion"/>
  </si>
  <si>
    <t>義大利肉醬麵</t>
    <phoneticPr fontId="2" type="noConversion"/>
  </si>
  <si>
    <t>絞肉</t>
    <phoneticPr fontId="2" type="noConversion"/>
  </si>
  <si>
    <t>番茄糊(大)</t>
    <phoneticPr fontId="2" type="noConversion"/>
  </si>
  <si>
    <t>牛番茄</t>
    <phoneticPr fontId="2" type="noConversion"/>
  </si>
  <si>
    <t>鮮奶油</t>
    <phoneticPr fontId="2" type="noConversion"/>
  </si>
  <si>
    <t>60斤</t>
    <phoneticPr fontId="2" type="noConversion"/>
  </si>
  <si>
    <t>1罐</t>
    <phoneticPr fontId="2" type="noConversion"/>
  </si>
  <si>
    <t>3罐</t>
    <phoneticPr fontId="2" type="noConversion"/>
  </si>
  <si>
    <t>玉米濃湯</t>
    <phoneticPr fontId="2" type="noConversion"/>
  </si>
  <si>
    <t>冷凍玉米粒</t>
    <phoneticPr fontId="2" type="noConversion"/>
  </si>
  <si>
    <t>玉米濃湯粉</t>
    <phoneticPr fontId="2" type="noConversion"/>
  </si>
  <si>
    <t>2罐</t>
    <phoneticPr fontId="2" type="noConversion"/>
  </si>
  <si>
    <t>2包</t>
    <phoneticPr fontId="2" type="noConversion"/>
  </si>
  <si>
    <t>8包</t>
    <phoneticPr fontId="2" type="noConversion"/>
  </si>
  <si>
    <t>炸雞塊薯條</t>
    <phoneticPr fontId="2" type="noConversion"/>
  </si>
  <si>
    <t>冷凍雞塊</t>
    <phoneticPr fontId="2" type="noConversion"/>
  </si>
  <si>
    <t>冷凍薯條</t>
    <phoneticPr fontId="2" type="noConversion"/>
  </si>
  <si>
    <t>40斤</t>
    <phoneticPr fontId="2" type="noConversion"/>
  </si>
  <si>
    <t>起司馬鈴薯</t>
    <phoneticPr fontId="2" type="noConversion"/>
  </si>
  <si>
    <t>去皮馬鈴薯</t>
    <phoneticPr fontId="2" type="noConversion"/>
  </si>
  <si>
    <t>起司絲</t>
    <phoneticPr fontId="2" type="noConversion"/>
  </si>
  <si>
    <t>5包</t>
    <phoneticPr fontId="2" type="noConversion"/>
  </si>
  <si>
    <t>酥炸腿排</t>
    <phoneticPr fontId="2" type="noConversion"/>
  </si>
  <si>
    <t>腿排</t>
    <phoneticPr fontId="2" type="noConversion"/>
  </si>
  <si>
    <t>酥炸粉</t>
    <phoneticPr fontId="2" type="noConversion"/>
  </si>
  <si>
    <t>270個</t>
    <phoneticPr fontId="2" type="noConversion"/>
  </si>
  <si>
    <t>胡瓜三絲</t>
    <phoneticPr fontId="2" type="noConversion"/>
  </si>
  <si>
    <t>胡瓜絲</t>
    <phoneticPr fontId="2" type="noConversion"/>
  </si>
  <si>
    <t>金針菇</t>
    <phoneticPr fontId="2" type="noConversion"/>
  </si>
  <si>
    <t>5斤</t>
    <phoneticPr fontId="2" type="noConversion"/>
  </si>
  <si>
    <t>魚香豆腐</t>
    <phoneticPr fontId="2" type="noConversion"/>
  </si>
  <si>
    <t>家常豆腐</t>
    <phoneticPr fontId="2" type="noConversion"/>
  </si>
  <si>
    <t>50盒</t>
    <phoneticPr fontId="2" type="noConversion"/>
  </si>
  <si>
    <t>半斤</t>
    <phoneticPr fontId="2" type="noConversion"/>
  </si>
  <si>
    <t>海帶芽蛋花湯</t>
    <phoneticPr fontId="2" type="noConversion"/>
  </si>
  <si>
    <t>乾海帶芽</t>
    <phoneticPr fontId="2" type="noConversion"/>
  </si>
  <si>
    <t>粉蒸排骨</t>
    <phoneticPr fontId="2" type="noConversion"/>
  </si>
  <si>
    <t>地瓜塊</t>
    <phoneticPr fontId="2" type="noConversion"/>
  </si>
  <si>
    <t>軟骨排</t>
    <phoneticPr fontId="2" type="noConversion"/>
  </si>
  <si>
    <t>蒸肉粉</t>
    <phoneticPr fontId="2" type="noConversion"/>
  </si>
  <si>
    <t>25斤</t>
    <phoneticPr fontId="2" type="noConversion"/>
  </si>
  <si>
    <t>雪菜豆皮肉絲</t>
    <phoneticPr fontId="2" type="noConversion"/>
  </si>
  <si>
    <t>切雪裡紅</t>
    <phoneticPr fontId="2" type="noConversion"/>
  </si>
  <si>
    <t>生豆包</t>
    <phoneticPr fontId="2" type="noConversion"/>
  </si>
  <si>
    <t>豬肉絲</t>
    <phoneticPr fontId="2" type="noConversion"/>
  </si>
  <si>
    <t>青椒炒黑輪</t>
    <phoneticPr fontId="2" type="noConversion"/>
  </si>
  <si>
    <t>青椒絲</t>
    <phoneticPr fontId="2" type="noConversion"/>
  </si>
  <si>
    <t>黑輪</t>
    <phoneticPr fontId="2" type="noConversion"/>
  </si>
  <si>
    <t>白蘿蔔魚丸湯</t>
    <phoneticPr fontId="2" type="noConversion"/>
  </si>
  <si>
    <t>白蘿蔔</t>
    <phoneticPr fontId="2" type="noConversion"/>
  </si>
  <si>
    <t>魚丸</t>
    <phoneticPr fontId="2" type="noConversion"/>
  </si>
  <si>
    <t>4包</t>
    <phoneticPr fontId="2" type="noConversion"/>
  </si>
  <si>
    <t>訂貨數量</t>
    <phoneticPr fontId="2" type="noConversion"/>
  </si>
  <si>
    <t>蒜仁</t>
    <phoneticPr fontId="2" type="noConversion"/>
  </si>
  <si>
    <t>斤</t>
    <phoneticPr fontId="2" type="noConversion"/>
  </si>
  <si>
    <t>辣椒</t>
    <phoneticPr fontId="2" type="noConversion"/>
  </si>
  <si>
    <t>洗選蛋</t>
    <phoneticPr fontId="2" type="noConversion"/>
  </si>
  <si>
    <t>老薑</t>
    <phoneticPr fontId="2" type="noConversion"/>
  </si>
  <si>
    <t>杏鮑菇</t>
    <phoneticPr fontId="2" type="noConversion"/>
  </si>
  <si>
    <t>斤</t>
    <phoneticPr fontId="2" type="noConversion"/>
  </si>
  <si>
    <t>件</t>
    <phoneticPr fontId="2" type="noConversion"/>
  </si>
  <si>
    <t>冷凍青花菜</t>
    <phoneticPr fontId="2" type="noConversion"/>
  </si>
  <si>
    <t>紅蘿蔔</t>
    <phoneticPr fontId="2" type="noConversion"/>
  </si>
  <si>
    <t>鮮木耳</t>
    <phoneticPr fontId="2" type="noConversion"/>
  </si>
  <si>
    <t>桶</t>
    <phoneticPr fontId="2" type="noConversion"/>
  </si>
  <si>
    <t>包</t>
    <phoneticPr fontId="2" type="noConversion"/>
  </si>
  <si>
    <t>小籠湯包</t>
    <phoneticPr fontId="2" type="noConversion"/>
  </si>
  <si>
    <t>個</t>
    <phoneticPr fontId="2" type="noConversion"/>
  </si>
  <si>
    <t>柳丁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</si>
  <si>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</si>
  <si>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</si>
  <si>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</si>
  <si>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海帶芽湯</t>
    <phoneticPr fontId="2" type="noConversion"/>
  </si>
  <si>
    <t>小薏仁</t>
    <phoneticPr fontId="2" type="noConversion"/>
  </si>
  <si>
    <t>吐司火腿片</t>
    <phoneticPr fontId="2" type="noConversion"/>
  </si>
  <si>
    <t>包</t>
    <phoneticPr fontId="2" type="noConversion"/>
  </si>
  <si>
    <t>桂冠沙拉</t>
    <phoneticPr fontId="2" type="noConversion"/>
  </si>
  <si>
    <t>五榖米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</si>
  <si>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</si>
  <si>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</si>
  <si>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</si>
  <si>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高麗菜</t>
    <phoneticPr fontId="2" type="noConversion"/>
  </si>
  <si>
    <t>條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</si>
  <si>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</si>
  <si>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</si>
  <si>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</si>
  <si>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包</t>
    <phoneticPr fontId="2" type="noConversion"/>
  </si>
  <si>
    <t>冷凍青花菜</t>
    <phoneticPr fontId="2" type="noConversion"/>
  </si>
  <si>
    <t>紅蘿蔔</t>
    <phoneticPr fontId="2" type="noConversion"/>
  </si>
  <si>
    <t>木耳</t>
    <phoneticPr fontId="2" type="noConversion"/>
  </si>
  <si>
    <t>烏龍麵</t>
    <phoneticPr fontId="2" type="noConversion"/>
  </si>
  <si>
    <t>前腿肉片</t>
    <phoneticPr fontId="2" type="noConversion"/>
  </si>
  <si>
    <t>薑泥</t>
    <phoneticPr fontId="2" type="noConversion"/>
  </si>
  <si>
    <t>雞翅</t>
    <phoneticPr fontId="2" type="noConversion"/>
  </si>
  <si>
    <t>三節翅</t>
    <phoneticPr fontId="2" type="noConversion"/>
  </si>
  <si>
    <t>番茄醬</t>
    <phoneticPr fontId="2" type="noConversion"/>
  </si>
  <si>
    <t>桶</t>
    <phoneticPr fontId="2" type="noConversion"/>
  </si>
  <si>
    <t>綠豆</t>
    <phoneticPr fontId="2" type="noConversion"/>
  </si>
  <si>
    <t>油膏</t>
    <phoneticPr fontId="2" type="noConversion"/>
  </si>
  <si>
    <t>醬油</t>
    <phoneticPr fontId="2" type="noConversion"/>
  </si>
  <si>
    <t>蔥酥</t>
    <phoneticPr fontId="2" type="noConversion"/>
  </si>
  <si>
    <t>蒜蘇</t>
    <phoneticPr fontId="2" type="noConversion"/>
  </si>
  <si>
    <t>螺旋麵</t>
    <phoneticPr fontId="2" type="noConversion"/>
  </si>
  <si>
    <t>瓶</t>
    <phoneticPr fontId="2" type="noConversion"/>
  </si>
  <si>
    <t>港式蘿蔔糕</t>
    <phoneticPr fontId="2" type="noConversion"/>
  </si>
  <si>
    <t>烤肉醬</t>
    <phoneticPr fontId="2" type="noConversion"/>
  </si>
  <si>
    <t>味素</t>
    <phoneticPr fontId="2" type="noConversion"/>
  </si>
  <si>
    <t>罐</t>
    <phoneticPr fontId="2" type="noConversion"/>
  </si>
  <si>
    <t>巧克力醬</t>
    <phoneticPr fontId="2" type="noConversion"/>
  </si>
  <si>
    <t>豆瓣醬</t>
    <phoneticPr fontId="2" type="noConversion"/>
  </si>
  <si>
    <t>烹大師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</si>
  <si>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</si>
  <si>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</si>
  <si>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</si>
  <si>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高麗菜</t>
    <phoneticPr fontId="2" type="noConversion"/>
  </si>
  <si>
    <t>雞排</t>
    <phoneticPr fontId="2" type="noConversion"/>
  </si>
  <si>
    <t>二砂</t>
    <phoneticPr fontId="2" type="noConversion"/>
  </si>
  <si>
    <t>袋</t>
    <phoneticPr fontId="2" type="noConversion"/>
  </si>
  <si>
    <t>盒</t>
    <phoneticPr fontId="2" type="noConversion"/>
  </si>
  <si>
    <t>厚片土司</t>
    <phoneticPr fontId="2" type="noConversion"/>
  </si>
  <si>
    <t>條</t>
    <phoneticPr fontId="2" type="noConversion"/>
  </si>
  <si>
    <t>訂貨數量</t>
    <phoneticPr fontId="2" type="noConversion"/>
  </si>
  <si>
    <t>包</t>
    <phoneticPr fontId="2" type="noConversion"/>
  </si>
  <si>
    <t>斤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</si>
  <si>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</si>
  <si>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</si>
  <si>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</si>
  <si>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</si>
  <si>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麥茶鋁箔包</t>
    <phoneticPr fontId="2" type="noConversion"/>
  </si>
  <si>
    <t>件</t>
    <phoneticPr fontId="2" type="noConversion"/>
  </si>
  <si>
    <t>小磨坊椒鹽粉</t>
    <phoneticPr fontId="2" type="noConversion"/>
  </si>
  <si>
    <t>盒</t>
    <phoneticPr fontId="2" type="noConversion"/>
  </si>
  <si>
    <t>高麗菜</t>
    <phoneticPr fontId="2" type="noConversion"/>
  </si>
  <si>
    <t>滷蛋</t>
    <phoneticPr fontId="2" type="noConversion"/>
  </si>
  <si>
    <t>海帶捲</t>
    <phoneticPr fontId="2" type="noConversion"/>
  </si>
  <si>
    <t>油麵</t>
    <phoneticPr fontId="2" type="noConversion"/>
  </si>
  <si>
    <t>吐司</t>
    <phoneticPr fontId="2" type="noConversion"/>
  </si>
  <si>
    <t>番茄醬</t>
    <phoneticPr fontId="2" type="noConversion"/>
  </si>
  <si>
    <t>桶</t>
    <phoneticPr fontId="2" type="noConversion"/>
  </si>
  <si>
    <t>素蠔油</t>
    <phoneticPr fontId="2" type="noConversion"/>
  </si>
  <si>
    <t>養樂多</t>
    <phoneticPr fontId="2" type="noConversion"/>
  </si>
  <si>
    <t>外購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</si>
</sst>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9" workbookViewId="0">
      <selection activeCell="B51" sqref="B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83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183</v>
      </c>
      <c r="F2" s="7"/>
      <c r="G2" s="1" t="s">
        <v>4</v>
      </c>
      <c r="H2" s="1" t="s">
        <v>5</v>
      </c>
    </row>
    <row r="3" spans="1:8" x14ac:dyDescent="0.25">
      <c r="A3" s="31" t="s">
        <v>88</v>
      </c>
      <c r="B3" s="1" t="s">
        <v>89</v>
      </c>
      <c r="C3" s="1" t="s">
        <v>90</v>
      </c>
      <c r="D3" s="1">
        <v>400</v>
      </c>
      <c r="E3" s="7">
        <v>1</v>
      </c>
      <c r="F3" s="7" t="s">
        <v>195</v>
      </c>
      <c r="G3" s="1">
        <f>E3*D3</f>
        <v>400</v>
      </c>
      <c r="H3" s="1"/>
    </row>
    <row r="4" spans="1:8" x14ac:dyDescent="0.25">
      <c r="A4" s="31"/>
      <c r="B4" s="1" t="s">
        <v>91</v>
      </c>
      <c r="C4" s="1" t="s">
        <v>94</v>
      </c>
      <c r="D4" s="1">
        <v>28.56</v>
      </c>
      <c r="E4" s="7">
        <v>8</v>
      </c>
      <c r="F4" s="7" t="s">
        <v>190</v>
      </c>
      <c r="G4" s="7">
        <f t="shared" ref="G4:G6" si="0">E4*D4</f>
        <v>228.48</v>
      </c>
      <c r="H4" s="1"/>
    </row>
    <row r="5" spans="1:8" x14ac:dyDescent="0.25">
      <c r="A5" s="31"/>
      <c r="B5" s="1" t="s">
        <v>92</v>
      </c>
      <c r="C5" s="1" t="s">
        <v>95</v>
      </c>
      <c r="D5" s="1">
        <v>99</v>
      </c>
      <c r="E5" s="7">
        <v>30</v>
      </c>
      <c r="F5" s="7" t="s">
        <v>190</v>
      </c>
      <c r="G5" s="7">
        <f t="shared" si="0"/>
        <v>2970</v>
      </c>
      <c r="H5" s="1"/>
    </row>
    <row r="6" spans="1:8" x14ac:dyDescent="0.25">
      <c r="A6" s="31"/>
      <c r="B6" s="1" t="s">
        <v>93</v>
      </c>
      <c r="C6" s="1" t="s">
        <v>96</v>
      </c>
      <c r="D6" s="1">
        <v>168</v>
      </c>
      <c r="E6" s="8">
        <v>15</v>
      </c>
      <c r="F6" s="7" t="s">
        <v>190</v>
      </c>
      <c r="G6" s="7">
        <f t="shared" si="0"/>
        <v>2520</v>
      </c>
      <c r="H6" s="1"/>
    </row>
    <row r="7" spans="1:8" x14ac:dyDescent="0.25">
      <c r="A7" s="31"/>
      <c r="B7" s="32" t="s">
        <v>6</v>
      </c>
      <c r="C7" s="33"/>
      <c r="D7" s="34"/>
      <c r="E7" s="8"/>
      <c r="F7" s="8"/>
      <c r="G7" s="17">
        <f>SUM(G3:G6)</f>
        <v>6118.48</v>
      </c>
      <c r="H7" s="1"/>
    </row>
    <row r="8" spans="1:8" x14ac:dyDescent="0.25">
      <c r="A8" s="1" t="s">
        <v>7</v>
      </c>
      <c r="B8" s="1" t="s">
        <v>8</v>
      </c>
      <c r="C8" s="1" t="s">
        <v>9</v>
      </c>
      <c r="D8" s="1" t="s">
        <v>10</v>
      </c>
      <c r="E8" s="7" t="s">
        <v>183</v>
      </c>
      <c r="F8" s="7"/>
      <c r="G8" s="1" t="s">
        <v>11</v>
      </c>
      <c r="H8" s="1" t="s">
        <v>12</v>
      </c>
    </row>
    <row r="9" spans="1:8" x14ac:dyDescent="0.25">
      <c r="A9" s="31" t="s">
        <v>97</v>
      </c>
      <c r="B9" s="1" t="s">
        <v>98</v>
      </c>
      <c r="C9" s="1" t="s">
        <v>101</v>
      </c>
      <c r="D9" s="1">
        <v>85.5</v>
      </c>
      <c r="E9" s="7">
        <v>2</v>
      </c>
      <c r="F9" s="7" t="s">
        <v>190</v>
      </c>
      <c r="G9" s="1">
        <f>E9*D9</f>
        <v>171</v>
      </c>
      <c r="H9" s="1"/>
    </row>
    <row r="10" spans="1:8" x14ac:dyDescent="0.25">
      <c r="A10" s="31"/>
      <c r="B10" s="1" t="s">
        <v>99</v>
      </c>
      <c r="C10" s="1" t="s">
        <v>102</v>
      </c>
      <c r="D10" s="1">
        <v>67.5</v>
      </c>
      <c r="E10" s="7">
        <v>1</v>
      </c>
      <c r="F10" s="7" t="s">
        <v>190</v>
      </c>
      <c r="G10" s="7">
        <f t="shared" ref="G10:G11" si="1">E10*D10</f>
        <v>67.5</v>
      </c>
      <c r="H10" s="1"/>
    </row>
    <row r="11" spans="1:8" x14ac:dyDescent="0.25">
      <c r="A11" s="31"/>
      <c r="B11" s="1" t="s">
        <v>100</v>
      </c>
      <c r="C11" s="1" t="s">
        <v>103</v>
      </c>
      <c r="D11" s="1">
        <v>20.52</v>
      </c>
      <c r="E11" s="7">
        <v>45</v>
      </c>
      <c r="F11" s="7" t="s">
        <v>190</v>
      </c>
      <c r="G11" s="7">
        <f t="shared" si="1"/>
        <v>923.4</v>
      </c>
      <c r="H11" s="1"/>
    </row>
    <row r="12" spans="1:8" x14ac:dyDescent="0.25">
      <c r="A12" s="31"/>
      <c r="B12" s="1"/>
      <c r="C12" s="1"/>
      <c r="D12" s="1"/>
      <c r="E12" s="7"/>
      <c r="F12" s="7"/>
      <c r="G12" s="1"/>
      <c r="H12" s="1"/>
    </row>
    <row r="13" spans="1:8" x14ac:dyDescent="0.25">
      <c r="A13" s="31"/>
      <c r="B13" s="1"/>
      <c r="C13" s="1"/>
      <c r="D13" s="1"/>
      <c r="E13" s="7"/>
      <c r="F13" s="7"/>
      <c r="G13" s="1"/>
      <c r="H13" s="1"/>
    </row>
    <row r="14" spans="1:8" x14ac:dyDescent="0.25">
      <c r="A14" s="31"/>
      <c r="B14" s="32" t="s">
        <v>13</v>
      </c>
      <c r="C14" s="33"/>
      <c r="D14" s="34"/>
      <c r="E14" s="8"/>
      <c r="F14" s="8"/>
      <c r="G14" s="17">
        <f>SUM(G9:G13)</f>
        <v>1161.9000000000001</v>
      </c>
      <c r="H14" s="1"/>
    </row>
    <row r="15" spans="1:8" x14ac:dyDescent="0.25">
      <c r="A15" s="1" t="s">
        <v>14</v>
      </c>
      <c r="B15" s="1" t="s">
        <v>8</v>
      </c>
      <c r="C15" s="1" t="s">
        <v>15</v>
      </c>
      <c r="D15" s="1" t="s">
        <v>10</v>
      </c>
      <c r="E15" s="7" t="s">
        <v>183</v>
      </c>
      <c r="F15" s="7"/>
      <c r="G15" s="1" t="s">
        <v>11</v>
      </c>
      <c r="H15" s="1" t="s">
        <v>12</v>
      </c>
    </row>
    <row r="16" spans="1:8" x14ac:dyDescent="0.25">
      <c r="A16" s="31" t="s">
        <v>104</v>
      </c>
      <c r="B16" s="1" t="s">
        <v>105</v>
      </c>
      <c r="C16" s="1" t="s">
        <v>94</v>
      </c>
      <c r="D16" s="1">
        <v>64.260000000000005</v>
      </c>
      <c r="E16" s="7">
        <v>8</v>
      </c>
      <c r="F16" s="7" t="s">
        <v>190</v>
      </c>
      <c r="G16" s="15">
        <f t="shared" ref="G16:G17" si="2">E16*D16</f>
        <v>514.08000000000004</v>
      </c>
      <c r="H16" s="1"/>
    </row>
    <row r="17" spans="1:8" x14ac:dyDescent="0.25">
      <c r="A17" s="31"/>
      <c r="B17" s="1" t="s">
        <v>106</v>
      </c>
      <c r="C17" s="1" t="s">
        <v>95</v>
      </c>
      <c r="D17" s="1">
        <v>50</v>
      </c>
      <c r="E17" s="7">
        <v>30</v>
      </c>
      <c r="F17" s="7" t="s">
        <v>190</v>
      </c>
      <c r="G17" s="15">
        <f t="shared" si="2"/>
        <v>1500</v>
      </c>
      <c r="H17" s="1"/>
    </row>
    <row r="18" spans="1:8" x14ac:dyDescent="0.25">
      <c r="A18" s="31"/>
      <c r="B18" s="2" t="s">
        <v>91</v>
      </c>
      <c r="C18" s="2" t="s">
        <v>109</v>
      </c>
      <c r="D18" s="2">
        <v>28.56</v>
      </c>
      <c r="E18" s="7">
        <v>7</v>
      </c>
      <c r="F18" s="7" t="s">
        <v>190</v>
      </c>
      <c r="G18" s="15">
        <f>E18*D18</f>
        <v>199.92</v>
      </c>
      <c r="H18" s="2"/>
    </row>
    <row r="19" spans="1:8" x14ac:dyDescent="0.25">
      <c r="A19" s="31"/>
      <c r="B19" s="1" t="s">
        <v>107</v>
      </c>
      <c r="C19" s="1" t="s">
        <v>110</v>
      </c>
      <c r="D19" s="1">
        <v>85</v>
      </c>
      <c r="E19" s="7">
        <v>4</v>
      </c>
      <c r="F19" s="7" t="s">
        <v>190</v>
      </c>
      <c r="G19" s="15">
        <f t="shared" ref="G19:G20" si="3">E19*D19</f>
        <v>340</v>
      </c>
      <c r="H19" s="1"/>
    </row>
    <row r="20" spans="1:8" x14ac:dyDescent="0.25">
      <c r="A20" s="31"/>
      <c r="B20" s="1" t="s">
        <v>108</v>
      </c>
      <c r="C20" s="1" t="s">
        <v>101</v>
      </c>
      <c r="D20" s="1">
        <v>23.4</v>
      </c>
      <c r="E20" s="8">
        <v>2</v>
      </c>
      <c r="F20" s="7" t="s">
        <v>190</v>
      </c>
      <c r="G20" s="15">
        <f t="shared" si="3"/>
        <v>46.8</v>
      </c>
      <c r="H20" s="1"/>
    </row>
    <row r="21" spans="1:8" x14ac:dyDescent="0.25">
      <c r="A21" s="31"/>
      <c r="B21" s="32" t="s">
        <v>13</v>
      </c>
      <c r="C21" s="33"/>
      <c r="D21" s="34"/>
      <c r="E21" s="8"/>
      <c r="F21" s="8"/>
      <c r="G21" s="17">
        <f>SUM(G16:G20)</f>
        <v>2600.8000000000002</v>
      </c>
      <c r="H21" s="1"/>
    </row>
    <row r="22" spans="1:8" x14ac:dyDescent="0.25">
      <c r="A22" s="4" t="s">
        <v>16</v>
      </c>
      <c r="B22" s="1" t="s">
        <v>8</v>
      </c>
      <c r="C22" s="1" t="s">
        <v>9</v>
      </c>
      <c r="D22" s="1" t="s">
        <v>17</v>
      </c>
      <c r="E22" s="7" t="s">
        <v>183</v>
      </c>
      <c r="F22" s="7"/>
      <c r="G22" s="1" t="s">
        <v>11</v>
      </c>
      <c r="H22" s="1" t="s">
        <v>18</v>
      </c>
    </row>
    <row r="23" spans="1:8" x14ac:dyDescent="0.25">
      <c r="A23" s="31"/>
      <c r="B23" s="7" t="s">
        <v>184</v>
      </c>
      <c r="C23" s="7"/>
      <c r="D23" s="7">
        <v>173.4</v>
      </c>
      <c r="E23" s="7">
        <v>8</v>
      </c>
      <c r="F23" s="8" t="s">
        <v>185</v>
      </c>
      <c r="G23" s="13">
        <f t="shared" ref="G23:G24" si="4">D23*E23</f>
        <v>1387.2</v>
      </c>
      <c r="H23" s="1"/>
    </row>
    <row r="24" spans="1:8" x14ac:dyDescent="0.25">
      <c r="A24" s="31"/>
      <c r="B24" s="7" t="s">
        <v>186</v>
      </c>
      <c r="C24" s="7"/>
      <c r="D24" s="7">
        <v>150</v>
      </c>
      <c r="E24" s="7">
        <v>2</v>
      </c>
      <c r="F24" s="8" t="s">
        <v>185</v>
      </c>
      <c r="G24" s="14">
        <f t="shared" si="4"/>
        <v>300</v>
      </c>
      <c r="H24" s="1"/>
    </row>
    <row r="25" spans="1:8" x14ac:dyDescent="0.25">
      <c r="A25" s="31"/>
      <c r="B25" s="7" t="s">
        <v>187</v>
      </c>
      <c r="C25" s="7"/>
      <c r="D25" s="7">
        <v>43.2</v>
      </c>
      <c r="E25" s="7">
        <v>20</v>
      </c>
      <c r="F25" s="8" t="s">
        <v>185</v>
      </c>
      <c r="G25" s="14">
        <f>D25*E25</f>
        <v>864</v>
      </c>
      <c r="H25" s="1"/>
    </row>
    <row r="26" spans="1:8" x14ac:dyDescent="0.25">
      <c r="A26" s="31"/>
      <c r="B26" s="7" t="s">
        <v>188</v>
      </c>
      <c r="C26" s="7"/>
      <c r="D26" s="7">
        <v>67.5</v>
      </c>
      <c r="E26" s="7">
        <v>0.5</v>
      </c>
      <c r="F26" s="8" t="s">
        <v>185</v>
      </c>
      <c r="G26" s="13">
        <f>D26*E26</f>
        <v>33.75</v>
      </c>
      <c r="H26" s="1"/>
    </row>
    <row r="27" spans="1:8" x14ac:dyDescent="0.25">
      <c r="A27" s="31"/>
      <c r="B27" s="7" t="s">
        <v>189</v>
      </c>
      <c r="C27" s="7"/>
      <c r="D27" s="7">
        <v>97.5</v>
      </c>
      <c r="E27" s="7">
        <v>4</v>
      </c>
      <c r="F27" s="8" t="s">
        <v>185</v>
      </c>
      <c r="G27" s="14">
        <f>D27*E27</f>
        <v>390</v>
      </c>
      <c r="H27" s="7"/>
    </row>
    <row r="28" spans="1:8" x14ac:dyDescent="0.25">
      <c r="A28" s="31"/>
      <c r="B28" s="7" t="s">
        <v>197</v>
      </c>
      <c r="C28" s="7"/>
      <c r="D28" s="7">
        <v>4.5</v>
      </c>
      <c r="E28" s="7">
        <v>50</v>
      </c>
      <c r="F28" s="7" t="s">
        <v>198</v>
      </c>
      <c r="G28" s="18">
        <f>D28*E28</f>
        <v>225</v>
      </c>
      <c r="H28" s="7"/>
    </row>
    <row r="29" spans="1:8" x14ac:dyDescent="0.25">
      <c r="A29" s="31"/>
      <c r="B29" s="7"/>
      <c r="C29" s="7"/>
      <c r="D29" s="7"/>
      <c r="E29" s="7"/>
      <c r="F29" s="8"/>
      <c r="G29" s="8"/>
      <c r="H29" s="7"/>
    </row>
    <row r="30" spans="1:8" x14ac:dyDescent="0.25">
      <c r="A30" s="31"/>
      <c r="B30" s="31" t="s">
        <v>13</v>
      </c>
      <c r="C30" s="31"/>
      <c r="D30" s="31"/>
      <c r="E30" s="7"/>
      <c r="F30" s="8"/>
      <c r="G30" s="17">
        <f>SUM(G23:G29)</f>
        <v>3199.95</v>
      </c>
      <c r="H30" s="1"/>
    </row>
    <row r="31" spans="1:8" x14ac:dyDescent="0.25">
      <c r="A31" s="1" t="s">
        <v>19</v>
      </c>
      <c r="B31" s="1" t="s">
        <v>8</v>
      </c>
      <c r="C31" s="1" t="s">
        <v>9</v>
      </c>
      <c r="D31" s="1" t="s">
        <v>10</v>
      </c>
      <c r="E31" s="7" t="s">
        <v>183</v>
      </c>
      <c r="F31" s="7"/>
      <c r="G31" s="1" t="s">
        <v>11</v>
      </c>
      <c r="H31" s="1" t="s">
        <v>12</v>
      </c>
    </row>
    <row r="32" spans="1:8" x14ac:dyDescent="0.25">
      <c r="A32" s="31" t="s">
        <v>111</v>
      </c>
      <c r="B32" s="1" t="s">
        <v>112</v>
      </c>
      <c r="C32" s="1" t="s">
        <v>114</v>
      </c>
      <c r="D32" s="1">
        <v>175</v>
      </c>
      <c r="E32" s="7">
        <v>1</v>
      </c>
      <c r="F32" s="7" t="s">
        <v>191</v>
      </c>
      <c r="G32" s="1">
        <f>E32*D32</f>
        <v>175</v>
      </c>
      <c r="H32" s="1"/>
    </row>
    <row r="33" spans="1:8" x14ac:dyDescent="0.25">
      <c r="A33" s="31"/>
      <c r="B33" s="1" t="s">
        <v>113</v>
      </c>
      <c r="C33" s="1" t="s">
        <v>115</v>
      </c>
      <c r="D33" s="1">
        <v>98.4</v>
      </c>
      <c r="E33" s="7">
        <v>15</v>
      </c>
      <c r="F33" s="7" t="s">
        <v>190</v>
      </c>
      <c r="G33" s="7">
        <f>E33*D33</f>
        <v>1476</v>
      </c>
      <c r="H33" s="1"/>
    </row>
    <row r="34" spans="1:8" x14ac:dyDescent="0.25">
      <c r="A34" s="31"/>
      <c r="B34" s="32"/>
      <c r="C34" s="33"/>
      <c r="D34" s="34"/>
      <c r="E34" s="8"/>
      <c r="F34" s="8"/>
      <c r="G34" s="16">
        <f>SUM(G32:G33)</f>
        <v>1651</v>
      </c>
      <c r="H34" s="1"/>
    </row>
    <row r="35" spans="1:8" x14ac:dyDescent="0.25">
      <c r="A35" s="1" t="s">
        <v>20</v>
      </c>
      <c r="B35" s="1" t="s">
        <v>8</v>
      </c>
      <c r="C35" s="1" t="s">
        <v>9</v>
      </c>
      <c r="D35" s="1" t="s">
        <v>10</v>
      </c>
      <c r="E35" s="8" t="s">
        <v>183</v>
      </c>
      <c r="F35" s="8"/>
      <c r="G35" s="3" t="s">
        <v>4</v>
      </c>
      <c r="H35" s="1" t="s">
        <v>12</v>
      </c>
    </row>
    <row r="36" spans="1:8" x14ac:dyDescent="0.25">
      <c r="A36" s="41"/>
      <c r="B36" s="7" t="s">
        <v>192</v>
      </c>
      <c r="C36" s="7"/>
      <c r="D36" s="7">
        <v>70</v>
      </c>
      <c r="E36" s="7">
        <v>40</v>
      </c>
      <c r="F36" s="7" t="s">
        <v>196</v>
      </c>
      <c r="G36" s="1">
        <f>E36*D36</f>
        <v>2800</v>
      </c>
      <c r="H36" s="1"/>
    </row>
    <row r="37" spans="1:8" x14ac:dyDescent="0.25">
      <c r="A37" s="42"/>
      <c r="B37" s="7" t="s">
        <v>193</v>
      </c>
      <c r="C37" s="7"/>
      <c r="D37" s="7">
        <v>23.4</v>
      </c>
      <c r="E37" s="7">
        <v>2</v>
      </c>
      <c r="F37" s="8" t="s">
        <v>185</v>
      </c>
      <c r="G37" s="7">
        <f t="shared" ref="G37:G39" si="5">E37*D37</f>
        <v>46.8</v>
      </c>
      <c r="H37" s="1"/>
    </row>
    <row r="38" spans="1:8" x14ac:dyDescent="0.25">
      <c r="A38" s="42"/>
      <c r="B38" s="7" t="s">
        <v>194</v>
      </c>
      <c r="C38" s="7"/>
      <c r="D38" s="7">
        <v>85</v>
      </c>
      <c r="E38" s="7">
        <v>4</v>
      </c>
      <c r="F38" s="8" t="s">
        <v>185</v>
      </c>
      <c r="G38" s="7">
        <f t="shared" si="5"/>
        <v>340</v>
      </c>
      <c r="H38" s="7"/>
    </row>
    <row r="39" spans="1:8" x14ac:dyDescent="0.25">
      <c r="A39" s="42"/>
      <c r="B39" s="7" t="s">
        <v>199</v>
      </c>
      <c r="C39" s="7"/>
      <c r="D39" s="7">
        <v>32.64</v>
      </c>
      <c r="E39" s="7">
        <v>55</v>
      </c>
      <c r="F39" s="8" t="s">
        <v>185</v>
      </c>
      <c r="G39" s="7">
        <f t="shared" si="5"/>
        <v>1795.2</v>
      </c>
      <c r="H39" s="7"/>
    </row>
    <row r="40" spans="1:8" x14ac:dyDescent="0.25">
      <c r="A40" s="43"/>
      <c r="B40" s="32" t="s">
        <v>21</v>
      </c>
      <c r="C40" s="33"/>
      <c r="D40" s="34"/>
      <c r="E40" s="8"/>
      <c r="F40" s="8"/>
      <c r="G40" s="17">
        <f>SUM(G36:G39)</f>
        <v>4982</v>
      </c>
      <c r="H40" s="5"/>
    </row>
    <row r="41" spans="1:8" x14ac:dyDescent="0.25">
      <c r="A41" s="6" t="s">
        <v>22</v>
      </c>
      <c r="B41" s="1" t="s">
        <v>23</v>
      </c>
      <c r="C41" s="1" t="s">
        <v>24</v>
      </c>
      <c r="D41" s="1" t="s">
        <v>25</v>
      </c>
      <c r="E41" s="7"/>
      <c r="F41" s="7"/>
      <c r="G41" s="1" t="s">
        <v>26</v>
      </c>
      <c r="H41" s="1"/>
    </row>
    <row r="42" spans="1:8" x14ac:dyDescent="0.25">
      <c r="A42" s="31"/>
      <c r="B42" s="1"/>
      <c r="C42" s="1"/>
      <c r="D42" s="1"/>
      <c r="E42" s="7"/>
      <c r="F42" s="7"/>
      <c r="G42" s="1"/>
      <c r="H42" s="1"/>
    </row>
    <row r="43" spans="1:8" x14ac:dyDescent="0.25">
      <c r="A43" s="31"/>
      <c r="B43" s="1"/>
      <c r="C43" s="1"/>
      <c r="D43" s="1"/>
      <c r="E43" s="7"/>
      <c r="F43" s="7"/>
      <c r="G43" s="1"/>
      <c r="H43" s="1"/>
    </row>
    <row r="44" spans="1:8" x14ac:dyDescent="0.25">
      <c r="A44" s="31"/>
      <c r="B44" s="1"/>
      <c r="C44" s="1"/>
      <c r="D44" s="1"/>
      <c r="E44" s="7"/>
      <c r="F44" s="7"/>
      <c r="G44" s="1"/>
      <c r="H44" s="1"/>
    </row>
    <row r="45" spans="1:8" x14ac:dyDescent="0.25">
      <c r="A45" s="31"/>
      <c r="B45" s="1"/>
      <c r="C45" s="1"/>
      <c r="D45" s="1"/>
      <c r="E45" s="7"/>
      <c r="F45" s="7"/>
      <c r="G45" s="1"/>
      <c r="H45" s="1"/>
    </row>
    <row r="46" spans="1:8" x14ac:dyDescent="0.25">
      <c r="A46" s="31"/>
      <c r="B46" s="32" t="s">
        <v>21</v>
      </c>
      <c r="C46" s="33"/>
      <c r="D46" s="34"/>
      <c r="E46" s="8"/>
      <c r="F46" s="8"/>
      <c r="G46" s="3"/>
      <c r="H46" s="1"/>
    </row>
    <row r="47" spans="1:8" x14ac:dyDescent="0.25">
      <c r="A47" s="1"/>
      <c r="B47" s="38" t="s">
        <v>27</v>
      </c>
      <c r="C47" s="39"/>
      <c r="D47" s="40"/>
      <c r="E47" s="9"/>
      <c r="F47" s="9"/>
      <c r="G47" s="19">
        <f>G40+G34+G30+G21+G14+G7</f>
        <v>19714.129999999997</v>
      </c>
      <c r="H47" s="1"/>
    </row>
  </sheetData>
  <mergeCells count="16">
    <mergeCell ref="A42:A46"/>
    <mergeCell ref="B46:D46"/>
    <mergeCell ref="B47:D47"/>
    <mergeCell ref="A23:A30"/>
    <mergeCell ref="B30:D30"/>
    <mergeCell ref="A32:A34"/>
    <mergeCell ref="B34:D34"/>
    <mergeCell ref="A36:A40"/>
    <mergeCell ref="B40:D40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9" workbookViewId="0">
      <selection activeCell="C46" sqref="C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84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28</v>
      </c>
      <c r="B2" s="1" t="s">
        <v>29</v>
      </c>
      <c r="C2" s="1" t="s">
        <v>30</v>
      </c>
      <c r="D2" s="1" t="s">
        <v>25</v>
      </c>
      <c r="E2" s="10" t="s">
        <v>200</v>
      </c>
      <c r="F2" s="10"/>
      <c r="G2" s="1" t="s">
        <v>26</v>
      </c>
      <c r="H2" s="1" t="s">
        <v>31</v>
      </c>
    </row>
    <row r="3" spans="1:8" x14ac:dyDescent="0.25">
      <c r="A3" s="31" t="s">
        <v>116</v>
      </c>
      <c r="B3" s="1" t="s">
        <v>120</v>
      </c>
      <c r="C3" s="1" t="s">
        <v>121</v>
      </c>
      <c r="D3" s="1">
        <v>99</v>
      </c>
      <c r="E3" s="10">
        <v>66.22</v>
      </c>
      <c r="F3" s="10" t="s">
        <v>202</v>
      </c>
      <c r="G3" s="15">
        <f>E3*D3</f>
        <v>6555.78</v>
      </c>
      <c r="H3" s="1"/>
    </row>
    <row r="4" spans="1:8" x14ac:dyDescent="0.25">
      <c r="A4" s="31"/>
      <c r="B4" s="1"/>
      <c r="C4" s="1"/>
      <c r="D4" s="1"/>
      <c r="E4" s="10"/>
      <c r="F4" s="10"/>
      <c r="G4" s="1"/>
      <c r="H4" s="1"/>
    </row>
    <row r="5" spans="1:8" x14ac:dyDescent="0.25">
      <c r="A5" s="31"/>
      <c r="B5" s="1"/>
      <c r="C5" s="1"/>
      <c r="D5" s="1"/>
      <c r="E5" s="10"/>
      <c r="F5" s="10"/>
      <c r="G5" s="1"/>
      <c r="H5" s="1"/>
    </row>
    <row r="6" spans="1:8" x14ac:dyDescent="0.25">
      <c r="A6" s="31"/>
      <c r="B6" s="1"/>
      <c r="C6" s="1"/>
      <c r="D6" s="1"/>
      <c r="E6" s="11"/>
      <c r="F6" s="11"/>
      <c r="G6" s="3"/>
      <c r="H6" s="1"/>
    </row>
    <row r="7" spans="1:8" x14ac:dyDescent="0.25">
      <c r="A7" s="31"/>
      <c r="B7" s="32" t="s">
        <v>32</v>
      </c>
      <c r="C7" s="33"/>
      <c r="D7" s="34"/>
      <c r="E7" s="11"/>
      <c r="F7" s="11"/>
      <c r="G7" s="17">
        <f>SUM(G3:G6)</f>
        <v>6555.78</v>
      </c>
      <c r="H7" s="1"/>
    </row>
    <row r="8" spans="1:8" x14ac:dyDescent="0.25">
      <c r="A8" s="1" t="s">
        <v>33</v>
      </c>
      <c r="B8" s="1" t="s">
        <v>29</v>
      </c>
      <c r="C8" s="1" t="s">
        <v>34</v>
      </c>
      <c r="D8" s="1" t="s">
        <v>25</v>
      </c>
      <c r="E8" s="10" t="s">
        <v>200</v>
      </c>
      <c r="F8" s="10"/>
      <c r="G8" s="1" t="s">
        <v>35</v>
      </c>
      <c r="H8" s="1" t="s">
        <v>36</v>
      </c>
    </row>
    <row r="9" spans="1:8" x14ac:dyDescent="0.25">
      <c r="A9" s="31" t="s">
        <v>117</v>
      </c>
      <c r="B9" s="1" t="s">
        <v>122</v>
      </c>
      <c r="C9" s="1" t="s">
        <v>125</v>
      </c>
      <c r="D9" s="1">
        <v>29.64</v>
      </c>
      <c r="E9" s="10">
        <v>12</v>
      </c>
      <c r="F9" s="10" t="s">
        <v>202</v>
      </c>
      <c r="G9" s="15">
        <f>E9*D9</f>
        <v>355.68</v>
      </c>
      <c r="H9" s="1"/>
    </row>
    <row r="10" spans="1:8" x14ac:dyDescent="0.25">
      <c r="A10" s="31"/>
      <c r="B10" s="1" t="s">
        <v>91</v>
      </c>
      <c r="C10" s="1" t="s">
        <v>126</v>
      </c>
      <c r="D10" s="1">
        <v>28.56</v>
      </c>
      <c r="E10" s="10">
        <v>10</v>
      </c>
      <c r="F10" s="10" t="s">
        <v>202</v>
      </c>
      <c r="G10" s="15">
        <f t="shared" ref="G10:G11" si="0">E10*D10</f>
        <v>285.59999999999997</v>
      </c>
      <c r="H10" s="1"/>
    </row>
    <row r="11" spans="1:8" x14ac:dyDescent="0.25">
      <c r="A11" s="31"/>
      <c r="B11" s="1" t="s">
        <v>123</v>
      </c>
      <c r="C11" s="1" t="s">
        <v>124</v>
      </c>
      <c r="D11" s="1">
        <v>43.2</v>
      </c>
      <c r="E11" s="10">
        <v>20</v>
      </c>
      <c r="F11" s="10" t="s">
        <v>202</v>
      </c>
      <c r="G11" s="15">
        <f t="shared" si="0"/>
        <v>864</v>
      </c>
      <c r="H11" s="1"/>
    </row>
    <row r="12" spans="1:8" x14ac:dyDescent="0.25">
      <c r="A12" s="31"/>
      <c r="B12" s="1"/>
      <c r="C12" s="1"/>
      <c r="D12" s="1"/>
      <c r="E12" s="10"/>
      <c r="F12" s="10"/>
      <c r="G12" s="1"/>
      <c r="H12" s="1"/>
    </row>
    <row r="13" spans="1:8" x14ac:dyDescent="0.25">
      <c r="A13" s="31"/>
      <c r="B13" s="1"/>
      <c r="C13" s="1"/>
      <c r="D13" s="1"/>
      <c r="E13" s="10"/>
      <c r="F13" s="10"/>
      <c r="G13" s="1"/>
      <c r="H13" s="1"/>
    </row>
    <row r="14" spans="1:8" x14ac:dyDescent="0.25">
      <c r="A14" s="31"/>
      <c r="B14" s="32" t="s">
        <v>37</v>
      </c>
      <c r="C14" s="33"/>
      <c r="D14" s="34"/>
      <c r="E14" s="11"/>
      <c r="F14" s="11"/>
      <c r="G14" s="17">
        <f>SUM(G9:G13)</f>
        <v>1505.28</v>
      </c>
      <c r="H14" s="1"/>
    </row>
    <row r="15" spans="1:8" x14ac:dyDescent="0.25">
      <c r="A15" s="1" t="s">
        <v>38</v>
      </c>
      <c r="B15" s="1" t="s">
        <v>23</v>
      </c>
      <c r="C15" s="1" t="s">
        <v>30</v>
      </c>
      <c r="D15" s="1" t="s">
        <v>25</v>
      </c>
      <c r="E15" s="10" t="s">
        <v>200</v>
      </c>
      <c r="F15" s="10"/>
      <c r="G15" s="1" t="s">
        <v>39</v>
      </c>
      <c r="H15" s="1" t="s">
        <v>36</v>
      </c>
    </row>
    <row r="16" spans="1:8" x14ac:dyDescent="0.25">
      <c r="A16" s="31" t="s">
        <v>118</v>
      </c>
      <c r="B16" s="1" t="s">
        <v>127</v>
      </c>
      <c r="C16" s="1" t="s">
        <v>110</v>
      </c>
      <c r="D16" s="1">
        <v>45</v>
      </c>
      <c r="E16" s="10">
        <v>4</v>
      </c>
      <c r="F16" s="10" t="s">
        <v>202</v>
      </c>
      <c r="G16" s="10">
        <f>D16*E16</f>
        <v>180</v>
      </c>
      <c r="H16" s="1"/>
    </row>
    <row r="17" spans="1:8" x14ac:dyDescent="0.25">
      <c r="A17" s="31"/>
      <c r="B17" s="1" t="s">
        <v>128</v>
      </c>
      <c r="C17" s="1" t="s">
        <v>94</v>
      </c>
      <c r="D17" s="1">
        <v>93</v>
      </c>
      <c r="E17" s="10">
        <v>8</v>
      </c>
      <c r="F17" s="10" t="s">
        <v>202</v>
      </c>
      <c r="G17" s="1">
        <f>D17*E17</f>
        <v>744</v>
      </c>
      <c r="H17" s="1"/>
    </row>
    <row r="18" spans="1:8" x14ac:dyDescent="0.25">
      <c r="A18" s="31"/>
      <c r="B18" s="1" t="s">
        <v>129</v>
      </c>
      <c r="C18" s="1" t="s">
        <v>130</v>
      </c>
      <c r="D18" s="1">
        <v>58.14</v>
      </c>
      <c r="E18" s="10">
        <v>50</v>
      </c>
      <c r="F18" s="10" t="s">
        <v>202</v>
      </c>
      <c r="G18" s="10">
        <f>D18*E18</f>
        <v>2907</v>
      </c>
      <c r="H18" s="1"/>
    </row>
    <row r="19" spans="1:8" x14ac:dyDescent="0.25">
      <c r="A19" s="31"/>
      <c r="B19" s="1"/>
      <c r="C19" s="1"/>
      <c r="D19" s="1"/>
      <c r="E19" s="11"/>
      <c r="F19" s="11"/>
      <c r="G19" s="3"/>
      <c r="H19" s="1"/>
    </row>
    <row r="20" spans="1:8" x14ac:dyDescent="0.25">
      <c r="A20" s="31"/>
      <c r="B20" s="32" t="s">
        <v>32</v>
      </c>
      <c r="C20" s="33"/>
      <c r="D20" s="34"/>
      <c r="E20" s="11"/>
      <c r="F20" s="11"/>
      <c r="G20" s="16">
        <f>SUM(G16:G19)</f>
        <v>3831</v>
      </c>
      <c r="H20" s="1"/>
    </row>
    <row r="21" spans="1:8" x14ac:dyDescent="0.25">
      <c r="A21" s="4" t="s">
        <v>40</v>
      </c>
      <c r="B21" s="1" t="s">
        <v>23</v>
      </c>
      <c r="C21" s="1" t="s">
        <v>30</v>
      </c>
      <c r="D21" s="1" t="s">
        <v>25</v>
      </c>
      <c r="E21" s="10" t="s">
        <v>200</v>
      </c>
      <c r="F21" s="10"/>
      <c r="G21" s="1" t="s">
        <v>26</v>
      </c>
      <c r="H21" s="1" t="s">
        <v>41</v>
      </c>
    </row>
    <row r="22" spans="1:8" x14ac:dyDescent="0.25">
      <c r="A22" s="31"/>
      <c r="B22" s="1" t="s">
        <v>204</v>
      </c>
      <c r="C22" s="1"/>
      <c r="D22" s="1">
        <v>48</v>
      </c>
      <c r="E22" s="10">
        <v>8</v>
      </c>
      <c r="F22" s="10" t="s">
        <v>202</v>
      </c>
      <c r="G22" s="1">
        <f>D22*E22</f>
        <v>384</v>
      </c>
      <c r="H22" s="1"/>
    </row>
    <row r="23" spans="1:8" x14ac:dyDescent="0.25">
      <c r="A23" s="31"/>
      <c r="B23" s="1" t="s">
        <v>205</v>
      </c>
      <c r="C23" s="1"/>
      <c r="D23" s="1">
        <v>540</v>
      </c>
      <c r="E23" s="10">
        <v>1</v>
      </c>
      <c r="F23" s="10" t="s">
        <v>206</v>
      </c>
      <c r="G23" s="10">
        <f t="shared" ref="G23:G28" si="1">D23*E23</f>
        <v>540</v>
      </c>
      <c r="H23" s="1"/>
    </row>
    <row r="24" spans="1:8" x14ac:dyDescent="0.25">
      <c r="A24" s="31"/>
      <c r="B24" s="1" t="s">
        <v>207</v>
      </c>
      <c r="C24" s="1"/>
      <c r="D24" s="1">
        <v>75</v>
      </c>
      <c r="E24" s="10">
        <v>1</v>
      </c>
      <c r="F24" s="10" t="s">
        <v>206</v>
      </c>
      <c r="G24" s="10">
        <f t="shared" si="1"/>
        <v>75</v>
      </c>
      <c r="H24" s="1"/>
    </row>
    <row r="25" spans="1:8" x14ac:dyDescent="0.25">
      <c r="A25" s="31"/>
      <c r="B25" s="10" t="s">
        <v>208</v>
      </c>
      <c r="C25" s="10"/>
      <c r="D25" s="10">
        <v>55</v>
      </c>
      <c r="E25" s="10">
        <v>20</v>
      </c>
      <c r="F25" s="10" t="s">
        <v>202</v>
      </c>
      <c r="G25" s="10">
        <f t="shared" si="1"/>
        <v>1100</v>
      </c>
      <c r="H25" s="1"/>
    </row>
    <row r="26" spans="1:8" x14ac:dyDescent="0.25">
      <c r="A26" s="31"/>
      <c r="B26" s="10" t="s">
        <v>209</v>
      </c>
      <c r="C26" s="10"/>
      <c r="D26" s="10">
        <v>29.38</v>
      </c>
      <c r="E26" s="10">
        <v>100</v>
      </c>
      <c r="F26" s="11" t="s">
        <v>202</v>
      </c>
      <c r="G26" s="10">
        <f t="shared" si="1"/>
        <v>2938</v>
      </c>
      <c r="H26" s="10"/>
    </row>
    <row r="27" spans="1:8" x14ac:dyDescent="0.25">
      <c r="A27" s="31"/>
      <c r="B27" s="10" t="s">
        <v>210</v>
      </c>
      <c r="C27" s="10"/>
      <c r="D27" s="10">
        <v>1188</v>
      </c>
      <c r="E27" s="10">
        <v>2</v>
      </c>
      <c r="F27" s="11" t="s">
        <v>211</v>
      </c>
      <c r="G27" s="10">
        <f t="shared" si="1"/>
        <v>2376</v>
      </c>
      <c r="H27" s="10"/>
    </row>
    <row r="28" spans="1:8" x14ac:dyDescent="0.25">
      <c r="A28" s="31"/>
      <c r="B28" s="10" t="s">
        <v>205</v>
      </c>
      <c r="C28" s="10"/>
      <c r="D28" s="10">
        <v>50</v>
      </c>
      <c r="E28" s="10">
        <v>1</v>
      </c>
      <c r="F28" s="11" t="s">
        <v>213</v>
      </c>
      <c r="G28" s="11">
        <f t="shared" si="1"/>
        <v>50</v>
      </c>
      <c r="H28" s="10"/>
    </row>
    <row r="29" spans="1:8" x14ac:dyDescent="0.25">
      <c r="A29" s="31"/>
      <c r="B29" s="32" t="s">
        <v>37</v>
      </c>
      <c r="C29" s="33"/>
      <c r="D29" s="34"/>
      <c r="E29" s="11"/>
      <c r="F29" s="11"/>
      <c r="G29" s="16">
        <f>SUM(G22:G28)</f>
        <v>7463</v>
      </c>
      <c r="H29" s="1"/>
    </row>
    <row r="30" spans="1:8" x14ac:dyDescent="0.25">
      <c r="A30" s="1" t="s">
        <v>42</v>
      </c>
      <c r="B30" s="1" t="s">
        <v>43</v>
      </c>
      <c r="C30" s="1" t="s">
        <v>24</v>
      </c>
      <c r="D30" s="1" t="s">
        <v>25</v>
      </c>
      <c r="E30" s="10" t="s">
        <v>200</v>
      </c>
      <c r="F30" s="10"/>
      <c r="G30" s="1" t="s">
        <v>26</v>
      </c>
      <c r="H30" s="1" t="s">
        <v>36</v>
      </c>
    </row>
    <row r="31" spans="1:8" x14ac:dyDescent="0.25">
      <c r="A31" s="31" t="s">
        <v>203</v>
      </c>
      <c r="B31" s="1"/>
      <c r="C31" s="1"/>
      <c r="D31" s="1"/>
      <c r="E31" s="10"/>
      <c r="F31" s="10"/>
      <c r="G31" s="1"/>
      <c r="H31" s="1" t="s">
        <v>119</v>
      </c>
    </row>
    <row r="32" spans="1:8" x14ac:dyDescent="0.25">
      <c r="A32" s="31"/>
      <c r="B32" s="1"/>
      <c r="C32" s="1"/>
      <c r="D32" s="1"/>
      <c r="E32" s="10"/>
      <c r="F32" s="10"/>
      <c r="G32" s="1"/>
      <c r="H32" s="1"/>
    </row>
    <row r="33" spans="1:8" x14ac:dyDescent="0.25">
      <c r="A33" s="31"/>
      <c r="B33" s="32"/>
      <c r="C33" s="33"/>
      <c r="D33" s="34"/>
      <c r="E33" s="11"/>
      <c r="F33" s="11"/>
      <c r="G33" s="3"/>
      <c r="H33" s="1"/>
    </row>
    <row r="34" spans="1:8" x14ac:dyDescent="0.25">
      <c r="A34" s="1" t="s">
        <v>44</v>
      </c>
      <c r="B34" s="1" t="s">
        <v>23</v>
      </c>
      <c r="C34" s="1" t="s">
        <v>24</v>
      </c>
      <c r="D34" s="1" t="s">
        <v>25</v>
      </c>
      <c r="E34" s="11" t="s">
        <v>200</v>
      </c>
      <c r="F34" s="11"/>
      <c r="G34" s="3" t="s">
        <v>39</v>
      </c>
      <c r="H34" s="1" t="s">
        <v>36</v>
      </c>
    </row>
    <row r="35" spans="1:8" x14ac:dyDescent="0.25">
      <c r="A35" s="41"/>
      <c r="B35" s="1" t="s">
        <v>201</v>
      </c>
      <c r="C35" s="1"/>
      <c r="D35" s="1">
        <v>45.12</v>
      </c>
      <c r="E35" s="10">
        <v>90</v>
      </c>
      <c r="F35" s="10" t="s">
        <v>202</v>
      </c>
      <c r="G35" s="15">
        <f>D35*E35</f>
        <v>4060.7999999999997</v>
      </c>
      <c r="H35" s="1"/>
    </row>
    <row r="36" spans="1:8" x14ac:dyDescent="0.25">
      <c r="A36" s="42"/>
      <c r="B36" s="1" t="s">
        <v>212</v>
      </c>
      <c r="C36" s="1"/>
      <c r="D36" s="1">
        <v>38.76</v>
      </c>
      <c r="E36" s="10">
        <v>65</v>
      </c>
      <c r="F36" s="10" t="s">
        <v>202</v>
      </c>
      <c r="G36" s="15">
        <f>D36*E36</f>
        <v>2519.4</v>
      </c>
      <c r="H36" s="1"/>
    </row>
    <row r="37" spans="1:8" x14ac:dyDescent="0.25">
      <c r="A37" s="43"/>
      <c r="B37" s="32" t="s">
        <v>21</v>
      </c>
      <c r="C37" s="33"/>
      <c r="D37" s="34"/>
      <c r="E37" s="11"/>
      <c r="F37" s="11"/>
      <c r="G37" s="17">
        <f>SUM(G35:G36)</f>
        <v>6580.2</v>
      </c>
      <c r="H37" s="5"/>
    </row>
    <row r="38" spans="1:8" x14ac:dyDescent="0.25">
      <c r="A38" s="6" t="s">
        <v>45</v>
      </c>
      <c r="B38" s="1" t="s">
        <v>23</v>
      </c>
      <c r="C38" s="1" t="s">
        <v>24</v>
      </c>
      <c r="D38" s="1" t="s">
        <v>25</v>
      </c>
      <c r="E38" s="10" t="s">
        <v>200</v>
      </c>
      <c r="F38" s="10"/>
      <c r="G38" s="1" t="s">
        <v>26</v>
      </c>
      <c r="H38" s="1"/>
    </row>
    <row r="39" spans="1:8" x14ac:dyDescent="0.25">
      <c r="A39" s="31"/>
      <c r="B39" s="1"/>
      <c r="C39" s="1"/>
      <c r="D39" s="1"/>
      <c r="E39" s="10"/>
      <c r="F39" s="10"/>
      <c r="G39" s="1"/>
      <c r="H39" s="1"/>
    </row>
    <row r="40" spans="1:8" x14ac:dyDescent="0.25">
      <c r="A40" s="31"/>
      <c r="B40" s="1"/>
      <c r="C40" s="1"/>
      <c r="D40" s="1"/>
      <c r="E40" s="10"/>
      <c r="F40" s="10"/>
      <c r="G40" s="1"/>
      <c r="H40" s="1"/>
    </row>
    <row r="41" spans="1:8" x14ac:dyDescent="0.25">
      <c r="A41" s="31"/>
      <c r="B41" s="1"/>
      <c r="C41" s="1"/>
      <c r="D41" s="1"/>
      <c r="E41" s="10"/>
      <c r="F41" s="10"/>
      <c r="G41" s="1"/>
      <c r="H41" s="1"/>
    </row>
    <row r="42" spans="1:8" x14ac:dyDescent="0.25">
      <c r="A42" s="31"/>
      <c r="B42" s="1"/>
      <c r="C42" s="1"/>
      <c r="D42" s="1"/>
      <c r="E42" s="10"/>
      <c r="F42" s="10"/>
      <c r="G42" s="1"/>
      <c r="H42" s="1"/>
    </row>
    <row r="43" spans="1:8" x14ac:dyDescent="0.25">
      <c r="A43" s="31"/>
      <c r="B43" s="32" t="s">
        <v>21</v>
      </c>
      <c r="C43" s="33"/>
      <c r="D43" s="34"/>
      <c r="E43" s="11"/>
      <c r="F43" s="11"/>
      <c r="G43" s="3"/>
      <c r="H43" s="1"/>
    </row>
    <row r="44" spans="1:8" x14ac:dyDescent="0.25">
      <c r="A44" s="1"/>
      <c r="B44" s="38" t="s">
        <v>27</v>
      </c>
      <c r="C44" s="39"/>
      <c r="D44" s="40"/>
      <c r="E44" s="12"/>
      <c r="F44" s="12"/>
      <c r="G44" s="19">
        <f>G37+G29+G20+G14+G7</f>
        <v>25935.26</v>
      </c>
      <c r="H44" s="1"/>
    </row>
  </sheetData>
  <mergeCells count="16">
    <mergeCell ref="A39:A43"/>
    <mergeCell ref="B43:D43"/>
    <mergeCell ref="B44:D44"/>
    <mergeCell ref="A22:A29"/>
    <mergeCell ref="B29:D29"/>
    <mergeCell ref="A31:A33"/>
    <mergeCell ref="B33:D33"/>
    <mergeCell ref="A35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opLeftCell="A28" workbookViewId="0">
      <selection activeCell="K40" sqref="K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85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28</v>
      </c>
      <c r="B2" s="1" t="s">
        <v>46</v>
      </c>
      <c r="C2" s="1" t="s">
        <v>24</v>
      </c>
      <c r="D2" s="1" t="s">
        <v>25</v>
      </c>
      <c r="E2" s="20" t="s">
        <v>214</v>
      </c>
      <c r="F2" s="20"/>
      <c r="G2" s="1" t="s">
        <v>47</v>
      </c>
      <c r="H2" s="1" t="s">
        <v>48</v>
      </c>
    </row>
    <row r="3" spans="1:8" x14ac:dyDescent="0.25">
      <c r="A3" s="31" t="s">
        <v>224</v>
      </c>
      <c r="B3" s="1" t="s">
        <v>225</v>
      </c>
      <c r="C3" s="1"/>
      <c r="D3" s="1">
        <v>78</v>
      </c>
      <c r="E3" s="20">
        <v>43.72</v>
      </c>
      <c r="F3" s="20" t="s">
        <v>216</v>
      </c>
      <c r="G3" s="29">
        <f>E3*D3</f>
        <v>3410.16</v>
      </c>
      <c r="H3" s="1"/>
    </row>
    <row r="4" spans="1:8" x14ac:dyDescent="0.25">
      <c r="A4" s="31"/>
      <c r="B4" s="1"/>
      <c r="C4" s="1"/>
      <c r="D4" s="1"/>
      <c r="E4" s="20"/>
      <c r="F4" s="20"/>
      <c r="G4" s="1"/>
      <c r="H4" s="1"/>
    </row>
    <row r="5" spans="1:8" x14ac:dyDescent="0.25">
      <c r="A5" s="31"/>
      <c r="B5" s="1"/>
      <c r="C5" s="1"/>
      <c r="D5" s="1"/>
      <c r="E5" s="20"/>
      <c r="F5" s="20"/>
      <c r="G5" s="1"/>
      <c r="H5" s="1"/>
    </row>
    <row r="6" spans="1:8" x14ac:dyDescent="0.25">
      <c r="A6" s="31"/>
      <c r="B6" s="1"/>
      <c r="C6" s="1"/>
      <c r="D6" s="1"/>
      <c r="E6" s="21"/>
      <c r="F6" s="21"/>
      <c r="G6" s="3"/>
      <c r="H6" s="1"/>
    </row>
    <row r="7" spans="1:8" x14ac:dyDescent="0.25">
      <c r="A7" s="31"/>
      <c r="B7" s="32" t="s">
        <v>49</v>
      </c>
      <c r="C7" s="33"/>
      <c r="D7" s="34"/>
      <c r="E7" s="21"/>
      <c r="F7" s="21"/>
      <c r="G7" s="17">
        <f>SUM(G3:G6)</f>
        <v>3410.16</v>
      </c>
      <c r="H7" s="1"/>
    </row>
    <row r="8" spans="1:8" x14ac:dyDescent="0.25">
      <c r="A8" s="1" t="s">
        <v>50</v>
      </c>
      <c r="B8" s="1" t="s">
        <v>51</v>
      </c>
      <c r="C8" s="1" t="s">
        <v>24</v>
      </c>
      <c r="D8" s="1" t="s">
        <v>25</v>
      </c>
      <c r="E8" s="20" t="s">
        <v>214</v>
      </c>
      <c r="F8" s="20"/>
      <c r="G8" s="1" t="s">
        <v>26</v>
      </c>
      <c r="H8" s="1" t="s">
        <v>36</v>
      </c>
    </row>
    <row r="9" spans="1:8" x14ac:dyDescent="0.25">
      <c r="A9" s="31" t="s">
        <v>145</v>
      </c>
      <c r="B9" s="1" t="s">
        <v>146</v>
      </c>
      <c r="C9" s="1" t="s">
        <v>148</v>
      </c>
      <c r="D9" s="1">
        <v>82.8</v>
      </c>
      <c r="E9" s="20">
        <v>40</v>
      </c>
      <c r="F9" s="20" t="s">
        <v>216</v>
      </c>
      <c r="G9" s="18">
        <f>D9*E9</f>
        <v>3312</v>
      </c>
      <c r="H9" s="1"/>
    </row>
    <row r="10" spans="1:8" x14ac:dyDescent="0.25">
      <c r="A10" s="31"/>
      <c r="B10" s="1" t="s">
        <v>147</v>
      </c>
      <c r="C10" s="1" t="s">
        <v>148</v>
      </c>
      <c r="D10" s="1">
        <v>180</v>
      </c>
      <c r="E10" s="20">
        <v>12</v>
      </c>
      <c r="F10" s="20" t="s">
        <v>217</v>
      </c>
      <c r="G10" s="18">
        <f>D10*E10</f>
        <v>2160</v>
      </c>
      <c r="H10" s="1"/>
    </row>
    <row r="11" spans="1:8" x14ac:dyDescent="0.25">
      <c r="A11" s="31"/>
      <c r="B11" s="1"/>
      <c r="C11" s="1"/>
      <c r="D11" s="1"/>
      <c r="E11" s="20"/>
      <c r="F11" s="20"/>
      <c r="G11" s="1"/>
      <c r="H11" s="1"/>
    </row>
    <row r="12" spans="1:8" x14ac:dyDescent="0.25">
      <c r="A12" s="31"/>
      <c r="B12" s="1"/>
      <c r="C12" s="1"/>
      <c r="D12" s="1"/>
      <c r="E12" s="20"/>
      <c r="F12" s="20"/>
      <c r="G12" s="1"/>
      <c r="H12" s="1"/>
    </row>
    <row r="13" spans="1:8" x14ac:dyDescent="0.25">
      <c r="A13" s="31"/>
      <c r="B13" s="1"/>
      <c r="C13" s="1"/>
      <c r="D13" s="1"/>
      <c r="E13" s="20"/>
      <c r="F13" s="20"/>
      <c r="G13" s="1"/>
      <c r="H13" s="1"/>
    </row>
    <row r="14" spans="1:8" x14ac:dyDescent="0.25">
      <c r="A14" s="31"/>
      <c r="B14" s="32" t="s">
        <v>52</v>
      </c>
      <c r="C14" s="33"/>
      <c r="D14" s="34"/>
      <c r="E14" s="21"/>
      <c r="F14" s="21"/>
      <c r="G14" s="16">
        <f>SUM(G9:G13)</f>
        <v>5472</v>
      </c>
      <c r="H14" s="1"/>
    </row>
    <row r="15" spans="1:8" x14ac:dyDescent="0.25">
      <c r="A15" s="1" t="s">
        <v>53</v>
      </c>
      <c r="B15" s="1" t="s">
        <v>54</v>
      </c>
      <c r="C15" s="1" t="s">
        <v>55</v>
      </c>
      <c r="D15" s="1" t="s">
        <v>25</v>
      </c>
      <c r="E15" s="20" t="s">
        <v>214</v>
      </c>
      <c r="F15" s="20"/>
      <c r="G15" s="1" t="s">
        <v>26</v>
      </c>
      <c r="H15" s="1" t="s">
        <v>48</v>
      </c>
    </row>
    <row r="16" spans="1:8" x14ac:dyDescent="0.25">
      <c r="A16" s="31" t="s">
        <v>149</v>
      </c>
      <c r="B16" s="1" t="s">
        <v>150</v>
      </c>
      <c r="C16" s="1" t="s">
        <v>103</v>
      </c>
      <c r="D16" s="1">
        <v>32.64</v>
      </c>
      <c r="E16" s="20">
        <v>45</v>
      </c>
      <c r="F16" s="20" t="s">
        <v>216</v>
      </c>
      <c r="G16" s="29">
        <f>D16*E16</f>
        <v>1468.8</v>
      </c>
      <c r="H16" s="1"/>
    </row>
    <row r="17" spans="1:8" x14ac:dyDescent="0.25">
      <c r="A17" s="31"/>
      <c r="B17" s="1" t="s">
        <v>151</v>
      </c>
      <c r="C17" s="1" t="s">
        <v>152</v>
      </c>
      <c r="D17" s="1">
        <v>280</v>
      </c>
      <c r="E17" s="20">
        <v>5</v>
      </c>
      <c r="F17" s="20" t="s">
        <v>217</v>
      </c>
      <c r="G17" s="29">
        <f>D17*E17</f>
        <v>1400</v>
      </c>
      <c r="H17" s="1"/>
    </row>
    <row r="18" spans="1:8" x14ac:dyDescent="0.25">
      <c r="A18" s="31"/>
      <c r="B18" s="1"/>
      <c r="C18" s="1"/>
      <c r="D18" s="1"/>
      <c r="E18" s="20"/>
      <c r="F18" s="20"/>
      <c r="G18" s="1"/>
      <c r="H18" s="1"/>
    </row>
    <row r="19" spans="1:8" x14ac:dyDescent="0.25">
      <c r="A19" s="31"/>
      <c r="B19" s="1"/>
      <c r="C19" s="1"/>
      <c r="D19" s="1"/>
      <c r="E19" s="21"/>
      <c r="F19" s="21"/>
      <c r="G19" s="3"/>
      <c r="H19" s="1"/>
    </row>
    <row r="20" spans="1:8" x14ac:dyDescent="0.25">
      <c r="A20" s="31"/>
      <c r="B20" s="32" t="s">
        <v>56</v>
      </c>
      <c r="C20" s="33"/>
      <c r="D20" s="34"/>
      <c r="E20" s="21"/>
      <c r="F20" s="21"/>
      <c r="G20" s="17">
        <f>SUM(G16:G19)</f>
        <v>2868.8</v>
      </c>
      <c r="H20" s="1"/>
    </row>
    <row r="21" spans="1:8" x14ac:dyDescent="0.25">
      <c r="A21" s="4" t="s">
        <v>40</v>
      </c>
      <c r="B21" s="1" t="s">
        <v>23</v>
      </c>
      <c r="C21" s="1" t="s">
        <v>57</v>
      </c>
      <c r="D21" s="1" t="s">
        <v>25</v>
      </c>
      <c r="E21" s="20" t="s">
        <v>214</v>
      </c>
      <c r="F21" s="20"/>
      <c r="G21" s="1" t="s">
        <v>26</v>
      </c>
      <c r="H21" s="1" t="s">
        <v>36</v>
      </c>
    </row>
    <row r="22" spans="1:8" x14ac:dyDescent="0.25">
      <c r="A22" s="31"/>
      <c r="B22" s="1" t="s">
        <v>221</v>
      </c>
      <c r="C22" s="1"/>
      <c r="D22" s="1">
        <v>21</v>
      </c>
      <c r="E22" s="20">
        <v>8</v>
      </c>
      <c r="F22" s="20" t="s">
        <v>216</v>
      </c>
      <c r="G22" s="29">
        <f>E22*D22</f>
        <v>168</v>
      </c>
      <c r="H22" s="1"/>
    </row>
    <row r="23" spans="1:8" x14ac:dyDescent="0.25">
      <c r="A23" s="31"/>
      <c r="B23" s="1" t="s">
        <v>222</v>
      </c>
      <c r="C23" s="1"/>
      <c r="D23" s="1">
        <v>99</v>
      </c>
      <c r="E23" s="20">
        <v>7</v>
      </c>
      <c r="F23" s="20" t="s">
        <v>216</v>
      </c>
      <c r="G23" s="29">
        <f t="shared" ref="G23:G36" si="0">E23*D23</f>
        <v>693</v>
      </c>
      <c r="H23" s="1"/>
    </row>
    <row r="24" spans="1:8" x14ac:dyDescent="0.25">
      <c r="A24" s="31"/>
      <c r="B24" s="1" t="s">
        <v>223</v>
      </c>
      <c r="C24" s="1"/>
      <c r="D24" s="1">
        <v>85.5</v>
      </c>
      <c r="E24" s="20">
        <v>0.5</v>
      </c>
      <c r="F24" s="20" t="s">
        <v>216</v>
      </c>
      <c r="G24" s="29">
        <f t="shared" si="0"/>
        <v>42.75</v>
      </c>
      <c r="H24" s="1"/>
    </row>
    <row r="25" spans="1:8" x14ac:dyDescent="0.25">
      <c r="A25" s="31"/>
      <c r="B25" s="1" t="s">
        <v>226</v>
      </c>
      <c r="C25" s="1"/>
      <c r="D25" s="1">
        <v>219</v>
      </c>
      <c r="E25" s="20">
        <v>4</v>
      </c>
      <c r="F25" s="20" t="s">
        <v>227</v>
      </c>
      <c r="G25" s="18">
        <f t="shared" si="0"/>
        <v>876</v>
      </c>
      <c r="H25" s="1"/>
    </row>
    <row r="26" spans="1:8" x14ac:dyDescent="0.25">
      <c r="A26" s="31"/>
      <c r="B26" s="20" t="s">
        <v>228</v>
      </c>
      <c r="C26" s="20"/>
      <c r="D26" s="20">
        <v>59.4</v>
      </c>
      <c r="E26" s="21">
        <v>50</v>
      </c>
      <c r="F26" s="21" t="s">
        <v>216</v>
      </c>
      <c r="G26" s="14">
        <f t="shared" si="0"/>
        <v>2970</v>
      </c>
      <c r="H26" s="20"/>
    </row>
    <row r="27" spans="1:8" x14ac:dyDescent="0.25">
      <c r="A27" s="31"/>
      <c r="B27" s="20" t="s">
        <v>229</v>
      </c>
      <c r="C27" s="20"/>
      <c r="D27" s="20">
        <v>235</v>
      </c>
      <c r="E27" s="21">
        <v>2</v>
      </c>
      <c r="F27" s="21" t="s">
        <v>227</v>
      </c>
      <c r="G27" s="14">
        <f t="shared" si="0"/>
        <v>470</v>
      </c>
      <c r="H27" s="20"/>
    </row>
    <row r="28" spans="1:8" x14ac:dyDescent="0.25">
      <c r="A28" s="31"/>
      <c r="B28" s="20" t="s">
        <v>230</v>
      </c>
      <c r="C28" s="20"/>
      <c r="D28" s="20">
        <v>225</v>
      </c>
      <c r="E28" s="21">
        <v>1</v>
      </c>
      <c r="F28" s="21" t="s">
        <v>227</v>
      </c>
      <c r="G28" s="14">
        <f t="shared" si="0"/>
        <v>225</v>
      </c>
      <c r="H28" s="20"/>
    </row>
    <row r="29" spans="1:8" x14ac:dyDescent="0.25">
      <c r="A29" s="31"/>
      <c r="B29" s="20" t="s">
        <v>231</v>
      </c>
      <c r="C29" s="20"/>
      <c r="D29" s="20">
        <v>75</v>
      </c>
      <c r="E29" s="21">
        <v>1</v>
      </c>
      <c r="F29" s="21" t="s">
        <v>217</v>
      </c>
      <c r="G29" s="14">
        <f t="shared" si="0"/>
        <v>75</v>
      </c>
      <c r="H29" s="20"/>
    </row>
    <row r="30" spans="1:8" x14ac:dyDescent="0.25">
      <c r="A30" s="31"/>
      <c r="B30" s="20" t="s">
        <v>232</v>
      </c>
      <c r="C30" s="20"/>
      <c r="D30" s="20">
        <v>60</v>
      </c>
      <c r="E30" s="21">
        <v>1</v>
      </c>
      <c r="F30" s="21" t="s">
        <v>217</v>
      </c>
      <c r="G30" s="14">
        <f t="shared" si="0"/>
        <v>60</v>
      </c>
      <c r="H30" s="20"/>
    </row>
    <row r="31" spans="1:8" x14ac:dyDescent="0.25">
      <c r="A31" s="31"/>
      <c r="B31" s="20" t="s">
        <v>235</v>
      </c>
      <c r="C31" s="20"/>
      <c r="D31" s="20">
        <v>210</v>
      </c>
      <c r="E31" s="20">
        <v>1</v>
      </c>
      <c r="F31" s="21" t="s">
        <v>217</v>
      </c>
      <c r="G31" s="14">
        <f t="shared" si="0"/>
        <v>210</v>
      </c>
      <c r="H31" s="20"/>
    </row>
    <row r="32" spans="1:8" x14ac:dyDescent="0.25">
      <c r="A32" s="31"/>
      <c r="B32" s="20" t="s">
        <v>236</v>
      </c>
      <c r="C32" s="20"/>
      <c r="D32" s="20">
        <v>480</v>
      </c>
      <c r="E32" s="20">
        <v>1</v>
      </c>
      <c r="F32" s="21" t="s">
        <v>227</v>
      </c>
      <c r="G32" s="14">
        <f t="shared" si="0"/>
        <v>480</v>
      </c>
      <c r="H32" s="20"/>
    </row>
    <row r="33" spans="1:8" x14ac:dyDescent="0.25">
      <c r="A33" s="31"/>
      <c r="B33" s="20" t="s">
        <v>237</v>
      </c>
      <c r="C33" s="20"/>
      <c r="D33" s="20">
        <v>235</v>
      </c>
      <c r="E33" s="20">
        <v>2</v>
      </c>
      <c r="F33" s="21" t="s">
        <v>238</v>
      </c>
      <c r="G33" s="14">
        <f t="shared" si="0"/>
        <v>470</v>
      </c>
      <c r="H33" s="20"/>
    </row>
    <row r="34" spans="1:8" x14ac:dyDescent="0.25">
      <c r="A34" s="31"/>
      <c r="B34" s="20" t="s">
        <v>239</v>
      </c>
      <c r="C34" s="20"/>
      <c r="D34" s="20">
        <v>250</v>
      </c>
      <c r="E34" s="20">
        <v>1</v>
      </c>
      <c r="F34" s="21" t="s">
        <v>238</v>
      </c>
      <c r="G34" s="14">
        <f t="shared" si="0"/>
        <v>250</v>
      </c>
      <c r="H34" s="20"/>
    </row>
    <row r="35" spans="1:8" x14ac:dyDescent="0.25">
      <c r="A35" s="31"/>
      <c r="B35" s="20" t="s">
        <v>240</v>
      </c>
      <c r="C35" s="20"/>
      <c r="D35" s="20">
        <v>250</v>
      </c>
      <c r="E35" s="20">
        <v>1</v>
      </c>
      <c r="F35" s="21" t="s">
        <v>227</v>
      </c>
      <c r="G35" s="14">
        <f t="shared" si="0"/>
        <v>250</v>
      </c>
      <c r="H35" s="20"/>
    </row>
    <row r="36" spans="1:8" x14ac:dyDescent="0.25">
      <c r="A36" s="31"/>
      <c r="B36" s="20" t="s">
        <v>241</v>
      </c>
      <c r="C36" s="20"/>
      <c r="D36" s="20">
        <v>360</v>
      </c>
      <c r="E36" s="20">
        <v>1</v>
      </c>
      <c r="F36" s="21" t="s">
        <v>217</v>
      </c>
      <c r="G36" s="14">
        <f t="shared" si="0"/>
        <v>360</v>
      </c>
      <c r="H36" s="20"/>
    </row>
    <row r="37" spans="1:8" x14ac:dyDescent="0.25">
      <c r="A37" s="31"/>
      <c r="B37" s="32" t="s">
        <v>21</v>
      </c>
      <c r="C37" s="33"/>
      <c r="D37" s="34"/>
      <c r="E37" s="21"/>
      <c r="F37" s="21"/>
      <c r="G37" s="17">
        <f>SUM(G22:G36)</f>
        <v>7599.75</v>
      </c>
      <c r="H37" s="1"/>
    </row>
    <row r="38" spans="1:8" x14ac:dyDescent="0.25">
      <c r="A38" s="1" t="s">
        <v>58</v>
      </c>
      <c r="B38" s="1" t="s">
        <v>51</v>
      </c>
      <c r="C38" s="1" t="s">
        <v>24</v>
      </c>
      <c r="D38" s="1" t="s">
        <v>25</v>
      </c>
      <c r="E38" s="20" t="s">
        <v>214</v>
      </c>
      <c r="F38" s="20"/>
      <c r="G38" s="1" t="s">
        <v>59</v>
      </c>
      <c r="H38" s="1" t="s">
        <v>48</v>
      </c>
    </row>
    <row r="39" spans="1:8" x14ac:dyDescent="0.25">
      <c r="A39" s="31" t="s">
        <v>139</v>
      </c>
      <c r="B39" s="1" t="s">
        <v>140</v>
      </c>
      <c r="C39" s="1" t="s">
        <v>144</v>
      </c>
      <c r="D39" s="1">
        <v>75</v>
      </c>
      <c r="E39" s="20">
        <v>8</v>
      </c>
      <c r="F39" s="20" t="s">
        <v>217</v>
      </c>
      <c r="G39" s="18">
        <f>D39*E39</f>
        <v>600</v>
      </c>
      <c r="H39" s="1"/>
    </row>
    <row r="40" spans="1:8" x14ac:dyDescent="0.25">
      <c r="A40" s="31"/>
      <c r="B40" s="2" t="s">
        <v>141</v>
      </c>
      <c r="C40" s="2" t="s">
        <v>143</v>
      </c>
      <c r="D40" s="2">
        <v>176</v>
      </c>
      <c r="E40" s="20">
        <v>2</v>
      </c>
      <c r="F40" s="20" t="s">
        <v>217</v>
      </c>
      <c r="G40" s="18">
        <f t="shared" ref="G40:G41" si="1">D40*E40</f>
        <v>352</v>
      </c>
      <c r="H40" s="2"/>
    </row>
    <row r="41" spans="1:8" x14ac:dyDescent="0.25">
      <c r="A41" s="31"/>
      <c r="B41" s="1" t="s">
        <v>135</v>
      </c>
      <c r="C41" s="1" t="s">
        <v>142</v>
      </c>
      <c r="D41" s="1">
        <v>270</v>
      </c>
      <c r="E41" s="20">
        <v>2</v>
      </c>
      <c r="F41" s="20" t="s">
        <v>234</v>
      </c>
      <c r="G41" s="18">
        <f t="shared" si="1"/>
        <v>540</v>
      </c>
      <c r="H41" s="1"/>
    </row>
    <row r="42" spans="1:8" x14ac:dyDescent="0.25">
      <c r="A42" s="31"/>
      <c r="B42" s="32"/>
      <c r="C42" s="33"/>
      <c r="D42" s="34"/>
      <c r="E42" s="21"/>
      <c r="F42" s="21"/>
      <c r="G42" s="16">
        <f>SUM(G39:G41)</f>
        <v>1492</v>
      </c>
      <c r="H42" s="1"/>
    </row>
    <row r="43" spans="1:8" x14ac:dyDescent="0.25">
      <c r="A43" s="1" t="s">
        <v>60</v>
      </c>
      <c r="B43" s="1" t="s">
        <v>23</v>
      </c>
      <c r="C43" s="1" t="s">
        <v>61</v>
      </c>
      <c r="D43" s="1" t="s">
        <v>62</v>
      </c>
      <c r="E43" s="21" t="s">
        <v>214</v>
      </c>
      <c r="F43" s="21"/>
      <c r="G43" s="3" t="s">
        <v>59</v>
      </c>
      <c r="H43" s="1" t="s">
        <v>63</v>
      </c>
    </row>
    <row r="44" spans="1:8" x14ac:dyDescent="0.25">
      <c r="A44" s="41"/>
      <c r="B44" s="1" t="s">
        <v>215</v>
      </c>
      <c r="C44" s="1"/>
      <c r="D44" s="1">
        <v>44.16</v>
      </c>
      <c r="E44" s="20">
        <v>90</v>
      </c>
      <c r="F44" s="20" t="s">
        <v>216</v>
      </c>
      <c r="G44" s="29">
        <f>D44*E44</f>
        <v>3974.3999999999996</v>
      </c>
      <c r="H44" s="1"/>
    </row>
    <row r="45" spans="1:8" x14ac:dyDescent="0.25">
      <c r="A45" s="42"/>
      <c r="B45" s="20" t="s">
        <v>218</v>
      </c>
      <c r="C45" s="20"/>
      <c r="D45" s="20">
        <v>70</v>
      </c>
      <c r="E45" s="20">
        <v>40</v>
      </c>
      <c r="F45" s="20" t="s">
        <v>217</v>
      </c>
      <c r="G45" s="29">
        <f t="shared" ref="G45:G47" si="2">D45*E45</f>
        <v>2800</v>
      </c>
      <c r="H45" s="1"/>
    </row>
    <row r="46" spans="1:8" x14ac:dyDescent="0.25">
      <c r="A46" s="42"/>
      <c r="B46" s="20" t="s">
        <v>219</v>
      </c>
      <c r="C46" s="20"/>
      <c r="D46" s="20">
        <v>23.4</v>
      </c>
      <c r="E46" s="20">
        <v>2</v>
      </c>
      <c r="F46" s="20" t="s">
        <v>216</v>
      </c>
      <c r="G46" s="29">
        <f t="shared" si="2"/>
        <v>46.8</v>
      </c>
      <c r="H46" s="20"/>
    </row>
    <row r="47" spans="1:8" x14ac:dyDescent="0.25">
      <c r="A47" s="42"/>
      <c r="B47" s="20" t="s">
        <v>220</v>
      </c>
      <c r="C47" s="20"/>
      <c r="D47" s="20">
        <v>85</v>
      </c>
      <c r="E47" s="20">
        <v>4</v>
      </c>
      <c r="F47" s="20" t="s">
        <v>216</v>
      </c>
      <c r="G47" s="29">
        <f t="shared" si="2"/>
        <v>340</v>
      </c>
      <c r="H47" s="20"/>
    </row>
    <row r="48" spans="1:8" x14ac:dyDescent="0.25">
      <c r="A48" s="43"/>
      <c r="B48" s="32" t="s">
        <v>56</v>
      </c>
      <c r="C48" s="33"/>
      <c r="D48" s="34"/>
      <c r="E48" s="21"/>
      <c r="F48" s="21"/>
      <c r="G48" s="17">
        <f>SUM(G44:G47)</f>
        <v>7161.2</v>
      </c>
      <c r="H48" s="5"/>
    </row>
    <row r="49" spans="1:8" x14ac:dyDescent="0.25">
      <c r="A49" s="6" t="s">
        <v>64</v>
      </c>
      <c r="B49" s="1" t="s">
        <v>23</v>
      </c>
      <c r="C49" s="1" t="s">
        <v>55</v>
      </c>
      <c r="D49" s="1" t="s">
        <v>25</v>
      </c>
      <c r="E49" s="20" t="s">
        <v>214</v>
      </c>
      <c r="F49" s="20"/>
      <c r="G49" s="1" t="s">
        <v>26</v>
      </c>
      <c r="H49" s="1"/>
    </row>
    <row r="50" spans="1:8" x14ac:dyDescent="0.25">
      <c r="A50" s="31" t="s">
        <v>131</v>
      </c>
      <c r="B50" s="1" t="s">
        <v>233</v>
      </c>
      <c r="C50" s="1" t="s">
        <v>136</v>
      </c>
      <c r="D50" s="1">
        <v>45</v>
      </c>
      <c r="E50" s="20">
        <v>60</v>
      </c>
      <c r="F50" s="20" t="s">
        <v>217</v>
      </c>
      <c r="G50" s="18">
        <f>D50*E50</f>
        <v>2700</v>
      </c>
      <c r="H50" s="1"/>
    </row>
    <row r="51" spans="1:8" x14ac:dyDescent="0.25">
      <c r="A51" s="31"/>
      <c r="B51" s="1" t="s">
        <v>132</v>
      </c>
      <c r="C51" s="1" t="s">
        <v>95</v>
      </c>
      <c r="D51" s="1">
        <v>93</v>
      </c>
      <c r="E51" s="20">
        <v>30</v>
      </c>
      <c r="F51" s="20" t="s">
        <v>216</v>
      </c>
      <c r="G51" s="18">
        <f t="shared" ref="G51:G55" si="3">D51*E51</f>
        <v>2790</v>
      </c>
      <c r="H51" s="1"/>
    </row>
    <row r="52" spans="1:8" x14ac:dyDescent="0.25">
      <c r="A52" s="31"/>
      <c r="B52" s="1" t="s">
        <v>133</v>
      </c>
      <c r="C52" s="1" t="s">
        <v>137</v>
      </c>
      <c r="D52" s="1">
        <v>390</v>
      </c>
      <c r="E52" s="20">
        <v>1</v>
      </c>
      <c r="F52" s="20" t="s">
        <v>227</v>
      </c>
      <c r="G52" s="18">
        <f t="shared" si="3"/>
        <v>390</v>
      </c>
      <c r="H52" s="1"/>
    </row>
    <row r="53" spans="1:8" x14ac:dyDescent="0.25">
      <c r="A53" s="31"/>
      <c r="B53" s="2" t="s">
        <v>91</v>
      </c>
      <c r="C53" s="2" t="s">
        <v>96</v>
      </c>
      <c r="D53" s="2">
        <v>28.56</v>
      </c>
      <c r="E53" s="20">
        <v>15</v>
      </c>
      <c r="F53" s="20" t="s">
        <v>216</v>
      </c>
      <c r="G53" s="29">
        <f t="shared" si="3"/>
        <v>428.4</v>
      </c>
      <c r="H53" s="2"/>
    </row>
    <row r="54" spans="1:8" x14ac:dyDescent="0.25">
      <c r="A54" s="31"/>
      <c r="B54" s="2" t="s">
        <v>134</v>
      </c>
      <c r="C54" s="2" t="s">
        <v>126</v>
      </c>
      <c r="D54" s="2">
        <v>66.599999999999994</v>
      </c>
      <c r="E54" s="20">
        <v>10</v>
      </c>
      <c r="F54" s="20" t="s">
        <v>216</v>
      </c>
      <c r="G54" s="18">
        <f t="shared" si="3"/>
        <v>666</v>
      </c>
      <c r="H54" s="2"/>
    </row>
    <row r="55" spans="1:8" x14ac:dyDescent="0.25">
      <c r="A55" s="31"/>
      <c r="B55" s="1" t="s">
        <v>135</v>
      </c>
      <c r="C55" s="1" t="s">
        <v>138</v>
      </c>
      <c r="D55" s="1">
        <v>270</v>
      </c>
      <c r="E55" s="20">
        <v>3</v>
      </c>
      <c r="F55" s="20" t="s">
        <v>234</v>
      </c>
      <c r="G55" s="18">
        <f t="shared" si="3"/>
        <v>810</v>
      </c>
      <c r="H55" s="1"/>
    </row>
    <row r="56" spans="1:8" x14ac:dyDescent="0.25">
      <c r="A56" s="31"/>
      <c r="B56" s="32" t="s">
        <v>21</v>
      </c>
      <c r="C56" s="33"/>
      <c r="D56" s="34"/>
      <c r="E56" s="21"/>
      <c r="F56" s="21"/>
      <c r="G56" s="17">
        <f>SUM(G50:G55)</f>
        <v>7784.4</v>
      </c>
      <c r="H56" s="1"/>
    </row>
    <row r="57" spans="1:8" x14ac:dyDescent="0.25">
      <c r="A57" s="1"/>
      <c r="B57" s="38" t="s">
        <v>65</v>
      </c>
      <c r="C57" s="39"/>
      <c r="D57" s="40"/>
      <c r="E57" s="22"/>
      <c r="F57" s="22"/>
      <c r="G57" s="19">
        <f>G56+G48+G42+G37+G20+G14+G7</f>
        <v>35788.31</v>
      </c>
      <c r="H57" s="1"/>
    </row>
  </sheetData>
  <mergeCells count="16">
    <mergeCell ref="A50:A56"/>
    <mergeCell ref="B56:D56"/>
    <mergeCell ref="B57:D57"/>
    <mergeCell ref="A22:A37"/>
    <mergeCell ref="B37:D37"/>
    <mergeCell ref="A39:A42"/>
    <mergeCell ref="B42:D42"/>
    <mergeCell ref="A44:A48"/>
    <mergeCell ref="B48:D4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0" workbookViewId="0">
      <selection activeCell="G41" sqref="G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86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66</v>
      </c>
      <c r="B2" s="1" t="s">
        <v>67</v>
      </c>
      <c r="C2" s="1" t="s">
        <v>61</v>
      </c>
      <c r="D2" s="1" t="s">
        <v>62</v>
      </c>
      <c r="E2" s="23" t="s">
        <v>242</v>
      </c>
      <c r="F2" s="23"/>
      <c r="G2" s="1" t="s">
        <v>47</v>
      </c>
      <c r="H2" s="1" t="s">
        <v>63</v>
      </c>
    </row>
    <row r="3" spans="1:8" x14ac:dyDescent="0.25">
      <c r="A3" s="31" t="s">
        <v>153</v>
      </c>
      <c r="B3" s="1" t="s">
        <v>154</v>
      </c>
      <c r="C3" s="1" t="s">
        <v>156</v>
      </c>
      <c r="D3" s="1">
        <v>66</v>
      </c>
      <c r="E3" s="23">
        <v>67.88</v>
      </c>
      <c r="F3" s="23" t="s">
        <v>243</v>
      </c>
      <c r="G3" s="1">
        <f>E3*D3</f>
        <v>4480.08</v>
      </c>
      <c r="H3" s="1"/>
    </row>
    <row r="4" spans="1:8" x14ac:dyDescent="0.25">
      <c r="A4" s="31"/>
      <c r="B4" s="1" t="s">
        <v>155</v>
      </c>
      <c r="C4" s="1" t="s">
        <v>152</v>
      </c>
      <c r="D4" s="1">
        <v>93</v>
      </c>
      <c r="E4" s="23">
        <v>5</v>
      </c>
      <c r="F4" s="23" t="s">
        <v>244</v>
      </c>
      <c r="G4" s="23">
        <f>E4*D4</f>
        <v>465</v>
      </c>
      <c r="H4" s="1"/>
    </row>
    <row r="5" spans="1:8" x14ac:dyDescent="0.25">
      <c r="A5" s="31"/>
      <c r="B5" s="1"/>
      <c r="C5" s="1"/>
      <c r="D5" s="1"/>
      <c r="E5" s="23"/>
      <c r="F5" s="23"/>
      <c r="G5" s="1"/>
      <c r="H5" s="1"/>
    </row>
    <row r="6" spans="1:8" x14ac:dyDescent="0.25">
      <c r="A6" s="31"/>
      <c r="B6" s="1"/>
      <c r="C6" s="1"/>
      <c r="D6" s="1"/>
      <c r="E6" s="24"/>
      <c r="F6" s="24"/>
      <c r="G6" s="3"/>
      <c r="H6" s="1"/>
    </row>
    <row r="7" spans="1:8" x14ac:dyDescent="0.25">
      <c r="A7" s="31"/>
      <c r="B7" s="32" t="s">
        <v>21</v>
      </c>
      <c r="C7" s="33"/>
      <c r="D7" s="34"/>
      <c r="E7" s="24"/>
      <c r="F7" s="24"/>
      <c r="G7" s="17">
        <f>SUM(G3:G6)</f>
        <v>4945.08</v>
      </c>
      <c r="H7" s="1"/>
    </row>
    <row r="8" spans="1:8" x14ac:dyDescent="0.25">
      <c r="A8" s="1" t="s">
        <v>68</v>
      </c>
      <c r="B8" s="1" t="s">
        <v>46</v>
      </c>
      <c r="C8" s="1" t="s">
        <v>69</v>
      </c>
      <c r="D8" s="1" t="s">
        <v>62</v>
      </c>
      <c r="E8" s="23" t="s">
        <v>242</v>
      </c>
      <c r="F8" s="23"/>
      <c r="G8" s="1" t="s">
        <v>47</v>
      </c>
      <c r="H8" s="1" t="s">
        <v>63</v>
      </c>
    </row>
    <row r="9" spans="1:8" x14ac:dyDescent="0.25">
      <c r="A9" s="31" t="s">
        <v>157</v>
      </c>
      <c r="B9" s="1" t="s">
        <v>158</v>
      </c>
      <c r="C9" s="1" t="s">
        <v>95</v>
      </c>
      <c r="D9" s="1">
        <v>47.88</v>
      </c>
      <c r="E9" s="23">
        <v>30</v>
      </c>
      <c r="F9" s="23" t="s">
        <v>243</v>
      </c>
      <c r="G9" s="1">
        <f>D9*E9</f>
        <v>1436.4</v>
      </c>
      <c r="H9" s="1"/>
    </row>
    <row r="10" spans="1:8" x14ac:dyDescent="0.25">
      <c r="A10" s="31"/>
      <c r="B10" s="1" t="s">
        <v>159</v>
      </c>
      <c r="C10" s="1" t="s">
        <v>94</v>
      </c>
      <c r="D10" s="1">
        <v>72</v>
      </c>
      <c r="E10" s="23">
        <v>8</v>
      </c>
      <c r="F10" s="23" t="s">
        <v>243</v>
      </c>
      <c r="G10" s="23">
        <f t="shared" ref="G10:G11" si="0">D10*E10</f>
        <v>576</v>
      </c>
      <c r="H10" s="1"/>
    </row>
    <row r="11" spans="1:8" x14ac:dyDescent="0.25">
      <c r="A11" s="31"/>
      <c r="B11" s="1" t="s">
        <v>127</v>
      </c>
      <c r="C11" s="1" t="s">
        <v>160</v>
      </c>
      <c r="D11" s="1">
        <v>45</v>
      </c>
      <c r="E11" s="23">
        <v>5</v>
      </c>
      <c r="F11" s="23" t="s">
        <v>243</v>
      </c>
      <c r="G11" s="23">
        <f t="shared" si="0"/>
        <v>225</v>
      </c>
      <c r="H11" s="1"/>
    </row>
    <row r="12" spans="1:8" x14ac:dyDescent="0.25">
      <c r="A12" s="31"/>
      <c r="B12" s="1" t="s">
        <v>122</v>
      </c>
      <c r="C12" s="1" t="s">
        <v>101</v>
      </c>
      <c r="D12" s="1">
        <v>28.5</v>
      </c>
      <c r="E12" s="23">
        <v>2</v>
      </c>
      <c r="F12" s="23" t="s">
        <v>243</v>
      </c>
      <c r="G12" s="23">
        <f>D12*E12</f>
        <v>57</v>
      </c>
      <c r="H12" s="1"/>
    </row>
    <row r="13" spans="1:8" x14ac:dyDescent="0.25">
      <c r="A13" s="31"/>
      <c r="B13" s="1"/>
      <c r="C13" s="1"/>
      <c r="D13" s="1"/>
      <c r="E13" s="23"/>
      <c r="F13" s="23"/>
      <c r="G13" s="1"/>
      <c r="H13" s="1"/>
    </row>
    <row r="14" spans="1:8" x14ac:dyDescent="0.25">
      <c r="A14" s="31"/>
      <c r="B14" s="32" t="s">
        <v>49</v>
      </c>
      <c r="C14" s="33"/>
      <c r="D14" s="34"/>
      <c r="E14" s="24"/>
      <c r="F14" s="24"/>
      <c r="G14" s="17">
        <f>SUM(G9:G13)</f>
        <v>2294.4</v>
      </c>
      <c r="H14" s="1"/>
    </row>
    <row r="15" spans="1:8" x14ac:dyDescent="0.25">
      <c r="A15" s="1" t="s">
        <v>53</v>
      </c>
      <c r="B15" s="1" t="s">
        <v>46</v>
      </c>
      <c r="C15" s="1" t="s">
        <v>61</v>
      </c>
      <c r="D15" s="1" t="s">
        <v>70</v>
      </c>
      <c r="E15" s="23" t="s">
        <v>242</v>
      </c>
      <c r="F15" s="23"/>
      <c r="G15" s="1" t="s">
        <v>47</v>
      </c>
      <c r="H15" s="1" t="s">
        <v>63</v>
      </c>
    </row>
    <row r="16" spans="1:8" x14ac:dyDescent="0.25">
      <c r="A16" s="31" t="s">
        <v>161</v>
      </c>
      <c r="B16" s="1" t="s">
        <v>162</v>
      </c>
      <c r="C16" s="1" t="s">
        <v>163</v>
      </c>
      <c r="D16" s="1">
        <v>16</v>
      </c>
      <c r="E16" s="23">
        <v>50</v>
      </c>
      <c r="F16" s="23" t="s">
        <v>249</v>
      </c>
      <c r="G16" s="23">
        <f t="shared" ref="G16:G19" si="1">D16*E16</f>
        <v>800</v>
      </c>
      <c r="H16" s="1"/>
    </row>
    <row r="17" spans="1:8" x14ac:dyDescent="0.25">
      <c r="A17" s="31"/>
      <c r="B17" s="1" t="s">
        <v>132</v>
      </c>
      <c r="C17" s="1" t="s">
        <v>96</v>
      </c>
      <c r="D17" s="1">
        <v>93</v>
      </c>
      <c r="E17" s="23">
        <v>15</v>
      </c>
      <c r="F17" s="23" t="s">
        <v>243</v>
      </c>
      <c r="G17" s="1">
        <f>D17*E17</f>
        <v>1395</v>
      </c>
      <c r="H17" s="1"/>
    </row>
    <row r="18" spans="1:8" x14ac:dyDescent="0.25">
      <c r="A18" s="31"/>
      <c r="B18" s="1" t="s">
        <v>91</v>
      </c>
      <c r="C18" s="1" t="s">
        <v>160</v>
      </c>
      <c r="D18" s="1">
        <v>28.56</v>
      </c>
      <c r="E18" s="23">
        <v>5</v>
      </c>
      <c r="F18" s="23" t="s">
        <v>243</v>
      </c>
      <c r="G18" s="23">
        <f t="shared" si="1"/>
        <v>142.79999999999998</v>
      </c>
      <c r="H18" s="1"/>
    </row>
    <row r="19" spans="1:8" x14ac:dyDescent="0.25">
      <c r="A19" s="31"/>
      <c r="B19" s="1" t="s">
        <v>98</v>
      </c>
      <c r="C19" s="1" t="s">
        <v>164</v>
      </c>
      <c r="D19" s="1">
        <v>85.5</v>
      </c>
      <c r="E19" s="24">
        <v>0.5</v>
      </c>
      <c r="F19" s="23" t="s">
        <v>243</v>
      </c>
      <c r="G19" s="23">
        <f t="shared" si="1"/>
        <v>42.75</v>
      </c>
      <c r="H19" s="1"/>
    </row>
    <row r="20" spans="1:8" x14ac:dyDescent="0.25">
      <c r="A20" s="31"/>
      <c r="B20" s="32" t="s">
        <v>49</v>
      </c>
      <c r="C20" s="33"/>
      <c r="D20" s="34"/>
      <c r="E20" s="24"/>
      <c r="F20" s="24"/>
      <c r="G20" s="17">
        <f>SUM(G16:G19)</f>
        <v>2380.5500000000002</v>
      </c>
      <c r="H20" s="1"/>
    </row>
    <row r="21" spans="1:8" x14ac:dyDescent="0.25">
      <c r="A21" s="4" t="s">
        <v>71</v>
      </c>
      <c r="B21" s="1" t="s">
        <v>46</v>
      </c>
      <c r="C21" s="1" t="s">
        <v>61</v>
      </c>
      <c r="D21" s="1" t="s">
        <v>62</v>
      </c>
      <c r="E21" s="23" t="s">
        <v>242</v>
      </c>
      <c r="F21" s="23"/>
      <c r="G21" s="1" t="s">
        <v>47</v>
      </c>
      <c r="H21" s="1" t="s">
        <v>63</v>
      </c>
    </row>
    <row r="22" spans="1:8" x14ac:dyDescent="0.25">
      <c r="A22" s="31"/>
      <c r="B22" s="1" t="s">
        <v>246</v>
      </c>
      <c r="C22" s="1"/>
      <c r="D22" s="1">
        <v>66</v>
      </c>
      <c r="E22" s="23">
        <v>7.77</v>
      </c>
      <c r="F22" s="23" t="s">
        <v>243</v>
      </c>
      <c r="G22" s="15">
        <f>D22*E22</f>
        <v>512.81999999999994</v>
      </c>
      <c r="H22" s="1"/>
    </row>
    <row r="23" spans="1:8" x14ac:dyDescent="0.25">
      <c r="A23" s="31"/>
      <c r="B23" s="1" t="s">
        <v>247</v>
      </c>
      <c r="C23" s="1"/>
      <c r="D23" s="1">
        <v>844</v>
      </c>
      <c r="E23" s="23">
        <v>1</v>
      </c>
      <c r="F23" s="23" t="s">
        <v>248</v>
      </c>
      <c r="G23" s="15">
        <f>D23*E23</f>
        <v>844</v>
      </c>
      <c r="H23" s="1"/>
    </row>
    <row r="24" spans="1:8" x14ac:dyDescent="0.25">
      <c r="A24" s="31"/>
      <c r="B24" s="1" t="s">
        <v>250</v>
      </c>
      <c r="C24" s="1"/>
      <c r="D24" s="1">
        <v>60</v>
      </c>
      <c r="E24" s="23">
        <v>1</v>
      </c>
      <c r="F24" s="23" t="s">
        <v>251</v>
      </c>
      <c r="G24" s="15">
        <f>D24*E24</f>
        <v>60</v>
      </c>
      <c r="H24" s="1"/>
    </row>
    <row r="25" spans="1:8" x14ac:dyDescent="0.25">
      <c r="A25" s="31"/>
      <c r="B25" s="1"/>
      <c r="C25" s="1"/>
      <c r="D25" s="1"/>
      <c r="E25" s="23"/>
      <c r="F25" s="23"/>
      <c r="G25" s="1"/>
      <c r="H25" s="1"/>
    </row>
    <row r="26" spans="1:8" x14ac:dyDescent="0.25">
      <c r="A26" s="31"/>
      <c r="B26" s="32" t="s">
        <v>49</v>
      </c>
      <c r="C26" s="33"/>
      <c r="D26" s="34"/>
      <c r="E26" s="24"/>
      <c r="F26" s="24"/>
      <c r="G26" s="17">
        <f>SUM(G22:G25)</f>
        <v>1416.82</v>
      </c>
      <c r="H26" s="1"/>
    </row>
    <row r="27" spans="1:8" x14ac:dyDescent="0.25">
      <c r="A27" s="1" t="s">
        <v>72</v>
      </c>
      <c r="B27" s="1" t="s">
        <v>46</v>
      </c>
      <c r="C27" s="1" t="s">
        <v>24</v>
      </c>
      <c r="D27" s="1" t="s">
        <v>62</v>
      </c>
      <c r="E27" s="23" t="s">
        <v>242</v>
      </c>
      <c r="F27" s="23"/>
      <c r="G27" s="1" t="s">
        <v>47</v>
      </c>
      <c r="H27" s="1" t="s">
        <v>63</v>
      </c>
    </row>
    <row r="28" spans="1:8" x14ac:dyDescent="0.25">
      <c r="A28" s="31" t="s">
        <v>165</v>
      </c>
      <c r="B28" s="1" t="s">
        <v>166</v>
      </c>
      <c r="C28" s="1" t="s">
        <v>164</v>
      </c>
      <c r="D28" s="1">
        <v>265</v>
      </c>
      <c r="E28" s="23">
        <v>0.5</v>
      </c>
      <c r="F28" s="23" t="s">
        <v>243</v>
      </c>
      <c r="G28" s="15">
        <f>E28*D28</f>
        <v>132.5</v>
      </c>
      <c r="H28" s="1"/>
    </row>
    <row r="29" spans="1:8" x14ac:dyDescent="0.25">
      <c r="A29" s="31"/>
      <c r="B29" s="1" t="s">
        <v>123</v>
      </c>
      <c r="C29" s="1"/>
      <c r="D29" s="1"/>
      <c r="E29" s="23"/>
      <c r="F29" s="23"/>
      <c r="G29" s="1"/>
      <c r="H29" s="1" t="s">
        <v>119</v>
      </c>
    </row>
    <row r="30" spans="1:8" x14ac:dyDescent="0.25">
      <c r="A30" s="31"/>
      <c r="B30" s="32"/>
      <c r="C30" s="33"/>
      <c r="D30" s="34"/>
      <c r="E30" s="24"/>
      <c r="F30" s="24"/>
      <c r="G30" s="17">
        <f>SUM(G28:G29)</f>
        <v>132.5</v>
      </c>
      <c r="H30" s="1"/>
    </row>
    <row r="31" spans="1:8" x14ac:dyDescent="0.25">
      <c r="A31" s="1" t="s">
        <v>60</v>
      </c>
      <c r="B31" s="1" t="s">
        <v>46</v>
      </c>
      <c r="C31" s="1" t="s">
        <v>61</v>
      </c>
      <c r="D31" s="1" t="s">
        <v>62</v>
      </c>
      <c r="E31" s="23" t="s">
        <v>242</v>
      </c>
      <c r="F31" s="24"/>
      <c r="G31" s="3" t="s">
        <v>47</v>
      </c>
      <c r="H31" s="1" t="s">
        <v>63</v>
      </c>
    </row>
    <row r="32" spans="1:8" x14ac:dyDescent="0.25">
      <c r="A32" s="41"/>
      <c r="B32" s="1" t="s">
        <v>245</v>
      </c>
      <c r="C32" s="1"/>
      <c r="D32" s="1">
        <v>54.06</v>
      </c>
      <c r="E32" s="23">
        <v>65</v>
      </c>
      <c r="F32" s="23" t="s">
        <v>243</v>
      </c>
      <c r="G32" s="15">
        <f>E32*D32</f>
        <v>3513.9</v>
      </c>
      <c r="H32" s="1"/>
    </row>
    <row r="33" spans="1:8" x14ac:dyDescent="0.25">
      <c r="A33" s="42"/>
      <c r="B33" s="1"/>
      <c r="C33" s="1"/>
      <c r="D33" s="1"/>
      <c r="E33" s="23"/>
      <c r="F33" s="23"/>
      <c r="G33" s="1"/>
      <c r="H33" s="1"/>
    </row>
    <row r="34" spans="1:8" x14ac:dyDescent="0.25">
      <c r="A34" s="43"/>
      <c r="B34" s="32" t="s">
        <v>49</v>
      </c>
      <c r="C34" s="33"/>
      <c r="D34" s="34"/>
      <c r="E34" s="24"/>
      <c r="F34" s="24"/>
      <c r="G34" s="17">
        <f>SUM(G32:G33)</f>
        <v>3513.9</v>
      </c>
      <c r="H34" s="5"/>
    </row>
    <row r="35" spans="1:8" x14ac:dyDescent="0.25">
      <c r="A35" s="6" t="s">
        <v>73</v>
      </c>
      <c r="B35" s="1" t="s">
        <v>46</v>
      </c>
      <c r="C35" s="1" t="s">
        <v>61</v>
      </c>
      <c r="D35" s="1" t="s">
        <v>70</v>
      </c>
      <c r="E35" s="23"/>
      <c r="F35" s="23"/>
      <c r="G35" s="1" t="s">
        <v>47</v>
      </c>
      <c r="H35" s="1"/>
    </row>
    <row r="36" spans="1:8" x14ac:dyDescent="0.25">
      <c r="A36" s="31"/>
      <c r="B36" s="1"/>
      <c r="C36" s="1"/>
      <c r="D36" s="1"/>
      <c r="E36" s="23"/>
      <c r="F36" s="23"/>
      <c r="G36" s="1"/>
      <c r="H36" s="1"/>
    </row>
    <row r="37" spans="1:8" x14ac:dyDescent="0.25">
      <c r="A37" s="31"/>
      <c r="B37" s="1"/>
      <c r="C37" s="1"/>
      <c r="D37" s="1"/>
      <c r="E37" s="23"/>
      <c r="F37" s="23"/>
      <c r="G37" s="1"/>
      <c r="H37" s="1"/>
    </row>
    <row r="38" spans="1:8" x14ac:dyDescent="0.25">
      <c r="A38" s="31"/>
      <c r="B38" s="1"/>
      <c r="C38" s="1"/>
      <c r="D38" s="1"/>
      <c r="E38" s="23"/>
      <c r="F38" s="23"/>
      <c r="G38" s="1"/>
      <c r="H38" s="1"/>
    </row>
    <row r="39" spans="1:8" x14ac:dyDescent="0.25">
      <c r="A39" s="31"/>
      <c r="B39" s="1"/>
      <c r="C39" s="1"/>
      <c r="D39" s="1"/>
      <c r="E39" s="23"/>
      <c r="F39" s="23"/>
      <c r="G39" s="1"/>
      <c r="H39" s="1"/>
    </row>
    <row r="40" spans="1:8" x14ac:dyDescent="0.25">
      <c r="A40" s="31"/>
      <c r="B40" s="32" t="s">
        <v>49</v>
      </c>
      <c r="C40" s="33"/>
      <c r="D40" s="34"/>
      <c r="E40" s="24"/>
      <c r="F40" s="24"/>
      <c r="G40" s="3"/>
      <c r="H40" s="1"/>
    </row>
    <row r="41" spans="1:8" x14ac:dyDescent="0.25">
      <c r="A41" s="1"/>
      <c r="B41" s="38" t="s">
        <v>74</v>
      </c>
      <c r="C41" s="39"/>
      <c r="D41" s="40"/>
      <c r="E41" s="25"/>
      <c r="F41" s="25"/>
      <c r="G41" s="30">
        <f>G34+G30+G26+G20+G14+G7</f>
        <v>14683.25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87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75</v>
      </c>
      <c r="B2" s="1" t="s">
        <v>46</v>
      </c>
      <c r="C2" s="1" t="s">
        <v>61</v>
      </c>
      <c r="D2" s="1" t="s">
        <v>76</v>
      </c>
      <c r="E2" s="26" t="s">
        <v>252</v>
      </c>
      <c r="F2" s="26"/>
      <c r="G2" s="1" t="s">
        <v>47</v>
      </c>
      <c r="H2" s="1" t="s">
        <v>63</v>
      </c>
    </row>
    <row r="3" spans="1:8" x14ac:dyDescent="0.25">
      <c r="A3" s="31" t="s">
        <v>167</v>
      </c>
      <c r="B3" s="1" t="s">
        <v>168</v>
      </c>
      <c r="C3" s="1" t="s">
        <v>171</v>
      </c>
      <c r="D3" s="1">
        <v>50.16</v>
      </c>
      <c r="E3" s="26">
        <v>25</v>
      </c>
      <c r="F3" s="26" t="s">
        <v>254</v>
      </c>
      <c r="G3" s="26">
        <f>D3*E3</f>
        <v>1254</v>
      </c>
      <c r="H3" s="1"/>
    </row>
    <row r="4" spans="1:8" x14ac:dyDescent="0.25">
      <c r="A4" s="31"/>
      <c r="B4" s="1" t="s">
        <v>169</v>
      </c>
      <c r="C4" s="1" t="s">
        <v>148</v>
      </c>
      <c r="D4" s="1">
        <v>43.32</v>
      </c>
      <c r="E4" s="26">
        <v>40</v>
      </c>
      <c r="F4" s="26" t="s">
        <v>254</v>
      </c>
      <c r="G4" s="26">
        <f>D4*E4</f>
        <v>1732.8</v>
      </c>
      <c r="H4" s="1"/>
    </row>
    <row r="5" spans="1:8" x14ac:dyDescent="0.25">
      <c r="A5" s="31"/>
      <c r="B5" s="1" t="s">
        <v>170</v>
      </c>
      <c r="C5" s="1" t="s">
        <v>152</v>
      </c>
      <c r="D5" s="1">
        <v>70</v>
      </c>
      <c r="E5" s="26">
        <v>5</v>
      </c>
      <c r="F5" s="26" t="s">
        <v>253</v>
      </c>
      <c r="G5" s="1">
        <f>D5*E5</f>
        <v>350</v>
      </c>
      <c r="H5" s="1"/>
    </row>
    <row r="6" spans="1:8" x14ac:dyDescent="0.25">
      <c r="A6" s="31"/>
      <c r="B6" s="1"/>
      <c r="C6" s="1"/>
      <c r="D6" s="1"/>
      <c r="E6" s="27"/>
      <c r="F6" s="27"/>
      <c r="G6" s="3"/>
      <c r="H6" s="1"/>
    </row>
    <row r="7" spans="1:8" x14ac:dyDescent="0.25">
      <c r="A7" s="31"/>
      <c r="B7" s="32" t="s">
        <v>49</v>
      </c>
      <c r="C7" s="33"/>
      <c r="D7" s="34"/>
      <c r="E7" s="27"/>
      <c r="F7" s="27"/>
      <c r="G7" s="17">
        <f>SUM(G3:G6)</f>
        <v>3336.8</v>
      </c>
      <c r="H7" s="1"/>
    </row>
    <row r="8" spans="1:8" x14ac:dyDescent="0.25">
      <c r="A8" s="1" t="s">
        <v>68</v>
      </c>
      <c r="B8" s="1" t="s">
        <v>46</v>
      </c>
      <c r="C8" s="1" t="s">
        <v>61</v>
      </c>
      <c r="D8" s="1" t="s">
        <v>25</v>
      </c>
      <c r="E8" s="26" t="s">
        <v>252</v>
      </c>
      <c r="F8" s="26"/>
      <c r="G8" s="1" t="s">
        <v>47</v>
      </c>
      <c r="H8" s="1" t="s">
        <v>63</v>
      </c>
    </row>
    <row r="9" spans="1:8" x14ac:dyDescent="0.25">
      <c r="A9" s="31" t="s">
        <v>172</v>
      </c>
      <c r="B9" s="1" t="s">
        <v>173</v>
      </c>
      <c r="C9" s="1" t="s">
        <v>171</v>
      </c>
      <c r="D9" s="1">
        <v>48</v>
      </c>
      <c r="E9" s="26">
        <v>25</v>
      </c>
      <c r="F9" s="26" t="s">
        <v>254</v>
      </c>
      <c r="G9" s="1">
        <f>D9*E9</f>
        <v>1200</v>
      </c>
      <c r="H9" s="1"/>
    </row>
    <row r="10" spans="1:8" x14ac:dyDescent="0.25">
      <c r="A10" s="31"/>
      <c r="B10" s="1" t="s">
        <v>174</v>
      </c>
      <c r="C10" s="1" t="s">
        <v>126</v>
      </c>
      <c r="D10" s="1">
        <v>111</v>
      </c>
      <c r="E10" s="26">
        <v>10</v>
      </c>
      <c r="F10" s="26" t="s">
        <v>254</v>
      </c>
      <c r="G10" s="26">
        <f t="shared" ref="G10:G11" si="0">D10*E10</f>
        <v>1110</v>
      </c>
      <c r="H10" s="1"/>
    </row>
    <row r="11" spans="1:8" x14ac:dyDescent="0.25">
      <c r="A11" s="31"/>
      <c r="B11" s="1" t="s">
        <v>175</v>
      </c>
      <c r="C11" s="1" t="s">
        <v>126</v>
      </c>
      <c r="D11" s="1">
        <v>99</v>
      </c>
      <c r="E11" s="26">
        <v>10</v>
      </c>
      <c r="F11" s="26" t="s">
        <v>254</v>
      </c>
      <c r="G11" s="26">
        <f t="shared" si="0"/>
        <v>990</v>
      </c>
      <c r="H11" s="1"/>
    </row>
    <row r="12" spans="1:8" x14ac:dyDescent="0.25">
      <c r="A12" s="31"/>
      <c r="B12" s="1"/>
      <c r="C12" s="1"/>
      <c r="D12" s="1"/>
      <c r="E12" s="26"/>
      <c r="F12" s="26"/>
      <c r="G12" s="1"/>
      <c r="H12" s="1"/>
    </row>
    <row r="13" spans="1:8" x14ac:dyDescent="0.25">
      <c r="A13" s="31"/>
      <c r="B13" s="1"/>
      <c r="C13" s="1"/>
      <c r="D13" s="1"/>
      <c r="E13" s="26"/>
      <c r="F13" s="26"/>
      <c r="G13" s="1"/>
      <c r="H13" s="1"/>
    </row>
    <row r="14" spans="1:8" x14ac:dyDescent="0.25">
      <c r="A14" s="31"/>
      <c r="B14" s="32" t="s">
        <v>49</v>
      </c>
      <c r="C14" s="33"/>
      <c r="D14" s="34"/>
      <c r="E14" s="27"/>
      <c r="F14" s="27"/>
      <c r="G14" s="16">
        <f>SUM(G9:G13)</f>
        <v>3300</v>
      </c>
      <c r="H14" s="1"/>
    </row>
    <row r="15" spans="1:8" x14ac:dyDescent="0.25">
      <c r="A15" s="1" t="s">
        <v>53</v>
      </c>
      <c r="B15" s="1" t="s">
        <v>46</v>
      </c>
      <c r="C15" s="1" t="s">
        <v>77</v>
      </c>
      <c r="D15" s="1" t="s">
        <v>62</v>
      </c>
      <c r="E15" s="26" t="s">
        <v>252</v>
      </c>
      <c r="F15" s="26"/>
      <c r="G15" s="1" t="s">
        <v>47</v>
      </c>
      <c r="H15" s="1" t="s">
        <v>63</v>
      </c>
    </row>
    <row r="16" spans="1:8" x14ac:dyDescent="0.25">
      <c r="A16" s="31" t="s">
        <v>176</v>
      </c>
      <c r="B16" s="1" t="s">
        <v>177</v>
      </c>
      <c r="C16" s="1" t="s">
        <v>171</v>
      </c>
      <c r="D16" s="1">
        <v>159.6</v>
      </c>
      <c r="E16" s="26">
        <v>25</v>
      </c>
      <c r="F16" s="26" t="s">
        <v>254</v>
      </c>
      <c r="G16" s="1">
        <f>D16*E16</f>
        <v>3990</v>
      </c>
      <c r="H16" s="1"/>
    </row>
    <row r="17" spans="1:8" x14ac:dyDescent="0.25">
      <c r="A17" s="31"/>
      <c r="B17" s="1" t="s">
        <v>178</v>
      </c>
      <c r="C17" s="1" t="s">
        <v>125</v>
      </c>
      <c r="D17" s="1">
        <v>72</v>
      </c>
      <c r="E17" s="26">
        <v>12</v>
      </c>
      <c r="F17" s="26" t="s">
        <v>254</v>
      </c>
      <c r="G17" s="26">
        <f t="shared" ref="G17:G18" si="1">D17*E17</f>
        <v>864</v>
      </c>
      <c r="H17" s="1"/>
    </row>
    <row r="18" spans="1:8" x14ac:dyDescent="0.25">
      <c r="A18" s="31"/>
      <c r="B18" s="1" t="s">
        <v>91</v>
      </c>
      <c r="C18" s="1" t="s">
        <v>160</v>
      </c>
      <c r="D18" s="1">
        <v>28.56</v>
      </c>
      <c r="E18" s="26">
        <v>5</v>
      </c>
      <c r="F18" s="26" t="s">
        <v>254</v>
      </c>
      <c r="G18" s="26">
        <f t="shared" si="1"/>
        <v>142.79999999999998</v>
      </c>
      <c r="H18" s="1"/>
    </row>
    <row r="19" spans="1:8" x14ac:dyDescent="0.25">
      <c r="A19" s="31"/>
      <c r="B19" s="1"/>
      <c r="C19" s="1"/>
      <c r="D19" s="1"/>
      <c r="E19" s="27"/>
      <c r="F19" s="27"/>
      <c r="G19" s="3"/>
      <c r="H19" s="1"/>
    </row>
    <row r="20" spans="1:8" x14ac:dyDescent="0.25">
      <c r="A20" s="31"/>
      <c r="B20" s="32" t="s">
        <v>49</v>
      </c>
      <c r="C20" s="33"/>
      <c r="D20" s="34"/>
      <c r="E20" s="27"/>
      <c r="F20" s="27"/>
      <c r="G20" s="17">
        <f>SUM(G16:G19)</f>
        <v>4996.8</v>
      </c>
      <c r="H20" s="1"/>
    </row>
    <row r="21" spans="1:8" x14ac:dyDescent="0.25">
      <c r="A21" s="4" t="s">
        <v>78</v>
      </c>
      <c r="B21" s="1" t="s">
        <v>46</v>
      </c>
      <c r="C21" s="1" t="s">
        <v>61</v>
      </c>
      <c r="D21" s="1" t="s">
        <v>62</v>
      </c>
      <c r="E21" s="26" t="s">
        <v>252</v>
      </c>
      <c r="F21" s="26"/>
      <c r="G21" s="1" t="s">
        <v>79</v>
      </c>
      <c r="H21" s="1" t="s">
        <v>63</v>
      </c>
    </row>
    <row r="22" spans="1:8" x14ac:dyDescent="0.25">
      <c r="A22" s="31"/>
      <c r="B22" s="1"/>
      <c r="C22" s="26"/>
      <c r="D22" s="44"/>
      <c r="E22" s="44"/>
      <c r="F22" s="44"/>
      <c r="G22" s="44"/>
      <c r="H22" s="1"/>
    </row>
    <row r="23" spans="1:8" x14ac:dyDescent="0.25">
      <c r="A23" s="31"/>
      <c r="B23" s="1" t="s">
        <v>255</v>
      </c>
      <c r="C23" s="1"/>
      <c r="D23" s="1">
        <v>4.5</v>
      </c>
      <c r="E23" s="26">
        <v>50</v>
      </c>
      <c r="F23" s="26" t="s">
        <v>256</v>
      </c>
      <c r="G23" s="26">
        <f t="shared" ref="G23:G29" si="2">D23*E23</f>
        <v>225</v>
      </c>
      <c r="H23" s="1"/>
    </row>
    <row r="24" spans="1:8" x14ac:dyDescent="0.25">
      <c r="A24" s="31"/>
      <c r="B24" s="1" t="s">
        <v>257</v>
      </c>
      <c r="C24" s="1"/>
      <c r="D24" s="1">
        <v>60</v>
      </c>
      <c r="E24" s="26">
        <v>1</v>
      </c>
      <c r="F24" s="26" t="s">
        <v>258</v>
      </c>
      <c r="G24" s="26">
        <f t="shared" si="2"/>
        <v>60</v>
      </c>
      <c r="H24" s="1"/>
    </row>
    <row r="25" spans="1:8" x14ac:dyDescent="0.25">
      <c r="A25" s="31"/>
      <c r="B25" s="1" t="s">
        <v>259</v>
      </c>
      <c r="C25" s="1"/>
      <c r="D25" s="1">
        <v>240</v>
      </c>
      <c r="E25" s="26">
        <v>1</v>
      </c>
      <c r="F25" s="26" t="s">
        <v>260</v>
      </c>
      <c r="G25" s="26">
        <f t="shared" si="2"/>
        <v>240</v>
      </c>
      <c r="H25" s="1"/>
    </row>
    <row r="26" spans="1:8" x14ac:dyDescent="0.25">
      <c r="A26" s="31"/>
      <c r="B26" s="26" t="s">
        <v>261</v>
      </c>
      <c r="C26" s="26"/>
      <c r="D26" s="26">
        <v>140</v>
      </c>
      <c r="E26" s="27">
        <v>1</v>
      </c>
      <c r="F26" s="27" t="s">
        <v>262</v>
      </c>
      <c r="G26" s="26">
        <f t="shared" si="2"/>
        <v>140</v>
      </c>
      <c r="H26" s="26"/>
    </row>
    <row r="27" spans="1:8" x14ac:dyDescent="0.25">
      <c r="A27" s="31"/>
      <c r="B27" s="26" t="s">
        <v>267</v>
      </c>
      <c r="C27" s="26"/>
      <c r="D27" s="26">
        <v>50</v>
      </c>
      <c r="E27" s="26">
        <v>1</v>
      </c>
      <c r="F27" s="27" t="s">
        <v>258</v>
      </c>
      <c r="G27" s="27">
        <f t="shared" si="2"/>
        <v>50</v>
      </c>
      <c r="H27" s="26"/>
    </row>
    <row r="28" spans="1:8" x14ac:dyDescent="0.25">
      <c r="A28" s="31"/>
      <c r="B28" s="26" t="s">
        <v>268</v>
      </c>
      <c r="C28" s="26"/>
      <c r="D28" s="26">
        <v>219</v>
      </c>
      <c r="E28" s="26">
        <v>1</v>
      </c>
      <c r="F28" s="27" t="s">
        <v>269</v>
      </c>
      <c r="G28" s="27">
        <f t="shared" si="2"/>
        <v>219</v>
      </c>
      <c r="H28" s="26"/>
    </row>
    <row r="29" spans="1:8" x14ac:dyDescent="0.25">
      <c r="A29" s="31"/>
      <c r="B29" s="26" t="s">
        <v>270</v>
      </c>
      <c r="C29" s="26"/>
      <c r="D29" s="26">
        <v>291</v>
      </c>
      <c r="E29" s="26">
        <v>1</v>
      </c>
      <c r="F29" s="27" t="s">
        <v>269</v>
      </c>
      <c r="G29" s="27">
        <f t="shared" si="2"/>
        <v>291</v>
      </c>
      <c r="H29" s="26"/>
    </row>
    <row r="30" spans="1:8" x14ac:dyDescent="0.25">
      <c r="A30" s="31"/>
      <c r="B30" s="32" t="s">
        <v>49</v>
      </c>
      <c r="C30" s="33"/>
      <c r="D30" s="34"/>
      <c r="E30" s="27"/>
      <c r="F30" s="27"/>
      <c r="G30" s="16">
        <f>SUM(G23:G29)</f>
        <v>1225</v>
      </c>
      <c r="H30" s="1"/>
    </row>
    <row r="31" spans="1:8" x14ac:dyDescent="0.25">
      <c r="A31" s="1" t="s">
        <v>80</v>
      </c>
      <c r="B31" s="1" t="s">
        <v>81</v>
      </c>
      <c r="C31" s="1" t="s">
        <v>24</v>
      </c>
      <c r="D31" s="1" t="s">
        <v>25</v>
      </c>
      <c r="E31" s="26" t="s">
        <v>252</v>
      </c>
      <c r="F31" s="26"/>
      <c r="G31" s="1" t="s">
        <v>26</v>
      </c>
      <c r="H31" s="1" t="s">
        <v>63</v>
      </c>
    </row>
    <row r="32" spans="1:8" x14ac:dyDescent="0.25">
      <c r="A32" s="31" t="s">
        <v>179</v>
      </c>
      <c r="B32" s="1" t="s">
        <v>180</v>
      </c>
      <c r="C32" s="1" t="s">
        <v>96</v>
      </c>
      <c r="D32" s="1">
        <v>23.4</v>
      </c>
      <c r="E32" s="26">
        <v>15</v>
      </c>
      <c r="F32" s="26" t="s">
        <v>254</v>
      </c>
      <c r="G32" s="1">
        <f>D32*E32</f>
        <v>351</v>
      </c>
      <c r="H32" s="1"/>
    </row>
    <row r="33" spans="1:8" x14ac:dyDescent="0.25">
      <c r="A33" s="31"/>
      <c r="B33" s="1" t="s">
        <v>181</v>
      </c>
      <c r="C33" s="1" t="s">
        <v>182</v>
      </c>
      <c r="D33" s="1">
        <v>72</v>
      </c>
      <c r="E33" s="26">
        <v>20</v>
      </c>
      <c r="F33" s="26" t="s">
        <v>254</v>
      </c>
      <c r="G33" s="26">
        <f>D33*E33</f>
        <v>1440</v>
      </c>
      <c r="H33" s="1"/>
    </row>
    <row r="34" spans="1:8" x14ac:dyDescent="0.25">
      <c r="A34" s="31"/>
      <c r="B34" s="32"/>
      <c r="C34" s="33"/>
      <c r="D34" s="34"/>
      <c r="E34" s="27"/>
      <c r="F34" s="27"/>
      <c r="G34" s="16">
        <f>SUM(G32:G33)</f>
        <v>1791</v>
      </c>
      <c r="H34" s="1"/>
    </row>
    <row r="35" spans="1:8" x14ac:dyDescent="0.25">
      <c r="A35" s="1" t="s">
        <v>82</v>
      </c>
      <c r="B35" s="1" t="s">
        <v>46</v>
      </c>
      <c r="C35" s="1" t="s">
        <v>24</v>
      </c>
      <c r="D35" s="1" t="s">
        <v>25</v>
      </c>
      <c r="E35" s="27" t="s">
        <v>252</v>
      </c>
      <c r="F35" s="27"/>
      <c r="G35" s="3" t="s">
        <v>26</v>
      </c>
      <c r="H35" s="1" t="s">
        <v>63</v>
      </c>
    </row>
    <row r="36" spans="1:8" x14ac:dyDescent="0.25">
      <c r="A36" s="41"/>
      <c r="B36" s="1" t="s">
        <v>263</v>
      </c>
      <c r="C36" s="1"/>
      <c r="D36" s="1">
        <v>47.94</v>
      </c>
      <c r="E36" s="26">
        <v>65</v>
      </c>
      <c r="F36" s="26" t="s">
        <v>254</v>
      </c>
      <c r="G36" s="15">
        <f>D36*E36</f>
        <v>3116.1</v>
      </c>
      <c r="H36" s="1"/>
    </row>
    <row r="37" spans="1:8" x14ac:dyDescent="0.25">
      <c r="A37" s="42"/>
      <c r="B37" s="1" t="s">
        <v>271</v>
      </c>
      <c r="C37" s="1"/>
      <c r="D37" s="1"/>
      <c r="E37" s="26"/>
      <c r="F37" s="26"/>
      <c r="G37" s="1">
        <v>1875</v>
      </c>
      <c r="H37" s="1" t="s">
        <v>272</v>
      </c>
    </row>
    <row r="38" spans="1:8" x14ac:dyDescent="0.25">
      <c r="A38" s="43"/>
      <c r="B38" s="32" t="s">
        <v>49</v>
      </c>
      <c r="C38" s="33"/>
      <c r="D38" s="34"/>
      <c r="E38" s="27"/>
      <c r="F38" s="27"/>
      <c r="G38" s="17">
        <f>SUM(G36:G37)</f>
        <v>4991.1000000000004</v>
      </c>
      <c r="H38" s="45"/>
    </row>
    <row r="39" spans="1:8" x14ac:dyDescent="0.25">
      <c r="A39" s="6" t="s">
        <v>73</v>
      </c>
      <c r="B39" s="1" t="s">
        <v>23</v>
      </c>
      <c r="C39" s="1" t="s">
        <v>77</v>
      </c>
      <c r="D39" s="1" t="s">
        <v>76</v>
      </c>
      <c r="E39" s="26" t="s">
        <v>252</v>
      </c>
      <c r="F39" s="26"/>
      <c r="G39" s="1" t="s">
        <v>47</v>
      </c>
      <c r="H39" s="1"/>
    </row>
    <row r="40" spans="1:8" x14ac:dyDescent="0.25">
      <c r="A40" s="31"/>
      <c r="B40" s="1" t="s">
        <v>264</v>
      </c>
      <c r="C40" s="1"/>
      <c r="D40" s="1">
        <v>10</v>
      </c>
      <c r="E40" s="26">
        <v>25</v>
      </c>
      <c r="F40" s="26" t="s">
        <v>256</v>
      </c>
      <c r="G40" s="1">
        <f>D40*E40</f>
        <v>250</v>
      </c>
      <c r="H40" s="1"/>
    </row>
    <row r="41" spans="1:8" x14ac:dyDescent="0.25">
      <c r="A41" s="31"/>
      <c r="B41" s="1" t="s">
        <v>265</v>
      </c>
      <c r="C41" s="1"/>
      <c r="D41" s="1">
        <v>69</v>
      </c>
      <c r="E41" s="26">
        <v>2.5</v>
      </c>
      <c r="F41" s="26" t="s">
        <v>254</v>
      </c>
      <c r="G41" s="26">
        <f t="shared" ref="G41:G42" si="3">D41*E41</f>
        <v>172.5</v>
      </c>
      <c r="H41" s="1"/>
    </row>
    <row r="42" spans="1:8" x14ac:dyDescent="0.25">
      <c r="A42" s="31"/>
      <c r="B42" s="1" t="s">
        <v>266</v>
      </c>
      <c r="C42" s="1"/>
      <c r="D42" s="1">
        <v>19.8</v>
      </c>
      <c r="E42" s="26">
        <v>8</v>
      </c>
      <c r="F42" s="26" t="s">
        <v>254</v>
      </c>
      <c r="G42" s="26">
        <f t="shared" si="3"/>
        <v>158.4</v>
      </c>
      <c r="H42" s="1"/>
    </row>
    <row r="43" spans="1:8" x14ac:dyDescent="0.25">
      <c r="A43" s="31"/>
      <c r="B43" s="1"/>
      <c r="C43" s="1"/>
      <c r="D43" s="1"/>
      <c r="E43" s="26"/>
      <c r="F43" s="26"/>
      <c r="G43" s="1"/>
      <c r="H43" s="1"/>
    </row>
    <row r="44" spans="1:8" x14ac:dyDescent="0.25">
      <c r="A44" s="31"/>
      <c r="B44" s="32" t="s">
        <v>49</v>
      </c>
      <c r="C44" s="33"/>
      <c r="D44" s="34"/>
      <c r="E44" s="27"/>
      <c r="F44" s="27"/>
      <c r="G44" s="16">
        <f>SUM(G40:G43)</f>
        <v>580.9</v>
      </c>
      <c r="H44" s="1"/>
    </row>
    <row r="45" spans="1:8" x14ac:dyDescent="0.25">
      <c r="A45" s="1"/>
      <c r="B45" s="38" t="s">
        <v>27</v>
      </c>
      <c r="C45" s="39"/>
      <c r="D45" s="40"/>
      <c r="E45" s="28"/>
      <c r="F45" s="28"/>
      <c r="G45" s="19">
        <f>G44+G38+G34+G30+G20+G14+G7</f>
        <v>20221.599999999999</v>
      </c>
      <c r="H45" s="1"/>
    </row>
  </sheetData>
  <mergeCells count="16">
    <mergeCell ref="A40:A44"/>
    <mergeCell ref="B44:D44"/>
    <mergeCell ref="B45:D45"/>
    <mergeCell ref="A22:A30"/>
    <mergeCell ref="B30:D30"/>
    <mergeCell ref="A32:A34"/>
    <mergeCell ref="B34:D34"/>
    <mergeCell ref="A36:A38"/>
    <mergeCell ref="B38:D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1125+</vt:lpstr>
      <vt:lpstr>1126+</vt:lpstr>
      <vt:lpstr>1127+</vt:lpstr>
      <vt:lpstr>1128</vt:lpstr>
      <vt:lpstr>1129</vt:lpstr>
      <vt:lpstr>'1125+'!Print_Area</vt:lpstr>
      <vt:lpstr>'1126+'!Print_Area</vt:lpstr>
      <vt:lpstr>'1127+'!Print_Area</vt:lpstr>
      <vt:lpstr>'1128'!Print_Area</vt:lpstr>
      <vt:lpstr>'1129'!Print_Area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2024-11-28T08:48:22Z</cp:lastPrinted>
  <dcterms:created xsi:type="dcterms:W3CDTF">2024-11-12T07:04:42Z</dcterms:created>
  <dcterms:modified xsi:type="dcterms:W3CDTF">2024-11-28T08:48:44Z</dcterms:modified>
</cp:coreProperties>
</file>