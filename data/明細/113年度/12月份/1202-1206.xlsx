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12月份\"/>
    </mc:Choice>
  </mc:AlternateContent>
  <bookViews>
    <workbookView xWindow="0" yWindow="0" windowWidth="28800" windowHeight="12255" activeTab="3"/>
  </bookViews>
  <sheets>
    <sheet name="1202+" sheetId="1" r:id="rId1"/>
    <sheet name="1203+" sheetId="2" r:id="rId2"/>
    <sheet name="1204+" sheetId="3" r:id="rId3"/>
    <sheet name="1205+" sheetId="4" r:id="rId4"/>
    <sheet name="1206+" sheetId="5" r:id="rId5"/>
  </sheets>
  <definedNames>
    <definedName name="_xlnm.Print_Area" localSheetId="0">'1202+'!$A$1:$H$47</definedName>
    <definedName name="_xlnm.Print_Area" localSheetId="1">'1203+'!$A$1:$H$45</definedName>
    <definedName name="_xlnm.Print_Area" localSheetId="2">'1204+'!$A$1:$H$44</definedName>
    <definedName name="_xlnm.Print_Area" localSheetId="3">'1205+'!$A$1:$H$42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9" i="5" l="1"/>
  <c r="G33" i="5"/>
  <c r="G34" i="5"/>
  <c r="G35" i="5"/>
  <c r="G36" i="5"/>
  <c r="G37" i="5"/>
  <c r="G38" i="5"/>
  <c r="G32" i="5"/>
  <c r="G55" i="5"/>
  <c r="G56" i="5"/>
  <c r="G57" i="5"/>
  <c r="G58" i="5"/>
  <c r="G59" i="5"/>
  <c r="G48" i="5"/>
  <c r="G47" i="5"/>
  <c r="G46" i="5"/>
  <c r="G49" i="5" s="1"/>
  <c r="G43" i="5"/>
  <c r="G42" i="5"/>
  <c r="G41" i="5"/>
  <c r="G20" i="5"/>
  <c r="G10" i="5"/>
  <c r="G11" i="5"/>
  <c r="G31" i="5"/>
  <c r="G14" i="5"/>
  <c r="G7" i="5"/>
  <c r="G4" i="5"/>
  <c r="G3" i="5"/>
  <c r="G30" i="5"/>
  <c r="G29" i="5"/>
  <c r="G28" i="5"/>
  <c r="G25" i="5"/>
  <c r="G26" i="5"/>
  <c r="G27" i="5"/>
  <c r="G53" i="5"/>
  <c r="G54" i="5"/>
  <c r="G45" i="5"/>
  <c r="G17" i="5"/>
  <c r="G16" i="5"/>
  <c r="G23" i="5"/>
  <c r="G24" i="5"/>
  <c r="G22" i="5"/>
  <c r="G52" i="5"/>
  <c r="G51" i="5"/>
  <c r="G9" i="5"/>
  <c r="G60" i="5" l="1"/>
  <c r="G61" i="5" s="1"/>
  <c r="G37" i="2"/>
  <c r="G38" i="2" s="1"/>
  <c r="G31" i="4"/>
  <c r="G30" i="4"/>
  <c r="G42" i="4"/>
  <c r="G41" i="4"/>
  <c r="G35" i="4"/>
  <c r="G34" i="4"/>
  <c r="G38" i="4"/>
  <c r="G37" i="4"/>
  <c r="G21" i="4"/>
  <c r="G14" i="4"/>
  <c r="G10" i="4"/>
  <c r="G11" i="4"/>
  <c r="G12" i="4"/>
  <c r="G9" i="4"/>
  <c r="G7" i="4"/>
  <c r="G4" i="4"/>
  <c r="G3" i="4"/>
  <c r="G17" i="4"/>
  <c r="G18" i="4"/>
  <c r="G19" i="4"/>
  <c r="G20" i="4"/>
  <c r="G16" i="4"/>
  <c r="G33" i="4"/>
  <c r="G24" i="3" l="1"/>
  <c r="G25" i="3"/>
  <c r="G33" i="3"/>
  <c r="G14" i="3"/>
  <c r="G44" i="3" s="1"/>
  <c r="G10" i="3"/>
  <c r="G11" i="3"/>
  <c r="G12" i="3"/>
  <c r="G7" i="3"/>
  <c r="G3" i="3"/>
  <c r="G43" i="3"/>
  <c r="G40" i="3"/>
  <c r="G26" i="3"/>
  <c r="G23" i="3"/>
  <c r="G22" i="3"/>
  <c r="G37" i="3"/>
  <c r="G36" i="3"/>
  <c r="G29" i="3"/>
  <c r="G30" i="3"/>
  <c r="G31" i="3"/>
  <c r="G32" i="3"/>
  <c r="G28" i="3"/>
  <c r="G9" i="3"/>
  <c r="G39" i="3"/>
  <c r="G35" i="3"/>
  <c r="G27" i="2" l="1"/>
  <c r="G23" i="2"/>
  <c r="G44" i="2"/>
  <c r="G40" i="2"/>
  <c r="G36" i="2"/>
  <c r="G31" i="2"/>
  <c r="G30" i="2"/>
  <c r="G9" i="2"/>
  <c r="G10" i="2"/>
  <c r="G20" i="2"/>
  <c r="G22" i="2"/>
  <c r="G35" i="2"/>
  <c r="G11" i="2"/>
  <c r="G14" i="2" s="1"/>
  <c r="G17" i="2"/>
  <c r="G18" i="2"/>
  <c r="G19" i="2"/>
  <c r="G16" i="2"/>
  <c r="G7" i="2"/>
  <c r="G3" i="2"/>
  <c r="G34" i="2"/>
  <c r="G33" i="2"/>
  <c r="G45" i="2" l="1"/>
  <c r="G47" i="1"/>
  <c r="G18" i="1"/>
  <c r="G19" i="1"/>
  <c r="G20" i="1"/>
  <c r="G21" i="1"/>
  <c r="G37" i="1"/>
  <c r="G38" i="1"/>
  <c r="G10" i="1"/>
  <c r="G11" i="1"/>
  <c r="G12" i="1"/>
  <c r="G13" i="1"/>
  <c r="G14" i="1"/>
  <c r="G9" i="1"/>
  <c r="G3" i="1"/>
  <c r="G7" i="1" s="1"/>
  <c r="G29" i="1"/>
  <c r="G28" i="1"/>
  <c r="G27" i="1"/>
  <c r="G26" i="1"/>
  <c r="G25" i="1"/>
  <c r="G24" i="1"/>
  <c r="G30" i="1" s="1"/>
  <c r="G15" i="1" l="1"/>
  <c r="G36" i="1" l="1"/>
  <c r="G40" i="1" s="1"/>
  <c r="G42" i="1"/>
  <c r="G46" i="1" s="1"/>
  <c r="G17" i="1"/>
  <c r="G22" i="1" s="1"/>
</calcChain>
</file>

<file path=xl/sharedStrings.xml><?xml version="1.0" encoding="utf-8"?>
<sst xmlns="http://schemas.openxmlformats.org/spreadsheetml/2006/main" count="590" uniqueCount="201">
  <si>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</si>
  <si>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</si>
  <si>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</si>
  <si>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</si>
  <si>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</si>
  <si>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</si>
  <si>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</si>
  <si>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</si>
  <si>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紅蘿蔔絲</t>
    <phoneticPr fontId="2" type="noConversion"/>
  </si>
  <si>
    <t>去皮洋蔥</t>
    <phoneticPr fontId="2" type="noConversion"/>
  </si>
  <si>
    <t>10斤</t>
    <phoneticPr fontId="2" type="noConversion"/>
  </si>
  <si>
    <t>蛋</t>
    <phoneticPr fontId="2" type="noConversion"/>
  </si>
  <si>
    <t>1件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</si>
  <si>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</si>
  <si>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木耳絲</t>
    <phoneticPr fontId="2" type="noConversion"/>
  </si>
  <si>
    <t>4斤</t>
    <phoneticPr fontId="2" type="noConversion"/>
  </si>
  <si>
    <t>8斤</t>
    <phoneticPr fontId="2" type="noConversion"/>
  </si>
  <si>
    <t>雜貨</t>
    <phoneticPr fontId="2" type="noConversion"/>
  </si>
  <si>
    <t>湯品</t>
    <phoneticPr fontId="2" type="noConversion"/>
  </si>
  <si>
    <t>庫存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</si>
  <si>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</si>
  <si>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</si>
  <si>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</si>
  <si>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113年      12月   2日      午餐明細表</t>
    <phoneticPr fontId="2" type="noConversion"/>
  </si>
  <si>
    <t>電訊科技中心(安康營區)     113年      12月   3日      午餐明細表</t>
    <phoneticPr fontId="2" type="noConversion"/>
  </si>
  <si>
    <t>電訊科技中心(安康營區)     113年      12月   4日      午餐明細表</t>
    <phoneticPr fontId="2" type="noConversion"/>
  </si>
  <si>
    <t>電訊科技中心(安康營區)     113年      12月   5日      午餐明細表</t>
    <phoneticPr fontId="2" type="noConversion"/>
  </si>
  <si>
    <t>電訊科技中心(安康營區)     113年      12月   6日      午餐明細表</t>
    <phoneticPr fontId="2" type="noConversion"/>
  </si>
  <si>
    <t>蔥油雞</t>
    <phoneticPr fontId="2" type="noConversion"/>
  </si>
  <si>
    <t>木耳炒肉絲</t>
    <phoneticPr fontId="2" type="noConversion"/>
  </si>
  <si>
    <t>宮保豆腐</t>
    <phoneticPr fontId="2" type="noConversion"/>
  </si>
  <si>
    <t>紫菜蛋花湯</t>
    <phoneticPr fontId="2" type="noConversion"/>
  </si>
  <si>
    <t>紫菜</t>
    <phoneticPr fontId="2" type="noConversion"/>
  </si>
  <si>
    <t>腿排</t>
    <phoneticPr fontId="2" type="noConversion"/>
  </si>
  <si>
    <t>250個</t>
    <phoneticPr fontId="2" type="noConversion"/>
  </si>
  <si>
    <t>肉絲</t>
    <phoneticPr fontId="2" type="noConversion"/>
  </si>
  <si>
    <t>薑絲</t>
    <phoneticPr fontId="2" type="noConversion"/>
  </si>
  <si>
    <t>薑</t>
    <phoneticPr fontId="2" type="noConversion"/>
  </si>
  <si>
    <t>半斤</t>
    <phoneticPr fontId="2" type="noConversion"/>
  </si>
  <si>
    <t>1斤</t>
    <phoneticPr fontId="2" type="noConversion"/>
  </si>
  <si>
    <t>5斤</t>
    <phoneticPr fontId="2" type="noConversion"/>
  </si>
  <si>
    <t>25斤</t>
    <phoneticPr fontId="2" type="noConversion"/>
  </si>
  <si>
    <t>15斤</t>
    <phoneticPr fontId="2" type="noConversion"/>
  </si>
  <si>
    <t>20斤</t>
    <phoneticPr fontId="2" type="noConversion"/>
  </si>
  <si>
    <t>3斤</t>
    <phoneticPr fontId="2" type="noConversion"/>
  </si>
  <si>
    <t>油豆腐丁</t>
    <phoneticPr fontId="2" type="noConversion"/>
  </si>
  <si>
    <t>川耳</t>
    <phoneticPr fontId="2" type="noConversion"/>
  </si>
  <si>
    <t>紅蘿蔔</t>
    <phoneticPr fontId="2" type="noConversion"/>
  </si>
  <si>
    <t>杏鮑菇</t>
    <phoneticPr fontId="2" type="noConversion"/>
  </si>
  <si>
    <t>2斤</t>
    <phoneticPr fontId="2" type="noConversion"/>
  </si>
  <si>
    <t>鐵路豬排</t>
    <phoneticPr fontId="2" type="noConversion"/>
  </si>
  <si>
    <t>小黃瓜炒雞丁</t>
    <phoneticPr fontId="2" type="noConversion"/>
  </si>
  <si>
    <t>玉米培根炒蛋</t>
    <phoneticPr fontId="2" type="noConversion"/>
  </si>
  <si>
    <t>紅豆芋圓湯</t>
    <phoneticPr fontId="2" type="noConversion"/>
  </si>
  <si>
    <t>紅豆</t>
    <phoneticPr fontId="2" type="noConversion"/>
  </si>
  <si>
    <t>地瓜圓</t>
    <phoneticPr fontId="2" type="noConversion"/>
  </si>
  <si>
    <t>4件</t>
    <phoneticPr fontId="2" type="noConversion"/>
  </si>
  <si>
    <t>小黃瓜</t>
    <phoneticPr fontId="2" type="noConversion"/>
  </si>
  <si>
    <t>雞胸肉丁2X2</t>
    <phoneticPr fontId="2" type="noConversion"/>
  </si>
  <si>
    <t>冷凍玉米粒</t>
    <phoneticPr fontId="2" type="noConversion"/>
  </si>
  <si>
    <t>培根碎</t>
    <phoneticPr fontId="2" type="noConversion"/>
  </si>
  <si>
    <t>1包</t>
    <phoneticPr fontId="2" type="noConversion"/>
  </si>
  <si>
    <t>阿在伯水餃(乾)</t>
    <phoneticPr fontId="2" type="noConversion"/>
  </si>
  <si>
    <t>水餃</t>
    <phoneticPr fontId="2" type="noConversion"/>
  </si>
  <si>
    <t>素食水餃</t>
    <phoneticPr fontId="2" type="noConversion"/>
  </si>
  <si>
    <t>5件</t>
    <phoneticPr fontId="2" type="noConversion"/>
  </si>
  <si>
    <t>3包</t>
    <phoneticPr fontId="2" type="noConversion"/>
  </si>
  <si>
    <t>豬肉餡餅</t>
    <phoneticPr fontId="2" type="noConversion"/>
  </si>
  <si>
    <t>滷味拼盤</t>
    <phoneticPr fontId="2" type="noConversion"/>
  </si>
  <si>
    <t>酸辣湯</t>
    <phoneticPr fontId="2" type="noConversion"/>
  </si>
  <si>
    <t>家常嫩豆腐</t>
    <phoneticPr fontId="2" type="noConversion"/>
  </si>
  <si>
    <t>鴨血</t>
    <phoneticPr fontId="2" type="noConversion"/>
  </si>
  <si>
    <t>筍絲</t>
    <phoneticPr fontId="2" type="noConversion"/>
  </si>
  <si>
    <t>10盒</t>
    <phoneticPr fontId="2" type="noConversion"/>
  </si>
  <si>
    <t>10個</t>
    <phoneticPr fontId="2" type="noConversion"/>
  </si>
  <si>
    <t>270個</t>
    <phoneticPr fontId="2" type="noConversion"/>
  </si>
  <si>
    <t>豆干2X2</t>
    <phoneticPr fontId="2" type="noConversion"/>
  </si>
  <si>
    <t>鳥蛋</t>
    <phoneticPr fontId="2" type="noConversion"/>
  </si>
  <si>
    <t>素肚切片</t>
    <phoneticPr fontId="2" type="noConversion"/>
  </si>
  <si>
    <t>米血丁</t>
    <phoneticPr fontId="2" type="noConversion"/>
  </si>
  <si>
    <t>700粒</t>
    <phoneticPr fontId="2" type="noConversion"/>
  </si>
  <si>
    <t>咖哩魚片</t>
    <phoneticPr fontId="2" type="noConversion"/>
  </si>
  <si>
    <t>豆芽菜炒肉絲</t>
    <phoneticPr fontId="2" type="noConversion"/>
  </si>
  <si>
    <t>雙色花椰菜</t>
    <phoneticPr fontId="2" type="noConversion"/>
  </si>
  <si>
    <t>味增豆腐湯</t>
    <phoneticPr fontId="2" type="noConversion"/>
  </si>
  <si>
    <t>味增</t>
    <phoneticPr fontId="2" type="noConversion"/>
  </si>
  <si>
    <t>4.3豆腐</t>
    <phoneticPr fontId="2" type="noConversion"/>
  </si>
  <si>
    <t>3板</t>
    <phoneticPr fontId="2" type="noConversion"/>
  </si>
  <si>
    <t>1箱</t>
    <phoneticPr fontId="2" type="noConversion"/>
  </si>
  <si>
    <t>鯛魚片</t>
    <phoneticPr fontId="2" type="noConversion"/>
  </si>
  <si>
    <t>咖哩塊(大)</t>
    <phoneticPr fontId="2" type="noConversion"/>
  </si>
  <si>
    <t>2盒</t>
    <phoneticPr fontId="2" type="noConversion"/>
  </si>
  <si>
    <t>270片</t>
    <phoneticPr fontId="2" type="noConversion"/>
  </si>
  <si>
    <t>豆芽菜</t>
    <phoneticPr fontId="2" type="noConversion"/>
  </si>
  <si>
    <t>30斤</t>
    <phoneticPr fontId="2" type="noConversion"/>
  </si>
  <si>
    <t>冷凍青花菜</t>
    <phoneticPr fontId="2" type="noConversion"/>
  </si>
  <si>
    <t>冷凍白花菜</t>
    <phoneticPr fontId="2" type="noConversion"/>
  </si>
  <si>
    <t>紅椒</t>
    <phoneticPr fontId="2" type="noConversion"/>
  </si>
  <si>
    <t>黃椒</t>
    <phoneticPr fontId="2" type="noConversion"/>
  </si>
  <si>
    <t>2件</t>
    <phoneticPr fontId="2" type="noConversion"/>
  </si>
  <si>
    <t>麵輪滷肉</t>
    <phoneticPr fontId="2" type="noConversion"/>
  </si>
  <si>
    <t>豬肉塊</t>
    <phoneticPr fontId="2" type="noConversion"/>
  </si>
  <si>
    <t>40斤</t>
    <phoneticPr fontId="2" type="noConversion"/>
  </si>
  <si>
    <t>白蘿蔔</t>
    <phoneticPr fontId="2" type="noConversion"/>
  </si>
  <si>
    <t>三色蛋</t>
    <phoneticPr fontId="2" type="noConversion"/>
  </si>
  <si>
    <t>皮蛋</t>
    <phoneticPr fontId="2" type="noConversion"/>
  </si>
  <si>
    <t>鹹蛋</t>
    <phoneticPr fontId="2" type="noConversion"/>
  </si>
  <si>
    <t>50顆</t>
    <phoneticPr fontId="2" type="noConversion"/>
  </si>
  <si>
    <t>梅子地瓜</t>
    <phoneticPr fontId="2" type="noConversion"/>
  </si>
  <si>
    <t>地瓜塊3X3</t>
    <phoneticPr fontId="2" type="noConversion"/>
  </si>
  <si>
    <t>梅子粉</t>
    <phoneticPr fontId="2" type="noConversion"/>
  </si>
  <si>
    <t>竹筍排骨湯</t>
    <phoneticPr fontId="2" type="noConversion"/>
  </si>
  <si>
    <t>桶筍片</t>
    <phoneticPr fontId="2" type="noConversion"/>
  </si>
  <si>
    <t>軟骨排</t>
    <phoneticPr fontId="2" type="noConversion"/>
  </si>
  <si>
    <t>訂貨數量</t>
    <phoneticPr fontId="2" type="noConversion"/>
  </si>
  <si>
    <t>斤</t>
    <phoneticPr fontId="2" type="noConversion"/>
  </si>
  <si>
    <t>冷凍青花菜</t>
    <phoneticPr fontId="2" type="noConversion"/>
  </si>
  <si>
    <t>小籠包</t>
    <phoneticPr fontId="2" type="noConversion"/>
  </si>
  <si>
    <t>個</t>
    <phoneticPr fontId="2" type="noConversion"/>
  </si>
  <si>
    <t>包</t>
    <phoneticPr fontId="2" type="noConversion"/>
  </si>
  <si>
    <t>果醋</t>
    <phoneticPr fontId="2" type="noConversion"/>
  </si>
  <si>
    <t>箱</t>
    <phoneticPr fontId="2" type="noConversion"/>
  </si>
  <si>
    <t>蒜仁</t>
    <phoneticPr fontId="2" type="noConversion"/>
  </si>
  <si>
    <t>斤</t>
    <phoneticPr fontId="2" type="noConversion"/>
  </si>
  <si>
    <t>辣椒</t>
    <phoneticPr fontId="2" type="noConversion"/>
  </si>
  <si>
    <t>洗選蛋</t>
    <phoneticPr fontId="2" type="noConversion"/>
  </si>
  <si>
    <t>老薑</t>
    <phoneticPr fontId="2" type="noConversion"/>
  </si>
  <si>
    <t>青蔥</t>
    <phoneticPr fontId="2" type="noConversion"/>
  </si>
  <si>
    <t>鮮木耳</t>
    <phoneticPr fontId="2" type="noConversion"/>
  </si>
  <si>
    <t>紅蘿蔔</t>
    <phoneticPr fontId="2" type="noConversion"/>
  </si>
  <si>
    <t>訂貨數量</t>
    <phoneticPr fontId="2" type="noConversion"/>
  </si>
  <si>
    <t>包</t>
    <phoneticPr fontId="2" type="noConversion"/>
  </si>
  <si>
    <t>斤</t>
    <phoneticPr fontId="2" type="noConversion"/>
  </si>
  <si>
    <t>柳丁</t>
    <phoneticPr fontId="2" type="noConversion"/>
  </si>
  <si>
    <t>件</t>
    <phoneticPr fontId="2" type="noConversion"/>
  </si>
  <si>
    <t>冷凍青花菜</t>
    <phoneticPr fontId="2" type="noConversion"/>
  </si>
  <si>
    <t>五穀米</t>
    <phoneticPr fontId="2" type="noConversion"/>
  </si>
  <si>
    <t>沙拉油</t>
    <phoneticPr fontId="2" type="noConversion"/>
  </si>
  <si>
    <t>桶</t>
    <phoneticPr fontId="2" type="noConversion"/>
  </si>
  <si>
    <t>鮮木耳</t>
    <phoneticPr fontId="2" type="noConversion"/>
  </si>
  <si>
    <t>香腸</t>
    <phoneticPr fontId="2" type="noConversion"/>
  </si>
  <si>
    <t>訂貨數量</t>
    <phoneticPr fontId="2" type="noConversion"/>
  </si>
  <si>
    <t>椪柑</t>
    <phoneticPr fontId="2" type="noConversion"/>
  </si>
  <si>
    <t>斤</t>
    <phoneticPr fontId="2" type="noConversion"/>
  </si>
  <si>
    <t>包</t>
    <phoneticPr fontId="2" type="noConversion"/>
  </si>
  <si>
    <t>個</t>
    <phoneticPr fontId="2" type="noConversion"/>
  </si>
  <si>
    <t>高麗菜</t>
    <phoneticPr fontId="2" type="noConversion"/>
  </si>
  <si>
    <t>前腿肉片</t>
    <phoneticPr fontId="2" type="noConversion"/>
  </si>
  <si>
    <t>蒜泥</t>
    <phoneticPr fontId="2" type="noConversion"/>
  </si>
  <si>
    <t>盒</t>
    <phoneticPr fontId="2" type="noConversion"/>
  </si>
  <si>
    <t>五花肉片</t>
    <phoneticPr fontId="2" type="noConversion"/>
  </si>
  <si>
    <t>蘿蔔糕</t>
    <phoneticPr fontId="2" type="noConversion"/>
  </si>
  <si>
    <t>訂貨數量</t>
    <phoneticPr fontId="2" type="noConversion"/>
  </si>
  <si>
    <t>柳丁</t>
    <phoneticPr fontId="2" type="noConversion"/>
  </si>
  <si>
    <t>斤</t>
    <phoneticPr fontId="2" type="noConversion"/>
  </si>
  <si>
    <t>包</t>
    <phoneticPr fontId="2" type="noConversion"/>
  </si>
  <si>
    <t>盒</t>
    <phoneticPr fontId="2" type="noConversion"/>
  </si>
  <si>
    <t>盤</t>
    <phoneticPr fontId="2" type="noConversion"/>
  </si>
  <si>
    <t>烏龍麵</t>
    <phoneticPr fontId="2" type="noConversion"/>
  </si>
  <si>
    <t>白帶魚</t>
    <phoneticPr fontId="2" type="noConversion"/>
  </si>
  <si>
    <t>油菜</t>
    <phoneticPr fontId="2" type="noConversion"/>
  </si>
  <si>
    <t>庫存</t>
    <phoneticPr fontId="2" type="noConversion"/>
  </si>
  <si>
    <t>紅蘿蔔</t>
    <phoneticPr fontId="2" type="noConversion"/>
  </si>
  <si>
    <t>空酒瓶</t>
    <phoneticPr fontId="2" type="noConversion"/>
  </si>
  <si>
    <t>訂貨數量</t>
    <phoneticPr fontId="2" type="noConversion"/>
  </si>
  <si>
    <t>斤</t>
    <phoneticPr fontId="2" type="noConversion"/>
  </si>
  <si>
    <t>沙茶醬</t>
    <phoneticPr fontId="2" type="noConversion"/>
  </si>
  <si>
    <t>桶</t>
    <phoneticPr fontId="2" type="noConversion"/>
  </si>
  <si>
    <t>馬鈴薯</t>
    <phoneticPr fontId="2" type="noConversion"/>
  </si>
  <si>
    <t>小黃瓜</t>
    <phoneticPr fontId="2" type="noConversion"/>
  </si>
  <si>
    <t>紅蘿蔔</t>
    <phoneticPr fontId="2" type="noConversion"/>
  </si>
  <si>
    <t>絞肉</t>
    <phoneticPr fontId="2" type="noConversion"/>
  </si>
  <si>
    <t>青蔥</t>
    <phoneticPr fontId="2" type="noConversion"/>
  </si>
  <si>
    <t>前腿肉塊</t>
    <phoneticPr fontId="2" type="noConversion"/>
  </si>
  <si>
    <t>包</t>
    <phoneticPr fontId="2" type="noConversion"/>
  </si>
  <si>
    <t>冷涷青花菜</t>
    <phoneticPr fontId="2" type="noConversion"/>
  </si>
  <si>
    <t>鍋貼</t>
    <phoneticPr fontId="2" type="noConversion"/>
  </si>
  <si>
    <t>個</t>
    <phoneticPr fontId="2" type="noConversion"/>
  </si>
  <si>
    <t>紅茶鋁箔包</t>
    <phoneticPr fontId="2" type="noConversion"/>
  </si>
  <si>
    <t>件</t>
    <phoneticPr fontId="2" type="noConversion"/>
  </si>
  <si>
    <t>小磨坊胡椒粉</t>
    <phoneticPr fontId="2" type="noConversion"/>
  </si>
  <si>
    <t>盒</t>
    <phoneticPr fontId="2" type="noConversion"/>
  </si>
  <si>
    <t>乾辣椒</t>
    <phoneticPr fontId="2" type="noConversion"/>
  </si>
  <si>
    <t>味素</t>
    <phoneticPr fontId="2" type="noConversion"/>
  </si>
  <si>
    <t>辣豆瓣</t>
    <phoneticPr fontId="2" type="noConversion"/>
  </si>
  <si>
    <t>桂冠沙拉</t>
    <phoneticPr fontId="2" type="noConversion"/>
  </si>
  <si>
    <t>綠咖哩醬</t>
    <phoneticPr fontId="2" type="noConversion"/>
  </si>
  <si>
    <t>洗選蛋</t>
    <phoneticPr fontId="2" type="noConversion"/>
  </si>
  <si>
    <t>木耳</t>
    <phoneticPr fontId="2" type="noConversion"/>
  </si>
  <si>
    <t>養樂多</t>
    <phoneticPr fontId="2" type="noConversion"/>
  </si>
  <si>
    <t>瓶</t>
    <phoneticPr fontId="2" type="noConversion"/>
  </si>
  <si>
    <t>滷蛋</t>
    <phoneticPr fontId="2" type="noConversion"/>
  </si>
  <si>
    <t>海帶捲</t>
    <phoneticPr fontId="2" type="noConversion"/>
  </si>
  <si>
    <t>油麵</t>
    <phoneticPr fontId="2" type="noConversion"/>
  </si>
  <si>
    <t>沙拉油</t>
    <phoneticPr fontId="2" type="noConversion"/>
  </si>
  <si>
    <t>素蠔油</t>
    <phoneticPr fontId="2" type="noConversion"/>
  </si>
  <si>
    <t>油膏</t>
    <phoneticPr fontId="2" type="noConversion"/>
  </si>
  <si>
    <t>醬油</t>
    <phoneticPr fontId="2" type="noConversion"/>
  </si>
  <si>
    <t>米酒</t>
    <phoneticPr fontId="2" type="noConversion"/>
  </si>
  <si>
    <t>烏醋</t>
    <phoneticPr fontId="2" type="noConversion"/>
  </si>
  <si>
    <t>香油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</si>
</sst>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  <font>
      <sz val="12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topLeftCell="A13" workbookViewId="0">
      <selection activeCell="B24" sqref="B24:G29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0" t="s">
        <v>23</v>
      </c>
      <c r="B1" s="41"/>
      <c r="C1" s="41"/>
      <c r="D1" s="41"/>
      <c r="E1" s="41"/>
      <c r="F1" s="41"/>
      <c r="G1" s="41"/>
      <c r="H1" s="4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114</v>
      </c>
      <c r="F2" s="2"/>
      <c r="G2" s="1" t="s">
        <v>4</v>
      </c>
      <c r="H2" s="1" t="s">
        <v>5</v>
      </c>
    </row>
    <row r="3" spans="1:8" x14ac:dyDescent="0.25">
      <c r="A3" s="36" t="s">
        <v>28</v>
      </c>
      <c r="B3" s="1" t="s">
        <v>33</v>
      </c>
      <c r="C3" s="1" t="s">
        <v>34</v>
      </c>
      <c r="D3" s="1">
        <v>66</v>
      </c>
      <c r="E3" s="31">
        <v>63.4</v>
      </c>
      <c r="F3" s="31" t="s">
        <v>115</v>
      </c>
      <c r="G3" s="32">
        <f>E3*D3</f>
        <v>4184.3999999999996</v>
      </c>
      <c r="H3" s="1"/>
    </row>
    <row r="4" spans="1:8" x14ac:dyDescent="0.25">
      <c r="A4" s="36"/>
      <c r="B4" s="1"/>
      <c r="C4" s="1"/>
      <c r="D4" s="1"/>
      <c r="E4" s="2"/>
      <c r="F4" s="2"/>
      <c r="G4" s="1"/>
      <c r="H4" s="1"/>
    </row>
    <row r="5" spans="1:8" x14ac:dyDescent="0.25">
      <c r="A5" s="36"/>
      <c r="B5" s="1"/>
      <c r="C5" s="1"/>
      <c r="D5" s="1"/>
      <c r="E5" s="2"/>
      <c r="F5" s="2"/>
      <c r="G5" s="1"/>
      <c r="H5" s="1"/>
    </row>
    <row r="6" spans="1:8" x14ac:dyDescent="0.25">
      <c r="A6" s="36"/>
      <c r="B6" s="1"/>
      <c r="C6" s="1"/>
      <c r="D6" s="1"/>
      <c r="E6" s="4"/>
      <c r="F6" s="4"/>
      <c r="G6" s="3"/>
      <c r="H6" s="1"/>
    </row>
    <row r="7" spans="1:8" x14ac:dyDescent="0.25">
      <c r="A7" s="36"/>
      <c r="B7" s="37" t="s">
        <v>6</v>
      </c>
      <c r="C7" s="38"/>
      <c r="D7" s="39"/>
      <c r="E7" s="4"/>
      <c r="F7" s="4"/>
      <c r="G7" s="19">
        <f>SUM(G3:G6)</f>
        <v>4184.3999999999996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2" t="s">
        <v>114</v>
      </c>
      <c r="F8" s="2"/>
      <c r="G8" s="1" t="s">
        <v>4</v>
      </c>
      <c r="H8" s="1" t="s">
        <v>5</v>
      </c>
    </row>
    <row r="9" spans="1:8" x14ac:dyDescent="0.25">
      <c r="A9" s="36" t="s">
        <v>29</v>
      </c>
      <c r="B9" s="1" t="s">
        <v>14</v>
      </c>
      <c r="C9" s="1" t="s">
        <v>42</v>
      </c>
      <c r="D9" s="1">
        <v>45</v>
      </c>
      <c r="E9" s="2">
        <v>15</v>
      </c>
      <c r="F9" s="2" t="s">
        <v>115</v>
      </c>
      <c r="G9" s="1">
        <f>D9*E9</f>
        <v>675</v>
      </c>
      <c r="H9" s="1"/>
    </row>
    <row r="10" spans="1:8" x14ac:dyDescent="0.25">
      <c r="A10" s="36"/>
      <c r="B10" s="1" t="s">
        <v>35</v>
      </c>
      <c r="C10" s="1" t="s">
        <v>43</v>
      </c>
      <c r="D10" s="1">
        <v>99</v>
      </c>
      <c r="E10" s="2">
        <v>20</v>
      </c>
      <c r="F10" s="2" t="s">
        <v>115</v>
      </c>
      <c r="G10" s="2">
        <f t="shared" ref="G10:G14" si="0">D10*E10</f>
        <v>1980</v>
      </c>
      <c r="H10" s="1"/>
    </row>
    <row r="11" spans="1:8" x14ac:dyDescent="0.25">
      <c r="A11" s="36"/>
      <c r="B11" s="1" t="s">
        <v>8</v>
      </c>
      <c r="C11" s="1" t="s">
        <v>44</v>
      </c>
      <c r="D11" s="1">
        <v>27.36</v>
      </c>
      <c r="E11" s="2">
        <v>3</v>
      </c>
      <c r="F11" s="2" t="s">
        <v>115</v>
      </c>
      <c r="G11" s="2">
        <f t="shared" si="0"/>
        <v>82.08</v>
      </c>
      <c r="H11" s="1"/>
    </row>
    <row r="12" spans="1:8" x14ac:dyDescent="0.25">
      <c r="A12" s="36"/>
      <c r="B12" s="1" t="s">
        <v>9</v>
      </c>
      <c r="C12" s="1" t="s">
        <v>40</v>
      </c>
      <c r="D12" s="1">
        <v>28.56</v>
      </c>
      <c r="E12" s="2">
        <v>5</v>
      </c>
      <c r="F12" s="2" t="s">
        <v>115</v>
      </c>
      <c r="G12" s="2">
        <f t="shared" si="0"/>
        <v>142.79999999999998</v>
      </c>
      <c r="H12" s="1"/>
    </row>
    <row r="13" spans="1:8" x14ac:dyDescent="0.25">
      <c r="A13" s="36"/>
      <c r="B13" s="1" t="s">
        <v>37</v>
      </c>
      <c r="C13" s="1" t="s">
        <v>38</v>
      </c>
      <c r="D13" s="1">
        <v>67.5</v>
      </c>
      <c r="E13" s="2">
        <v>0.5</v>
      </c>
      <c r="F13" s="2" t="s">
        <v>115</v>
      </c>
      <c r="G13" s="2">
        <f t="shared" si="0"/>
        <v>33.75</v>
      </c>
      <c r="H13" s="1"/>
    </row>
    <row r="14" spans="1:8" x14ac:dyDescent="0.25">
      <c r="A14" s="36"/>
      <c r="B14" s="1" t="s">
        <v>36</v>
      </c>
      <c r="C14" s="1" t="s">
        <v>39</v>
      </c>
      <c r="D14" s="1">
        <v>85.5</v>
      </c>
      <c r="E14" s="2">
        <v>1</v>
      </c>
      <c r="F14" s="2" t="s">
        <v>115</v>
      </c>
      <c r="G14" s="2">
        <f t="shared" si="0"/>
        <v>85.5</v>
      </c>
      <c r="H14" s="1"/>
    </row>
    <row r="15" spans="1:8" x14ac:dyDescent="0.25">
      <c r="A15" s="36"/>
      <c r="B15" s="37" t="s">
        <v>6</v>
      </c>
      <c r="C15" s="38"/>
      <c r="D15" s="39"/>
      <c r="E15" s="4"/>
      <c r="F15" s="4"/>
      <c r="G15" s="19">
        <f>SUM(G9:G14)</f>
        <v>2999.13</v>
      </c>
      <c r="H15" s="1"/>
    </row>
    <row r="16" spans="1:8" x14ac:dyDescent="0.25">
      <c r="A16" s="1" t="s">
        <v>13</v>
      </c>
      <c r="B16" s="1" t="s">
        <v>1</v>
      </c>
      <c r="C16" s="1" t="s">
        <v>2</v>
      </c>
      <c r="D16" s="1" t="s">
        <v>3</v>
      </c>
      <c r="E16" s="2" t="s">
        <v>114</v>
      </c>
      <c r="F16" s="2"/>
      <c r="G16" s="1" t="s">
        <v>4</v>
      </c>
      <c r="H16" s="1" t="s">
        <v>5</v>
      </c>
    </row>
    <row r="17" spans="1:8" x14ac:dyDescent="0.25">
      <c r="A17" s="36" t="s">
        <v>30</v>
      </c>
      <c r="B17" s="1" t="s">
        <v>45</v>
      </c>
      <c r="C17" s="1" t="s">
        <v>41</v>
      </c>
      <c r="D17" s="1">
        <v>60</v>
      </c>
      <c r="E17" s="2">
        <v>25</v>
      </c>
      <c r="F17" s="2" t="s">
        <v>115</v>
      </c>
      <c r="G17" s="1">
        <f>E17*D17</f>
        <v>1500</v>
      </c>
      <c r="H17" s="1"/>
    </row>
    <row r="18" spans="1:8" x14ac:dyDescent="0.25">
      <c r="A18" s="36"/>
      <c r="B18" s="1" t="s">
        <v>46</v>
      </c>
      <c r="C18" s="1" t="s">
        <v>15</v>
      </c>
      <c r="D18" s="1">
        <v>85</v>
      </c>
      <c r="E18" s="2">
        <v>4</v>
      </c>
      <c r="F18" s="2" t="s">
        <v>115</v>
      </c>
      <c r="G18" s="2">
        <f t="shared" ref="G18:G21" si="1">E18*D18</f>
        <v>340</v>
      </c>
      <c r="H18" s="1"/>
    </row>
    <row r="19" spans="1:8" x14ac:dyDescent="0.25">
      <c r="A19" s="36"/>
      <c r="B19" s="1" t="s">
        <v>48</v>
      </c>
      <c r="C19" s="1" t="s">
        <v>16</v>
      </c>
      <c r="D19" s="1">
        <v>105</v>
      </c>
      <c r="E19" s="2">
        <v>8</v>
      </c>
      <c r="F19" s="2" t="s">
        <v>115</v>
      </c>
      <c r="G19" s="2">
        <f t="shared" si="1"/>
        <v>840</v>
      </c>
      <c r="H19" s="1"/>
    </row>
    <row r="20" spans="1:8" x14ac:dyDescent="0.25">
      <c r="A20" s="36"/>
      <c r="B20" s="1" t="s">
        <v>47</v>
      </c>
      <c r="C20" s="1" t="s">
        <v>49</v>
      </c>
      <c r="D20" s="1">
        <v>21.6</v>
      </c>
      <c r="E20" s="2">
        <v>2</v>
      </c>
      <c r="F20" s="2" t="s">
        <v>115</v>
      </c>
      <c r="G20" s="2">
        <f t="shared" si="1"/>
        <v>43.2</v>
      </c>
      <c r="H20" s="1"/>
    </row>
    <row r="21" spans="1:8" x14ac:dyDescent="0.25">
      <c r="A21" s="36"/>
      <c r="B21" s="1" t="s">
        <v>9</v>
      </c>
      <c r="C21" s="1" t="s">
        <v>40</v>
      </c>
      <c r="D21" s="2">
        <v>28.56</v>
      </c>
      <c r="E21" s="2">
        <v>5</v>
      </c>
      <c r="F21" s="2" t="s">
        <v>115</v>
      </c>
      <c r="G21" s="2">
        <f t="shared" si="1"/>
        <v>142.79999999999998</v>
      </c>
      <c r="H21" s="1"/>
    </row>
    <row r="22" spans="1:8" x14ac:dyDescent="0.25">
      <c r="A22" s="36"/>
      <c r="B22" s="37" t="s">
        <v>6</v>
      </c>
      <c r="C22" s="38"/>
      <c r="D22" s="39"/>
      <c r="E22" s="4"/>
      <c r="F22" s="4"/>
      <c r="G22" s="14">
        <f>SUM(G17:G21)</f>
        <v>2866</v>
      </c>
      <c r="H22" s="1"/>
    </row>
    <row r="23" spans="1:8" x14ac:dyDescent="0.25">
      <c r="A23" s="5" t="s">
        <v>17</v>
      </c>
      <c r="B23" s="1" t="s">
        <v>1</v>
      </c>
      <c r="C23" s="1" t="s">
        <v>2</v>
      </c>
      <c r="D23" s="1" t="s">
        <v>3</v>
      </c>
      <c r="E23" s="2" t="s">
        <v>114</v>
      </c>
      <c r="F23" s="2"/>
      <c r="G23" s="1" t="s">
        <v>4</v>
      </c>
      <c r="H23" s="1" t="s">
        <v>5</v>
      </c>
    </row>
    <row r="24" spans="1:8" x14ac:dyDescent="0.25">
      <c r="A24" s="36"/>
      <c r="B24" s="2" t="s">
        <v>122</v>
      </c>
      <c r="C24" s="2"/>
      <c r="D24" s="2">
        <v>173.4</v>
      </c>
      <c r="E24" s="2">
        <v>8</v>
      </c>
      <c r="F24" s="4" t="s">
        <v>123</v>
      </c>
      <c r="G24" s="15">
        <f t="shared" ref="G24:G25" si="2">D24*E24</f>
        <v>1387.2</v>
      </c>
      <c r="H24" s="1"/>
    </row>
    <row r="25" spans="1:8" x14ac:dyDescent="0.25">
      <c r="A25" s="36"/>
      <c r="B25" s="2" t="s">
        <v>124</v>
      </c>
      <c r="C25" s="2"/>
      <c r="D25" s="2">
        <v>150</v>
      </c>
      <c r="E25" s="2">
        <v>2</v>
      </c>
      <c r="F25" s="4" t="s">
        <v>123</v>
      </c>
      <c r="G25" s="16">
        <f t="shared" si="2"/>
        <v>300</v>
      </c>
      <c r="H25" s="1"/>
    </row>
    <row r="26" spans="1:8" x14ac:dyDescent="0.25">
      <c r="A26" s="36"/>
      <c r="B26" s="2" t="s">
        <v>125</v>
      </c>
      <c r="C26" s="2"/>
      <c r="D26" s="2">
        <v>43.2</v>
      </c>
      <c r="E26" s="2">
        <v>20</v>
      </c>
      <c r="F26" s="4" t="s">
        <v>123</v>
      </c>
      <c r="G26" s="16">
        <f>D26*E26</f>
        <v>864</v>
      </c>
      <c r="H26" s="1"/>
    </row>
    <row r="27" spans="1:8" x14ac:dyDescent="0.25">
      <c r="A27" s="36"/>
      <c r="B27" s="2" t="s">
        <v>126</v>
      </c>
      <c r="C27" s="2"/>
      <c r="D27" s="2">
        <v>67.5</v>
      </c>
      <c r="E27" s="2">
        <v>0.5</v>
      </c>
      <c r="F27" s="4" t="s">
        <v>123</v>
      </c>
      <c r="G27" s="15">
        <f>D27*E27</f>
        <v>33.75</v>
      </c>
      <c r="H27" s="1"/>
    </row>
    <row r="28" spans="1:8" x14ac:dyDescent="0.25">
      <c r="A28" s="36"/>
      <c r="B28" s="2" t="s">
        <v>48</v>
      </c>
      <c r="C28" s="2"/>
      <c r="D28" s="2">
        <v>105</v>
      </c>
      <c r="E28" s="2">
        <v>4</v>
      </c>
      <c r="F28" s="4" t="s">
        <v>123</v>
      </c>
      <c r="G28" s="16">
        <f>D28*E28</f>
        <v>420</v>
      </c>
      <c r="H28" s="2"/>
    </row>
    <row r="29" spans="1:8" x14ac:dyDescent="0.25">
      <c r="A29" s="36"/>
      <c r="B29" s="2" t="s">
        <v>127</v>
      </c>
      <c r="C29" s="2"/>
      <c r="D29" s="2">
        <v>144</v>
      </c>
      <c r="E29" s="2">
        <v>4</v>
      </c>
      <c r="F29" s="4" t="s">
        <v>123</v>
      </c>
      <c r="G29" s="4">
        <f>D29*E29</f>
        <v>576</v>
      </c>
      <c r="H29" s="2"/>
    </row>
    <row r="30" spans="1:8" x14ac:dyDescent="0.25">
      <c r="A30" s="36"/>
      <c r="B30" s="37" t="s">
        <v>6</v>
      </c>
      <c r="C30" s="38"/>
      <c r="D30" s="39"/>
      <c r="E30" s="4"/>
      <c r="F30" s="4"/>
      <c r="G30" s="19">
        <f>SUM(G24:G29)</f>
        <v>3580.95</v>
      </c>
      <c r="H30" s="1"/>
    </row>
    <row r="31" spans="1:8" x14ac:dyDescent="0.25">
      <c r="A31" s="1" t="s">
        <v>18</v>
      </c>
      <c r="B31" s="1" t="s">
        <v>1</v>
      </c>
      <c r="C31" s="1" t="s">
        <v>2</v>
      </c>
      <c r="D31" s="1" t="s">
        <v>3</v>
      </c>
      <c r="E31" s="2" t="s">
        <v>114</v>
      </c>
      <c r="F31" s="2"/>
      <c r="G31" s="1" t="s">
        <v>4</v>
      </c>
      <c r="H31" s="1" t="s">
        <v>5</v>
      </c>
    </row>
    <row r="32" spans="1:8" x14ac:dyDescent="0.25">
      <c r="A32" s="36" t="s">
        <v>31</v>
      </c>
      <c r="B32" s="1" t="s">
        <v>32</v>
      </c>
      <c r="C32" s="1"/>
      <c r="D32" s="1"/>
      <c r="E32" s="2"/>
      <c r="F32" s="2"/>
      <c r="G32" s="1"/>
      <c r="H32" s="1" t="s">
        <v>19</v>
      </c>
    </row>
    <row r="33" spans="1:8" x14ac:dyDescent="0.25">
      <c r="A33" s="36"/>
      <c r="B33" s="1" t="s">
        <v>11</v>
      </c>
      <c r="C33" s="1"/>
      <c r="D33" s="1"/>
      <c r="E33" s="2"/>
      <c r="F33" s="2"/>
      <c r="G33" s="1"/>
      <c r="H33" s="1" t="s">
        <v>19</v>
      </c>
    </row>
    <row r="34" spans="1:8" x14ac:dyDescent="0.25">
      <c r="A34" s="36"/>
      <c r="B34" s="37"/>
      <c r="C34" s="38"/>
      <c r="D34" s="39"/>
      <c r="E34" s="4"/>
      <c r="F34" s="4"/>
      <c r="G34" s="3"/>
      <c r="H34" s="1"/>
    </row>
    <row r="35" spans="1:8" x14ac:dyDescent="0.25">
      <c r="A35" s="1" t="s">
        <v>20</v>
      </c>
      <c r="B35" s="1" t="s">
        <v>1</v>
      </c>
      <c r="C35" s="1" t="s">
        <v>2</v>
      </c>
      <c r="D35" s="1" t="s">
        <v>3</v>
      </c>
      <c r="E35" s="4" t="s">
        <v>114</v>
      </c>
      <c r="F35" s="4"/>
      <c r="G35" s="3" t="s">
        <v>4</v>
      </c>
      <c r="H35" s="1" t="s">
        <v>5</v>
      </c>
    </row>
    <row r="36" spans="1:8" x14ac:dyDescent="0.25">
      <c r="A36" s="46"/>
      <c r="B36" s="1" t="s">
        <v>116</v>
      </c>
      <c r="C36" s="1"/>
      <c r="D36" s="1">
        <v>70</v>
      </c>
      <c r="E36" s="2">
        <v>40</v>
      </c>
      <c r="F36" s="2" t="s">
        <v>119</v>
      </c>
      <c r="G36" s="1">
        <f>D36*E36</f>
        <v>2800</v>
      </c>
      <c r="H36" s="1"/>
    </row>
    <row r="37" spans="1:8" x14ac:dyDescent="0.25">
      <c r="A37" s="47"/>
      <c r="B37" s="2" t="s">
        <v>128</v>
      </c>
      <c r="C37" s="2"/>
      <c r="D37" s="2">
        <v>85</v>
      </c>
      <c r="E37" s="2">
        <v>4</v>
      </c>
      <c r="F37" s="2" t="s">
        <v>115</v>
      </c>
      <c r="G37" s="2">
        <f t="shared" ref="G37:G38" si="3">D37*E37</f>
        <v>340</v>
      </c>
      <c r="H37" s="2"/>
    </row>
    <row r="38" spans="1:8" x14ac:dyDescent="0.25">
      <c r="A38" s="47"/>
      <c r="B38" s="2" t="s">
        <v>129</v>
      </c>
      <c r="C38" s="2"/>
      <c r="D38" s="2">
        <v>21.6</v>
      </c>
      <c r="E38" s="2">
        <v>2</v>
      </c>
      <c r="F38" s="2" t="s">
        <v>115</v>
      </c>
      <c r="G38" s="2">
        <f t="shared" si="3"/>
        <v>43.2</v>
      </c>
      <c r="H38" s="2"/>
    </row>
    <row r="39" spans="1:8" x14ac:dyDescent="0.25">
      <c r="A39" s="47"/>
      <c r="B39" s="1" t="s">
        <v>120</v>
      </c>
      <c r="C39" s="1"/>
      <c r="D39" s="1">
        <v>250</v>
      </c>
      <c r="E39" s="2">
        <v>8</v>
      </c>
      <c r="F39" s="2" t="s">
        <v>121</v>
      </c>
      <c r="G39" s="1">
        <v>2000</v>
      </c>
      <c r="H39" s="1"/>
    </row>
    <row r="40" spans="1:8" x14ac:dyDescent="0.25">
      <c r="A40" s="48"/>
      <c r="B40" s="37" t="s">
        <v>6</v>
      </c>
      <c r="C40" s="38"/>
      <c r="D40" s="39"/>
      <c r="E40" s="4"/>
      <c r="F40" s="4"/>
      <c r="G40" s="19">
        <f>SUM(G36:G39)</f>
        <v>5183.2</v>
      </c>
      <c r="H40" s="6"/>
    </row>
    <row r="41" spans="1:8" x14ac:dyDescent="0.25">
      <c r="A41" s="7" t="s">
        <v>21</v>
      </c>
      <c r="B41" s="1" t="s">
        <v>1</v>
      </c>
      <c r="C41" s="1" t="s">
        <v>2</v>
      </c>
      <c r="D41" s="1" t="s">
        <v>3</v>
      </c>
      <c r="E41" s="2" t="s">
        <v>114</v>
      </c>
      <c r="F41" s="2"/>
      <c r="G41" s="1" t="s">
        <v>4</v>
      </c>
      <c r="H41" s="1"/>
    </row>
    <row r="42" spans="1:8" x14ac:dyDescent="0.25">
      <c r="A42" s="36"/>
      <c r="B42" s="1" t="s">
        <v>117</v>
      </c>
      <c r="C42" s="1"/>
      <c r="D42" s="1">
        <v>8.5</v>
      </c>
      <c r="E42" s="2">
        <v>40</v>
      </c>
      <c r="F42" s="2" t="s">
        <v>118</v>
      </c>
      <c r="G42" s="1">
        <f>D42*E42</f>
        <v>340</v>
      </c>
      <c r="H42" s="1"/>
    </row>
    <row r="43" spans="1:8" x14ac:dyDescent="0.25">
      <c r="A43" s="36"/>
      <c r="B43" s="1"/>
      <c r="C43" s="1"/>
      <c r="D43" s="1"/>
      <c r="E43" s="2"/>
      <c r="F43" s="2"/>
      <c r="G43" s="1"/>
      <c r="H43" s="1"/>
    </row>
    <row r="44" spans="1:8" x14ac:dyDescent="0.25">
      <c r="A44" s="36"/>
      <c r="B44" s="1"/>
      <c r="C44" s="1"/>
      <c r="D44" s="1"/>
      <c r="E44" s="2"/>
      <c r="F44" s="2"/>
      <c r="G44" s="1"/>
      <c r="H44" s="1"/>
    </row>
    <row r="45" spans="1:8" x14ac:dyDescent="0.25">
      <c r="A45" s="36"/>
      <c r="B45" s="1"/>
      <c r="C45" s="1"/>
      <c r="D45" s="1"/>
      <c r="E45" s="2"/>
      <c r="F45" s="2"/>
      <c r="G45" s="1"/>
      <c r="H45" s="1"/>
    </row>
    <row r="46" spans="1:8" x14ac:dyDescent="0.25">
      <c r="A46" s="36"/>
      <c r="B46" s="37" t="s">
        <v>6</v>
      </c>
      <c r="C46" s="38"/>
      <c r="D46" s="39"/>
      <c r="E46" s="4"/>
      <c r="F46" s="4"/>
      <c r="G46" s="14">
        <f>SUM(G42:G45)</f>
        <v>340</v>
      </c>
      <c r="H46" s="1"/>
    </row>
    <row r="47" spans="1:8" x14ac:dyDescent="0.25">
      <c r="A47" s="1"/>
      <c r="B47" s="43" t="s">
        <v>22</v>
      </c>
      <c r="C47" s="44"/>
      <c r="D47" s="45"/>
      <c r="E47" s="8"/>
      <c r="F47" s="8"/>
      <c r="G47" s="20">
        <f>G46+G40+G30+G22+G7+G15</f>
        <v>19153.68</v>
      </c>
      <c r="H47" s="1"/>
    </row>
  </sheetData>
  <mergeCells count="16">
    <mergeCell ref="A42:A46"/>
    <mergeCell ref="B46:D46"/>
    <mergeCell ref="B47:D47"/>
    <mergeCell ref="A24:A30"/>
    <mergeCell ref="B30:D30"/>
    <mergeCell ref="A32:A34"/>
    <mergeCell ref="B34:D34"/>
    <mergeCell ref="A36:A40"/>
    <mergeCell ref="B40:D40"/>
    <mergeCell ref="A17:A22"/>
    <mergeCell ref="B22:D22"/>
    <mergeCell ref="A1:H1"/>
    <mergeCell ref="A3:A7"/>
    <mergeCell ref="B7:D7"/>
    <mergeCell ref="A9:A15"/>
    <mergeCell ref="B15:D15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5"/>
  <sheetViews>
    <sheetView topLeftCell="A19" workbookViewId="0">
      <selection activeCell="G34" sqref="G34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0" t="s">
        <v>24</v>
      </c>
      <c r="B1" s="41"/>
      <c r="C1" s="41"/>
      <c r="D1" s="41"/>
      <c r="E1" s="41"/>
      <c r="F1" s="41"/>
      <c r="G1" s="41"/>
      <c r="H1" s="4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9" t="s">
        <v>130</v>
      </c>
      <c r="F2" s="9"/>
      <c r="G2" s="1" t="s">
        <v>4</v>
      </c>
      <c r="H2" s="1" t="s">
        <v>5</v>
      </c>
    </row>
    <row r="3" spans="1:8" x14ac:dyDescent="0.25">
      <c r="A3" s="36" t="s">
        <v>50</v>
      </c>
      <c r="B3" s="1" t="s">
        <v>50</v>
      </c>
      <c r="C3" s="1" t="s">
        <v>56</v>
      </c>
      <c r="D3" s="1">
        <v>1300</v>
      </c>
      <c r="E3" s="9">
        <v>4</v>
      </c>
      <c r="F3" s="9" t="s">
        <v>134</v>
      </c>
      <c r="G3" s="18">
        <f>D3*E3</f>
        <v>5200</v>
      </c>
      <c r="H3" s="1"/>
    </row>
    <row r="4" spans="1:8" x14ac:dyDescent="0.25">
      <c r="A4" s="36"/>
      <c r="B4" s="1"/>
      <c r="C4" s="1"/>
      <c r="D4" s="1"/>
      <c r="E4" s="9"/>
      <c r="F4" s="9"/>
      <c r="G4" s="1"/>
      <c r="H4" s="1"/>
    </row>
    <row r="5" spans="1:8" x14ac:dyDescent="0.25">
      <c r="A5" s="36"/>
      <c r="B5" s="1"/>
      <c r="C5" s="1"/>
      <c r="D5" s="1"/>
      <c r="E5" s="9"/>
      <c r="F5" s="9"/>
      <c r="G5" s="1"/>
      <c r="H5" s="1"/>
    </row>
    <row r="6" spans="1:8" x14ac:dyDescent="0.25">
      <c r="A6" s="36"/>
      <c r="B6" s="1"/>
      <c r="C6" s="1"/>
      <c r="D6" s="1"/>
      <c r="E6" s="12"/>
      <c r="F6" s="12"/>
      <c r="G6" s="3"/>
      <c r="H6" s="1"/>
    </row>
    <row r="7" spans="1:8" x14ac:dyDescent="0.25">
      <c r="A7" s="36"/>
      <c r="B7" s="37" t="s">
        <v>6</v>
      </c>
      <c r="C7" s="38"/>
      <c r="D7" s="39"/>
      <c r="E7" s="12"/>
      <c r="F7" s="12"/>
      <c r="G7" s="14">
        <f>SUM(G3:G6)</f>
        <v>5200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9" t="s">
        <v>130</v>
      </c>
      <c r="F8" s="9"/>
      <c r="G8" s="1" t="s">
        <v>4</v>
      </c>
      <c r="H8" s="1" t="s">
        <v>5</v>
      </c>
    </row>
    <row r="9" spans="1:8" x14ac:dyDescent="0.25">
      <c r="A9" s="36" t="s">
        <v>51</v>
      </c>
      <c r="B9" s="1" t="s">
        <v>57</v>
      </c>
      <c r="C9" s="1" t="s">
        <v>41</v>
      </c>
      <c r="D9" s="1">
        <v>69.3</v>
      </c>
      <c r="E9" s="9">
        <v>25</v>
      </c>
      <c r="F9" s="9" t="s">
        <v>132</v>
      </c>
      <c r="G9" s="17">
        <f t="shared" ref="G9:G10" si="0">E9*D9</f>
        <v>1732.5</v>
      </c>
      <c r="H9" s="1"/>
    </row>
    <row r="10" spans="1:8" x14ac:dyDescent="0.25">
      <c r="A10" s="36"/>
      <c r="B10" s="1" t="s">
        <v>46</v>
      </c>
      <c r="C10" s="1" t="s">
        <v>15</v>
      </c>
      <c r="D10" s="1">
        <v>85</v>
      </c>
      <c r="E10" s="9">
        <v>4</v>
      </c>
      <c r="F10" s="9" t="s">
        <v>132</v>
      </c>
      <c r="G10" s="18">
        <f t="shared" si="0"/>
        <v>340</v>
      </c>
      <c r="H10" s="1"/>
    </row>
    <row r="11" spans="1:8" x14ac:dyDescent="0.25">
      <c r="A11" s="36"/>
      <c r="B11" s="1" t="s">
        <v>58</v>
      </c>
      <c r="C11" s="1" t="s">
        <v>43</v>
      </c>
      <c r="D11" s="1">
        <v>168</v>
      </c>
      <c r="E11" s="9">
        <v>19.100000000000001</v>
      </c>
      <c r="F11" s="9" t="s">
        <v>132</v>
      </c>
      <c r="G11" s="17">
        <f>E11*D11</f>
        <v>3208.8</v>
      </c>
      <c r="H11" s="1"/>
    </row>
    <row r="12" spans="1:8" x14ac:dyDescent="0.25">
      <c r="A12" s="36"/>
      <c r="B12" s="1"/>
      <c r="C12" s="1"/>
      <c r="D12" s="1"/>
      <c r="E12" s="9"/>
      <c r="F12" s="9"/>
      <c r="G12" s="1"/>
      <c r="H12" s="1"/>
    </row>
    <row r="13" spans="1:8" x14ac:dyDescent="0.25">
      <c r="A13" s="36"/>
      <c r="B13" s="1"/>
      <c r="C13" s="1"/>
      <c r="D13" s="1"/>
      <c r="E13" s="9"/>
      <c r="F13" s="9"/>
      <c r="G13" s="1"/>
      <c r="H13" s="1"/>
    </row>
    <row r="14" spans="1:8" x14ac:dyDescent="0.25">
      <c r="A14" s="36"/>
      <c r="B14" s="37" t="s">
        <v>6</v>
      </c>
      <c r="C14" s="38"/>
      <c r="D14" s="39"/>
      <c r="E14" s="12"/>
      <c r="F14" s="12"/>
      <c r="G14" s="19">
        <f>SUM(G9:G13)</f>
        <v>5281.3</v>
      </c>
      <c r="H14" s="1"/>
    </row>
    <row r="15" spans="1:8" x14ac:dyDescent="0.25">
      <c r="A15" s="1" t="s">
        <v>13</v>
      </c>
      <c r="B15" s="1" t="s">
        <v>1</v>
      </c>
      <c r="C15" s="1" t="s">
        <v>2</v>
      </c>
      <c r="D15" s="1" t="s">
        <v>3</v>
      </c>
      <c r="E15" s="9" t="s">
        <v>130</v>
      </c>
      <c r="F15" s="9"/>
      <c r="G15" s="1" t="s">
        <v>4</v>
      </c>
      <c r="H15" s="1" t="s">
        <v>5</v>
      </c>
    </row>
    <row r="16" spans="1:8" x14ac:dyDescent="0.25">
      <c r="A16" s="36" t="s">
        <v>52</v>
      </c>
      <c r="B16" s="1" t="s">
        <v>11</v>
      </c>
      <c r="C16" s="1" t="s">
        <v>12</v>
      </c>
      <c r="D16" s="1">
        <v>43.2</v>
      </c>
      <c r="E16" s="9">
        <v>20</v>
      </c>
      <c r="F16" s="9" t="s">
        <v>132</v>
      </c>
      <c r="G16" s="18">
        <f>D16*E16</f>
        <v>864</v>
      </c>
      <c r="H16" s="1"/>
    </row>
    <row r="17" spans="1:8" x14ac:dyDescent="0.25">
      <c r="A17" s="36"/>
      <c r="B17" s="1" t="s">
        <v>59</v>
      </c>
      <c r="C17" s="1" t="s">
        <v>12</v>
      </c>
      <c r="D17" s="1">
        <v>75</v>
      </c>
      <c r="E17" s="9">
        <v>15</v>
      </c>
      <c r="F17" s="9" t="s">
        <v>131</v>
      </c>
      <c r="G17" s="18">
        <f t="shared" ref="G17:G19" si="1">D17*E17</f>
        <v>1125</v>
      </c>
      <c r="H17" s="1"/>
    </row>
    <row r="18" spans="1:8" x14ac:dyDescent="0.25">
      <c r="A18" s="36"/>
      <c r="B18" s="1" t="s">
        <v>60</v>
      </c>
      <c r="C18" s="1" t="s">
        <v>61</v>
      </c>
      <c r="D18" s="1">
        <v>96</v>
      </c>
      <c r="E18" s="9">
        <v>5</v>
      </c>
      <c r="F18" s="9" t="s">
        <v>132</v>
      </c>
      <c r="G18" s="18">
        <f t="shared" si="1"/>
        <v>480</v>
      </c>
      <c r="H18" s="1"/>
    </row>
    <row r="19" spans="1:8" x14ac:dyDescent="0.25">
      <c r="A19" s="36"/>
      <c r="B19" s="1" t="s">
        <v>9</v>
      </c>
      <c r="C19" s="1" t="s">
        <v>16</v>
      </c>
      <c r="D19" s="1">
        <v>28.66</v>
      </c>
      <c r="E19" s="12">
        <v>8</v>
      </c>
      <c r="F19" s="12" t="s">
        <v>132</v>
      </c>
      <c r="G19" s="18">
        <f t="shared" si="1"/>
        <v>229.28</v>
      </c>
      <c r="H19" s="1"/>
    </row>
    <row r="20" spans="1:8" x14ac:dyDescent="0.25">
      <c r="A20" s="36"/>
      <c r="B20" s="37" t="s">
        <v>6</v>
      </c>
      <c r="C20" s="38"/>
      <c r="D20" s="39"/>
      <c r="E20" s="12"/>
      <c r="F20" s="12"/>
      <c r="G20" s="19">
        <f>SUM(G16:G19)</f>
        <v>2698.28</v>
      </c>
      <c r="H20" s="1"/>
    </row>
    <row r="21" spans="1:8" x14ac:dyDescent="0.25">
      <c r="A21" s="5" t="s">
        <v>17</v>
      </c>
      <c r="B21" s="1" t="s">
        <v>1</v>
      </c>
      <c r="C21" s="1" t="s">
        <v>2</v>
      </c>
      <c r="D21" s="1" t="s">
        <v>3</v>
      </c>
      <c r="E21" s="9" t="s">
        <v>130</v>
      </c>
      <c r="F21" s="9"/>
      <c r="G21" s="1" t="s">
        <v>4</v>
      </c>
      <c r="H21" s="1" t="s">
        <v>5</v>
      </c>
    </row>
    <row r="22" spans="1:8" x14ac:dyDescent="0.25">
      <c r="A22" s="36"/>
      <c r="B22" s="1" t="s">
        <v>136</v>
      </c>
      <c r="C22" s="1"/>
      <c r="D22" s="1">
        <v>55</v>
      </c>
      <c r="E22" s="9">
        <v>20</v>
      </c>
      <c r="F22" s="9" t="s">
        <v>132</v>
      </c>
      <c r="G22" s="18">
        <f>D22*E22</f>
        <v>1100</v>
      </c>
      <c r="H22" s="1"/>
    </row>
    <row r="23" spans="1:8" x14ac:dyDescent="0.25">
      <c r="A23" s="36"/>
      <c r="B23" s="1" t="s">
        <v>137</v>
      </c>
      <c r="C23" s="1"/>
      <c r="D23" s="1">
        <v>1188</v>
      </c>
      <c r="E23" s="9">
        <v>2</v>
      </c>
      <c r="F23" s="9" t="s">
        <v>138</v>
      </c>
      <c r="G23" s="18">
        <f>D23*E23</f>
        <v>2376</v>
      </c>
      <c r="H23" s="1"/>
    </row>
    <row r="24" spans="1:8" x14ac:dyDescent="0.25">
      <c r="A24" s="36"/>
      <c r="B24" s="1"/>
      <c r="C24" s="1"/>
      <c r="D24" s="1"/>
      <c r="E24" s="9"/>
      <c r="F24" s="9"/>
      <c r="G24" s="1"/>
      <c r="H24" s="1"/>
    </row>
    <row r="25" spans="1:8" x14ac:dyDescent="0.25">
      <c r="A25" s="36"/>
      <c r="B25" s="1"/>
      <c r="C25" s="1"/>
      <c r="D25" s="1"/>
      <c r="E25" s="9"/>
      <c r="F25" s="9"/>
      <c r="G25" s="1"/>
      <c r="H25" s="1"/>
    </row>
    <row r="26" spans="1:8" x14ac:dyDescent="0.25">
      <c r="A26" s="36"/>
      <c r="B26" s="10"/>
      <c r="C26" s="11"/>
      <c r="D26" s="12"/>
      <c r="E26" s="12"/>
      <c r="F26" s="12"/>
      <c r="G26" s="12"/>
      <c r="H26" s="9"/>
    </row>
    <row r="27" spans="1:8" x14ac:dyDescent="0.25">
      <c r="A27" s="36"/>
      <c r="B27" s="37" t="s">
        <v>6</v>
      </c>
      <c r="C27" s="38"/>
      <c r="D27" s="39"/>
      <c r="E27" s="12"/>
      <c r="F27" s="12"/>
      <c r="G27" s="14">
        <f>SUM(G22:G26)</f>
        <v>3476</v>
      </c>
      <c r="H27" s="1"/>
    </row>
    <row r="28" spans="1:8" x14ac:dyDescent="0.25">
      <c r="A28" s="1" t="s">
        <v>18</v>
      </c>
      <c r="B28" s="1" t="s">
        <v>1</v>
      </c>
      <c r="C28" s="1" t="s">
        <v>2</v>
      </c>
      <c r="D28" s="1" t="s">
        <v>3</v>
      </c>
      <c r="E28" s="9" t="s">
        <v>130</v>
      </c>
      <c r="F28" s="9"/>
      <c r="G28" s="1" t="s">
        <v>4</v>
      </c>
      <c r="H28" s="1" t="s">
        <v>5</v>
      </c>
    </row>
    <row r="29" spans="1:8" x14ac:dyDescent="0.25">
      <c r="A29" s="36" t="s">
        <v>53</v>
      </c>
      <c r="B29" s="1" t="s">
        <v>54</v>
      </c>
      <c r="C29" s="1"/>
      <c r="D29" s="1"/>
      <c r="E29" s="9"/>
      <c r="F29" s="9"/>
      <c r="G29" s="1"/>
      <c r="H29" s="1" t="s">
        <v>19</v>
      </c>
    </row>
    <row r="30" spans="1:8" x14ac:dyDescent="0.25">
      <c r="A30" s="36"/>
      <c r="B30" s="1" t="s">
        <v>55</v>
      </c>
      <c r="C30" s="1" t="s">
        <v>10</v>
      </c>
      <c r="D30" s="1">
        <v>48</v>
      </c>
      <c r="E30" s="9">
        <v>10</v>
      </c>
      <c r="F30" s="9" t="s">
        <v>132</v>
      </c>
      <c r="G30" s="18">
        <f>D30*E30</f>
        <v>480</v>
      </c>
      <c r="H30" s="1"/>
    </row>
    <row r="31" spans="1:8" x14ac:dyDescent="0.25">
      <c r="A31" s="36"/>
      <c r="B31" s="37"/>
      <c r="C31" s="38"/>
      <c r="D31" s="39"/>
      <c r="E31" s="12"/>
      <c r="F31" s="12"/>
      <c r="G31" s="14">
        <f>SUM(G30)</f>
        <v>480</v>
      </c>
      <c r="H31" s="1"/>
    </row>
    <row r="32" spans="1:8" x14ac:dyDescent="0.25">
      <c r="A32" s="1" t="s">
        <v>20</v>
      </c>
      <c r="B32" s="1" t="s">
        <v>1</v>
      </c>
      <c r="C32" s="1" t="s">
        <v>2</v>
      </c>
      <c r="D32" s="1" t="s">
        <v>3</v>
      </c>
      <c r="E32" s="12" t="s">
        <v>130</v>
      </c>
      <c r="F32" s="12"/>
      <c r="G32" s="3" t="s">
        <v>4</v>
      </c>
      <c r="H32" s="1" t="s">
        <v>5</v>
      </c>
    </row>
    <row r="33" spans="1:8" x14ac:dyDescent="0.25">
      <c r="A33" s="46"/>
      <c r="B33" s="1" t="s">
        <v>133</v>
      </c>
      <c r="C33" s="1"/>
      <c r="D33" s="1">
        <v>31.68</v>
      </c>
      <c r="E33" s="9">
        <v>58.67</v>
      </c>
      <c r="F33" s="9" t="s">
        <v>132</v>
      </c>
      <c r="G33" s="24">
        <f>D33*E33</f>
        <v>1858.6656</v>
      </c>
      <c r="H33" s="1"/>
    </row>
    <row r="34" spans="1:8" x14ac:dyDescent="0.25">
      <c r="A34" s="47"/>
      <c r="B34" s="1" t="s">
        <v>133</v>
      </c>
      <c r="C34" s="1"/>
      <c r="D34" s="1">
        <v>34.56</v>
      </c>
      <c r="E34" s="9">
        <v>6.2</v>
      </c>
      <c r="F34" s="9" t="s">
        <v>132</v>
      </c>
      <c r="G34" s="17">
        <f>D34*E34</f>
        <v>214.27200000000002</v>
      </c>
      <c r="H34" s="1"/>
    </row>
    <row r="35" spans="1:8" x14ac:dyDescent="0.25">
      <c r="A35" s="47"/>
      <c r="B35" s="9" t="s">
        <v>135</v>
      </c>
      <c r="C35" s="9"/>
      <c r="D35" s="9">
        <v>70</v>
      </c>
      <c r="E35" s="9">
        <v>40</v>
      </c>
      <c r="F35" s="12" t="s">
        <v>131</v>
      </c>
      <c r="G35" s="17">
        <f>D35*E35</f>
        <v>2800</v>
      </c>
      <c r="H35" s="9"/>
    </row>
    <row r="36" spans="1:8" x14ac:dyDescent="0.25">
      <c r="A36" s="47"/>
      <c r="B36" s="9" t="s">
        <v>139</v>
      </c>
      <c r="C36" s="9"/>
      <c r="D36" s="9">
        <v>85</v>
      </c>
      <c r="E36" s="9">
        <v>4</v>
      </c>
      <c r="F36" s="12" t="s">
        <v>132</v>
      </c>
      <c r="G36" s="17">
        <f>D36*E36</f>
        <v>340</v>
      </c>
      <c r="H36" s="9"/>
    </row>
    <row r="37" spans="1:8" x14ac:dyDescent="0.25">
      <c r="A37" s="47"/>
      <c r="B37" s="25" t="s">
        <v>162</v>
      </c>
      <c r="C37" s="25"/>
      <c r="D37" s="25">
        <v>21.6</v>
      </c>
      <c r="E37" s="25">
        <v>2</v>
      </c>
      <c r="F37" s="26" t="s">
        <v>154</v>
      </c>
      <c r="G37" s="34">
        <f>D37*E37</f>
        <v>43.2</v>
      </c>
      <c r="H37" s="25"/>
    </row>
    <row r="38" spans="1:8" x14ac:dyDescent="0.25">
      <c r="A38" s="48"/>
      <c r="B38" s="37" t="s">
        <v>6</v>
      </c>
      <c r="C38" s="38"/>
      <c r="D38" s="39"/>
      <c r="E38" s="12"/>
      <c r="F38" s="12"/>
      <c r="G38" s="19">
        <f>SUM(G33:G37)</f>
        <v>5256.1376</v>
      </c>
      <c r="H38" s="6"/>
    </row>
    <row r="39" spans="1:8" x14ac:dyDescent="0.25">
      <c r="A39" s="7" t="s">
        <v>21</v>
      </c>
      <c r="B39" s="1" t="s">
        <v>1</v>
      </c>
      <c r="C39" s="1" t="s">
        <v>2</v>
      </c>
      <c r="D39" s="1" t="s">
        <v>3</v>
      </c>
      <c r="E39" s="9" t="s">
        <v>130</v>
      </c>
      <c r="F39" s="9"/>
      <c r="G39" s="1" t="s">
        <v>4</v>
      </c>
      <c r="H39" s="1"/>
    </row>
    <row r="40" spans="1:8" x14ac:dyDescent="0.25">
      <c r="A40" s="36"/>
      <c r="B40" s="1" t="s">
        <v>140</v>
      </c>
      <c r="C40" s="1"/>
      <c r="D40" s="1">
        <v>108</v>
      </c>
      <c r="E40" s="9">
        <v>5</v>
      </c>
      <c r="F40" s="9" t="s">
        <v>132</v>
      </c>
      <c r="G40" s="18">
        <f>D40*E40</f>
        <v>540</v>
      </c>
      <c r="H40" s="1"/>
    </row>
    <row r="41" spans="1:8" x14ac:dyDescent="0.25">
      <c r="A41" s="36"/>
      <c r="B41" s="1" t="s">
        <v>163</v>
      </c>
      <c r="C41" s="1"/>
      <c r="D41" s="1"/>
      <c r="E41" s="9"/>
      <c r="F41" s="9"/>
      <c r="G41" s="18">
        <v>-40</v>
      </c>
      <c r="H41" s="1"/>
    </row>
    <row r="42" spans="1:8" x14ac:dyDescent="0.25">
      <c r="A42" s="36"/>
      <c r="B42" s="1"/>
      <c r="C42" s="1"/>
      <c r="D42" s="1"/>
      <c r="E42" s="9"/>
      <c r="F42" s="9"/>
      <c r="G42" s="1"/>
      <c r="H42" s="1"/>
    </row>
    <row r="43" spans="1:8" x14ac:dyDescent="0.25">
      <c r="A43" s="36"/>
      <c r="B43" s="1"/>
      <c r="C43" s="1"/>
      <c r="D43" s="1"/>
      <c r="E43" s="9"/>
      <c r="F43" s="9"/>
      <c r="G43" s="1"/>
      <c r="H43" s="1"/>
    </row>
    <row r="44" spans="1:8" x14ac:dyDescent="0.25">
      <c r="A44" s="36"/>
      <c r="B44" s="37" t="s">
        <v>6</v>
      </c>
      <c r="C44" s="38"/>
      <c r="D44" s="39"/>
      <c r="E44" s="12"/>
      <c r="F44" s="12"/>
      <c r="G44" s="14">
        <f>SUM(G40:G43)</f>
        <v>500</v>
      </c>
      <c r="H44" s="1"/>
    </row>
    <row r="45" spans="1:8" x14ac:dyDescent="0.25">
      <c r="A45" s="1"/>
      <c r="B45" s="43" t="s">
        <v>22</v>
      </c>
      <c r="C45" s="44"/>
      <c r="D45" s="45"/>
      <c r="E45" s="13"/>
      <c r="F45" s="13"/>
      <c r="G45" s="20">
        <f>G44+G38+G31+G27+G20+G14+G7</f>
        <v>22891.7176</v>
      </c>
      <c r="H45" s="1"/>
    </row>
  </sheetData>
  <mergeCells count="16">
    <mergeCell ref="A40:A44"/>
    <mergeCell ref="B44:D44"/>
    <mergeCell ref="B45:D45"/>
    <mergeCell ref="A22:A27"/>
    <mergeCell ref="B27:D27"/>
    <mergeCell ref="A29:A31"/>
    <mergeCell ref="B31:D31"/>
    <mergeCell ref="A33:A38"/>
    <mergeCell ref="B38:D38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4"/>
  <sheetViews>
    <sheetView topLeftCell="A19" workbookViewId="0">
      <selection activeCell="C53" sqref="C53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0" t="s">
        <v>25</v>
      </c>
      <c r="B1" s="41"/>
      <c r="C1" s="41"/>
      <c r="D1" s="41"/>
      <c r="E1" s="41"/>
      <c r="F1" s="41"/>
      <c r="G1" s="41"/>
      <c r="H1" s="4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1" t="s">
        <v>141</v>
      </c>
      <c r="F2" s="21"/>
      <c r="G2" s="1" t="s">
        <v>4</v>
      </c>
      <c r="H2" s="1" t="s">
        <v>5</v>
      </c>
    </row>
    <row r="3" spans="1:8" x14ac:dyDescent="0.25">
      <c r="A3" s="36" t="s">
        <v>67</v>
      </c>
      <c r="B3" s="1" t="s">
        <v>67</v>
      </c>
      <c r="C3" s="1" t="s">
        <v>75</v>
      </c>
      <c r="D3" s="1">
        <v>9.5</v>
      </c>
      <c r="E3" s="21">
        <v>280</v>
      </c>
      <c r="F3" s="21" t="s">
        <v>145</v>
      </c>
      <c r="G3" s="1">
        <f>D3*E3</f>
        <v>2660</v>
      </c>
      <c r="H3" s="1"/>
    </row>
    <row r="4" spans="1:8" x14ac:dyDescent="0.25">
      <c r="A4" s="36"/>
      <c r="B4" s="1"/>
      <c r="C4" s="1"/>
      <c r="D4" s="1"/>
      <c r="E4" s="21"/>
      <c r="F4" s="21"/>
      <c r="G4" s="1"/>
      <c r="H4" s="1"/>
    </row>
    <row r="5" spans="1:8" x14ac:dyDescent="0.25">
      <c r="A5" s="36"/>
      <c r="B5" s="1"/>
      <c r="C5" s="1"/>
      <c r="D5" s="1"/>
      <c r="E5" s="21"/>
      <c r="F5" s="21"/>
      <c r="G5" s="1"/>
      <c r="H5" s="1"/>
    </row>
    <row r="6" spans="1:8" x14ac:dyDescent="0.25">
      <c r="A6" s="36"/>
      <c r="B6" s="1"/>
      <c r="C6" s="1"/>
      <c r="D6" s="1"/>
      <c r="E6" s="22"/>
      <c r="F6" s="22"/>
      <c r="G6" s="3"/>
      <c r="H6" s="1"/>
    </row>
    <row r="7" spans="1:8" x14ac:dyDescent="0.25">
      <c r="A7" s="36"/>
      <c r="B7" s="37" t="s">
        <v>6</v>
      </c>
      <c r="C7" s="38"/>
      <c r="D7" s="39"/>
      <c r="E7" s="22"/>
      <c r="F7" s="22"/>
      <c r="G7" s="14">
        <f>SUM(G3:G6)</f>
        <v>2660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21" t="s">
        <v>141</v>
      </c>
      <c r="F8" s="21"/>
      <c r="G8" s="1" t="s">
        <v>4</v>
      </c>
      <c r="H8" s="1" t="s">
        <v>5</v>
      </c>
    </row>
    <row r="9" spans="1:8" x14ac:dyDescent="0.25">
      <c r="A9" s="36" t="s">
        <v>68</v>
      </c>
      <c r="B9" s="1" t="s">
        <v>76</v>
      </c>
      <c r="C9" s="1" t="s">
        <v>42</v>
      </c>
      <c r="D9" s="1">
        <v>48</v>
      </c>
      <c r="E9" s="21">
        <v>15</v>
      </c>
      <c r="F9" s="21" t="s">
        <v>143</v>
      </c>
      <c r="G9" s="1">
        <f>E9*D9</f>
        <v>720</v>
      </c>
      <c r="H9" s="1"/>
    </row>
    <row r="10" spans="1:8" x14ac:dyDescent="0.25">
      <c r="A10" s="36"/>
      <c r="B10" s="1" t="s">
        <v>77</v>
      </c>
      <c r="C10" s="1" t="s">
        <v>80</v>
      </c>
      <c r="D10" s="1">
        <v>108</v>
      </c>
      <c r="E10" s="33">
        <v>14</v>
      </c>
      <c r="F10" s="25" t="s">
        <v>115</v>
      </c>
      <c r="G10" s="21">
        <f t="shared" ref="G10:G12" si="0">E10*D10</f>
        <v>1512</v>
      </c>
      <c r="H10" s="1"/>
    </row>
    <row r="11" spans="1:8" x14ac:dyDescent="0.25">
      <c r="A11" s="36"/>
      <c r="B11" s="1" t="s">
        <v>78</v>
      </c>
      <c r="C11" s="1" t="s">
        <v>42</v>
      </c>
      <c r="D11" s="1">
        <v>85</v>
      </c>
      <c r="E11" s="21">
        <v>15</v>
      </c>
      <c r="F11" s="21" t="s">
        <v>143</v>
      </c>
      <c r="G11" s="21">
        <f t="shared" si="0"/>
        <v>1275</v>
      </c>
      <c r="H11" s="1"/>
    </row>
    <row r="12" spans="1:8" x14ac:dyDescent="0.25">
      <c r="A12" s="36"/>
      <c r="B12" s="1" t="s">
        <v>79</v>
      </c>
      <c r="C12" s="1" t="s">
        <v>10</v>
      </c>
      <c r="D12" s="1">
        <v>42</v>
      </c>
      <c r="E12" s="21">
        <v>10</v>
      </c>
      <c r="F12" s="21" t="s">
        <v>143</v>
      </c>
      <c r="G12" s="21">
        <f t="shared" si="0"/>
        <v>420</v>
      </c>
      <c r="H12" s="1"/>
    </row>
    <row r="13" spans="1:8" x14ac:dyDescent="0.25">
      <c r="A13" s="36"/>
      <c r="B13" s="1"/>
      <c r="C13" s="1"/>
      <c r="D13" s="1"/>
      <c r="E13" s="21"/>
      <c r="F13" s="21"/>
      <c r="G13" s="1"/>
      <c r="H13" s="1"/>
    </row>
    <row r="14" spans="1:8" x14ac:dyDescent="0.25">
      <c r="A14" s="36"/>
      <c r="B14" s="37" t="s">
        <v>6</v>
      </c>
      <c r="C14" s="38"/>
      <c r="D14" s="39"/>
      <c r="E14" s="22"/>
      <c r="F14" s="22"/>
      <c r="G14" s="14">
        <f>SUM(G9:G13)</f>
        <v>3927</v>
      </c>
      <c r="H14" s="1"/>
    </row>
    <row r="15" spans="1:8" x14ac:dyDescent="0.25">
      <c r="A15" s="1" t="s">
        <v>13</v>
      </c>
      <c r="B15" s="1" t="s">
        <v>1</v>
      </c>
      <c r="C15" s="1" t="s">
        <v>2</v>
      </c>
      <c r="D15" s="1" t="s">
        <v>3</v>
      </c>
      <c r="E15" s="21" t="s">
        <v>141</v>
      </c>
      <c r="F15" s="21"/>
      <c r="G15" s="1" t="s">
        <v>4</v>
      </c>
      <c r="H15" s="1" t="s">
        <v>5</v>
      </c>
    </row>
    <row r="16" spans="1:8" x14ac:dyDescent="0.25">
      <c r="A16" s="36"/>
      <c r="B16" s="1"/>
      <c r="C16" s="1"/>
      <c r="D16" s="1"/>
      <c r="E16" s="21"/>
      <c r="F16" s="21"/>
      <c r="G16" s="1"/>
      <c r="H16" s="1"/>
    </row>
    <row r="17" spans="1:8" x14ac:dyDescent="0.25">
      <c r="A17" s="36"/>
      <c r="B17" s="1"/>
      <c r="C17" s="1"/>
      <c r="D17" s="1"/>
      <c r="E17" s="21"/>
      <c r="F17" s="21"/>
      <c r="G17" s="1"/>
      <c r="H17" s="1"/>
    </row>
    <row r="18" spans="1:8" x14ac:dyDescent="0.25">
      <c r="A18" s="36"/>
      <c r="B18" s="1"/>
      <c r="C18" s="1"/>
      <c r="D18" s="1"/>
      <c r="E18" s="21"/>
      <c r="F18" s="21"/>
      <c r="G18" s="1"/>
      <c r="H18" s="1"/>
    </row>
    <row r="19" spans="1:8" x14ac:dyDescent="0.25">
      <c r="A19" s="36"/>
      <c r="B19" s="1"/>
      <c r="C19" s="1"/>
      <c r="D19" s="1"/>
      <c r="E19" s="22"/>
      <c r="F19" s="22"/>
      <c r="G19" s="3"/>
      <c r="H19" s="1"/>
    </row>
    <row r="20" spans="1:8" x14ac:dyDescent="0.25">
      <c r="A20" s="36"/>
      <c r="B20" s="37" t="s">
        <v>6</v>
      </c>
      <c r="C20" s="38"/>
      <c r="D20" s="39"/>
      <c r="E20" s="22"/>
      <c r="F20" s="22"/>
      <c r="G20" s="3"/>
      <c r="H20" s="1"/>
    </row>
    <row r="21" spans="1:8" x14ac:dyDescent="0.25">
      <c r="A21" s="5" t="s">
        <v>17</v>
      </c>
      <c r="B21" s="1" t="s">
        <v>1</v>
      </c>
      <c r="C21" s="1" t="s">
        <v>2</v>
      </c>
      <c r="D21" s="1" t="s">
        <v>3</v>
      </c>
      <c r="E21" s="21" t="s">
        <v>141</v>
      </c>
      <c r="F21" s="21"/>
      <c r="G21" s="1" t="s">
        <v>4</v>
      </c>
      <c r="H21" s="1" t="s">
        <v>5</v>
      </c>
    </row>
    <row r="22" spans="1:8" x14ac:dyDescent="0.25">
      <c r="A22" s="36"/>
      <c r="B22" s="1" t="s">
        <v>147</v>
      </c>
      <c r="C22" s="1"/>
      <c r="D22" s="1">
        <v>99</v>
      </c>
      <c r="E22" s="21">
        <v>4</v>
      </c>
      <c r="F22" s="21" t="s">
        <v>143</v>
      </c>
      <c r="G22" s="1">
        <f>D22*E22</f>
        <v>396</v>
      </c>
      <c r="H22" s="1"/>
    </row>
    <row r="23" spans="1:8" x14ac:dyDescent="0.25">
      <c r="A23" s="36"/>
      <c r="B23" s="1" t="s">
        <v>148</v>
      </c>
      <c r="C23" s="1"/>
      <c r="D23" s="1">
        <v>193.8</v>
      </c>
      <c r="E23" s="21">
        <v>0.5</v>
      </c>
      <c r="F23" s="21" t="s">
        <v>143</v>
      </c>
      <c r="G23" s="21">
        <f>D23*E23</f>
        <v>96.9</v>
      </c>
      <c r="H23" s="1"/>
    </row>
    <row r="24" spans="1:8" x14ac:dyDescent="0.25">
      <c r="A24" s="36"/>
      <c r="B24" s="1" t="s">
        <v>150</v>
      </c>
      <c r="C24" s="1"/>
      <c r="D24" s="1">
        <v>168</v>
      </c>
      <c r="E24" s="21">
        <v>3</v>
      </c>
      <c r="F24" s="21" t="s">
        <v>143</v>
      </c>
      <c r="G24" s="21">
        <f t="shared" ref="G24:G25" si="1">D24*E24</f>
        <v>504</v>
      </c>
      <c r="H24" s="1"/>
    </row>
    <row r="25" spans="1:8" x14ac:dyDescent="0.25">
      <c r="A25" s="36"/>
      <c r="B25" s="1" t="s">
        <v>151</v>
      </c>
      <c r="C25" s="1"/>
      <c r="D25" s="1">
        <v>210</v>
      </c>
      <c r="E25" s="21">
        <v>1</v>
      </c>
      <c r="F25" s="21" t="s">
        <v>144</v>
      </c>
      <c r="G25" s="21">
        <f t="shared" si="1"/>
        <v>210</v>
      </c>
      <c r="H25" s="1"/>
    </row>
    <row r="26" spans="1:8" x14ac:dyDescent="0.25">
      <c r="A26" s="36"/>
      <c r="B26" s="37" t="s">
        <v>6</v>
      </c>
      <c r="C26" s="38"/>
      <c r="D26" s="39"/>
      <c r="E26" s="22"/>
      <c r="F26" s="22"/>
      <c r="G26" s="19">
        <f>SUM(G22:G25)</f>
        <v>1206.9000000000001</v>
      </c>
      <c r="H26" s="1"/>
    </row>
    <row r="27" spans="1:8" x14ac:dyDescent="0.25">
      <c r="A27" s="1" t="s">
        <v>18</v>
      </c>
      <c r="B27" s="1" t="s">
        <v>1</v>
      </c>
      <c r="C27" s="1" t="s">
        <v>2</v>
      </c>
      <c r="D27" s="1" t="s">
        <v>3</v>
      </c>
      <c r="E27" s="21" t="s">
        <v>141</v>
      </c>
      <c r="F27" s="21"/>
      <c r="G27" s="1" t="s">
        <v>4</v>
      </c>
      <c r="H27" s="1" t="s">
        <v>5</v>
      </c>
    </row>
    <row r="28" spans="1:8" x14ac:dyDescent="0.25">
      <c r="A28" s="36" t="s">
        <v>69</v>
      </c>
      <c r="B28" s="1" t="s">
        <v>70</v>
      </c>
      <c r="C28" s="1" t="s">
        <v>73</v>
      </c>
      <c r="D28" s="1">
        <v>16</v>
      </c>
      <c r="E28" s="21">
        <v>10</v>
      </c>
      <c r="F28" s="21" t="s">
        <v>149</v>
      </c>
      <c r="G28" s="1">
        <f>D28*E28</f>
        <v>160</v>
      </c>
      <c r="H28" s="1"/>
    </row>
    <row r="29" spans="1:8" x14ac:dyDescent="0.25">
      <c r="A29" s="36"/>
      <c r="B29" s="1" t="s">
        <v>71</v>
      </c>
      <c r="C29" s="1" t="s">
        <v>74</v>
      </c>
      <c r="D29" s="1">
        <v>11</v>
      </c>
      <c r="E29" s="21">
        <v>10</v>
      </c>
      <c r="F29" s="21" t="s">
        <v>145</v>
      </c>
      <c r="G29" s="21">
        <f t="shared" ref="G29:G32" si="2">D29*E29</f>
        <v>110</v>
      </c>
      <c r="H29" s="1"/>
    </row>
    <row r="30" spans="1:8" x14ac:dyDescent="0.25">
      <c r="A30" s="36"/>
      <c r="B30" s="1" t="s">
        <v>72</v>
      </c>
      <c r="C30" s="1" t="s">
        <v>16</v>
      </c>
      <c r="D30" s="1">
        <v>104.88</v>
      </c>
      <c r="E30" s="21">
        <v>8</v>
      </c>
      <c r="F30" s="21" t="s">
        <v>143</v>
      </c>
      <c r="G30" s="21">
        <f t="shared" si="2"/>
        <v>839.04</v>
      </c>
      <c r="H30" s="1"/>
    </row>
    <row r="31" spans="1:8" x14ac:dyDescent="0.25">
      <c r="A31" s="36"/>
      <c r="B31" s="1" t="s">
        <v>14</v>
      </c>
      <c r="C31" s="1" t="s">
        <v>15</v>
      </c>
      <c r="D31" s="1">
        <v>45</v>
      </c>
      <c r="E31" s="21">
        <v>4</v>
      </c>
      <c r="F31" s="21" t="s">
        <v>143</v>
      </c>
      <c r="G31" s="21">
        <f t="shared" si="2"/>
        <v>180</v>
      </c>
      <c r="H31" s="1"/>
    </row>
    <row r="32" spans="1:8" x14ac:dyDescent="0.25">
      <c r="A32" s="36"/>
      <c r="B32" s="1" t="s">
        <v>8</v>
      </c>
      <c r="C32" s="1" t="s">
        <v>44</v>
      </c>
      <c r="D32" s="1">
        <v>27.36</v>
      </c>
      <c r="E32" s="21">
        <v>3</v>
      </c>
      <c r="F32" s="21" t="s">
        <v>143</v>
      </c>
      <c r="G32" s="21">
        <f t="shared" si="2"/>
        <v>82.08</v>
      </c>
      <c r="H32" s="1"/>
    </row>
    <row r="33" spans="1:8" x14ac:dyDescent="0.25">
      <c r="A33" s="36"/>
      <c r="B33" s="37"/>
      <c r="C33" s="38"/>
      <c r="D33" s="39"/>
      <c r="E33" s="22"/>
      <c r="F33" s="22"/>
      <c r="G33" s="19">
        <f>SUM(G28:G32)</f>
        <v>1371.12</v>
      </c>
      <c r="H33" s="1"/>
    </row>
    <row r="34" spans="1:8" x14ac:dyDescent="0.25">
      <c r="A34" s="1" t="s">
        <v>20</v>
      </c>
      <c r="B34" s="1" t="s">
        <v>1</v>
      </c>
      <c r="C34" s="1" t="s">
        <v>2</v>
      </c>
      <c r="D34" s="1" t="s">
        <v>3</v>
      </c>
      <c r="E34" s="22" t="s">
        <v>141</v>
      </c>
      <c r="F34" s="22"/>
      <c r="G34" s="3" t="s">
        <v>4</v>
      </c>
      <c r="H34" s="1" t="s">
        <v>5</v>
      </c>
    </row>
    <row r="35" spans="1:8" x14ac:dyDescent="0.25">
      <c r="A35" s="46"/>
      <c r="B35" s="1" t="s">
        <v>142</v>
      </c>
      <c r="C35" s="1"/>
      <c r="D35" s="1">
        <v>45.12</v>
      </c>
      <c r="E35" s="21">
        <v>90</v>
      </c>
      <c r="F35" s="21" t="s">
        <v>143</v>
      </c>
      <c r="G35" s="24">
        <f>D35*E35</f>
        <v>4060.7999999999997</v>
      </c>
      <c r="H35" s="1"/>
    </row>
    <row r="36" spans="1:8" x14ac:dyDescent="0.25">
      <c r="A36" s="47"/>
      <c r="B36" s="1" t="s">
        <v>146</v>
      </c>
      <c r="C36" s="1"/>
      <c r="D36" s="1">
        <v>48.96</v>
      </c>
      <c r="E36" s="21">
        <v>65</v>
      </c>
      <c r="F36" s="21" t="s">
        <v>143</v>
      </c>
      <c r="G36" s="24">
        <f>D36*E36</f>
        <v>3182.4</v>
      </c>
      <c r="H36" s="1"/>
    </row>
    <row r="37" spans="1:8" x14ac:dyDescent="0.25">
      <c r="A37" s="48"/>
      <c r="B37" s="37" t="s">
        <v>6</v>
      </c>
      <c r="C37" s="38"/>
      <c r="D37" s="39"/>
      <c r="E37" s="22"/>
      <c r="F37" s="22"/>
      <c r="G37" s="19">
        <f>SUM(G35:G36)</f>
        <v>7243.2</v>
      </c>
      <c r="H37" s="6"/>
    </row>
    <row r="38" spans="1:8" x14ac:dyDescent="0.25">
      <c r="A38" s="7" t="s">
        <v>21</v>
      </c>
      <c r="B38" s="1" t="s">
        <v>1</v>
      </c>
      <c r="C38" s="1" t="s">
        <v>2</v>
      </c>
      <c r="D38" s="1" t="s">
        <v>3</v>
      </c>
      <c r="E38" s="21" t="s">
        <v>141</v>
      </c>
      <c r="F38" s="21"/>
      <c r="G38" s="1" t="s">
        <v>4</v>
      </c>
      <c r="H38" s="1"/>
    </row>
    <row r="39" spans="1:8" x14ac:dyDescent="0.25">
      <c r="A39" s="36" t="s">
        <v>62</v>
      </c>
      <c r="B39" s="1" t="s">
        <v>63</v>
      </c>
      <c r="C39" s="1" t="s">
        <v>65</v>
      </c>
      <c r="D39" s="1">
        <v>125</v>
      </c>
      <c r="E39" s="21">
        <v>60</v>
      </c>
      <c r="F39" s="21" t="s">
        <v>144</v>
      </c>
      <c r="G39" s="1">
        <f>E39*D39</f>
        <v>7500</v>
      </c>
      <c r="H39" s="1"/>
    </row>
    <row r="40" spans="1:8" x14ac:dyDescent="0.25">
      <c r="A40" s="36"/>
      <c r="B40" s="1" t="s">
        <v>64</v>
      </c>
      <c r="C40" s="1" t="s">
        <v>66</v>
      </c>
      <c r="D40" s="1">
        <v>120</v>
      </c>
      <c r="E40" s="21">
        <v>3</v>
      </c>
      <c r="F40" s="21" t="s">
        <v>144</v>
      </c>
      <c r="G40" s="21">
        <f>E40*D40</f>
        <v>360</v>
      </c>
      <c r="H40" s="1"/>
    </row>
    <row r="41" spans="1:8" x14ac:dyDescent="0.25">
      <c r="A41" s="36"/>
      <c r="B41" s="1"/>
      <c r="C41" s="1"/>
      <c r="D41" s="1"/>
      <c r="E41" s="21"/>
      <c r="F41" s="21"/>
      <c r="G41" s="1"/>
      <c r="H41" s="1"/>
    </row>
    <row r="42" spans="1:8" x14ac:dyDescent="0.25">
      <c r="A42" s="36"/>
      <c r="B42" s="1"/>
      <c r="C42" s="1"/>
      <c r="D42" s="1"/>
      <c r="E42" s="21"/>
      <c r="F42" s="21"/>
      <c r="G42" s="1"/>
      <c r="H42" s="1"/>
    </row>
    <row r="43" spans="1:8" x14ac:dyDescent="0.25">
      <c r="A43" s="36"/>
      <c r="B43" s="37" t="s">
        <v>6</v>
      </c>
      <c r="C43" s="38"/>
      <c r="D43" s="39"/>
      <c r="E43" s="22"/>
      <c r="F43" s="22"/>
      <c r="G43" s="14">
        <f>SUM(G39:G42)</f>
        <v>7860</v>
      </c>
      <c r="H43" s="1"/>
    </row>
    <row r="44" spans="1:8" x14ac:dyDescent="0.25">
      <c r="A44" s="1"/>
      <c r="B44" s="43" t="s">
        <v>22</v>
      </c>
      <c r="C44" s="44"/>
      <c r="D44" s="45"/>
      <c r="E44" s="23"/>
      <c r="F44" s="23"/>
      <c r="G44" s="20">
        <f>G43+G37+G33+G26+G14+G7</f>
        <v>24268.22</v>
      </c>
      <c r="H44" s="1"/>
    </row>
  </sheetData>
  <mergeCells count="16">
    <mergeCell ref="A39:A43"/>
    <mergeCell ref="B43:D43"/>
    <mergeCell ref="B44:D44"/>
    <mergeCell ref="A22:A26"/>
    <mergeCell ref="B26:D26"/>
    <mergeCell ref="A28:A33"/>
    <mergeCell ref="B33:D33"/>
    <mergeCell ref="A35:A37"/>
    <mergeCell ref="B37:D37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tabSelected="1" topLeftCell="A13" workbookViewId="0">
      <selection activeCell="H46" sqref="H46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0" t="s">
        <v>26</v>
      </c>
      <c r="B1" s="41"/>
      <c r="C1" s="41"/>
      <c r="D1" s="41"/>
      <c r="E1" s="41"/>
      <c r="F1" s="41"/>
      <c r="G1" s="41"/>
      <c r="H1" s="4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5" t="s">
        <v>152</v>
      </c>
      <c r="F2" s="25"/>
      <c r="G2" s="1" t="s">
        <v>4</v>
      </c>
      <c r="H2" s="1" t="s">
        <v>5</v>
      </c>
    </row>
    <row r="3" spans="1:8" x14ac:dyDescent="0.25">
      <c r="A3" s="36" t="s">
        <v>81</v>
      </c>
      <c r="B3" s="1" t="s">
        <v>89</v>
      </c>
      <c r="C3" s="1" t="s">
        <v>92</v>
      </c>
      <c r="D3" s="1">
        <v>175.5</v>
      </c>
      <c r="E3" s="25">
        <v>54</v>
      </c>
      <c r="F3" s="25" t="s">
        <v>155</v>
      </c>
      <c r="G3" s="1">
        <f>D3*E3</f>
        <v>9477</v>
      </c>
      <c r="H3" s="1"/>
    </row>
    <row r="4" spans="1:8" x14ac:dyDescent="0.25">
      <c r="A4" s="36"/>
      <c r="B4" s="1" t="s">
        <v>90</v>
      </c>
      <c r="C4" s="1" t="s">
        <v>91</v>
      </c>
      <c r="D4" s="1">
        <v>294</v>
      </c>
      <c r="E4" s="25">
        <v>2</v>
      </c>
      <c r="F4" s="25" t="s">
        <v>156</v>
      </c>
      <c r="G4" s="25">
        <f>D4*E4</f>
        <v>588</v>
      </c>
      <c r="H4" s="1"/>
    </row>
    <row r="5" spans="1:8" x14ac:dyDescent="0.25">
      <c r="A5" s="36"/>
      <c r="B5" s="1"/>
      <c r="C5" s="1"/>
      <c r="D5" s="1"/>
      <c r="E5" s="25"/>
      <c r="F5" s="25"/>
      <c r="G5" s="1"/>
      <c r="H5" s="1"/>
    </row>
    <row r="6" spans="1:8" x14ac:dyDescent="0.25">
      <c r="A6" s="36"/>
      <c r="B6" s="1"/>
      <c r="C6" s="1"/>
      <c r="D6" s="1"/>
      <c r="E6" s="26"/>
      <c r="F6" s="26"/>
      <c r="G6" s="3"/>
      <c r="H6" s="1"/>
    </row>
    <row r="7" spans="1:8" x14ac:dyDescent="0.25">
      <c r="A7" s="36"/>
      <c r="B7" s="37" t="s">
        <v>6</v>
      </c>
      <c r="C7" s="38"/>
      <c r="D7" s="39"/>
      <c r="E7" s="26"/>
      <c r="F7" s="26"/>
      <c r="G7" s="14">
        <f>SUM(G3:G6)</f>
        <v>10065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25" t="s">
        <v>152</v>
      </c>
      <c r="F8" s="25"/>
      <c r="G8" s="1" t="s">
        <v>4</v>
      </c>
      <c r="H8" s="1" t="s">
        <v>5</v>
      </c>
    </row>
    <row r="9" spans="1:8" x14ac:dyDescent="0.25">
      <c r="A9" s="36" t="s">
        <v>82</v>
      </c>
      <c r="B9" s="1" t="s">
        <v>93</v>
      </c>
      <c r="C9" s="1" t="s">
        <v>94</v>
      </c>
      <c r="D9" s="1">
        <v>11.7</v>
      </c>
      <c r="E9" s="25">
        <v>30</v>
      </c>
      <c r="F9" s="25" t="s">
        <v>154</v>
      </c>
      <c r="G9" s="1">
        <f>D9*E9</f>
        <v>351</v>
      </c>
      <c r="H9" s="1"/>
    </row>
    <row r="10" spans="1:8" x14ac:dyDescent="0.25">
      <c r="A10" s="36"/>
      <c r="B10" s="1" t="s">
        <v>35</v>
      </c>
      <c r="C10" s="1" t="s">
        <v>42</v>
      </c>
      <c r="D10" s="1">
        <v>99</v>
      </c>
      <c r="E10" s="25">
        <v>15</v>
      </c>
      <c r="F10" s="25" t="s">
        <v>154</v>
      </c>
      <c r="G10" s="25">
        <f t="shared" ref="G10:G12" si="0">D10*E10</f>
        <v>1485</v>
      </c>
      <c r="H10" s="1"/>
    </row>
    <row r="11" spans="1:8" x14ac:dyDescent="0.25">
      <c r="A11" s="36"/>
      <c r="B11" s="1" t="s">
        <v>14</v>
      </c>
      <c r="C11" s="1" t="s">
        <v>15</v>
      </c>
      <c r="D11" s="1">
        <v>45</v>
      </c>
      <c r="E11" s="25">
        <v>4</v>
      </c>
      <c r="F11" s="25" t="s">
        <v>154</v>
      </c>
      <c r="G11" s="25">
        <f t="shared" si="0"/>
        <v>180</v>
      </c>
      <c r="H11" s="1"/>
    </row>
    <row r="12" spans="1:8" x14ac:dyDescent="0.25">
      <c r="A12" s="36"/>
      <c r="B12" s="1" t="s">
        <v>9</v>
      </c>
      <c r="C12" s="1" t="s">
        <v>49</v>
      </c>
      <c r="D12" s="1">
        <v>28.56</v>
      </c>
      <c r="E12" s="25">
        <v>2</v>
      </c>
      <c r="F12" s="25" t="s">
        <v>154</v>
      </c>
      <c r="G12" s="25">
        <f t="shared" si="0"/>
        <v>57.12</v>
      </c>
      <c r="H12" s="1"/>
    </row>
    <row r="13" spans="1:8" x14ac:dyDescent="0.25">
      <c r="A13" s="36"/>
      <c r="B13" s="1"/>
      <c r="C13" s="1"/>
      <c r="D13" s="1"/>
      <c r="E13" s="25"/>
      <c r="F13" s="25"/>
      <c r="G13" s="1"/>
      <c r="H13" s="1"/>
    </row>
    <row r="14" spans="1:8" x14ac:dyDescent="0.25">
      <c r="A14" s="36"/>
      <c r="B14" s="37" t="s">
        <v>6</v>
      </c>
      <c r="C14" s="38"/>
      <c r="D14" s="39"/>
      <c r="E14" s="26"/>
      <c r="F14" s="26"/>
      <c r="G14" s="19">
        <f>SUM(G9:G13)</f>
        <v>2073.12</v>
      </c>
      <c r="H14" s="1"/>
    </row>
    <row r="15" spans="1:8" x14ac:dyDescent="0.25">
      <c r="A15" s="1" t="s">
        <v>13</v>
      </c>
      <c r="B15" s="1" t="s">
        <v>1</v>
      </c>
      <c r="C15" s="1" t="s">
        <v>2</v>
      </c>
      <c r="D15" s="1" t="s">
        <v>3</v>
      </c>
      <c r="E15" s="25" t="s">
        <v>152</v>
      </c>
      <c r="F15" s="25"/>
      <c r="G15" s="1" t="s">
        <v>4</v>
      </c>
      <c r="H15" s="1" t="s">
        <v>5</v>
      </c>
    </row>
    <row r="16" spans="1:8" x14ac:dyDescent="0.25">
      <c r="A16" s="36" t="s">
        <v>83</v>
      </c>
      <c r="B16" s="1" t="s">
        <v>9</v>
      </c>
      <c r="C16" s="1" t="s">
        <v>16</v>
      </c>
      <c r="D16" s="1">
        <v>28.56</v>
      </c>
      <c r="E16" s="25">
        <v>8</v>
      </c>
      <c r="F16" s="25" t="s">
        <v>154</v>
      </c>
      <c r="G16" s="1">
        <f>D16*E16</f>
        <v>228.48</v>
      </c>
      <c r="H16" s="1"/>
    </row>
    <row r="17" spans="1:8" x14ac:dyDescent="0.25">
      <c r="A17" s="36"/>
      <c r="B17" s="1" t="s">
        <v>95</v>
      </c>
      <c r="C17" s="1" t="s">
        <v>99</v>
      </c>
      <c r="D17" s="1">
        <v>70</v>
      </c>
      <c r="E17" s="25">
        <v>20</v>
      </c>
      <c r="F17" s="25" t="s">
        <v>155</v>
      </c>
      <c r="G17" s="25">
        <f t="shared" ref="G17:G20" si="1">D17*E17</f>
        <v>1400</v>
      </c>
      <c r="H17" s="1"/>
    </row>
    <row r="18" spans="1:8" x14ac:dyDescent="0.25">
      <c r="A18" s="36"/>
      <c r="B18" s="1" t="s">
        <v>98</v>
      </c>
      <c r="C18" s="1" t="s">
        <v>44</v>
      </c>
      <c r="D18" s="1">
        <v>108</v>
      </c>
      <c r="E18" s="25">
        <v>3</v>
      </c>
      <c r="F18" s="25" t="s">
        <v>154</v>
      </c>
      <c r="G18" s="25">
        <f t="shared" si="1"/>
        <v>324</v>
      </c>
      <c r="H18" s="1"/>
    </row>
    <row r="19" spans="1:8" x14ac:dyDescent="0.25">
      <c r="A19" s="36"/>
      <c r="B19" s="1" t="s">
        <v>96</v>
      </c>
      <c r="C19" s="1" t="s">
        <v>99</v>
      </c>
      <c r="D19" s="25">
        <v>70</v>
      </c>
      <c r="E19" s="25">
        <v>20</v>
      </c>
      <c r="F19" s="25" t="s">
        <v>155</v>
      </c>
      <c r="G19" s="25">
        <f t="shared" si="1"/>
        <v>1400</v>
      </c>
      <c r="H19" s="1"/>
    </row>
    <row r="20" spans="1:8" x14ac:dyDescent="0.25">
      <c r="A20" s="36"/>
      <c r="B20" s="1" t="s">
        <v>97</v>
      </c>
      <c r="C20" s="1" t="s">
        <v>44</v>
      </c>
      <c r="D20" s="1">
        <v>108</v>
      </c>
      <c r="E20" s="26">
        <v>3</v>
      </c>
      <c r="F20" s="26" t="s">
        <v>154</v>
      </c>
      <c r="G20" s="25">
        <f t="shared" si="1"/>
        <v>324</v>
      </c>
      <c r="H20" s="1"/>
    </row>
    <row r="21" spans="1:8" x14ac:dyDescent="0.25">
      <c r="A21" s="36"/>
      <c r="B21" s="37" t="s">
        <v>6</v>
      </c>
      <c r="C21" s="38"/>
      <c r="D21" s="39"/>
      <c r="E21" s="26"/>
      <c r="F21" s="26"/>
      <c r="G21" s="19">
        <f>SUM(G16:G20)</f>
        <v>3676.48</v>
      </c>
      <c r="H21" s="1"/>
    </row>
    <row r="22" spans="1:8" x14ac:dyDescent="0.25">
      <c r="A22" s="5" t="s">
        <v>17</v>
      </c>
      <c r="B22" s="1" t="s">
        <v>1</v>
      </c>
      <c r="C22" s="1" t="s">
        <v>2</v>
      </c>
      <c r="D22" s="1" t="s">
        <v>3</v>
      </c>
      <c r="E22" s="25" t="s">
        <v>152</v>
      </c>
      <c r="F22" s="25"/>
      <c r="G22" s="1" t="s">
        <v>4</v>
      </c>
      <c r="H22" s="1" t="s">
        <v>5</v>
      </c>
    </row>
    <row r="23" spans="1:8" x14ac:dyDescent="0.25">
      <c r="A23" s="36"/>
      <c r="B23" s="1"/>
      <c r="C23" s="1"/>
      <c r="D23" s="1"/>
      <c r="E23" s="25"/>
      <c r="F23" s="25"/>
      <c r="G23" s="1"/>
      <c r="H23" s="1"/>
    </row>
    <row r="24" spans="1:8" x14ac:dyDescent="0.25">
      <c r="A24" s="36"/>
      <c r="B24" s="1"/>
      <c r="C24" s="1"/>
      <c r="D24" s="1"/>
      <c r="E24" s="25"/>
      <c r="F24" s="25"/>
      <c r="G24" s="1"/>
      <c r="H24" s="1"/>
    </row>
    <row r="25" spans="1:8" x14ac:dyDescent="0.25">
      <c r="A25" s="36"/>
      <c r="B25" s="1"/>
      <c r="C25" s="1"/>
      <c r="D25" s="1"/>
      <c r="E25" s="25"/>
      <c r="F25" s="25"/>
      <c r="G25" s="1"/>
      <c r="H25" s="1"/>
    </row>
    <row r="26" spans="1:8" x14ac:dyDescent="0.25">
      <c r="A26" s="36"/>
      <c r="B26" s="1"/>
      <c r="C26" s="1"/>
      <c r="D26" s="1"/>
      <c r="E26" s="25"/>
      <c r="F26" s="25"/>
      <c r="G26" s="1"/>
      <c r="H26" s="1"/>
    </row>
    <row r="27" spans="1:8" x14ac:dyDescent="0.25">
      <c r="A27" s="36"/>
      <c r="B27" s="37" t="s">
        <v>6</v>
      </c>
      <c r="C27" s="38"/>
      <c r="D27" s="39"/>
      <c r="E27" s="26"/>
      <c r="F27" s="26"/>
      <c r="G27" s="3"/>
      <c r="H27" s="1"/>
    </row>
    <row r="28" spans="1:8" x14ac:dyDescent="0.25">
      <c r="A28" s="1" t="s">
        <v>18</v>
      </c>
      <c r="B28" s="1" t="s">
        <v>1</v>
      </c>
      <c r="C28" s="1" t="s">
        <v>2</v>
      </c>
      <c r="D28" s="1" t="s">
        <v>3</v>
      </c>
      <c r="E28" s="25" t="s">
        <v>152</v>
      </c>
      <c r="F28" s="25"/>
      <c r="G28" s="1" t="s">
        <v>4</v>
      </c>
      <c r="H28" s="1" t="s">
        <v>5</v>
      </c>
    </row>
    <row r="29" spans="1:8" x14ac:dyDescent="0.25">
      <c r="A29" s="36" t="s">
        <v>84</v>
      </c>
      <c r="B29" s="1" t="s">
        <v>85</v>
      </c>
      <c r="C29" s="1" t="s">
        <v>88</v>
      </c>
      <c r="D29" s="1"/>
      <c r="E29" s="25"/>
      <c r="F29" s="25"/>
      <c r="G29" s="1"/>
      <c r="H29" s="1" t="s">
        <v>161</v>
      </c>
    </row>
    <row r="30" spans="1:8" x14ac:dyDescent="0.25">
      <c r="A30" s="36"/>
      <c r="B30" s="1" t="s">
        <v>86</v>
      </c>
      <c r="C30" s="1" t="s">
        <v>87</v>
      </c>
      <c r="D30" s="1">
        <v>150</v>
      </c>
      <c r="E30" s="25">
        <v>3</v>
      </c>
      <c r="F30" s="25" t="s">
        <v>157</v>
      </c>
      <c r="G30" s="1">
        <f>D30*E30</f>
        <v>450</v>
      </c>
      <c r="H30" s="1"/>
    </row>
    <row r="31" spans="1:8" x14ac:dyDescent="0.25">
      <c r="A31" s="36"/>
      <c r="B31" s="37"/>
      <c r="C31" s="38"/>
      <c r="D31" s="39"/>
      <c r="E31" s="26"/>
      <c r="F31" s="26"/>
      <c r="G31" s="14">
        <f>SUM(G30)</f>
        <v>450</v>
      </c>
      <c r="H31" s="1"/>
    </row>
    <row r="32" spans="1:8" x14ac:dyDescent="0.25">
      <c r="A32" s="1" t="s">
        <v>20</v>
      </c>
      <c r="B32" s="1" t="s">
        <v>1</v>
      </c>
      <c r="C32" s="1" t="s">
        <v>2</v>
      </c>
      <c r="D32" s="1" t="s">
        <v>3</v>
      </c>
      <c r="E32" s="26" t="s">
        <v>152</v>
      </c>
      <c r="F32" s="26"/>
      <c r="G32" s="3" t="s">
        <v>4</v>
      </c>
      <c r="H32" s="1" t="s">
        <v>5</v>
      </c>
    </row>
    <row r="33" spans="1:8" x14ac:dyDescent="0.25">
      <c r="A33" s="46"/>
      <c r="B33" s="1" t="s">
        <v>153</v>
      </c>
      <c r="C33" s="1"/>
      <c r="D33" s="1">
        <v>35.520000000000003</v>
      </c>
      <c r="E33" s="25">
        <v>73.34</v>
      </c>
      <c r="F33" s="25" t="s">
        <v>154</v>
      </c>
      <c r="G33" s="24">
        <f>D33*E33</f>
        <v>2605.0368000000003</v>
      </c>
      <c r="H33" s="1"/>
    </row>
    <row r="34" spans="1:8" x14ac:dyDescent="0.25">
      <c r="A34" s="47"/>
      <c r="B34" s="1" t="s">
        <v>160</v>
      </c>
      <c r="C34" s="1"/>
      <c r="D34" s="1">
        <v>37.799999999999997</v>
      </c>
      <c r="E34" s="25">
        <v>60</v>
      </c>
      <c r="F34" s="25" t="s">
        <v>154</v>
      </c>
      <c r="G34" s="24">
        <f>D34*E34</f>
        <v>2268</v>
      </c>
      <c r="H34" s="1"/>
    </row>
    <row r="35" spans="1:8" x14ac:dyDescent="0.25">
      <c r="A35" s="48"/>
      <c r="B35" s="37" t="s">
        <v>6</v>
      </c>
      <c r="C35" s="38"/>
      <c r="D35" s="39"/>
      <c r="E35" s="26"/>
      <c r="F35" s="26"/>
      <c r="G35" s="19">
        <f>SUM(G33:G34)</f>
        <v>4873.0367999999999</v>
      </c>
      <c r="H35" s="6"/>
    </row>
    <row r="36" spans="1:8" x14ac:dyDescent="0.25">
      <c r="A36" s="7" t="s">
        <v>21</v>
      </c>
      <c r="B36" s="1" t="s">
        <v>1</v>
      </c>
      <c r="C36" s="1" t="s">
        <v>2</v>
      </c>
      <c r="D36" s="1" t="s">
        <v>3</v>
      </c>
      <c r="E36" s="25" t="s">
        <v>152</v>
      </c>
      <c r="F36" s="25"/>
      <c r="G36" s="1" t="s">
        <v>4</v>
      </c>
      <c r="H36" s="1"/>
    </row>
    <row r="37" spans="1:8" x14ac:dyDescent="0.25">
      <c r="A37" s="36"/>
      <c r="B37" s="1" t="s">
        <v>158</v>
      </c>
      <c r="C37" s="1"/>
      <c r="D37" s="1">
        <v>21</v>
      </c>
      <c r="E37" s="25">
        <v>8</v>
      </c>
      <c r="F37" s="25" t="s">
        <v>154</v>
      </c>
      <c r="G37" s="24">
        <f>D37*E37</f>
        <v>168</v>
      </c>
      <c r="H37" s="1"/>
    </row>
    <row r="38" spans="1:8" x14ac:dyDescent="0.25">
      <c r="A38" s="36"/>
      <c r="B38" s="1" t="s">
        <v>159</v>
      </c>
      <c r="C38" s="1"/>
      <c r="D38" s="1">
        <v>126</v>
      </c>
      <c r="E38" s="25">
        <v>6.84</v>
      </c>
      <c r="F38" s="25" t="s">
        <v>154</v>
      </c>
      <c r="G38" s="24">
        <f>D38*E38</f>
        <v>861.84</v>
      </c>
      <c r="H38" s="1"/>
    </row>
    <row r="39" spans="1:8" x14ac:dyDescent="0.25">
      <c r="A39" s="36"/>
      <c r="B39" s="1"/>
      <c r="C39" s="1"/>
      <c r="D39" s="1"/>
      <c r="E39" s="25"/>
      <c r="F39" s="25"/>
      <c r="G39" s="1"/>
      <c r="H39" s="1"/>
    </row>
    <row r="40" spans="1:8" x14ac:dyDescent="0.25">
      <c r="A40" s="36"/>
      <c r="B40" s="1"/>
      <c r="C40" s="1"/>
      <c r="D40" s="1"/>
      <c r="E40" s="25"/>
      <c r="F40" s="25"/>
      <c r="G40" s="1"/>
      <c r="H40" s="1"/>
    </row>
    <row r="41" spans="1:8" x14ac:dyDescent="0.25">
      <c r="A41" s="36"/>
      <c r="B41" s="37" t="s">
        <v>6</v>
      </c>
      <c r="C41" s="38"/>
      <c r="D41" s="39"/>
      <c r="E41" s="26"/>
      <c r="F41" s="26"/>
      <c r="G41" s="19">
        <f>SUM(G37:G40)</f>
        <v>1029.8400000000001</v>
      </c>
      <c r="H41" s="1"/>
    </row>
    <row r="42" spans="1:8" x14ac:dyDescent="0.25">
      <c r="A42" s="1"/>
      <c r="B42" s="43" t="s">
        <v>22</v>
      </c>
      <c r="C42" s="44"/>
      <c r="D42" s="45"/>
      <c r="E42" s="27"/>
      <c r="F42" s="27"/>
      <c r="G42" s="20">
        <f>G41+G35+G21+G14+G7+G31</f>
        <v>22167.4768</v>
      </c>
      <c r="H42" s="1"/>
    </row>
  </sheetData>
  <mergeCells count="16">
    <mergeCell ref="A37:A41"/>
    <mergeCell ref="B41:D41"/>
    <mergeCell ref="B42:D42"/>
    <mergeCell ref="A23:A27"/>
    <mergeCell ref="B27:D27"/>
    <mergeCell ref="A29:A31"/>
    <mergeCell ref="B31:D31"/>
    <mergeCell ref="A33:A35"/>
    <mergeCell ref="B35:D35"/>
    <mergeCell ref="A16:A21"/>
    <mergeCell ref="B21:D21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1"/>
  <sheetViews>
    <sheetView topLeftCell="A31" workbookViewId="0">
      <selection activeCell="J56" sqref="J56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0" t="s">
        <v>27</v>
      </c>
      <c r="B1" s="41"/>
      <c r="C1" s="41"/>
      <c r="D1" s="41"/>
      <c r="E1" s="41"/>
      <c r="F1" s="41"/>
      <c r="G1" s="41"/>
      <c r="H1" s="4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8" t="s">
        <v>164</v>
      </c>
      <c r="F2" s="28"/>
      <c r="G2" s="1" t="s">
        <v>4</v>
      </c>
      <c r="H2" s="1" t="s">
        <v>5</v>
      </c>
    </row>
    <row r="3" spans="1:8" x14ac:dyDescent="0.25">
      <c r="A3" s="36" t="s">
        <v>100</v>
      </c>
      <c r="B3" s="1" t="s">
        <v>101</v>
      </c>
      <c r="C3" s="1" t="s">
        <v>102</v>
      </c>
      <c r="D3" s="1">
        <v>144</v>
      </c>
      <c r="E3" s="28">
        <v>40</v>
      </c>
      <c r="F3" s="28" t="s">
        <v>165</v>
      </c>
      <c r="G3" s="1">
        <f>D3*E3</f>
        <v>5760</v>
      </c>
      <c r="H3" s="1"/>
    </row>
    <row r="4" spans="1:8" x14ac:dyDescent="0.25">
      <c r="A4" s="36"/>
      <c r="B4" s="1" t="s">
        <v>103</v>
      </c>
      <c r="C4" s="1" t="s">
        <v>16</v>
      </c>
      <c r="D4" s="1">
        <v>30.6</v>
      </c>
      <c r="E4" s="28">
        <v>8</v>
      </c>
      <c r="F4" s="28" t="s">
        <v>165</v>
      </c>
      <c r="G4" s="28">
        <f>D4*E4</f>
        <v>244.8</v>
      </c>
      <c r="H4" s="1"/>
    </row>
    <row r="5" spans="1:8" x14ac:dyDescent="0.25">
      <c r="A5" s="36"/>
      <c r="B5" s="1"/>
      <c r="C5" s="1"/>
      <c r="D5" s="1"/>
      <c r="E5" s="28"/>
      <c r="F5" s="28"/>
      <c r="G5" s="1"/>
      <c r="H5" s="1"/>
    </row>
    <row r="6" spans="1:8" x14ac:dyDescent="0.25">
      <c r="A6" s="36"/>
      <c r="B6" s="1"/>
      <c r="C6" s="1"/>
      <c r="D6" s="1"/>
      <c r="E6" s="29"/>
      <c r="F6" s="29"/>
      <c r="G6" s="3"/>
      <c r="H6" s="1"/>
    </row>
    <row r="7" spans="1:8" x14ac:dyDescent="0.25">
      <c r="A7" s="36"/>
      <c r="B7" s="37" t="s">
        <v>6</v>
      </c>
      <c r="C7" s="38"/>
      <c r="D7" s="39"/>
      <c r="E7" s="29"/>
      <c r="F7" s="29"/>
      <c r="G7" s="19">
        <f>SUM(G3:G6)</f>
        <v>6004.8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28" t="s">
        <v>164</v>
      </c>
      <c r="F8" s="28"/>
      <c r="G8" s="1" t="s">
        <v>4</v>
      </c>
      <c r="H8" s="1" t="s">
        <v>5</v>
      </c>
    </row>
    <row r="9" spans="1:8" x14ac:dyDescent="0.25">
      <c r="A9" s="36" t="s">
        <v>104</v>
      </c>
      <c r="B9" s="1" t="s">
        <v>11</v>
      </c>
      <c r="C9" s="1" t="s">
        <v>12</v>
      </c>
      <c r="D9" s="1">
        <v>43.2</v>
      </c>
      <c r="E9" s="28">
        <v>20</v>
      </c>
      <c r="F9" s="28" t="s">
        <v>165</v>
      </c>
      <c r="G9" s="1">
        <f>D9*E9</f>
        <v>864</v>
      </c>
      <c r="H9" s="1"/>
    </row>
    <row r="10" spans="1:8" x14ac:dyDescent="0.25">
      <c r="A10" s="36"/>
      <c r="B10" s="1" t="s">
        <v>105</v>
      </c>
      <c r="C10" s="1" t="s">
        <v>107</v>
      </c>
      <c r="D10" s="1">
        <v>12</v>
      </c>
      <c r="E10" s="28">
        <v>50</v>
      </c>
      <c r="F10" s="28" t="s">
        <v>177</v>
      </c>
      <c r="G10" s="28">
        <f t="shared" ref="G10:G11" si="0">D10*E10</f>
        <v>600</v>
      </c>
      <c r="H10" s="1"/>
    </row>
    <row r="11" spans="1:8" x14ac:dyDescent="0.25">
      <c r="A11" s="36"/>
      <c r="B11" s="1" t="s">
        <v>106</v>
      </c>
      <c r="C11" s="1" t="s">
        <v>107</v>
      </c>
      <c r="D11" s="1">
        <v>12</v>
      </c>
      <c r="E11" s="28">
        <v>50</v>
      </c>
      <c r="F11" s="28" t="s">
        <v>177</v>
      </c>
      <c r="G11" s="28">
        <f t="shared" si="0"/>
        <v>600</v>
      </c>
      <c r="H11" s="1"/>
    </row>
    <row r="12" spans="1:8" x14ac:dyDescent="0.25">
      <c r="A12" s="36"/>
      <c r="B12" s="1"/>
      <c r="C12" s="1"/>
      <c r="D12" s="1"/>
      <c r="E12" s="28"/>
      <c r="F12" s="28"/>
      <c r="G12" s="1"/>
      <c r="H12" s="1"/>
    </row>
    <row r="13" spans="1:8" x14ac:dyDescent="0.25">
      <c r="A13" s="36"/>
      <c r="B13" s="1"/>
      <c r="C13" s="1"/>
      <c r="D13" s="1"/>
      <c r="E13" s="28"/>
      <c r="F13" s="28"/>
      <c r="G13" s="1"/>
      <c r="H13" s="1"/>
    </row>
    <row r="14" spans="1:8" x14ac:dyDescent="0.25">
      <c r="A14" s="36"/>
      <c r="B14" s="37" t="s">
        <v>6</v>
      </c>
      <c r="C14" s="38"/>
      <c r="D14" s="39"/>
      <c r="E14" s="29"/>
      <c r="F14" s="29"/>
      <c r="G14" s="14">
        <f>SUM(G9:G13)</f>
        <v>2064</v>
      </c>
      <c r="H14" s="1"/>
    </row>
    <row r="15" spans="1:8" x14ac:dyDescent="0.25">
      <c r="A15" s="1" t="s">
        <v>13</v>
      </c>
      <c r="B15" s="1" t="s">
        <v>1</v>
      </c>
      <c r="C15" s="1" t="s">
        <v>2</v>
      </c>
      <c r="D15" s="1" t="s">
        <v>3</v>
      </c>
      <c r="E15" s="28" t="s">
        <v>164</v>
      </c>
      <c r="F15" s="28"/>
      <c r="G15" s="1" t="s">
        <v>4</v>
      </c>
      <c r="H15" s="1" t="s">
        <v>5</v>
      </c>
    </row>
    <row r="16" spans="1:8" x14ac:dyDescent="0.25">
      <c r="A16" s="36" t="s">
        <v>108</v>
      </c>
      <c r="B16" s="1" t="s">
        <v>109</v>
      </c>
      <c r="C16" s="1" t="s">
        <v>102</v>
      </c>
      <c r="D16" s="1">
        <v>46.74</v>
      </c>
      <c r="E16" s="28">
        <v>40</v>
      </c>
      <c r="F16" s="28" t="s">
        <v>165</v>
      </c>
      <c r="G16" s="1">
        <f>D16*E16</f>
        <v>1869.6000000000001</v>
      </c>
      <c r="H16" s="1"/>
    </row>
    <row r="17" spans="1:8" x14ac:dyDescent="0.25">
      <c r="A17" s="36"/>
      <c r="B17" s="1" t="s">
        <v>110</v>
      </c>
      <c r="C17" s="1" t="s">
        <v>61</v>
      </c>
      <c r="D17" s="1">
        <v>150</v>
      </c>
      <c r="E17" s="28">
        <v>1</v>
      </c>
      <c r="F17" s="28" t="s">
        <v>174</v>
      </c>
      <c r="G17" s="28">
        <f>D17*E17</f>
        <v>150</v>
      </c>
      <c r="H17" s="1"/>
    </row>
    <row r="18" spans="1:8" x14ac:dyDescent="0.25">
      <c r="A18" s="36"/>
      <c r="B18" s="1"/>
      <c r="C18" s="1"/>
      <c r="D18" s="1"/>
      <c r="E18" s="28"/>
      <c r="F18" s="28"/>
      <c r="G18" s="1"/>
      <c r="H18" s="1"/>
    </row>
    <row r="19" spans="1:8" x14ac:dyDescent="0.25">
      <c r="A19" s="36"/>
      <c r="B19" s="1"/>
      <c r="C19" s="1"/>
      <c r="D19" s="1"/>
      <c r="E19" s="29"/>
      <c r="F19" s="29"/>
      <c r="G19" s="3"/>
      <c r="H19" s="1"/>
    </row>
    <row r="20" spans="1:8" x14ac:dyDescent="0.25">
      <c r="A20" s="36"/>
      <c r="B20" s="37" t="s">
        <v>6</v>
      </c>
      <c r="C20" s="38"/>
      <c r="D20" s="39"/>
      <c r="E20" s="29"/>
      <c r="F20" s="29"/>
      <c r="G20" s="19">
        <f>SUM(G16:G19)</f>
        <v>2019.6000000000001</v>
      </c>
      <c r="H20" s="1"/>
    </row>
    <row r="21" spans="1:8" x14ac:dyDescent="0.25">
      <c r="A21" s="5" t="s">
        <v>17</v>
      </c>
      <c r="B21" s="1" t="s">
        <v>1</v>
      </c>
      <c r="C21" s="1" t="s">
        <v>2</v>
      </c>
      <c r="D21" s="1" t="s">
        <v>3</v>
      </c>
      <c r="E21" s="28" t="s">
        <v>164</v>
      </c>
      <c r="F21" s="28"/>
      <c r="G21" s="1" t="s">
        <v>4</v>
      </c>
      <c r="H21" s="1" t="s">
        <v>5</v>
      </c>
    </row>
    <row r="22" spans="1:8" x14ac:dyDescent="0.25">
      <c r="A22" s="36"/>
      <c r="B22" s="1" t="s">
        <v>166</v>
      </c>
      <c r="C22" s="1"/>
      <c r="D22" s="1">
        <v>613</v>
      </c>
      <c r="E22" s="28">
        <v>1</v>
      </c>
      <c r="F22" s="28" t="s">
        <v>167</v>
      </c>
      <c r="G22" s="1">
        <f>D22*E22</f>
        <v>613</v>
      </c>
      <c r="H22" s="1"/>
    </row>
    <row r="23" spans="1:8" x14ac:dyDescent="0.25">
      <c r="A23" s="36"/>
      <c r="B23" s="1" t="s">
        <v>172</v>
      </c>
      <c r="C23" s="1"/>
      <c r="D23" s="1">
        <v>135</v>
      </c>
      <c r="E23" s="28">
        <v>3</v>
      </c>
      <c r="F23" s="28" t="s">
        <v>165</v>
      </c>
      <c r="G23" s="28">
        <f t="shared" ref="G23:G38" si="1">D23*E23</f>
        <v>405</v>
      </c>
      <c r="H23" s="1"/>
    </row>
    <row r="24" spans="1:8" x14ac:dyDescent="0.25">
      <c r="A24" s="36"/>
      <c r="B24" s="1" t="s">
        <v>173</v>
      </c>
      <c r="C24" s="1"/>
      <c r="D24" s="1">
        <v>144</v>
      </c>
      <c r="E24" s="28">
        <v>5</v>
      </c>
      <c r="F24" s="28" t="s">
        <v>165</v>
      </c>
      <c r="G24" s="28">
        <f t="shared" si="1"/>
        <v>720</v>
      </c>
      <c r="H24" s="1"/>
    </row>
    <row r="25" spans="1:8" x14ac:dyDescent="0.25">
      <c r="A25" s="36"/>
      <c r="B25" s="1" t="s">
        <v>180</v>
      </c>
      <c r="C25" s="1"/>
      <c r="D25" s="1">
        <v>110</v>
      </c>
      <c r="E25" s="28">
        <v>1</v>
      </c>
      <c r="F25" s="28" t="s">
        <v>181</v>
      </c>
      <c r="G25" s="28">
        <f t="shared" si="1"/>
        <v>110</v>
      </c>
      <c r="H25" s="1"/>
    </row>
    <row r="26" spans="1:8" x14ac:dyDescent="0.25">
      <c r="A26" s="36"/>
      <c r="B26" s="28" t="s">
        <v>182</v>
      </c>
      <c r="C26" s="28"/>
      <c r="D26" s="28">
        <v>350</v>
      </c>
      <c r="E26" s="29">
        <v>1</v>
      </c>
      <c r="F26" s="29" t="s">
        <v>165</v>
      </c>
      <c r="G26" s="28">
        <f t="shared" si="1"/>
        <v>350</v>
      </c>
      <c r="H26" s="28"/>
    </row>
    <row r="27" spans="1:8" x14ac:dyDescent="0.25">
      <c r="A27" s="36"/>
      <c r="B27" s="28" t="s">
        <v>183</v>
      </c>
      <c r="C27" s="28"/>
      <c r="D27" s="28">
        <v>235</v>
      </c>
      <c r="E27" s="29">
        <v>3</v>
      </c>
      <c r="F27" s="29" t="s">
        <v>181</v>
      </c>
      <c r="G27" s="28">
        <f t="shared" si="1"/>
        <v>705</v>
      </c>
      <c r="H27" s="28"/>
    </row>
    <row r="28" spans="1:8" x14ac:dyDescent="0.25">
      <c r="A28" s="36"/>
      <c r="B28" s="28" t="s">
        <v>184</v>
      </c>
      <c r="C28" s="28"/>
      <c r="D28" s="28">
        <v>250</v>
      </c>
      <c r="E28" s="29">
        <v>1</v>
      </c>
      <c r="F28" s="29" t="s">
        <v>167</v>
      </c>
      <c r="G28" s="29">
        <f t="shared" si="1"/>
        <v>250</v>
      </c>
      <c r="H28" s="28"/>
    </row>
    <row r="29" spans="1:8" x14ac:dyDescent="0.25">
      <c r="A29" s="36"/>
      <c r="B29" s="28" t="s">
        <v>185</v>
      </c>
      <c r="C29" s="28"/>
      <c r="D29" s="28">
        <v>75</v>
      </c>
      <c r="E29" s="29">
        <v>1</v>
      </c>
      <c r="F29" s="29" t="s">
        <v>174</v>
      </c>
      <c r="G29" s="29">
        <f t="shared" si="1"/>
        <v>75</v>
      </c>
      <c r="H29" s="28"/>
    </row>
    <row r="30" spans="1:8" x14ac:dyDescent="0.25">
      <c r="A30" s="36"/>
      <c r="B30" s="28" t="s">
        <v>186</v>
      </c>
      <c r="C30" s="28"/>
      <c r="D30" s="28">
        <v>120</v>
      </c>
      <c r="E30" s="29">
        <v>1</v>
      </c>
      <c r="F30" s="29" t="s">
        <v>174</v>
      </c>
      <c r="G30" s="29">
        <f t="shared" si="1"/>
        <v>120</v>
      </c>
      <c r="H30" s="28"/>
    </row>
    <row r="31" spans="1:8" x14ac:dyDescent="0.25">
      <c r="A31" s="36"/>
      <c r="B31" s="28" t="s">
        <v>187</v>
      </c>
      <c r="C31" s="28"/>
      <c r="D31" s="28">
        <v>43.2</v>
      </c>
      <c r="E31" s="28">
        <v>20</v>
      </c>
      <c r="F31" s="28" t="s">
        <v>165</v>
      </c>
      <c r="G31" s="28">
        <f t="shared" si="1"/>
        <v>864</v>
      </c>
      <c r="H31" s="28"/>
    </row>
    <row r="32" spans="1:8" x14ac:dyDescent="0.25">
      <c r="A32" s="36"/>
      <c r="B32" s="28" t="s">
        <v>194</v>
      </c>
      <c r="C32" s="28"/>
      <c r="D32" s="28">
        <v>1188</v>
      </c>
      <c r="E32" s="28">
        <v>1</v>
      </c>
      <c r="F32" s="29" t="s">
        <v>167</v>
      </c>
      <c r="G32" s="29">
        <f t="shared" si="1"/>
        <v>1188</v>
      </c>
      <c r="H32" s="28"/>
    </row>
    <row r="33" spans="1:8" x14ac:dyDescent="0.25">
      <c r="A33" s="36"/>
      <c r="B33" s="28" t="s">
        <v>195</v>
      </c>
      <c r="C33" s="28"/>
      <c r="D33" s="28">
        <v>291</v>
      </c>
      <c r="E33" s="28">
        <v>1</v>
      </c>
      <c r="F33" s="29" t="s">
        <v>167</v>
      </c>
      <c r="G33" s="29">
        <f t="shared" si="1"/>
        <v>291</v>
      </c>
      <c r="H33" s="28"/>
    </row>
    <row r="34" spans="1:8" x14ac:dyDescent="0.25">
      <c r="A34" s="36"/>
      <c r="B34" s="28" t="s">
        <v>196</v>
      </c>
      <c r="C34" s="28"/>
      <c r="D34" s="28">
        <v>235</v>
      </c>
      <c r="E34" s="28">
        <v>1</v>
      </c>
      <c r="F34" s="29" t="s">
        <v>167</v>
      </c>
      <c r="G34" s="29">
        <f t="shared" si="1"/>
        <v>235</v>
      </c>
      <c r="H34" s="28"/>
    </row>
    <row r="35" spans="1:8" x14ac:dyDescent="0.25">
      <c r="A35" s="36"/>
      <c r="B35" s="28" t="s">
        <v>197</v>
      </c>
      <c r="C35" s="28"/>
      <c r="D35" s="28">
        <v>225</v>
      </c>
      <c r="E35" s="28">
        <v>1</v>
      </c>
      <c r="F35" s="29" t="s">
        <v>167</v>
      </c>
      <c r="G35" s="29">
        <f t="shared" si="1"/>
        <v>225</v>
      </c>
      <c r="H35" s="28"/>
    </row>
    <row r="36" spans="1:8" x14ac:dyDescent="0.25">
      <c r="A36" s="36"/>
      <c r="B36" s="28" t="s">
        <v>198</v>
      </c>
      <c r="C36" s="28"/>
      <c r="D36" s="28">
        <v>20</v>
      </c>
      <c r="E36" s="28">
        <v>37</v>
      </c>
      <c r="F36" s="29" t="s">
        <v>190</v>
      </c>
      <c r="G36" s="29">
        <f t="shared" si="1"/>
        <v>740</v>
      </c>
      <c r="H36" s="28"/>
    </row>
    <row r="37" spans="1:8" x14ac:dyDescent="0.25">
      <c r="A37" s="36"/>
      <c r="B37" s="28" t="s">
        <v>199</v>
      </c>
      <c r="C37" s="28"/>
      <c r="D37" s="28">
        <v>225</v>
      </c>
      <c r="E37" s="28">
        <v>1</v>
      </c>
      <c r="F37" s="29" t="s">
        <v>167</v>
      </c>
      <c r="G37" s="29">
        <f t="shared" si="1"/>
        <v>225</v>
      </c>
      <c r="H37" s="28"/>
    </row>
    <row r="38" spans="1:8" x14ac:dyDescent="0.25">
      <c r="A38" s="36"/>
      <c r="B38" s="28" t="s">
        <v>200</v>
      </c>
      <c r="C38" s="28"/>
      <c r="D38" s="28">
        <v>339</v>
      </c>
      <c r="E38" s="28">
        <v>2</v>
      </c>
      <c r="F38" s="29" t="s">
        <v>167</v>
      </c>
      <c r="G38" s="29">
        <f t="shared" si="1"/>
        <v>678</v>
      </c>
      <c r="H38" s="28"/>
    </row>
    <row r="39" spans="1:8" x14ac:dyDescent="0.25">
      <c r="A39" s="36"/>
      <c r="B39" s="37" t="s">
        <v>6</v>
      </c>
      <c r="C39" s="38"/>
      <c r="D39" s="39"/>
      <c r="E39" s="29"/>
      <c r="F39" s="29"/>
      <c r="G39" s="14">
        <f>SUM(G22:G38)</f>
        <v>7794</v>
      </c>
      <c r="H39" s="1"/>
    </row>
    <row r="40" spans="1:8" x14ac:dyDescent="0.25">
      <c r="A40" s="1" t="s">
        <v>18</v>
      </c>
      <c r="B40" s="1" t="s">
        <v>1</v>
      </c>
      <c r="C40" s="1" t="s">
        <v>2</v>
      </c>
      <c r="D40" s="1" t="s">
        <v>3</v>
      </c>
      <c r="E40" s="28" t="s">
        <v>164</v>
      </c>
      <c r="F40" s="28"/>
      <c r="G40" s="1" t="s">
        <v>4</v>
      </c>
      <c r="H40" s="1" t="s">
        <v>5</v>
      </c>
    </row>
    <row r="41" spans="1:8" x14ac:dyDescent="0.25">
      <c r="A41" s="36" t="s">
        <v>111</v>
      </c>
      <c r="B41" s="1" t="s">
        <v>112</v>
      </c>
      <c r="C41" s="1" t="s">
        <v>42</v>
      </c>
      <c r="D41" s="1">
        <v>27</v>
      </c>
      <c r="E41" s="28">
        <v>15</v>
      </c>
      <c r="F41" s="28" t="s">
        <v>165</v>
      </c>
      <c r="G41" s="1">
        <f>D41*E41</f>
        <v>405</v>
      </c>
      <c r="H41" s="1"/>
    </row>
    <row r="42" spans="1:8" x14ac:dyDescent="0.25">
      <c r="A42" s="36"/>
      <c r="B42" s="1" t="s">
        <v>113</v>
      </c>
      <c r="C42" s="1" t="s">
        <v>42</v>
      </c>
      <c r="D42" s="1">
        <v>150</v>
      </c>
      <c r="E42" s="28">
        <v>15</v>
      </c>
      <c r="F42" s="28" t="s">
        <v>165</v>
      </c>
      <c r="G42" s="28">
        <f>D42*E42</f>
        <v>2250</v>
      </c>
      <c r="H42" s="1"/>
    </row>
    <row r="43" spans="1:8" x14ac:dyDescent="0.25">
      <c r="A43" s="36"/>
      <c r="B43" s="37"/>
      <c r="C43" s="38"/>
      <c r="D43" s="39"/>
      <c r="E43" s="29"/>
      <c r="F43" s="29"/>
      <c r="G43" s="14">
        <f>SUM(G41:G42)</f>
        <v>2655</v>
      </c>
      <c r="H43" s="1"/>
    </row>
    <row r="44" spans="1:8" x14ac:dyDescent="0.25">
      <c r="A44" s="1" t="s">
        <v>20</v>
      </c>
      <c r="B44" s="1" t="s">
        <v>1</v>
      </c>
      <c r="C44" s="1" t="s">
        <v>2</v>
      </c>
      <c r="D44" s="1" t="s">
        <v>3</v>
      </c>
      <c r="E44" s="29" t="s">
        <v>164</v>
      </c>
      <c r="F44" s="29"/>
      <c r="G44" s="3" t="s">
        <v>4</v>
      </c>
      <c r="H44" s="1" t="s">
        <v>5</v>
      </c>
    </row>
    <row r="45" spans="1:8" x14ac:dyDescent="0.25">
      <c r="A45" s="46"/>
      <c r="B45" s="1" t="s">
        <v>175</v>
      </c>
      <c r="C45" s="1"/>
      <c r="D45" s="1">
        <v>70</v>
      </c>
      <c r="E45" s="28">
        <v>40</v>
      </c>
      <c r="F45" s="28" t="s">
        <v>174</v>
      </c>
      <c r="G45" s="1">
        <f>D45*E45</f>
        <v>2800</v>
      </c>
      <c r="H45" s="1"/>
    </row>
    <row r="46" spans="1:8" x14ac:dyDescent="0.25">
      <c r="A46" s="47"/>
      <c r="B46" s="28" t="s">
        <v>170</v>
      </c>
      <c r="C46" s="28"/>
      <c r="D46" s="28">
        <v>21.6</v>
      </c>
      <c r="E46" s="28">
        <v>2</v>
      </c>
      <c r="F46" s="28" t="s">
        <v>165</v>
      </c>
      <c r="G46" s="28">
        <f t="shared" ref="G46:G47" si="2">D46*E46</f>
        <v>43.2</v>
      </c>
      <c r="H46" s="28"/>
    </row>
    <row r="47" spans="1:8" x14ac:dyDescent="0.25">
      <c r="A47" s="47"/>
      <c r="B47" s="28" t="s">
        <v>188</v>
      </c>
      <c r="C47" s="28"/>
      <c r="D47" s="28">
        <v>85</v>
      </c>
      <c r="E47" s="28">
        <v>4</v>
      </c>
      <c r="F47" s="28" t="s">
        <v>165</v>
      </c>
      <c r="G47" s="28">
        <f t="shared" si="2"/>
        <v>340</v>
      </c>
      <c r="H47" s="1"/>
    </row>
    <row r="48" spans="1:8" x14ac:dyDescent="0.25">
      <c r="A48" s="47"/>
      <c r="B48" s="28" t="s">
        <v>189</v>
      </c>
      <c r="C48" s="28"/>
      <c r="D48" s="28">
        <v>7.5</v>
      </c>
      <c r="E48" s="28">
        <v>270</v>
      </c>
      <c r="F48" s="29" t="s">
        <v>190</v>
      </c>
      <c r="G48" s="28">
        <f>D48*E48</f>
        <v>2025</v>
      </c>
      <c r="H48" s="28"/>
    </row>
    <row r="49" spans="1:8" x14ac:dyDescent="0.25">
      <c r="A49" s="48"/>
      <c r="B49" s="37" t="s">
        <v>6</v>
      </c>
      <c r="C49" s="38"/>
      <c r="D49" s="39"/>
      <c r="E49" s="29"/>
      <c r="F49" s="29"/>
      <c r="G49" s="19">
        <f>SUM(G45:G48)</f>
        <v>5208.2</v>
      </c>
      <c r="H49" s="6"/>
    </row>
    <row r="50" spans="1:8" x14ac:dyDescent="0.25">
      <c r="A50" s="7" t="s">
        <v>21</v>
      </c>
      <c r="B50" s="1" t="s">
        <v>1</v>
      </c>
      <c r="C50" s="1" t="s">
        <v>2</v>
      </c>
      <c r="D50" s="1" t="s">
        <v>3</v>
      </c>
      <c r="E50" s="28" t="s">
        <v>164</v>
      </c>
      <c r="F50" s="28"/>
      <c r="G50" s="1" t="s">
        <v>4</v>
      </c>
      <c r="H50" s="1"/>
    </row>
    <row r="51" spans="1:8" x14ac:dyDescent="0.25">
      <c r="A51" s="36"/>
      <c r="B51" s="1" t="s">
        <v>168</v>
      </c>
      <c r="C51" s="1"/>
      <c r="D51" s="1">
        <v>33.299999999999997</v>
      </c>
      <c r="E51" s="28">
        <v>8</v>
      </c>
      <c r="F51" s="28" t="s">
        <v>165</v>
      </c>
      <c r="G51" s="1">
        <f>D51*E51</f>
        <v>266.39999999999998</v>
      </c>
      <c r="H51" s="1"/>
    </row>
    <row r="52" spans="1:8" x14ac:dyDescent="0.25">
      <c r="A52" s="36"/>
      <c r="B52" s="1" t="s">
        <v>169</v>
      </c>
      <c r="C52" s="1"/>
      <c r="D52" s="1">
        <v>72</v>
      </c>
      <c r="E52" s="28">
        <v>2</v>
      </c>
      <c r="F52" s="28" t="s">
        <v>165</v>
      </c>
      <c r="G52" s="28">
        <f t="shared" ref="G52:G59" si="3">D52*E52</f>
        <v>144</v>
      </c>
      <c r="H52" s="1"/>
    </row>
    <row r="53" spans="1:8" x14ac:dyDescent="0.25">
      <c r="A53" s="36"/>
      <c r="B53" s="1" t="s">
        <v>170</v>
      </c>
      <c r="C53" s="1"/>
      <c r="D53" s="1">
        <v>21.6</v>
      </c>
      <c r="E53" s="28">
        <v>1</v>
      </c>
      <c r="F53" s="28" t="s">
        <v>165</v>
      </c>
      <c r="G53" s="28">
        <f t="shared" si="3"/>
        <v>21.6</v>
      </c>
      <c r="H53" s="1"/>
    </row>
    <row r="54" spans="1:8" x14ac:dyDescent="0.25">
      <c r="A54" s="36"/>
      <c r="B54" s="1" t="s">
        <v>171</v>
      </c>
      <c r="C54" s="1"/>
      <c r="D54" s="1">
        <v>93</v>
      </c>
      <c r="E54" s="28">
        <v>2</v>
      </c>
      <c r="F54" s="28" t="s">
        <v>165</v>
      </c>
      <c r="G54" s="28">
        <f t="shared" si="3"/>
        <v>186</v>
      </c>
      <c r="H54" s="1"/>
    </row>
    <row r="55" spans="1:8" x14ac:dyDescent="0.25">
      <c r="A55" s="36"/>
      <c r="B55" s="28" t="s">
        <v>176</v>
      </c>
      <c r="C55" s="28"/>
      <c r="D55" s="28">
        <v>4.5</v>
      </c>
      <c r="E55" s="28">
        <v>50</v>
      </c>
      <c r="F55" s="29" t="s">
        <v>177</v>
      </c>
      <c r="G55" s="28">
        <f t="shared" si="3"/>
        <v>225</v>
      </c>
      <c r="H55" s="28"/>
    </row>
    <row r="56" spans="1:8" x14ac:dyDescent="0.25">
      <c r="A56" s="36"/>
      <c r="B56" s="28" t="s">
        <v>178</v>
      </c>
      <c r="C56" s="28"/>
      <c r="D56" s="28">
        <v>240</v>
      </c>
      <c r="E56" s="28">
        <v>1</v>
      </c>
      <c r="F56" s="29" t="s">
        <v>179</v>
      </c>
      <c r="G56" s="28">
        <f t="shared" si="3"/>
        <v>240</v>
      </c>
      <c r="H56" s="28"/>
    </row>
    <row r="57" spans="1:8" x14ac:dyDescent="0.25">
      <c r="A57" s="36"/>
      <c r="B57" s="28" t="s">
        <v>191</v>
      </c>
      <c r="C57" s="28"/>
      <c r="D57" s="28">
        <v>10</v>
      </c>
      <c r="E57" s="28">
        <v>25</v>
      </c>
      <c r="F57" s="29" t="s">
        <v>177</v>
      </c>
      <c r="G57" s="28">
        <f t="shared" si="3"/>
        <v>250</v>
      </c>
      <c r="H57" s="28"/>
    </row>
    <row r="58" spans="1:8" x14ac:dyDescent="0.25">
      <c r="A58" s="36"/>
      <c r="B58" s="28" t="s">
        <v>192</v>
      </c>
      <c r="C58" s="28"/>
      <c r="D58" s="28">
        <v>69</v>
      </c>
      <c r="E58" s="35">
        <v>2</v>
      </c>
      <c r="F58" s="29" t="s">
        <v>165</v>
      </c>
      <c r="G58" s="28">
        <f t="shared" si="3"/>
        <v>138</v>
      </c>
      <c r="H58" s="28"/>
    </row>
    <row r="59" spans="1:8" x14ac:dyDescent="0.25">
      <c r="A59" s="36"/>
      <c r="B59" s="28" t="s">
        <v>193</v>
      </c>
      <c r="C59" s="28"/>
      <c r="D59" s="28">
        <v>19.8</v>
      </c>
      <c r="E59" s="28">
        <v>8</v>
      </c>
      <c r="F59" s="29" t="s">
        <v>165</v>
      </c>
      <c r="G59" s="28">
        <f t="shared" si="3"/>
        <v>158.4</v>
      </c>
      <c r="H59" s="28"/>
    </row>
    <row r="60" spans="1:8" x14ac:dyDescent="0.25">
      <c r="A60" s="36"/>
      <c r="B60" s="37" t="s">
        <v>6</v>
      </c>
      <c r="C60" s="38"/>
      <c r="D60" s="39"/>
      <c r="E60" s="29"/>
      <c r="F60" s="29"/>
      <c r="G60" s="14">
        <f>SUM(G51:G59)</f>
        <v>1629.4</v>
      </c>
      <c r="H60" s="1"/>
    </row>
    <row r="61" spans="1:8" x14ac:dyDescent="0.25">
      <c r="A61" s="1"/>
      <c r="B61" s="43" t="s">
        <v>22</v>
      </c>
      <c r="C61" s="44"/>
      <c r="D61" s="45"/>
      <c r="E61" s="30"/>
      <c r="F61" s="30"/>
      <c r="G61" s="20">
        <f>G60+G49+G43+G39+G20+G14+G7</f>
        <v>27374.999999999996</v>
      </c>
      <c r="H61" s="1"/>
    </row>
  </sheetData>
  <mergeCells count="16">
    <mergeCell ref="A51:A60"/>
    <mergeCell ref="B60:D60"/>
    <mergeCell ref="B61:D61"/>
    <mergeCell ref="A22:A39"/>
    <mergeCell ref="B39:D39"/>
    <mergeCell ref="A41:A43"/>
    <mergeCell ref="B43:D43"/>
    <mergeCell ref="A45:A49"/>
    <mergeCell ref="B49:D49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4</vt:i4>
      </vt:variant>
    </vt:vector>
  </HeadingPairs>
  <TitlesOfParts>
    <vt:vector size="9" baseType="lpstr">
      <vt:lpstr>1202+</vt:lpstr>
      <vt:lpstr>1203+</vt:lpstr>
      <vt:lpstr>1204+</vt:lpstr>
      <vt:lpstr>1205+</vt:lpstr>
      <vt:lpstr>1206+</vt:lpstr>
      <vt:lpstr>'1202+'!Print_Area</vt:lpstr>
      <vt:lpstr>'1203+'!Print_Area</vt:lpstr>
      <vt:lpstr>'1204+'!Print_Area</vt:lpstr>
      <vt:lpstr>'1205+'!Print_Area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2024-12-06T04:37:56Z</cp:lastPrinted>
  <dcterms:created xsi:type="dcterms:W3CDTF">2024-11-21T13:38:58Z</dcterms:created>
  <dcterms:modified xsi:type="dcterms:W3CDTF">2024-12-09T05:50:10Z</dcterms:modified>
</cp:coreProperties>
</file>