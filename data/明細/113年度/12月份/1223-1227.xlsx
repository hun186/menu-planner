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2月份\"/>
    </mc:Choice>
  </mc:AlternateContent>
  <bookViews>
    <workbookView xWindow="0" yWindow="0" windowWidth="28800" windowHeight="12255" activeTab="1"/>
  </bookViews>
  <sheets>
    <sheet name="1223+" sheetId="1" r:id="rId1"/>
    <sheet name="1224+" sheetId="2" r:id="rId2"/>
    <sheet name="1225+" sheetId="3" r:id="rId3"/>
    <sheet name="1226" sheetId="4" r:id="rId4"/>
    <sheet name="1227" sheetId="5" r:id="rId5"/>
  </sheets>
  <definedNames>
    <definedName name="_xlnm.Print_Area" localSheetId="0">'1223+'!$A$1:$H$45</definedName>
    <definedName name="_xlnm.Print_Area" localSheetId="1">'1224+'!$A$1:$H$42</definedName>
    <definedName name="_xlnm.Print_Area" localSheetId="4">'1227'!$A$1:$H$43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" i="5" l="1"/>
  <c r="G39" i="5"/>
  <c r="G42" i="5" s="1"/>
  <c r="G43" i="5" s="1"/>
  <c r="G40" i="5"/>
  <c r="G26" i="5"/>
  <c r="G23" i="5"/>
  <c r="G24" i="5"/>
  <c r="G22" i="5"/>
  <c r="G37" i="5"/>
  <c r="G35" i="5"/>
  <c r="G33" i="5"/>
  <c r="G20" i="5"/>
  <c r="G17" i="5"/>
  <c r="G18" i="5"/>
  <c r="G19" i="5"/>
  <c r="G16" i="5"/>
  <c r="G14" i="5"/>
  <c r="G10" i="5"/>
  <c r="G9" i="5"/>
  <c r="G7" i="5"/>
  <c r="G3" i="5"/>
  <c r="I51" i="4" l="1"/>
  <c r="G53" i="4"/>
  <c r="G42" i="4"/>
  <c r="G37" i="4"/>
  <c r="G20" i="4"/>
  <c r="G14" i="4"/>
  <c r="G7" i="4"/>
  <c r="G44" i="4"/>
  <c r="G52" i="4"/>
  <c r="G32" i="4"/>
  <c r="G33" i="4"/>
  <c r="G34" i="4"/>
  <c r="G35" i="4"/>
  <c r="G36" i="4"/>
  <c r="G31" i="4"/>
  <c r="G30" i="4"/>
  <c r="G29" i="4"/>
  <c r="G28" i="4"/>
  <c r="G27" i="4"/>
  <c r="G26" i="4"/>
  <c r="G46" i="4"/>
  <c r="G45" i="4"/>
  <c r="G17" i="4"/>
  <c r="G18" i="4"/>
  <c r="G19" i="4"/>
  <c r="G16" i="4"/>
  <c r="G4" i="4"/>
  <c r="G3" i="4"/>
  <c r="G23" i="4"/>
  <c r="G24" i="4"/>
  <c r="G25" i="4"/>
  <c r="G22" i="4"/>
  <c r="G48" i="4"/>
  <c r="G40" i="4"/>
  <c r="G39" i="4"/>
  <c r="G10" i="4"/>
  <c r="G9" i="4"/>
  <c r="G44" i="1" l="1"/>
  <c r="G45" i="1" s="1"/>
  <c r="G16" i="1"/>
  <c r="G34" i="3" l="1"/>
  <c r="G33" i="3"/>
  <c r="G35" i="3" s="1"/>
  <c r="G43" i="3" s="1"/>
  <c r="G26" i="3"/>
  <c r="G22" i="3"/>
  <c r="G20" i="3"/>
  <c r="G17" i="3"/>
  <c r="G18" i="3"/>
  <c r="G19" i="3"/>
  <c r="G16" i="3"/>
  <c r="G42" i="3"/>
  <c r="G38" i="3"/>
  <c r="G39" i="3"/>
  <c r="G40" i="3"/>
  <c r="G41" i="3"/>
  <c r="G37" i="3"/>
  <c r="G14" i="3"/>
  <c r="G9" i="3"/>
  <c r="G41" i="2" l="1"/>
  <c r="G35" i="2"/>
  <c r="G33" i="2"/>
  <c r="G38" i="2"/>
  <c r="G39" i="2"/>
  <c r="G40" i="2"/>
  <c r="G37" i="2"/>
  <c r="G29" i="2"/>
  <c r="G30" i="2"/>
  <c r="G28" i="2"/>
  <c r="G31" i="2" s="1"/>
  <c r="G42" i="2" s="1"/>
  <c r="G17" i="2"/>
  <c r="G18" i="2"/>
  <c r="G19" i="2"/>
  <c r="G16" i="2"/>
  <c r="G20" i="2" s="1"/>
  <c r="G10" i="2"/>
  <c r="G11" i="2"/>
  <c r="G12" i="2"/>
  <c r="G9" i="2"/>
  <c r="G14" i="2" s="1"/>
  <c r="G4" i="2"/>
  <c r="G3" i="2"/>
  <c r="G7" i="2" s="1"/>
  <c r="G23" i="2"/>
  <c r="G24" i="2"/>
  <c r="G25" i="2"/>
  <c r="G22" i="2"/>
  <c r="G26" i="2" s="1"/>
  <c r="G7" i="1" l="1"/>
  <c r="G14" i="1"/>
  <c r="G20" i="1"/>
  <c r="G29" i="1"/>
  <c r="G34" i="1"/>
  <c r="G41" i="1"/>
  <c r="G40" i="1"/>
  <c r="G3" i="1"/>
  <c r="G5" i="1"/>
  <c r="G6" i="1"/>
  <c r="G4" i="1"/>
  <c r="G38" i="1"/>
  <c r="G36" i="1"/>
  <c r="G32" i="1"/>
  <c r="G31" i="1"/>
  <c r="G17" i="1"/>
  <c r="G10" i="1"/>
  <c r="G11" i="1"/>
  <c r="G9" i="1"/>
  <c r="G27" i="1"/>
</calcChain>
</file>

<file path=xl/sharedStrings.xml><?xml version="1.0" encoding="utf-8"?>
<sst xmlns="http://schemas.openxmlformats.org/spreadsheetml/2006/main" count="546" uniqueCount="178">
  <si>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</si>
  <si>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</si>
  <si>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</si>
  <si>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</si>
  <si>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</si>
  <si>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</si>
  <si>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</si>
  <si>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</si>
  <si>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</si>
  <si>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</si>
  <si>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</si>
  <si>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</si>
  <si>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</si>
  <si>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</si>
  <si>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12月   23日      午餐明細表</t>
    <phoneticPr fontId="2" type="noConversion"/>
  </si>
  <si>
    <t>電訊科技中心(安康營區)     113年      12月   24日      午餐明細表</t>
    <phoneticPr fontId="2" type="noConversion"/>
  </si>
  <si>
    <t>電訊科技中心(安康營區)     113年      12月   25日      午餐明細表</t>
    <phoneticPr fontId="2" type="noConversion"/>
  </si>
  <si>
    <t>電訊科技中心(安康營區)     113年      12月   26日      午餐明細表</t>
    <phoneticPr fontId="2" type="noConversion"/>
  </si>
  <si>
    <t>電訊科技中心(安康營區)     113年      12月   27日      午餐明細表</t>
    <phoneticPr fontId="2" type="noConversion"/>
  </si>
  <si>
    <t>回鍋肉片</t>
    <phoneticPr fontId="2" type="noConversion"/>
  </si>
  <si>
    <t>紅蘿蔔炒蛋</t>
    <phoneticPr fontId="2" type="noConversion"/>
  </si>
  <si>
    <t>青椒豆皮</t>
    <phoneticPr fontId="2" type="noConversion"/>
  </si>
  <si>
    <t>白蘿蔔魚丸湯</t>
    <phoneticPr fontId="2" type="noConversion"/>
  </si>
  <si>
    <t>黑胡椒雞排</t>
    <phoneticPr fontId="2" type="noConversion"/>
  </si>
  <si>
    <t>白菜滷</t>
    <phoneticPr fontId="2" type="noConversion"/>
  </si>
  <si>
    <t>芹菜炒豆干</t>
    <phoneticPr fontId="2" type="noConversion"/>
  </si>
  <si>
    <t>冬瓜蛤蠣湯</t>
    <phoneticPr fontId="2" type="noConversion"/>
  </si>
  <si>
    <t>榨菜肉絲麵(湯)</t>
    <phoneticPr fontId="2" type="noConversion"/>
  </si>
  <si>
    <t>府城蝦捲</t>
    <phoneticPr fontId="2" type="noConversion"/>
  </si>
  <si>
    <t>涼拌干絲</t>
    <phoneticPr fontId="2" type="noConversion"/>
  </si>
  <si>
    <t>紅燒豬腳</t>
    <phoneticPr fontId="2" type="noConversion"/>
  </si>
  <si>
    <t>桂筍肉絲</t>
    <phoneticPr fontId="2" type="noConversion"/>
  </si>
  <si>
    <t>韭菜炒豆腐</t>
    <phoneticPr fontId="2" type="noConversion"/>
  </si>
  <si>
    <t>粉圓冬瓜茶</t>
    <phoneticPr fontId="2" type="noConversion"/>
  </si>
  <si>
    <t>炸雞翅</t>
    <phoneticPr fontId="2" type="noConversion"/>
  </si>
  <si>
    <t>瓜仔肉燥</t>
    <phoneticPr fontId="2" type="noConversion"/>
  </si>
  <si>
    <t>胡瓜三絲</t>
    <phoneticPr fontId="2" type="noConversion"/>
  </si>
  <si>
    <t>海帶芽蛋花湯</t>
    <phoneticPr fontId="2" type="noConversion"/>
  </si>
  <si>
    <t>海帶芽</t>
    <phoneticPr fontId="2" type="noConversion"/>
  </si>
  <si>
    <t>蛋</t>
    <phoneticPr fontId="2" type="noConversion"/>
  </si>
  <si>
    <t>庫存</t>
    <phoneticPr fontId="2" type="noConversion"/>
  </si>
  <si>
    <t>雞翅</t>
    <phoneticPr fontId="2" type="noConversion"/>
  </si>
  <si>
    <t>260隻</t>
    <phoneticPr fontId="2" type="noConversion"/>
  </si>
  <si>
    <t>絞肉</t>
    <phoneticPr fontId="2" type="noConversion"/>
  </si>
  <si>
    <t>蔭瓜罐頭(大)</t>
    <phoneticPr fontId="2" type="noConversion"/>
  </si>
  <si>
    <t>40斤</t>
    <phoneticPr fontId="2" type="noConversion"/>
  </si>
  <si>
    <t>2罐</t>
    <phoneticPr fontId="2" type="noConversion"/>
  </si>
  <si>
    <t>胡瓜絲</t>
    <phoneticPr fontId="2" type="noConversion"/>
  </si>
  <si>
    <t>金針菇</t>
    <phoneticPr fontId="2" type="noConversion"/>
  </si>
  <si>
    <t>木耳絲</t>
    <phoneticPr fontId="2" type="noConversion"/>
  </si>
  <si>
    <t>紅蘿蔔絲</t>
    <phoneticPr fontId="2" type="noConversion"/>
  </si>
  <si>
    <t>2斤</t>
    <phoneticPr fontId="2" type="noConversion"/>
  </si>
  <si>
    <t>30斤</t>
    <phoneticPr fontId="2" type="noConversion"/>
  </si>
  <si>
    <t>8斤</t>
    <phoneticPr fontId="2" type="noConversion"/>
  </si>
  <si>
    <t>5斤</t>
    <phoneticPr fontId="2" type="noConversion"/>
  </si>
  <si>
    <t>豬腳</t>
    <phoneticPr fontId="2" type="noConversion"/>
  </si>
  <si>
    <t>白蘿蔔</t>
    <phoneticPr fontId="2" type="noConversion"/>
  </si>
  <si>
    <t>65斤</t>
    <phoneticPr fontId="2" type="noConversion"/>
  </si>
  <si>
    <t>桂竹筍</t>
    <phoneticPr fontId="2" type="noConversion"/>
  </si>
  <si>
    <t>豬肉絲</t>
    <phoneticPr fontId="2" type="noConversion"/>
  </si>
  <si>
    <t>15斤</t>
    <phoneticPr fontId="2" type="noConversion"/>
  </si>
  <si>
    <t>韭菜</t>
    <phoneticPr fontId="2" type="noConversion"/>
  </si>
  <si>
    <t>4.3豆腐</t>
    <phoneticPr fontId="2" type="noConversion"/>
  </si>
  <si>
    <t>去皮洋蔥</t>
    <phoneticPr fontId="2" type="noConversion"/>
  </si>
  <si>
    <t>7板</t>
    <phoneticPr fontId="2" type="noConversion"/>
  </si>
  <si>
    <t>3斤</t>
    <phoneticPr fontId="2" type="noConversion"/>
  </si>
  <si>
    <t>粉圓</t>
    <phoneticPr fontId="2" type="noConversion"/>
  </si>
  <si>
    <t>20斤</t>
    <phoneticPr fontId="2" type="noConversion"/>
  </si>
  <si>
    <t>冬瓜茶磚</t>
    <phoneticPr fontId="2" type="noConversion"/>
  </si>
  <si>
    <t>1大袋</t>
    <phoneticPr fontId="2" type="noConversion"/>
  </si>
  <si>
    <t>蝦捲</t>
    <phoneticPr fontId="2" type="noConversion"/>
  </si>
  <si>
    <t>560隻</t>
    <phoneticPr fontId="2" type="noConversion"/>
  </si>
  <si>
    <t>海帶絲</t>
    <phoneticPr fontId="2" type="noConversion"/>
  </si>
  <si>
    <t>干絲</t>
    <phoneticPr fontId="2" type="noConversion"/>
  </si>
  <si>
    <t>香菜</t>
    <phoneticPr fontId="2" type="noConversion"/>
  </si>
  <si>
    <t>10斤</t>
    <phoneticPr fontId="2" type="noConversion"/>
  </si>
  <si>
    <t>半斤</t>
    <phoneticPr fontId="2" type="noConversion"/>
  </si>
  <si>
    <t>熟拉麵</t>
    <phoneticPr fontId="2" type="noConversion"/>
  </si>
  <si>
    <t>榨菜絲</t>
    <phoneticPr fontId="2" type="noConversion"/>
  </si>
  <si>
    <t>60斤</t>
    <phoneticPr fontId="2" type="noConversion"/>
  </si>
  <si>
    <t>25斤</t>
    <phoneticPr fontId="2" type="noConversion"/>
  </si>
  <si>
    <t>無骨雞排</t>
    <phoneticPr fontId="2" type="noConversion"/>
  </si>
  <si>
    <t>黑胡椒醬(大)</t>
    <phoneticPr fontId="2" type="noConversion"/>
  </si>
  <si>
    <t>5件</t>
    <phoneticPr fontId="2" type="noConversion"/>
  </si>
  <si>
    <t>生香菇</t>
    <phoneticPr fontId="2" type="noConversion"/>
  </si>
  <si>
    <t>去葉芹菜</t>
    <phoneticPr fontId="2" type="noConversion"/>
  </si>
  <si>
    <t>豆干切片</t>
    <phoneticPr fontId="2" type="noConversion"/>
  </si>
  <si>
    <t>五花肉絲</t>
    <phoneticPr fontId="2" type="noConversion"/>
  </si>
  <si>
    <t>去皮冬瓜</t>
    <phoneticPr fontId="2" type="noConversion"/>
  </si>
  <si>
    <t>蛤蠣</t>
    <phoneticPr fontId="2" type="noConversion"/>
  </si>
  <si>
    <t>薑絲</t>
    <phoneticPr fontId="2" type="noConversion"/>
  </si>
  <si>
    <t>五花肉片</t>
    <phoneticPr fontId="2" type="noConversion"/>
  </si>
  <si>
    <t>豬肉片</t>
    <phoneticPr fontId="2" type="noConversion"/>
  </si>
  <si>
    <t>蒜苗</t>
    <phoneticPr fontId="2" type="noConversion"/>
  </si>
  <si>
    <t>12斤</t>
    <phoneticPr fontId="2" type="noConversion"/>
  </si>
  <si>
    <t>1件</t>
    <phoneticPr fontId="2" type="noConversion"/>
  </si>
  <si>
    <t>4斤</t>
    <phoneticPr fontId="2" type="noConversion"/>
  </si>
  <si>
    <t>青椒絲</t>
    <phoneticPr fontId="2" type="noConversion"/>
  </si>
  <si>
    <t>炸豆皮</t>
    <phoneticPr fontId="2" type="noConversion"/>
  </si>
  <si>
    <t>魚丸</t>
    <phoneticPr fontId="2" type="noConversion"/>
  </si>
  <si>
    <t>3包</t>
    <phoneticPr fontId="2" type="noConversion"/>
  </si>
  <si>
    <t>訂貨數量</t>
    <phoneticPr fontId="2" type="noConversion"/>
  </si>
  <si>
    <t>蒜仁</t>
  </si>
  <si>
    <t>斤</t>
  </si>
  <si>
    <t>辣椒</t>
  </si>
  <si>
    <t>洗選蛋</t>
  </si>
  <si>
    <t>老薑</t>
  </si>
  <si>
    <t>杏鮑菇</t>
  </si>
  <si>
    <t>青蔥</t>
  </si>
  <si>
    <t>斤</t>
    <phoneticPr fontId="2" type="noConversion"/>
  </si>
  <si>
    <t>油菜</t>
    <phoneticPr fontId="2" type="noConversion"/>
  </si>
  <si>
    <t>湯包</t>
    <phoneticPr fontId="2" type="noConversion"/>
  </si>
  <si>
    <t>吉利丁</t>
    <phoneticPr fontId="2" type="noConversion"/>
  </si>
  <si>
    <t>盒</t>
    <phoneticPr fontId="2" type="noConversion"/>
  </si>
  <si>
    <t>個</t>
    <phoneticPr fontId="2" type="noConversion"/>
  </si>
  <si>
    <t>柳丁</t>
    <phoneticPr fontId="2" type="noConversion"/>
  </si>
  <si>
    <t>庫存</t>
    <phoneticPr fontId="2" type="noConversion"/>
  </si>
  <si>
    <t>訂貨數量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</si>
  <si>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</si>
  <si>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</si>
  <si>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</si>
  <si>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斤</t>
    <phoneticPr fontId="2" type="noConversion"/>
  </si>
  <si>
    <t>桶</t>
    <phoneticPr fontId="2" type="noConversion"/>
  </si>
  <si>
    <t>件</t>
    <phoneticPr fontId="2" type="noConversion"/>
  </si>
  <si>
    <t>大白菜</t>
    <phoneticPr fontId="2" type="noConversion"/>
  </si>
  <si>
    <t>立大前腿肉絲</t>
    <phoneticPr fontId="2" type="noConversion"/>
  </si>
  <si>
    <t>油麵</t>
    <phoneticPr fontId="2" type="noConversion"/>
  </si>
  <si>
    <t>鵝白菜</t>
    <phoneticPr fontId="2" type="noConversion"/>
  </si>
  <si>
    <t>柳丁</t>
    <phoneticPr fontId="2" type="noConversion"/>
  </si>
  <si>
    <t>訂貨數量</t>
    <phoneticPr fontId="2" type="noConversion"/>
  </si>
  <si>
    <t>條</t>
    <phoneticPr fontId="2" type="noConversion"/>
  </si>
  <si>
    <t>斤</t>
    <phoneticPr fontId="2" type="noConversion"/>
  </si>
  <si>
    <t>超秦雞排</t>
    <phoneticPr fontId="2" type="noConversion"/>
  </si>
  <si>
    <t>包</t>
    <phoneticPr fontId="2" type="noConversion"/>
  </si>
  <si>
    <t>冷凍青花菜</t>
    <phoneticPr fontId="2" type="noConversion"/>
  </si>
  <si>
    <t>養樂多</t>
    <phoneticPr fontId="2" type="noConversion"/>
  </si>
  <si>
    <t>瓶</t>
    <phoneticPr fontId="2" type="noConversion"/>
  </si>
  <si>
    <t>酒瓶</t>
    <phoneticPr fontId="2" type="noConversion"/>
  </si>
  <si>
    <t>訂貨數量</t>
    <phoneticPr fontId="2" type="noConversion"/>
  </si>
  <si>
    <t>柳丁</t>
    <phoneticPr fontId="2" type="noConversion"/>
  </si>
  <si>
    <t>斤</t>
    <phoneticPr fontId="2" type="noConversion"/>
  </si>
  <si>
    <t>個</t>
    <phoneticPr fontId="2" type="noConversion"/>
  </si>
  <si>
    <t>帶皮五花肉</t>
    <phoneticPr fontId="2" type="noConversion"/>
  </si>
  <si>
    <t>味素</t>
    <phoneticPr fontId="2" type="noConversion"/>
  </si>
  <si>
    <t>盒</t>
    <phoneticPr fontId="2" type="noConversion"/>
  </si>
  <si>
    <t>胡椒鹽</t>
    <phoneticPr fontId="2" type="noConversion"/>
  </si>
  <si>
    <t>蘑菇醬</t>
    <phoneticPr fontId="2" type="noConversion"/>
  </si>
  <si>
    <t>桶</t>
    <phoneticPr fontId="2" type="noConversion"/>
  </si>
  <si>
    <t>乾辣椒</t>
    <phoneticPr fontId="2" type="noConversion"/>
  </si>
  <si>
    <t>盤</t>
    <phoneticPr fontId="2" type="noConversion"/>
  </si>
  <si>
    <t>高麗菜</t>
    <phoneticPr fontId="2" type="noConversion"/>
  </si>
  <si>
    <t>蒜泥</t>
    <phoneticPr fontId="2" type="noConversion"/>
  </si>
  <si>
    <t>前腿肉片</t>
    <phoneticPr fontId="2" type="noConversion"/>
  </si>
  <si>
    <t>薑絲</t>
    <phoneticPr fontId="2" type="noConversion"/>
  </si>
  <si>
    <t>鴨血</t>
    <phoneticPr fontId="2" type="noConversion"/>
  </si>
  <si>
    <t>金蘭醬油</t>
    <phoneticPr fontId="2" type="noConversion"/>
  </si>
  <si>
    <t>素蠔油</t>
    <phoneticPr fontId="2" type="noConversion"/>
  </si>
  <si>
    <t>沙拉油</t>
    <phoneticPr fontId="2" type="noConversion"/>
  </si>
  <si>
    <t>烏醋</t>
    <phoneticPr fontId="2" type="noConversion"/>
  </si>
  <si>
    <t>紅蘿蔔</t>
    <phoneticPr fontId="2" type="noConversion"/>
  </si>
  <si>
    <t>香油</t>
    <phoneticPr fontId="2" type="noConversion"/>
  </si>
  <si>
    <t>鮮木耳</t>
    <phoneticPr fontId="2" type="noConversion"/>
  </si>
  <si>
    <t>訂貨數量</t>
    <phoneticPr fontId="2" type="noConversion"/>
  </si>
  <si>
    <t>斤</t>
    <phoneticPr fontId="2" type="noConversion"/>
  </si>
  <si>
    <t>桶</t>
    <phoneticPr fontId="2" type="noConversion"/>
  </si>
  <si>
    <t>鵝白菜</t>
    <phoneticPr fontId="2" type="noConversion"/>
  </si>
  <si>
    <t>義美豆花</t>
    <phoneticPr fontId="2" type="noConversion"/>
  </si>
  <si>
    <t>滷蛋</t>
    <phoneticPr fontId="2" type="noConversion"/>
  </si>
  <si>
    <t>個</t>
    <phoneticPr fontId="2" type="noConversion"/>
  </si>
  <si>
    <t>海帶捲</t>
    <phoneticPr fontId="2" type="noConversion"/>
  </si>
  <si>
    <t>香油</t>
    <phoneticPr fontId="2" type="noConversion"/>
  </si>
  <si>
    <t>冬瓜鋁箔包</t>
    <phoneticPr fontId="2" type="noConversion"/>
  </si>
  <si>
    <t>件</t>
    <phoneticPr fontId="2" type="noConversion"/>
  </si>
  <si>
    <t>細砂糖</t>
    <phoneticPr fontId="2" type="noConversion"/>
  </si>
  <si>
    <t>鮮奶</t>
    <phoneticPr fontId="2" type="noConversion"/>
  </si>
  <si>
    <t>瓶</t>
    <phoneticPr fontId="2" type="noConversion"/>
  </si>
  <si>
    <t>包</t>
    <phoneticPr fontId="2" type="noConversion"/>
  </si>
  <si>
    <t>沙拉油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</si>
</sst>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"/>
  </numFmts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0" fillId="0" borderId="0" xfId="0" applyNumberFormat="1">
      <alignment vertical="center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0" fillId="2" borderId="0" xfId="0" applyFill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B22" sqref="B22:G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8" t="s">
        <v>14</v>
      </c>
      <c r="B1" s="39"/>
      <c r="C1" s="39"/>
      <c r="D1" s="39"/>
      <c r="E1" s="39"/>
      <c r="F1" s="39"/>
      <c r="G1" s="39"/>
      <c r="H1" s="4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7" t="s">
        <v>101</v>
      </c>
      <c r="F2" s="7"/>
      <c r="G2" s="1" t="s">
        <v>4</v>
      </c>
      <c r="H2" s="1" t="s">
        <v>5</v>
      </c>
    </row>
    <row r="3" spans="1:8" x14ac:dyDescent="0.25">
      <c r="A3" s="34" t="s">
        <v>19</v>
      </c>
      <c r="B3" s="1" t="s">
        <v>91</v>
      </c>
      <c r="C3" s="1" t="s">
        <v>67</v>
      </c>
      <c r="D3" s="7">
        <v>168</v>
      </c>
      <c r="E3" s="7">
        <v>20</v>
      </c>
      <c r="F3" s="7" t="s">
        <v>109</v>
      </c>
      <c r="G3" s="7">
        <f>D3*E3</f>
        <v>3360</v>
      </c>
      <c r="H3" s="1"/>
    </row>
    <row r="4" spans="1:8" x14ac:dyDescent="0.25">
      <c r="A4" s="34"/>
      <c r="B4" s="1" t="s">
        <v>92</v>
      </c>
      <c r="C4" s="1" t="s">
        <v>80</v>
      </c>
      <c r="D4" s="1">
        <v>99</v>
      </c>
      <c r="E4" s="7">
        <v>25</v>
      </c>
      <c r="F4" s="7" t="s">
        <v>109</v>
      </c>
      <c r="G4" s="7">
        <f>D4*E4</f>
        <v>2475</v>
      </c>
      <c r="H4" s="1"/>
    </row>
    <row r="5" spans="1:8" x14ac:dyDescent="0.25">
      <c r="A5" s="34"/>
      <c r="B5" s="1" t="s">
        <v>93</v>
      </c>
      <c r="C5" s="1" t="s">
        <v>51</v>
      </c>
      <c r="D5" s="1">
        <v>127.5</v>
      </c>
      <c r="E5" s="7">
        <v>2</v>
      </c>
      <c r="F5" s="7" t="s">
        <v>109</v>
      </c>
      <c r="G5" s="7">
        <f t="shared" ref="G5:G6" si="0">D5*E5</f>
        <v>255</v>
      </c>
      <c r="H5" s="1"/>
    </row>
    <row r="6" spans="1:8" x14ac:dyDescent="0.25">
      <c r="A6" s="34"/>
      <c r="B6" s="1" t="s">
        <v>63</v>
      </c>
      <c r="C6" s="1" t="s">
        <v>75</v>
      </c>
      <c r="D6" s="1">
        <v>30.6</v>
      </c>
      <c r="E6" s="8">
        <v>10</v>
      </c>
      <c r="F6" s="8" t="s">
        <v>109</v>
      </c>
      <c r="G6" s="7">
        <f t="shared" si="0"/>
        <v>306</v>
      </c>
      <c r="H6" s="1"/>
    </row>
    <row r="7" spans="1:8" x14ac:dyDescent="0.25">
      <c r="A7" s="34"/>
      <c r="B7" s="35" t="s">
        <v>6</v>
      </c>
      <c r="C7" s="36"/>
      <c r="D7" s="37"/>
      <c r="E7" s="8"/>
      <c r="F7" s="8"/>
      <c r="G7" s="15">
        <f>SUM(G3:G6)</f>
        <v>6396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7" t="s">
        <v>101</v>
      </c>
      <c r="F8" s="7"/>
      <c r="G8" s="1" t="s">
        <v>4</v>
      </c>
      <c r="H8" s="1" t="s">
        <v>5</v>
      </c>
    </row>
    <row r="9" spans="1:8" x14ac:dyDescent="0.25">
      <c r="A9" s="34" t="s">
        <v>20</v>
      </c>
      <c r="B9" s="1" t="s">
        <v>50</v>
      </c>
      <c r="C9" s="1" t="s">
        <v>94</v>
      </c>
      <c r="D9" s="1">
        <v>23.94</v>
      </c>
      <c r="E9" s="7">
        <v>12</v>
      </c>
      <c r="F9" s="7" t="s">
        <v>109</v>
      </c>
      <c r="G9" s="14">
        <f>D9*E9</f>
        <v>287.28000000000003</v>
      </c>
      <c r="H9" s="1"/>
    </row>
    <row r="10" spans="1:8" x14ac:dyDescent="0.25">
      <c r="A10" s="34"/>
      <c r="B10" s="1" t="s">
        <v>39</v>
      </c>
      <c r="C10" s="1" t="s">
        <v>95</v>
      </c>
      <c r="D10" s="1">
        <v>40.799999999999997</v>
      </c>
      <c r="E10" s="7">
        <v>20</v>
      </c>
      <c r="F10" s="7" t="s">
        <v>109</v>
      </c>
      <c r="G10" s="14">
        <f t="shared" ref="G10:G11" si="1">D10*E10</f>
        <v>816</v>
      </c>
      <c r="H10" s="1"/>
    </row>
    <row r="11" spans="1:8" x14ac:dyDescent="0.25">
      <c r="A11" s="34"/>
      <c r="B11" s="1" t="s">
        <v>49</v>
      </c>
      <c r="C11" s="1" t="s">
        <v>96</v>
      </c>
      <c r="D11" s="1">
        <v>45</v>
      </c>
      <c r="E11" s="7">
        <v>4</v>
      </c>
      <c r="F11" s="7" t="s">
        <v>109</v>
      </c>
      <c r="G11" s="14">
        <f t="shared" si="1"/>
        <v>180</v>
      </c>
      <c r="H11" s="1"/>
    </row>
    <row r="12" spans="1:8" x14ac:dyDescent="0.25">
      <c r="A12" s="34"/>
      <c r="B12" s="1"/>
      <c r="C12" s="1"/>
      <c r="D12" s="1"/>
      <c r="E12" s="7"/>
      <c r="F12" s="7"/>
      <c r="G12" s="1"/>
      <c r="H12" s="1"/>
    </row>
    <row r="13" spans="1:8" x14ac:dyDescent="0.25">
      <c r="A13" s="34"/>
      <c r="B13" s="1"/>
      <c r="C13" s="1"/>
      <c r="D13" s="1"/>
      <c r="E13" s="7"/>
      <c r="F13" s="7"/>
      <c r="G13" s="1"/>
      <c r="H13" s="1"/>
    </row>
    <row r="14" spans="1:8" x14ac:dyDescent="0.25">
      <c r="A14" s="34"/>
      <c r="B14" s="35" t="s">
        <v>6</v>
      </c>
      <c r="C14" s="36"/>
      <c r="D14" s="37"/>
      <c r="E14" s="8"/>
      <c r="F14" s="8"/>
      <c r="G14" s="16">
        <f>SUM(G9:G13)</f>
        <v>1283.28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7" t="s">
        <v>101</v>
      </c>
      <c r="F15" s="7"/>
      <c r="G15" s="1" t="s">
        <v>4</v>
      </c>
      <c r="H15" s="1" t="s">
        <v>5</v>
      </c>
    </row>
    <row r="16" spans="1:8" x14ac:dyDescent="0.25">
      <c r="A16" s="34" t="s">
        <v>21</v>
      </c>
      <c r="B16" s="1" t="s">
        <v>97</v>
      </c>
      <c r="C16" s="1" t="s">
        <v>80</v>
      </c>
      <c r="D16" s="25">
        <v>142.5</v>
      </c>
      <c r="E16" s="7">
        <v>25</v>
      </c>
      <c r="F16" s="7" t="s">
        <v>109</v>
      </c>
      <c r="G16" s="14">
        <f>D16*E16</f>
        <v>3562.5</v>
      </c>
      <c r="H16" s="1"/>
    </row>
    <row r="17" spans="1:8" x14ac:dyDescent="0.25">
      <c r="A17" s="34"/>
      <c r="B17" s="1" t="s">
        <v>98</v>
      </c>
      <c r="C17" s="1" t="s">
        <v>75</v>
      </c>
      <c r="D17" s="1">
        <v>150</v>
      </c>
      <c r="E17" s="7">
        <v>10</v>
      </c>
      <c r="F17" s="7" t="s">
        <v>109</v>
      </c>
      <c r="G17" s="14">
        <f>D17*E17</f>
        <v>1500</v>
      </c>
      <c r="H17" s="1"/>
    </row>
    <row r="18" spans="1:8" x14ac:dyDescent="0.25">
      <c r="A18" s="34"/>
      <c r="B18" s="1"/>
      <c r="C18" s="1"/>
      <c r="D18" s="1"/>
      <c r="E18" s="7"/>
      <c r="F18" s="7"/>
      <c r="G18" s="1"/>
      <c r="H18" s="1"/>
    </row>
    <row r="19" spans="1:8" x14ac:dyDescent="0.25">
      <c r="A19" s="34"/>
      <c r="B19" s="1"/>
      <c r="C19" s="1"/>
      <c r="D19" s="1"/>
      <c r="E19" s="8"/>
      <c r="F19" s="8"/>
      <c r="G19" s="3"/>
      <c r="H19" s="1"/>
    </row>
    <row r="20" spans="1:8" x14ac:dyDescent="0.25">
      <c r="A20" s="34"/>
      <c r="B20" s="35" t="s">
        <v>6</v>
      </c>
      <c r="C20" s="36"/>
      <c r="D20" s="37"/>
      <c r="E20" s="8"/>
      <c r="F20" s="8"/>
      <c r="G20" s="16">
        <f>SUM(G16:G19)</f>
        <v>5062.5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7" t="s">
        <v>101</v>
      </c>
      <c r="F21" s="7"/>
      <c r="G21" s="1" t="s">
        <v>4</v>
      </c>
      <c r="H21" s="1" t="s">
        <v>5</v>
      </c>
    </row>
    <row r="22" spans="1:8" x14ac:dyDescent="0.25">
      <c r="A22" s="34"/>
      <c r="B22" s="7" t="s">
        <v>102</v>
      </c>
      <c r="C22" s="7"/>
      <c r="D22" s="7">
        <v>173.4</v>
      </c>
      <c r="E22" s="7">
        <v>8</v>
      </c>
      <c r="F22" s="7" t="s">
        <v>103</v>
      </c>
      <c r="G22" s="13">
        <v>1387</v>
      </c>
      <c r="H22" s="1"/>
    </row>
    <row r="23" spans="1:8" x14ac:dyDescent="0.25">
      <c r="A23" s="34"/>
      <c r="B23" s="7" t="s">
        <v>104</v>
      </c>
      <c r="C23" s="7"/>
      <c r="D23" s="7">
        <v>150</v>
      </c>
      <c r="E23" s="7">
        <v>2</v>
      </c>
      <c r="F23" s="7" t="s">
        <v>103</v>
      </c>
      <c r="G23" s="13">
        <v>300</v>
      </c>
      <c r="H23" s="1"/>
    </row>
    <row r="24" spans="1:8" x14ac:dyDescent="0.25">
      <c r="A24" s="34"/>
      <c r="B24" s="7" t="s">
        <v>105</v>
      </c>
      <c r="C24" s="7"/>
      <c r="D24" s="7">
        <v>40.799999999999997</v>
      </c>
      <c r="E24" s="7">
        <v>20</v>
      </c>
      <c r="F24" s="7" t="s">
        <v>103</v>
      </c>
      <c r="G24" s="13">
        <v>816</v>
      </c>
      <c r="H24" s="1"/>
    </row>
    <row r="25" spans="1:8" x14ac:dyDescent="0.25">
      <c r="A25" s="34"/>
      <c r="B25" s="7" t="s">
        <v>106</v>
      </c>
      <c r="C25" s="7"/>
      <c r="D25" s="7">
        <v>67.5</v>
      </c>
      <c r="E25" s="7">
        <v>0.5</v>
      </c>
      <c r="F25" s="7" t="s">
        <v>103</v>
      </c>
      <c r="G25" s="13">
        <v>34</v>
      </c>
      <c r="H25" s="1"/>
    </row>
    <row r="26" spans="1:8" x14ac:dyDescent="0.25">
      <c r="A26" s="34"/>
      <c r="B26" s="7" t="s">
        <v>107</v>
      </c>
      <c r="C26" s="7"/>
      <c r="D26" s="7">
        <v>105</v>
      </c>
      <c r="E26" s="7">
        <v>4</v>
      </c>
      <c r="F26" s="7" t="s">
        <v>103</v>
      </c>
      <c r="G26" s="13">
        <v>420</v>
      </c>
      <c r="H26" s="7"/>
    </row>
    <row r="27" spans="1:8" x14ac:dyDescent="0.25">
      <c r="A27" s="34"/>
      <c r="B27" s="7" t="s">
        <v>108</v>
      </c>
      <c r="C27" s="7"/>
      <c r="D27" s="7">
        <v>99</v>
      </c>
      <c r="E27" s="7">
        <v>4</v>
      </c>
      <c r="F27" s="7" t="s">
        <v>103</v>
      </c>
      <c r="G27" s="13">
        <f>D27*E27</f>
        <v>396</v>
      </c>
      <c r="H27" s="7"/>
    </row>
    <row r="28" spans="1:8" x14ac:dyDescent="0.25">
      <c r="A28" s="34"/>
      <c r="B28" s="7"/>
      <c r="C28" s="7"/>
      <c r="D28" s="7"/>
      <c r="E28" s="7"/>
      <c r="F28" s="8"/>
      <c r="G28" s="8"/>
      <c r="H28" s="7"/>
    </row>
    <row r="29" spans="1:8" x14ac:dyDescent="0.25">
      <c r="A29" s="34"/>
      <c r="B29" s="35" t="s">
        <v>6</v>
      </c>
      <c r="C29" s="36"/>
      <c r="D29" s="37"/>
      <c r="E29" s="8"/>
      <c r="F29" s="8"/>
      <c r="G29" s="15">
        <f>SUM(G22:G28)</f>
        <v>3353</v>
      </c>
      <c r="H29" s="1"/>
    </row>
    <row r="30" spans="1:8" x14ac:dyDescent="0.25">
      <c r="A30" s="1" t="s">
        <v>10</v>
      </c>
      <c r="B30" s="1" t="s">
        <v>1</v>
      </c>
      <c r="C30" s="1" t="s">
        <v>2</v>
      </c>
      <c r="D30" s="1" t="s">
        <v>3</v>
      </c>
      <c r="E30" s="7" t="s">
        <v>101</v>
      </c>
      <c r="F30" s="7"/>
      <c r="G30" s="1" t="s">
        <v>4</v>
      </c>
      <c r="H30" s="1" t="s">
        <v>5</v>
      </c>
    </row>
    <row r="31" spans="1:8" x14ac:dyDescent="0.25">
      <c r="A31" s="34" t="s">
        <v>22</v>
      </c>
      <c r="B31" s="1" t="s">
        <v>56</v>
      </c>
      <c r="C31" s="1" t="s">
        <v>60</v>
      </c>
      <c r="D31" s="1">
        <v>17.100000000000001</v>
      </c>
      <c r="E31" s="7">
        <v>15</v>
      </c>
      <c r="F31" s="7" t="s">
        <v>109</v>
      </c>
      <c r="G31" s="14">
        <f>D31*E31</f>
        <v>256.5</v>
      </c>
      <c r="H31" s="1"/>
    </row>
    <row r="32" spans="1:8" x14ac:dyDescent="0.25">
      <c r="A32" s="34"/>
      <c r="B32" s="1" t="s">
        <v>99</v>
      </c>
      <c r="C32" s="1" t="s">
        <v>100</v>
      </c>
      <c r="D32" s="1">
        <v>72</v>
      </c>
      <c r="E32" s="7">
        <v>15</v>
      </c>
      <c r="F32" s="7" t="s">
        <v>109</v>
      </c>
      <c r="G32" s="14">
        <f>D32*E32</f>
        <v>1080</v>
      </c>
      <c r="H32" s="1"/>
    </row>
    <row r="33" spans="1:8" x14ac:dyDescent="0.25">
      <c r="A33" s="34"/>
      <c r="B33" s="1"/>
      <c r="C33" s="1"/>
      <c r="D33" s="1"/>
      <c r="E33" s="7"/>
      <c r="F33" s="7"/>
      <c r="G33" s="1"/>
      <c r="H33" s="1"/>
    </row>
    <row r="34" spans="1:8" x14ac:dyDescent="0.25">
      <c r="A34" s="34"/>
      <c r="B34" s="35"/>
      <c r="C34" s="36"/>
      <c r="D34" s="37"/>
      <c r="E34" s="8"/>
      <c r="F34" s="8"/>
      <c r="G34" s="16">
        <f>SUM(G31:G33)</f>
        <v>1336.5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8" t="s">
        <v>101</v>
      </c>
      <c r="F35" s="8"/>
      <c r="G35" s="3" t="s">
        <v>4</v>
      </c>
      <c r="H35" s="1" t="s">
        <v>5</v>
      </c>
    </row>
    <row r="36" spans="1:8" x14ac:dyDescent="0.25">
      <c r="A36" s="44"/>
      <c r="B36" s="1" t="s">
        <v>110</v>
      </c>
      <c r="C36" s="1"/>
      <c r="D36" s="1">
        <v>12.6</v>
      </c>
      <c r="E36" s="7">
        <v>65</v>
      </c>
      <c r="F36" s="7" t="s">
        <v>109</v>
      </c>
      <c r="G36" s="1">
        <f>D36*E36</f>
        <v>819</v>
      </c>
      <c r="H36" s="1"/>
    </row>
    <row r="37" spans="1:8" x14ac:dyDescent="0.25">
      <c r="A37" s="45"/>
      <c r="B37" s="1" t="s">
        <v>115</v>
      </c>
      <c r="C37" s="1"/>
      <c r="D37" s="1"/>
      <c r="E37" s="7"/>
      <c r="F37" s="7"/>
      <c r="G37" s="1"/>
      <c r="H37" s="1" t="s">
        <v>116</v>
      </c>
    </row>
    <row r="38" spans="1:8" x14ac:dyDescent="0.25">
      <c r="A38" s="46"/>
      <c r="B38" s="35" t="s">
        <v>6</v>
      </c>
      <c r="C38" s="36"/>
      <c r="D38" s="37"/>
      <c r="E38" s="8"/>
      <c r="F38" s="8"/>
      <c r="G38" s="15">
        <f>SUM(G36:G37)</f>
        <v>819</v>
      </c>
      <c r="H38" s="5"/>
    </row>
    <row r="39" spans="1:8" x14ac:dyDescent="0.25">
      <c r="A39" s="6" t="s">
        <v>12</v>
      </c>
      <c r="B39" s="1" t="s">
        <v>1</v>
      </c>
      <c r="C39" s="1" t="s">
        <v>2</v>
      </c>
      <c r="D39" s="1" t="s">
        <v>3</v>
      </c>
      <c r="E39" s="7" t="s">
        <v>101</v>
      </c>
      <c r="F39" s="7"/>
      <c r="G39" s="1" t="s">
        <v>4</v>
      </c>
      <c r="H39" s="1"/>
    </row>
    <row r="40" spans="1:8" x14ac:dyDescent="0.25">
      <c r="A40" s="34"/>
      <c r="B40" s="1" t="s">
        <v>111</v>
      </c>
      <c r="C40" s="1"/>
      <c r="D40" s="1">
        <v>4.5</v>
      </c>
      <c r="E40" s="7">
        <v>50</v>
      </c>
      <c r="F40" s="7" t="s">
        <v>114</v>
      </c>
      <c r="G40" s="1">
        <f>D40*E40</f>
        <v>225</v>
      </c>
      <c r="H40" s="1"/>
    </row>
    <row r="41" spans="1:8" x14ac:dyDescent="0.25">
      <c r="A41" s="34"/>
      <c r="B41" s="1" t="s">
        <v>112</v>
      </c>
      <c r="C41" s="1"/>
      <c r="D41" s="1">
        <v>390</v>
      </c>
      <c r="E41" s="7">
        <v>1</v>
      </c>
      <c r="F41" s="7" t="s">
        <v>113</v>
      </c>
      <c r="G41" s="7">
        <f>D41*E41</f>
        <v>390</v>
      </c>
      <c r="H41" s="1"/>
    </row>
    <row r="42" spans="1:8" x14ac:dyDescent="0.25">
      <c r="A42" s="34"/>
      <c r="B42" s="1" t="s">
        <v>137</v>
      </c>
      <c r="C42" s="1"/>
      <c r="D42" s="1"/>
      <c r="E42" s="7"/>
      <c r="F42" s="7"/>
      <c r="G42" s="1">
        <v>-40</v>
      </c>
      <c r="H42" s="1"/>
    </row>
    <row r="43" spans="1:8" x14ac:dyDescent="0.25">
      <c r="A43" s="34"/>
      <c r="B43" s="1"/>
      <c r="C43" s="1"/>
      <c r="D43" s="1"/>
      <c r="E43" s="7"/>
      <c r="F43" s="7"/>
      <c r="G43" s="1"/>
      <c r="H43" s="1"/>
    </row>
    <row r="44" spans="1:8" x14ac:dyDescent="0.25">
      <c r="A44" s="34"/>
      <c r="B44" s="35" t="s">
        <v>6</v>
      </c>
      <c r="C44" s="36"/>
      <c r="D44" s="37"/>
      <c r="E44" s="8"/>
      <c r="F44" s="8"/>
      <c r="G44" s="15">
        <f>SUM(G40:G43)</f>
        <v>575</v>
      </c>
      <c r="H44" s="1"/>
    </row>
    <row r="45" spans="1:8" x14ac:dyDescent="0.25">
      <c r="A45" s="1"/>
      <c r="B45" s="41" t="s">
        <v>13</v>
      </c>
      <c r="C45" s="42"/>
      <c r="D45" s="43"/>
      <c r="E45" s="9"/>
      <c r="F45" s="9"/>
      <c r="G45" s="17">
        <f>G44+G38+G34+G29+G20+G14+G7</f>
        <v>18825.28</v>
      </c>
      <c r="H45" s="1"/>
    </row>
  </sheetData>
  <mergeCells count="16">
    <mergeCell ref="A40:A44"/>
    <mergeCell ref="B44:D44"/>
    <mergeCell ref="B45:D45"/>
    <mergeCell ref="A22:A29"/>
    <mergeCell ref="B29:D29"/>
    <mergeCell ref="A31:A34"/>
    <mergeCell ref="B34:D34"/>
    <mergeCell ref="A36:A38"/>
    <mergeCell ref="B38:D38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topLeftCell="A7" workbookViewId="0">
      <selection activeCell="B22" sqref="B22:G2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8" t="s">
        <v>15</v>
      </c>
      <c r="B1" s="39"/>
      <c r="C1" s="39"/>
      <c r="D1" s="39"/>
      <c r="E1" s="39"/>
      <c r="F1" s="39"/>
      <c r="G1" s="39"/>
      <c r="H1" s="4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0" t="s">
        <v>117</v>
      </c>
      <c r="F2" s="10"/>
      <c r="G2" s="1" t="s">
        <v>4</v>
      </c>
      <c r="H2" s="1" t="s">
        <v>5</v>
      </c>
    </row>
    <row r="3" spans="1:8" x14ac:dyDescent="0.25">
      <c r="A3" s="34" t="s">
        <v>23</v>
      </c>
      <c r="B3" s="1" t="s">
        <v>81</v>
      </c>
      <c r="C3" s="1" t="s">
        <v>83</v>
      </c>
      <c r="D3" s="1">
        <v>1164</v>
      </c>
      <c r="E3" s="10">
        <v>5</v>
      </c>
      <c r="F3" s="10" t="s">
        <v>123</v>
      </c>
      <c r="G3" s="1">
        <f>D3*E3</f>
        <v>5820</v>
      </c>
      <c r="H3" s="1"/>
    </row>
    <row r="4" spans="1:8" x14ac:dyDescent="0.25">
      <c r="A4" s="34"/>
      <c r="B4" s="1" t="s">
        <v>82</v>
      </c>
      <c r="C4" s="1" t="s">
        <v>46</v>
      </c>
      <c r="D4" s="1">
        <v>500</v>
      </c>
      <c r="E4" s="10">
        <v>2</v>
      </c>
      <c r="F4" s="10" t="s">
        <v>122</v>
      </c>
      <c r="G4" s="10">
        <f>D4*E4</f>
        <v>1000</v>
      </c>
      <c r="H4" s="1"/>
    </row>
    <row r="5" spans="1:8" x14ac:dyDescent="0.25">
      <c r="A5" s="34"/>
      <c r="B5" s="1"/>
      <c r="C5" s="1"/>
      <c r="D5" s="1"/>
      <c r="E5" s="10"/>
      <c r="F5" s="10"/>
      <c r="G5" s="1"/>
      <c r="H5" s="1"/>
    </row>
    <row r="6" spans="1:8" x14ac:dyDescent="0.25">
      <c r="A6" s="34"/>
      <c r="B6" s="1"/>
      <c r="C6" s="1"/>
      <c r="D6" s="1"/>
      <c r="E6" s="11"/>
      <c r="F6" s="11"/>
      <c r="G6" s="3"/>
      <c r="H6" s="1"/>
    </row>
    <row r="7" spans="1:8" x14ac:dyDescent="0.25">
      <c r="A7" s="34"/>
      <c r="B7" s="35" t="s">
        <v>6</v>
      </c>
      <c r="C7" s="36"/>
      <c r="D7" s="37"/>
      <c r="E7" s="11"/>
      <c r="F7" s="11"/>
      <c r="G7" s="15">
        <f>SUM(G3:G6)</f>
        <v>6820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0" t="s">
        <v>117</v>
      </c>
      <c r="F8" s="10"/>
      <c r="G8" s="1" t="s">
        <v>4</v>
      </c>
      <c r="H8" s="1" t="s">
        <v>5</v>
      </c>
    </row>
    <row r="9" spans="1:8" x14ac:dyDescent="0.25">
      <c r="A9" s="34" t="s">
        <v>24</v>
      </c>
      <c r="B9" s="10" t="s">
        <v>124</v>
      </c>
      <c r="C9" s="10"/>
      <c r="D9" s="10">
        <v>30.6</v>
      </c>
      <c r="E9" s="10">
        <v>55</v>
      </c>
      <c r="F9" s="10" t="s">
        <v>121</v>
      </c>
      <c r="G9" s="10">
        <f>D9*E9</f>
        <v>1683</v>
      </c>
      <c r="H9" s="1"/>
    </row>
    <row r="10" spans="1:8" x14ac:dyDescent="0.25">
      <c r="A10" s="34"/>
      <c r="B10" s="1" t="s">
        <v>84</v>
      </c>
      <c r="C10" s="1" t="s">
        <v>54</v>
      </c>
      <c r="D10" s="1">
        <v>180</v>
      </c>
      <c r="E10" s="10">
        <v>5</v>
      </c>
      <c r="F10" s="10" t="s">
        <v>121</v>
      </c>
      <c r="G10" s="10">
        <f t="shared" ref="G10:G12" si="0">D10*E10</f>
        <v>900</v>
      </c>
      <c r="H10" s="1"/>
    </row>
    <row r="11" spans="1:8" x14ac:dyDescent="0.25">
      <c r="A11" s="34"/>
      <c r="B11" s="1" t="s">
        <v>49</v>
      </c>
      <c r="C11" s="1" t="s">
        <v>65</v>
      </c>
      <c r="D11" s="1">
        <v>45</v>
      </c>
      <c r="E11" s="10">
        <v>3</v>
      </c>
      <c r="F11" s="10" t="s">
        <v>121</v>
      </c>
      <c r="G11" s="10">
        <f t="shared" si="0"/>
        <v>135</v>
      </c>
      <c r="H11" s="1"/>
    </row>
    <row r="12" spans="1:8" x14ac:dyDescent="0.25">
      <c r="A12" s="34"/>
      <c r="B12" s="1" t="s">
        <v>50</v>
      </c>
      <c r="C12" s="1" t="s">
        <v>51</v>
      </c>
      <c r="D12" s="1">
        <v>23.94</v>
      </c>
      <c r="E12" s="10">
        <v>2</v>
      </c>
      <c r="F12" s="10" t="s">
        <v>121</v>
      </c>
      <c r="G12" s="14">
        <f t="shared" si="0"/>
        <v>47.88</v>
      </c>
      <c r="H12" s="1"/>
    </row>
    <row r="13" spans="1:8" x14ac:dyDescent="0.25">
      <c r="A13" s="34"/>
      <c r="B13" s="1"/>
      <c r="C13" s="1"/>
      <c r="D13" s="1"/>
      <c r="E13" s="10"/>
      <c r="F13" s="10"/>
      <c r="G13" s="1"/>
      <c r="H13" s="1"/>
    </row>
    <row r="14" spans="1:8" x14ac:dyDescent="0.25">
      <c r="A14" s="34"/>
      <c r="B14" s="35" t="s">
        <v>6</v>
      </c>
      <c r="C14" s="36"/>
      <c r="D14" s="37"/>
      <c r="E14" s="11"/>
      <c r="F14" s="11"/>
      <c r="G14" s="16">
        <f>SUM(G9:G13)</f>
        <v>2765.88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10" t="s">
        <v>117</v>
      </c>
      <c r="F15" s="10"/>
      <c r="G15" s="1" t="s">
        <v>4</v>
      </c>
      <c r="H15" s="1" t="s">
        <v>5</v>
      </c>
    </row>
    <row r="16" spans="1:8" x14ac:dyDescent="0.25">
      <c r="A16" s="34" t="s">
        <v>25</v>
      </c>
      <c r="B16" s="1" t="s">
        <v>85</v>
      </c>
      <c r="C16" s="1" t="s">
        <v>53</v>
      </c>
      <c r="D16" s="1">
        <v>82.62</v>
      </c>
      <c r="E16" s="10">
        <v>8</v>
      </c>
      <c r="F16" s="10" t="s">
        <v>121</v>
      </c>
      <c r="G16" s="14">
        <f>D16*E16</f>
        <v>660.96</v>
      </c>
      <c r="H16" s="1"/>
    </row>
    <row r="17" spans="1:8" x14ac:dyDescent="0.25">
      <c r="A17" s="34"/>
      <c r="B17" s="1" t="s">
        <v>86</v>
      </c>
      <c r="C17" s="1" t="s">
        <v>80</v>
      </c>
      <c r="D17" s="1">
        <v>43.8</v>
      </c>
      <c r="E17" s="10">
        <v>25</v>
      </c>
      <c r="F17" s="10" t="s">
        <v>121</v>
      </c>
      <c r="G17" s="10">
        <f t="shared" ref="G17:G19" si="1">D17*E17</f>
        <v>1095</v>
      </c>
      <c r="H17" s="1"/>
    </row>
    <row r="18" spans="1:8" x14ac:dyDescent="0.25">
      <c r="A18" s="34"/>
      <c r="B18" s="1" t="s">
        <v>87</v>
      </c>
      <c r="C18" s="1" t="s">
        <v>60</v>
      </c>
      <c r="D18" s="1">
        <v>168</v>
      </c>
      <c r="E18" s="10">
        <v>15</v>
      </c>
      <c r="F18" s="10" t="s">
        <v>121</v>
      </c>
      <c r="G18" s="10">
        <f t="shared" si="1"/>
        <v>2520</v>
      </c>
      <c r="H18" s="1"/>
    </row>
    <row r="19" spans="1:8" x14ac:dyDescent="0.25">
      <c r="A19" s="34"/>
      <c r="B19" s="1"/>
      <c r="C19" s="1"/>
      <c r="D19" s="1"/>
      <c r="E19" s="11"/>
      <c r="F19" s="11"/>
      <c r="G19" s="10">
        <f t="shared" si="1"/>
        <v>0</v>
      </c>
      <c r="H19" s="1"/>
    </row>
    <row r="20" spans="1:8" x14ac:dyDescent="0.25">
      <c r="A20" s="34"/>
      <c r="B20" s="35" t="s">
        <v>6</v>
      </c>
      <c r="C20" s="36"/>
      <c r="D20" s="37"/>
      <c r="E20" s="11"/>
      <c r="F20" s="11"/>
      <c r="G20" s="16">
        <f>SUM(G16:G19)</f>
        <v>4275.96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10" t="s">
        <v>117</v>
      </c>
      <c r="F21" s="10"/>
      <c r="G21" s="1" t="s">
        <v>4</v>
      </c>
      <c r="H21" s="1" t="s">
        <v>5</v>
      </c>
    </row>
    <row r="22" spans="1:8" x14ac:dyDescent="0.25">
      <c r="A22" s="34"/>
      <c r="B22" s="1" t="s">
        <v>118</v>
      </c>
      <c r="C22" s="1"/>
      <c r="D22" s="1">
        <v>55</v>
      </c>
      <c r="E22" s="10">
        <v>20</v>
      </c>
      <c r="F22" s="10" t="s">
        <v>121</v>
      </c>
      <c r="G22" s="1">
        <f>D22*E22</f>
        <v>1100</v>
      </c>
      <c r="H22" s="1"/>
    </row>
    <row r="23" spans="1:8" x14ac:dyDescent="0.25">
      <c r="A23" s="34"/>
      <c r="B23" s="1" t="s">
        <v>119</v>
      </c>
      <c r="C23" s="1"/>
      <c r="D23" s="1">
        <v>29.38</v>
      </c>
      <c r="E23" s="10">
        <v>100</v>
      </c>
      <c r="F23" s="10" t="s">
        <v>121</v>
      </c>
      <c r="G23" s="10">
        <f t="shared" ref="G23:G25" si="2">D23*E23</f>
        <v>2938</v>
      </c>
      <c r="H23" s="1"/>
    </row>
    <row r="24" spans="1:8" x14ac:dyDescent="0.25">
      <c r="A24" s="34"/>
      <c r="B24" s="1" t="s">
        <v>120</v>
      </c>
      <c r="C24" s="1"/>
      <c r="D24" s="1">
        <v>1188</v>
      </c>
      <c r="E24" s="10">
        <v>2</v>
      </c>
      <c r="F24" s="10" t="s">
        <v>122</v>
      </c>
      <c r="G24" s="10">
        <f t="shared" si="2"/>
        <v>2376</v>
      </c>
      <c r="H24" s="1"/>
    </row>
    <row r="25" spans="1:8" x14ac:dyDescent="0.25">
      <c r="A25" s="34"/>
      <c r="B25" s="1"/>
      <c r="C25" s="1"/>
      <c r="D25" s="1"/>
      <c r="E25" s="10"/>
      <c r="F25" s="10" t="s">
        <v>121</v>
      </c>
      <c r="G25" s="10">
        <f t="shared" si="2"/>
        <v>0</v>
      </c>
      <c r="H25" s="1"/>
    </row>
    <row r="26" spans="1:8" x14ac:dyDescent="0.25">
      <c r="A26" s="34"/>
      <c r="B26" s="35" t="s">
        <v>6</v>
      </c>
      <c r="C26" s="36"/>
      <c r="D26" s="37"/>
      <c r="E26" s="11"/>
      <c r="F26" s="11"/>
      <c r="G26" s="15">
        <f>SUM(G22:G25)</f>
        <v>6414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0" t="s">
        <v>117</v>
      </c>
      <c r="F27" s="10"/>
      <c r="G27" s="1" t="s">
        <v>4</v>
      </c>
      <c r="H27" s="1" t="s">
        <v>5</v>
      </c>
    </row>
    <row r="28" spans="1:8" x14ac:dyDescent="0.25">
      <c r="A28" s="34" t="s">
        <v>26</v>
      </c>
      <c r="B28" s="1" t="s">
        <v>88</v>
      </c>
      <c r="C28" s="1" t="s">
        <v>67</v>
      </c>
      <c r="D28" s="1">
        <v>40.799999999999997</v>
      </c>
      <c r="E28" s="10">
        <v>20</v>
      </c>
      <c r="F28" s="10" t="s">
        <v>121</v>
      </c>
      <c r="G28" s="1">
        <f>D28*E28</f>
        <v>816</v>
      </c>
      <c r="H28" s="1"/>
    </row>
    <row r="29" spans="1:8" x14ac:dyDescent="0.25">
      <c r="A29" s="34"/>
      <c r="B29" s="1" t="s">
        <v>89</v>
      </c>
      <c r="C29" s="1" t="s">
        <v>75</v>
      </c>
      <c r="D29" s="1">
        <v>90</v>
      </c>
      <c r="E29" s="10">
        <v>9.15</v>
      </c>
      <c r="F29" s="10" t="s">
        <v>121</v>
      </c>
      <c r="G29" s="10">
        <f t="shared" ref="G29:G30" si="3">D29*E29</f>
        <v>823.5</v>
      </c>
      <c r="H29" s="1"/>
    </row>
    <row r="30" spans="1:8" x14ac:dyDescent="0.25">
      <c r="A30" s="34"/>
      <c r="B30" s="1" t="s">
        <v>90</v>
      </c>
      <c r="C30" s="1" t="s">
        <v>76</v>
      </c>
      <c r="D30" s="1">
        <v>85.5</v>
      </c>
      <c r="E30" s="10">
        <v>0.5</v>
      </c>
      <c r="F30" s="10" t="s">
        <v>121</v>
      </c>
      <c r="G30" s="10">
        <f t="shared" si="3"/>
        <v>42.75</v>
      </c>
      <c r="H30" s="1"/>
    </row>
    <row r="31" spans="1:8" x14ac:dyDescent="0.25">
      <c r="A31" s="34"/>
      <c r="B31" s="35"/>
      <c r="C31" s="36"/>
      <c r="D31" s="37"/>
      <c r="E31" s="11"/>
      <c r="F31" s="11"/>
      <c r="G31" s="16">
        <f>SUM(G28:G30)</f>
        <v>1682.25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1" t="s">
        <v>117</v>
      </c>
      <c r="F32" s="11"/>
      <c r="G32" s="3" t="s">
        <v>4</v>
      </c>
      <c r="H32" s="1" t="s">
        <v>5</v>
      </c>
    </row>
    <row r="33" spans="1:8" x14ac:dyDescent="0.25">
      <c r="A33" s="44"/>
      <c r="B33" s="1" t="s">
        <v>127</v>
      </c>
      <c r="C33" s="1"/>
      <c r="D33" s="1">
        <v>15.3</v>
      </c>
      <c r="E33" s="10">
        <v>65</v>
      </c>
      <c r="F33" s="10" t="s">
        <v>121</v>
      </c>
      <c r="G33" s="1">
        <f>D33*E33</f>
        <v>994.5</v>
      </c>
      <c r="H33" s="1"/>
    </row>
    <row r="34" spans="1:8" x14ac:dyDescent="0.25">
      <c r="A34" s="45"/>
      <c r="B34" s="10" t="s">
        <v>128</v>
      </c>
      <c r="C34" s="10"/>
      <c r="D34" s="10"/>
      <c r="E34" s="10"/>
      <c r="F34" s="11"/>
      <c r="G34" s="11">
        <v>2296</v>
      </c>
      <c r="H34" s="1"/>
    </row>
    <row r="35" spans="1:8" x14ac:dyDescent="0.25">
      <c r="A35" s="46"/>
      <c r="B35" s="35" t="s">
        <v>6</v>
      </c>
      <c r="C35" s="36"/>
      <c r="D35" s="37"/>
      <c r="E35" s="11"/>
      <c r="F35" s="11"/>
      <c r="G35" s="16">
        <f>SUM(G33:G34)</f>
        <v>3290.5</v>
      </c>
      <c r="H35" s="5"/>
    </row>
    <row r="36" spans="1:8" x14ac:dyDescent="0.25">
      <c r="A36" s="6" t="s">
        <v>12</v>
      </c>
      <c r="B36" s="1" t="s">
        <v>1</v>
      </c>
      <c r="C36" s="1" t="s">
        <v>2</v>
      </c>
      <c r="D36" s="1" t="s">
        <v>3</v>
      </c>
      <c r="E36" s="10" t="s">
        <v>117</v>
      </c>
      <c r="F36" s="10"/>
      <c r="G36" s="1" t="s">
        <v>4</v>
      </c>
      <c r="H36" s="1"/>
    </row>
    <row r="37" spans="1:8" x14ac:dyDescent="0.25">
      <c r="A37" s="34"/>
      <c r="B37" s="1" t="s">
        <v>125</v>
      </c>
      <c r="C37" s="1"/>
      <c r="D37" s="1">
        <v>99</v>
      </c>
      <c r="E37" s="10">
        <v>3</v>
      </c>
      <c r="F37" s="10" t="s">
        <v>121</v>
      </c>
      <c r="G37" s="1">
        <f>D37*E37</f>
        <v>297</v>
      </c>
      <c r="H37" s="1"/>
    </row>
    <row r="38" spans="1:8" x14ac:dyDescent="0.25">
      <c r="A38" s="34"/>
      <c r="B38" s="1" t="s">
        <v>126</v>
      </c>
      <c r="C38" s="1"/>
      <c r="D38" s="1">
        <v>19.8</v>
      </c>
      <c r="E38" s="10">
        <v>8</v>
      </c>
      <c r="F38" s="10" t="s">
        <v>121</v>
      </c>
      <c r="G38" s="10">
        <f t="shared" ref="G38:G40" si="4">D38*E38</f>
        <v>158.4</v>
      </c>
      <c r="H38" s="1"/>
    </row>
    <row r="39" spans="1:8" x14ac:dyDescent="0.25">
      <c r="A39" s="34"/>
      <c r="B39" s="1"/>
      <c r="C39" s="1"/>
      <c r="D39" s="1"/>
      <c r="E39" s="10"/>
      <c r="F39" s="10"/>
      <c r="G39" s="10">
        <f t="shared" si="4"/>
        <v>0</v>
      </c>
      <c r="H39" s="1"/>
    </row>
    <row r="40" spans="1:8" x14ac:dyDescent="0.25">
      <c r="A40" s="34"/>
      <c r="B40" s="1"/>
      <c r="C40" s="1"/>
      <c r="D40" s="1"/>
      <c r="E40" s="10"/>
      <c r="F40" s="10"/>
      <c r="G40" s="10">
        <f t="shared" si="4"/>
        <v>0</v>
      </c>
      <c r="H40" s="1"/>
    </row>
    <row r="41" spans="1:8" x14ac:dyDescent="0.25">
      <c r="A41" s="34"/>
      <c r="B41" s="35" t="s">
        <v>6</v>
      </c>
      <c r="C41" s="36"/>
      <c r="D41" s="37"/>
      <c r="E41" s="11"/>
      <c r="F41" s="11"/>
      <c r="G41" s="15">
        <f>SUM(G37:G40)</f>
        <v>455.4</v>
      </c>
      <c r="H41" s="1"/>
    </row>
    <row r="42" spans="1:8" x14ac:dyDescent="0.25">
      <c r="A42" s="1"/>
      <c r="B42" s="41" t="s">
        <v>13</v>
      </c>
      <c r="C42" s="42"/>
      <c r="D42" s="43"/>
      <c r="E42" s="12"/>
      <c r="F42" s="12"/>
      <c r="G42" s="21">
        <f>G41+G35+G31+G26+G20+G14+G7</f>
        <v>25703.99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13" workbookViewId="0">
      <selection activeCell="K33" sqref="K3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8" t="s">
        <v>16</v>
      </c>
      <c r="B1" s="39"/>
      <c r="C1" s="39"/>
      <c r="D1" s="39"/>
      <c r="E1" s="39"/>
      <c r="F1" s="39"/>
      <c r="G1" s="39"/>
      <c r="H1" s="4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8" t="s">
        <v>129</v>
      </c>
      <c r="F2" s="18"/>
      <c r="G2" s="1" t="s">
        <v>4</v>
      </c>
      <c r="H2" s="1" t="s">
        <v>5</v>
      </c>
    </row>
    <row r="3" spans="1:8" x14ac:dyDescent="0.25">
      <c r="A3" s="34"/>
      <c r="B3" s="1"/>
      <c r="C3" s="1"/>
      <c r="D3" s="1"/>
      <c r="E3" s="18"/>
      <c r="F3" s="18"/>
      <c r="G3" s="1"/>
      <c r="H3" s="1"/>
    </row>
    <row r="4" spans="1:8" x14ac:dyDescent="0.25">
      <c r="A4" s="34"/>
      <c r="B4" s="1"/>
      <c r="C4" s="1"/>
      <c r="D4" s="1"/>
      <c r="E4" s="18"/>
      <c r="F4" s="18"/>
      <c r="G4" s="1"/>
      <c r="H4" s="1"/>
    </row>
    <row r="5" spans="1:8" x14ac:dyDescent="0.25">
      <c r="A5" s="34"/>
      <c r="B5" s="1"/>
      <c r="C5" s="1"/>
      <c r="D5" s="1"/>
      <c r="E5" s="18"/>
      <c r="F5" s="18"/>
      <c r="G5" s="1"/>
      <c r="H5" s="1"/>
    </row>
    <row r="6" spans="1:8" x14ac:dyDescent="0.25">
      <c r="A6" s="34"/>
      <c r="B6" s="1"/>
      <c r="C6" s="1"/>
      <c r="D6" s="1"/>
      <c r="E6" s="19"/>
      <c r="F6" s="19"/>
      <c r="G6" s="3"/>
      <c r="H6" s="1"/>
    </row>
    <row r="7" spans="1:8" x14ac:dyDescent="0.25">
      <c r="A7" s="34"/>
      <c r="B7" s="35" t="s">
        <v>6</v>
      </c>
      <c r="C7" s="36"/>
      <c r="D7" s="37"/>
      <c r="E7" s="19"/>
      <c r="F7" s="19"/>
      <c r="G7" s="3"/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8" t="s">
        <v>129</v>
      </c>
      <c r="F8" s="18"/>
      <c r="G8" s="1" t="s">
        <v>4</v>
      </c>
      <c r="H8" s="1" t="s">
        <v>5</v>
      </c>
    </row>
    <row r="9" spans="1:8" x14ac:dyDescent="0.25">
      <c r="A9" s="34" t="s">
        <v>28</v>
      </c>
      <c r="B9" s="1" t="s">
        <v>70</v>
      </c>
      <c r="C9" s="1" t="s">
        <v>71</v>
      </c>
      <c r="D9" s="1">
        <v>11.5</v>
      </c>
      <c r="E9" s="18">
        <v>560</v>
      </c>
      <c r="F9" s="18" t="s">
        <v>130</v>
      </c>
      <c r="G9" s="1">
        <f>D9*E9</f>
        <v>6440</v>
      </c>
      <c r="H9" s="1"/>
    </row>
    <row r="10" spans="1:8" x14ac:dyDescent="0.25">
      <c r="A10" s="34"/>
      <c r="B10" s="1"/>
      <c r="C10" s="1"/>
      <c r="D10" s="1"/>
      <c r="E10" s="18"/>
      <c r="F10" s="18"/>
      <c r="G10" s="1"/>
      <c r="H10" s="1"/>
    </row>
    <row r="11" spans="1:8" x14ac:dyDescent="0.25">
      <c r="A11" s="34"/>
      <c r="B11" s="1"/>
      <c r="C11" s="1"/>
      <c r="D11" s="1"/>
      <c r="E11" s="18"/>
      <c r="F11" s="18"/>
      <c r="G11" s="1"/>
      <c r="H11" s="1"/>
    </row>
    <row r="12" spans="1:8" x14ac:dyDescent="0.25">
      <c r="A12" s="34"/>
      <c r="B12" s="1"/>
      <c r="C12" s="1"/>
      <c r="D12" s="1"/>
      <c r="E12" s="18"/>
      <c r="F12" s="18"/>
      <c r="G12" s="1"/>
      <c r="H12" s="1"/>
    </row>
    <row r="13" spans="1:8" x14ac:dyDescent="0.25">
      <c r="A13" s="34"/>
      <c r="B13" s="1"/>
      <c r="C13" s="1"/>
      <c r="D13" s="1"/>
      <c r="E13" s="18"/>
      <c r="F13" s="18"/>
      <c r="G13" s="1"/>
      <c r="H13" s="1"/>
    </row>
    <row r="14" spans="1:8" x14ac:dyDescent="0.25">
      <c r="A14" s="34"/>
      <c r="B14" s="35" t="s">
        <v>6</v>
      </c>
      <c r="C14" s="36"/>
      <c r="D14" s="37"/>
      <c r="E14" s="19"/>
      <c r="F14" s="19"/>
      <c r="G14" s="15">
        <f>SUM(G9:G13)</f>
        <v>6440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18" t="s">
        <v>129</v>
      </c>
      <c r="F15" s="18"/>
      <c r="G15" s="1" t="s">
        <v>4</v>
      </c>
      <c r="H15" s="1" t="s">
        <v>5</v>
      </c>
    </row>
    <row r="16" spans="1:8" x14ac:dyDescent="0.25">
      <c r="A16" s="34" t="s">
        <v>29</v>
      </c>
      <c r="B16" s="1" t="s">
        <v>72</v>
      </c>
      <c r="C16" s="1" t="s">
        <v>75</v>
      </c>
      <c r="D16" s="1">
        <v>51</v>
      </c>
      <c r="E16" s="18">
        <v>10</v>
      </c>
      <c r="F16" s="18" t="s">
        <v>131</v>
      </c>
      <c r="G16" s="1">
        <f>D16*E16</f>
        <v>510</v>
      </c>
      <c r="H16" s="1"/>
    </row>
    <row r="17" spans="1:8" x14ac:dyDescent="0.25">
      <c r="A17" s="34"/>
      <c r="B17" s="1" t="s">
        <v>73</v>
      </c>
      <c r="C17" s="1" t="s">
        <v>67</v>
      </c>
      <c r="D17" s="1">
        <v>87.6</v>
      </c>
      <c r="E17" s="18">
        <v>20</v>
      </c>
      <c r="F17" s="18" t="s">
        <v>131</v>
      </c>
      <c r="G17" s="18">
        <f t="shared" ref="G17:G19" si="0">D17*E17</f>
        <v>1752</v>
      </c>
      <c r="H17" s="1"/>
    </row>
    <row r="18" spans="1:8" x14ac:dyDescent="0.25">
      <c r="A18" s="34"/>
      <c r="B18" s="1" t="s">
        <v>74</v>
      </c>
      <c r="C18" s="1" t="s">
        <v>76</v>
      </c>
      <c r="D18" s="1">
        <v>38.76</v>
      </c>
      <c r="E18" s="18">
        <v>0.5</v>
      </c>
      <c r="F18" s="18" t="s">
        <v>131</v>
      </c>
      <c r="G18" s="18">
        <f t="shared" si="0"/>
        <v>19.38</v>
      </c>
      <c r="H18" s="1"/>
    </row>
    <row r="19" spans="1:8" x14ac:dyDescent="0.25">
      <c r="A19" s="34"/>
      <c r="B19" s="1" t="s">
        <v>50</v>
      </c>
      <c r="C19" s="1" t="s">
        <v>51</v>
      </c>
      <c r="D19" s="1">
        <v>23.94</v>
      </c>
      <c r="E19" s="19">
        <v>2</v>
      </c>
      <c r="F19" s="18" t="s">
        <v>131</v>
      </c>
      <c r="G19" s="18">
        <f t="shared" si="0"/>
        <v>47.88</v>
      </c>
      <c r="H19" s="1"/>
    </row>
    <row r="20" spans="1:8" x14ac:dyDescent="0.25">
      <c r="A20" s="34"/>
      <c r="B20" s="35" t="s">
        <v>6</v>
      </c>
      <c r="C20" s="36"/>
      <c r="D20" s="37"/>
      <c r="E20" s="19"/>
      <c r="F20" s="19"/>
      <c r="G20" s="16">
        <f>SUM(G16:G19)</f>
        <v>2329.2600000000002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18" t="s">
        <v>129</v>
      </c>
      <c r="F21" s="18"/>
      <c r="G21" s="1" t="s">
        <v>4</v>
      </c>
      <c r="H21" s="1" t="s">
        <v>5</v>
      </c>
    </row>
    <row r="22" spans="1:8" x14ac:dyDescent="0.25">
      <c r="A22" s="34"/>
      <c r="B22" s="1" t="s">
        <v>132</v>
      </c>
      <c r="C22" s="1"/>
      <c r="D22" s="1">
        <v>66</v>
      </c>
      <c r="E22" s="18">
        <v>7.52</v>
      </c>
      <c r="F22" s="18" t="s">
        <v>131</v>
      </c>
      <c r="G22" s="14">
        <f>D22*E22</f>
        <v>496.32</v>
      </c>
      <c r="H22" s="1"/>
    </row>
    <row r="23" spans="1:8" x14ac:dyDescent="0.25">
      <c r="A23" s="34"/>
      <c r="B23" s="1"/>
      <c r="C23" s="1"/>
      <c r="D23" s="1"/>
      <c r="E23" s="18"/>
      <c r="F23" s="18"/>
      <c r="G23" s="1"/>
      <c r="H23" s="1"/>
    </row>
    <row r="24" spans="1:8" x14ac:dyDescent="0.25">
      <c r="A24" s="34"/>
      <c r="B24" s="1"/>
      <c r="C24" s="1"/>
      <c r="D24" s="1"/>
      <c r="E24" s="18"/>
      <c r="F24" s="18"/>
      <c r="G24" s="1"/>
      <c r="H24" s="1"/>
    </row>
    <row r="25" spans="1:8" x14ac:dyDescent="0.25">
      <c r="A25" s="34"/>
      <c r="B25" s="1"/>
      <c r="C25" s="1"/>
      <c r="D25" s="1"/>
      <c r="E25" s="18"/>
      <c r="F25" s="18"/>
      <c r="G25" s="1"/>
      <c r="H25" s="1"/>
    </row>
    <row r="26" spans="1:8" x14ac:dyDescent="0.25">
      <c r="A26" s="34"/>
      <c r="B26" s="35" t="s">
        <v>6</v>
      </c>
      <c r="C26" s="36"/>
      <c r="D26" s="37"/>
      <c r="E26" s="19"/>
      <c r="F26" s="19"/>
      <c r="G26" s="16">
        <f>SUM(G22:G25)</f>
        <v>496.32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8" t="s">
        <v>129</v>
      </c>
      <c r="F27" s="18"/>
      <c r="G27" s="1" t="s">
        <v>4</v>
      </c>
      <c r="H27" s="1" t="s">
        <v>5</v>
      </c>
    </row>
    <row r="28" spans="1:8" x14ac:dyDescent="0.25">
      <c r="A28" s="34"/>
      <c r="B28" s="1"/>
      <c r="C28" s="1"/>
      <c r="D28" s="1"/>
      <c r="E28" s="18"/>
      <c r="F28" s="18"/>
      <c r="G28" s="1"/>
      <c r="H28" s="1"/>
    </row>
    <row r="29" spans="1:8" x14ac:dyDescent="0.25">
      <c r="A29" s="34"/>
      <c r="B29" s="1"/>
      <c r="C29" s="1"/>
      <c r="D29" s="1"/>
      <c r="E29" s="18"/>
      <c r="F29" s="18"/>
      <c r="G29" s="1"/>
      <c r="H29" s="1"/>
    </row>
    <row r="30" spans="1:8" x14ac:dyDescent="0.25">
      <c r="A30" s="34"/>
      <c r="B30" s="1"/>
      <c r="C30" s="1"/>
      <c r="D30" s="1"/>
      <c r="E30" s="18"/>
      <c r="F30" s="18"/>
      <c r="G30" s="1"/>
      <c r="H30" s="1"/>
    </row>
    <row r="31" spans="1:8" x14ac:dyDescent="0.25">
      <c r="A31" s="34"/>
      <c r="B31" s="35"/>
      <c r="C31" s="36"/>
      <c r="D31" s="37"/>
      <c r="E31" s="19"/>
      <c r="F31" s="19"/>
      <c r="G31" s="3"/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9" t="s">
        <v>129</v>
      </c>
      <c r="F32" s="19"/>
      <c r="G32" s="3" t="s">
        <v>4</v>
      </c>
      <c r="H32" s="1" t="s">
        <v>5</v>
      </c>
    </row>
    <row r="33" spans="1:8" x14ac:dyDescent="0.25">
      <c r="A33" s="44"/>
      <c r="B33" s="1" t="s">
        <v>134</v>
      </c>
      <c r="C33" s="1"/>
      <c r="D33" s="1">
        <v>70</v>
      </c>
      <c r="E33" s="18">
        <v>30</v>
      </c>
      <c r="F33" s="18" t="s">
        <v>133</v>
      </c>
      <c r="G33" s="1">
        <f>D33*E33</f>
        <v>2100</v>
      </c>
      <c r="H33" s="1"/>
    </row>
    <row r="34" spans="1:8" x14ac:dyDescent="0.25">
      <c r="A34" s="45"/>
      <c r="B34" s="1" t="s">
        <v>135</v>
      </c>
      <c r="C34" s="1"/>
      <c r="D34" s="1">
        <v>7.5</v>
      </c>
      <c r="E34" s="18">
        <v>250</v>
      </c>
      <c r="F34" s="18" t="s">
        <v>136</v>
      </c>
      <c r="G34" s="18">
        <f>D34*E34</f>
        <v>1875</v>
      </c>
      <c r="H34" s="1"/>
    </row>
    <row r="35" spans="1:8" x14ac:dyDescent="0.25">
      <c r="A35" s="46"/>
      <c r="B35" s="35" t="s">
        <v>6</v>
      </c>
      <c r="C35" s="36"/>
      <c r="D35" s="37"/>
      <c r="E35" s="19"/>
      <c r="F35" s="19"/>
      <c r="G35" s="15">
        <f>SUM(G33:G34)</f>
        <v>3975</v>
      </c>
      <c r="H35" s="5"/>
    </row>
    <row r="36" spans="1:8" x14ac:dyDescent="0.25">
      <c r="A36" s="6" t="s">
        <v>12</v>
      </c>
      <c r="B36" s="1" t="s">
        <v>1</v>
      </c>
      <c r="C36" s="1" t="s">
        <v>2</v>
      </c>
      <c r="D36" s="1" t="s">
        <v>3</v>
      </c>
      <c r="E36" s="18" t="s">
        <v>129</v>
      </c>
      <c r="F36" s="18"/>
      <c r="G36" s="1" t="s">
        <v>4</v>
      </c>
      <c r="H36" s="1"/>
    </row>
    <row r="37" spans="1:8" x14ac:dyDescent="0.25">
      <c r="A37" s="34" t="s">
        <v>27</v>
      </c>
      <c r="B37" s="1" t="s">
        <v>77</v>
      </c>
      <c r="C37" s="1" t="s">
        <v>79</v>
      </c>
      <c r="D37" s="1">
        <v>30</v>
      </c>
      <c r="E37" s="18">
        <v>60</v>
      </c>
      <c r="F37" s="18" t="s">
        <v>131</v>
      </c>
      <c r="G37" s="1">
        <f>D37*E37</f>
        <v>1800</v>
      </c>
      <c r="H37" s="1"/>
    </row>
    <row r="38" spans="1:8" x14ac:dyDescent="0.25">
      <c r="A38" s="34"/>
      <c r="B38" s="1" t="s">
        <v>78</v>
      </c>
      <c r="C38" s="1" t="s">
        <v>67</v>
      </c>
      <c r="D38" s="1">
        <v>21</v>
      </c>
      <c r="E38" s="18">
        <v>20</v>
      </c>
      <c r="F38" s="18" t="s">
        <v>131</v>
      </c>
      <c r="G38" s="18">
        <f t="shared" ref="G38:G41" si="1">D38*E38</f>
        <v>420</v>
      </c>
      <c r="H38" s="1"/>
    </row>
    <row r="39" spans="1:8" x14ac:dyDescent="0.25">
      <c r="A39" s="34"/>
      <c r="B39" s="1" t="s">
        <v>59</v>
      </c>
      <c r="C39" s="1" t="s">
        <v>80</v>
      </c>
      <c r="D39" s="1">
        <v>99</v>
      </c>
      <c r="E39" s="18">
        <v>25</v>
      </c>
      <c r="F39" s="18" t="s">
        <v>131</v>
      </c>
      <c r="G39" s="18">
        <f t="shared" si="1"/>
        <v>2475</v>
      </c>
      <c r="H39" s="1"/>
    </row>
    <row r="40" spans="1:8" x14ac:dyDescent="0.25">
      <c r="A40" s="34"/>
      <c r="B40" s="2" t="s">
        <v>50</v>
      </c>
      <c r="C40" s="2" t="s">
        <v>54</v>
      </c>
      <c r="D40" s="2">
        <v>23.94</v>
      </c>
      <c r="E40" s="18">
        <v>5</v>
      </c>
      <c r="F40" s="18" t="s">
        <v>131</v>
      </c>
      <c r="G40" s="18">
        <f t="shared" si="1"/>
        <v>119.7</v>
      </c>
      <c r="H40" s="2"/>
    </row>
    <row r="41" spans="1:8" x14ac:dyDescent="0.25">
      <c r="A41" s="34"/>
      <c r="B41" s="1" t="s">
        <v>63</v>
      </c>
      <c r="C41" s="1" t="s">
        <v>75</v>
      </c>
      <c r="D41" s="1">
        <v>30.6</v>
      </c>
      <c r="E41" s="18">
        <v>10</v>
      </c>
      <c r="F41" s="18" t="s">
        <v>131</v>
      </c>
      <c r="G41" s="18">
        <f t="shared" si="1"/>
        <v>306</v>
      </c>
      <c r="H41" s="1"/>
    </row>
    <row r="42" spans="1:8" x14ac:dyDescent="0.25">
      <c r="A42" s="34"/>
      <c r="B42" s="35" t="s">
        <v>6</v>
      </c>
      <c r="C42" s="36"/>
      <c r="D42" s="37"/>
      <c r="E42" s="19"/>
      <c r="F42" s="19"/>
      <c r="G42" s="16">
        <f>SUM(G37:G41)</f>
        <v>5120.7</v>
      </c>
      <c r="H42" s="1"/>
    </row>
    <row r="43" spans="1:8" x14ac:dyDescent="0.25">
      <c r="A43" s="1"/>
      <c r="B43" s="41" t="s">
        <v>13</v>
      </c>
      <c r="C43" s="42"/>
      <c r="D43" s="43"/>
      <c r="E43" s="20"/>
      <c r="F43" s="20"/>
      <c r="G43" s="17">
        <f>G42+G26+G20+G35+G14</f>
        <v>18361.28</v>
      </c>
      <c r="H43" s="1"/>
    </row>
  </sheetData>
  <mergeCells count="16">
    <mergeCell ref="A37:A42"/>
    <mergeCell ref="B42:D42"/>
    <mergeCell ref="B43:D43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3"/>
  <sheetViews>
    <sheetView topLeftCell="A28" workbookViewId="0">
      <selection activeCell="N46" sqref="N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8" t="s">
        <v>17</v>
      </c>
      <c r="B1" s="39"/>
      <c r="C1" s="39"/>
      <c r="D1" s="39"/>
      <c r="E1" s="39"/>
      <c r="F1" s="39"/>
      <c r="G1" s="39"/>
      <c r="H1" s="40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138</v>
      </c>
      <c r="F2" s="22"/>
      <c r="G2" s="1" t="s">
        <v>4</v>
      </c>
      <c r="H2" s="1" t="s">
        <v>5</v>
      </c>
    </row>
    <row r="3" spans="1:12" x14ac:dyDescent="0.25">
      <c r="A3" s="34" t="s">
        <v>30</v>
      </c>
      <c r="B3" s="1" t="s">
        <v>55</v>
      </c>
      <c r="C3" s="1" t="s">
        <v>57</v>
      </c>
      <c r="D3" s="1">
        <v>87</v>
      </c>
      <c r="E3" s="22">
        <v>65</v>
      </c>
      <c r="F3" s="22" t="s">
        <v>140</v>
      </c>
      <c r="G3" s="30">
        <f>D3*E3</f>
        <v>5655</v>
      </c>
      <c r="H3" s="1"/>
    </row>
    <row r="4" spans="1:12" x14ac:dyDescent="0.25">
      <c r="A4" s="34"/>
      <c r="B4" s="1" t="s">
        <v>56</v>
      </c>
      <c r="C4" s="1" t="s">
        <v>53</v>
      </c>
      <c r="D4" s="1">
        <v>15.3</v>
      </c>
      <c r="E4" s="22">
        <v>8</v>
      </c>
      <c r="F4" s="22" t="s">
        <v>140</v>
      </c>
      <c r="G4" s="31">
        <f>D4*E4</f>
        <v>122.4</v>
      </c>
      <c r="H4" s="1"/>
    </row>
    <row r="5" spans="1:12" x14ac:dyDescent="0.25">
      <c r="A5" s="34"/>
      <c r="B5" s="1"/>
      <c r="C5" s="1"/>
      <c r="D5" s="1"/>
      <c r="E5" s="22"/>
      <c r="F5" s="22"/>
      <c r="G5" s="1"/>
      <c r="H5" s="1"/>
    </row>
    <row r="6" spans="1:12" x14ac:dyDescent="0.25">
      <c r="A6" s="34"/>
      <c r="B6" s="1"/>
      <c r="C6" s="1"/>
      <c r="D6" s="1"/>
      <c r="E6" s="23"/>
      <c r="F6" s="23"/>
      <c r="G6" s="3"/>
      <c r="H6" s="1"/>
    </row>
    <row r="7" spans="1:12" x14ac:dyDescent="0.25">
      <c r="A7" s="34"/>
      <c r="B7" s="35" t="s">
        <v>6</v>
      </c>
      <c r="C7" s="36"/>
      <c r="D7" s="37"/>
      <c r="E7" s="23"/>
      <c r="F7" s="23"/>
      <c r="G7" s="16">
        <f>SUM(G3:G6)</f>
        <v>5777.4</v>
      </c>
      <c r="H7" s="1"/>
    </row>
    <row r="8" spans="1:12" x14ac:dyDescent="0.25">
      <c r="A8" s="1" t="s">
        <v>7</v>
      </c>
      <c r="B8" s="1" t="s">
        <v>1</v>
      </c>
      <c r="C8" s="1" t="s">
        <v>2</v>
      </c>
      <c r="D8" s="1" t="s">
        <v>3</v>
      </c>
      <c r="E8" s="22" t="s">
        <v>138</v>
      </c>
      <c r="F8" s="22"/>
      <c r="G8" s="1" t="s">
        <v>4</v>
      </c>
      <c r="H8" s="1" t="s">
        <v>5</v>
      </c>
    </row>
    <row r="9" spans="1:12" x14ac:dyDescent="0.25">
      <c r="A9" s="34" t="s">
        <v>31</v>
      </c>
      <c r="B9" s="1" t="s">
        <v>58</v>
      </c>
      <c r="C9" s="1" t="s">
        <v>52</v>
      </c>
      <c r="D9" s="1">
        <v>96</v>
      </c>
      <c r="E9" s="22">
        <v>30</v>
      </c>
      <c r="F9" s="22" t="s">
        <v>140</v>
      </c>
      <c r="G9" s="30">
        <f>D9*E9</f>
        <v>2880</v>
      </c>
      <c r="H9" s="1"/>
    </row>
    <row r="10" spans="1:12" x14ac:dyDescent="0.25">
      <c r="A10" s="34"/>
      <c r="B10" s="1" t="s">
        <v>59</v>
      </c>
      <c r="C10" s="1" t="s">
        <v>60</v>
      </c>
      <c r="D10" s="1">
        <v>99</v>
      </c>
      <c r="E10" s="22">
        <v>15</v>
      </c>
      <c r="F10" s="22" t="s">
        <v>140</v>
      </c>
      <c r="G10" s="30">
        <f>D10*E10</f>
        <v>1485</v>
      </c>
      <c r="H10" s="1"/>
    </row>
    <row r="11" spans="1:12" x14ac:dyDescent="0.25">
      <c r="A11" s="34"/>
      <c r="B11" s="1"/>
      <c r="C11" s="1"/>
      <c r="D11" s="1"/>
      <c r="E11" s="22"/>
      <c r="F11" s="22"/>
      <c r="G11" s="1"/>
      <c r="H11" s="1"/>
    </row>
    <row r="12" spans="1:12" x14ac:dyDescent="0.25">
      <c r="A12" s="34"/>
      <c r="B12" s="1"/>
      <c r="C12" s="1"/>
      <c r="D12" s="1"/>
      <c r="E12" s="22"/>
      <c r="F12" s="22"/>
      <c r="G12" s="1"/>
      <c r="H12" s="1"/>
    </row>
    <row r="13" spans="1:12" x14ac:dyDescent="0.25">
      <c r="A13" s="34"/>
      <c r="B13" s="1"/>
      <c r="C13" s="1"/>
      <c r="D13" s="1"/>
      <c r="E13" s="22"/>
      <c r="F13" s="22"/>
      <c r="G13" s="1"/>
      <c r="H13" s="1"/>
    </row>
    <row r="14" spans="1:12" x14ac:dyDescent="0.25">
      <c r="A14" s="34"/>
      <c r="B14" s="35" t="s">
        <v>6</v>
      </c>
      <c r="C14" s="36"/>
      <c r="D14" s="37"/>
      <c r="E14" s="23"/>
      <c r="F14" s="23"/>
      <c r="G14" s="15">
        <f>SUM(G9:G13)</f>
        <v>4365</v>
      </c>
      <c r="H14" s="1"/>
    </row>
    <row r="15" spans="1:12" x14ac:dyDescent="0.25">
      <c r="A15" s="1" t="s">
        <v>8</v>
      </c>
      <c r="B15" s="1" t="s">
        <v>1</v>
      </c>
      <c r="C15" s="1" t="s">
        <v>2</v>
      </c>
      <c r="D15" s="1" t="s">
        <v>3</v>
      </c>
      <c r="E15" s="22" t="s">
        <v>138</v>
      </c>
      <c r="F15" s="22"/>
      <c r="G15" s="1" t="s">
        <v>4</v>
      </c>
      <c r="H15" s="1" t="s">
        <v>5</v>
      </c>
    </row>
    <row r="16" spans="1:12" x14ac:dyDescent="0.25">
      <c r="A16" s="34" t="s">
        <v>32</v>
      </c>
      <c r="B16" s="1" t="s">
        <v>61</v>
      </c>
      <c r="C16" s="1" t="s">
        <v>54</v>
      </c>
      <c r="D16" s="1">
        <v>103.5</v>
      </c>
      <c r="E16" s="22">
        <v>4</v>
      </c>
      <c r="F16" s="22" t="s">
        <v>140</v>
      </c>
      <c r="G16" s="30">
        <f>D16*E16</f>
        <v>414</v>
      </c>
      <c r="H16" s="1"/>
      <c r="L16" s="29"/>
    </row>
    <row r="17" spans="1:8" x14ac:dyDescent="0.25">
      <c r="A17" s="34"/>
      <c r="B17" s="1" t="s">
        <v>62</v>
      </c>
      <c r="C17" s="1" t="s">
        <v>64</v>
      </c>
      <c r="D17" s="1">
        <v>150</v>
      </c>
      <c r="E17" s="22">
        <v>5</v>
      </c>
      <c r="F17" s="22" t="s">
        <v>149</v>
      </c>
      <c r="G17" s="30">
        <f t="shared" ref="G17:G19" si="0">D17*E17</f>
        <v>750</v>
      </c>
      <c r="H17" s="1"/>
    </row>
    <row r="18" spans="1:8" x14ac:dyDescent="0.25">
      <c r="A18" s="34"/>
      <c r="B18" s="1" t="s">
        <v>63</v>
      </c>
      <c r="C18" s="1" t="s">
        <v>54</v>
      </c>
      <c r="D18" s="1">
        <v>30.6</v>
      </c>
      <c r="E18" s="22">
        <v>5</v>
      </c>
      <c r="F18" s="22" t="s">
        <v>140</v>
      </c>
      <c r="G18" s="30">
        <f t="shared" si="0"/>
        <v>153</v>
      </c>
      <c r="H18" s="1"/>
    </row>
    <row r="19" spans="1:8" x14ac:dyDescent="0.25">
      <c r="A19" s="34"/>
      <c r="B19" s="1" t="s">
        <v>49</v>
      </c>
      <c r="C19" s="1" t="s">
        <v>65</v>
      </c>
      <c r="D19" s="1">
        <v>45</v>
      </c>
      <c r="E19" s="23">
        <v>3</v>
      </c>
      <c r="F19" s="23" t="s">
        <v>140</v>
      </c>
      <c r="G19" s="30">
        <f t="shared" si="0"/>
        <v>135</v>
      </c>
      <c r="H19" s="1"/>
    </row>
    <row r="20" spans="1:8" x14ac:dyDescent="0.25">
      <c r="A20" s="34"/>
      <c r="B20" s="35" t="s">
        <v>6</v>
      </c>
      <c r="C20" s="36"/>
      <c r="D20" s="37"/>
      <c r="E20" s="23"/>
      <c r="F20" s="23"/>
      <c r="G20" s="15">
        <f>SUM(G16:G19)</f>
        <v>1452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22" t="s">
        <v>138</v>
      </c>
      <c r="F21" s="22"/>
      <c r="G21" s="1" t="s">
        <v>4</v>
      </c>
      <c r="H21" s="1" t="s">
        <v>5</v>
      </c>
    </row>
    <row r="22" spans="1:8" x14ac:dyDescent="0.25">
      <c r="A22" s="34"/>
      <c r="B22" s="1" t="s">
        <v>143</v>
      </c>
      <c r="C22" s="1"/>
      <c r="D22" s="1">
        <v>235</v>
      </c>
      <c r="E22" s="22">
        <v>3</v>
      </c>
      <c r="F22" s="22" t="s">
        <v>144</v>
      </c>
      <c r="G22" s="31">
        <f>D22*E22</f>
        <v>705</v>
      </c>
      <c r="H22" s="1"/>
    </row>
    <row r="23" spans="1:8" x14ac:dyDescent="0.25">
      <c r="A23" s="34"/>
      <c r="B23" s="1" t="s">
        <v>145</v>
      </c>
      <c r="C23" s="1"/>
      <c r="D23" s="1">
        <v>140</v>
      </c>
      <c r="E23" s="22">
        <v>1</v>
      </c>
      <c r="F23" s="22" t="s">
        <v>144</v>
      </c>
      <c r="G23" s="31">
        <f t="shared" ref="G23:G36" si="1">D23*E23</f>
        <v>140</v>
      </c>
      <c r="H23" s="1"/>
    </row>
    <row r="24" spans="1:8" x14ac:dyDescent="0.25">
      <c r="A24" s="34"/>
      <c r="B24" s="1" t="s">
        <v>146</v>
      </c>
      <c r="C24" s="1"/>
      <c r="D24" s="1">
        <v>500</v>
      </c>
      <c r="E24" s="22">
        <v>1</v>
      </c>
      <c r="F24" s="22" t="s">
        <v>147</v>
      </c>
      <c r="G24" s="31">
        <f t="shared" si="1"/>
        <v>500</v>
      </c>
      <c r="H24" s="1"/>
    </row>
    <row r="25" spans="1:8" x14ac:dyDescent="0.25">
      <c r="A25" s="34"/>
      <c r="B25" s="1" t="s">
        <v>148</v>
      </c>
      <c r="C25" s="1"/>
      <c r="D25" s="1">
        <v>350</v>
      </c>
      <c r="E25" s="22">
        <v>1</v>
      </c>
      <c r="F25" s="22" t="s">
        <v>140</v>
      </c>
      <c r="G25" s="31">
        <f t="shared" si="1"/>
        <v>350</v>
      </c>
      <c r="H25" s="1"/>
    </row>
    <row r="26" spans="1:8" x14ac:dyDescent="0.25">
      <c r="A26" s="34"/>
      <c r="B26" s="22" t="s">
        <v>151</v>
      </c>
      <c r="C26" s="22"/>
      <c r="D26" s="22">
        <v>193.8</v>
      </c>
      <c r="E26" s="22">
        <v>0.5</v>
      </c>
      <c r="F26" s="22" t="s">
        <v>140</v>
      </c>
      <c r="G26" s="32">
        <f t="shared" si="1"/>
        <v>96.9</v>
      </c>
      <c r="H26" s="22"/>
    </row>
    <row r="27" spans="1:8" x14ac:dyDescent="0.25">
      <c r="A27" s="34"/>
      <c r="B27" s="22" t="s">
        <v>152</v>
      </c>
      <c r="C27" s="22"/>
      <c r="D27" s="22">
        <v>99</v>
      </c>
      <c r="E27" s="22">
        <v>5</v>
      </c>
      <c r="F27" s="23" t="s">
        <v>140</v>
      </c>
      <c r="G27" s="32">
        <f t="shared" si="1"/>
        <v>495</v>
      </c>
      <c r="H27" s="22"/>
    </row>
    <row r="28" spans="1:8" x14ac:dyDescent="0.25">
      <c r="A28" s="34"/>
      <c r="B28" s="22" t="s">
        <v>153</v>
      </c>
      <c r="C28" s="22"/>
      <c r="D28" s="22">
        <v>85.5</v>
      </c>
      <c r="E28" s="22">
        <v>0.5</v>
      </c>
      <c r="F28" s="23" t="s">
        <v>140</v>
      </c>
      <c r="G28" s="32">
        <f t="shared" si="1"/>
        <v>42.75</v>
      </c>
      <c r="H28" s="22"/>
    </row>
    <row r="29" spans="1:8" x14ac:dyDescent="0.25">
      <c r="A29" s="34"/>
      <c r="B29" s="22" t="s">
        <v>154</v>
      </c>
      <c r="C29" s="22"/>
      <c r="D29" s="22">
        <v>11</v>
      </c>
      <c r="E29" s="22">
        <v>40</v>
      </c>
      <c r="F29" s="23" t="s">
        <v>141</v>
      </c>
      <c r="G29" s="32">
        <f t="shared" si="1"/>
        <v>440</v>
      </c>
      <c r="H29" s="22"/>
    </row>
    <row r="30" spans="1:8" x14ac:dyDescent="0.25">
      <c r="A30" s="34"/>
      <c r="B30" s="22" t="s">
        <v>155</v>
      </c>
      <c r="C30" s="22"/>
      <c r="D30" s="22">
        <v>225</v>
      </c>
      <c r="E30" s="22">
        <v>2</v>
      </c>
      <c r="F30" s="23" t="s">
        <v>147</v>
      </c>
      <c r="G30" s="32">
        <f t="shared" si="1"/>
        <v>450</v>
      </c>
      <c r="H30" s="22"/>
    </row>
    <row r="31" spans="1:8" x14ac:dyDescent="0.25">
      <c r="A31" s="34"/>
      <c r="B31" s="22" t="s">
        <v>156</v>
      </c>
      <c r="C31" s="22"/>
      <c r="D31" s="22">
        <v>291</v>
      </c>
      <c r="E31" s="22">
        <v>2</v>
      </c>
      <c r="F31" s="23" t="s">
        <v>147</v>
      </c>
      <c r="G31" s="32">
        <f t="shared" si="1"/>
        <v>582</v>
      </c>
      <c r="H31" s="22"/>
    </row>
    <row r="32" spans="1:8" x14ac:dyDescent="0.25">
      <c r="A32" s="34"/>
      <c r="B32" s="22" t="s">
        <v>157</v>
      </c>
      <c r="C32" s="22"/>
      <c r="D32" s="22">
        <v>1188</v>
      </c>
      <c r="E32" s="22">
        <v>1</v>
      </c>
      <c r="F32" s="23" t="s">
        <v>147</v>
      </c>
      <c r="G32" s="32">
        <f t="shared" si="1"/>
        <v>1188</v>
      </c>
      <c r="H32" s="22"/>
    </row>
    <row r="33" spans="1:8" x14ac:dyDescent="0.25">
      <c r="A33" s="34"/>
      <c r="B33" s="22" t="s">
        <v>158</v>
      </c>
      <c r="C33" s="22"/>
      <c r="D33" s="22">
        <v>255</v>
      </c>
      <c r="E33" s="22">
        <v>1</v>
      </c>
      <c r="F33" s="23" t="s">
        <v>147</v>
      </c>
      <c r="G33" s="32">
        <f t="shared" si="1"/>
        <v>255</v>
      </c>
      <c r="H33" s="22"/>
    </row>
    <row r="34" spans="1:8" x14ac:dyDescent="0.25">
      <c r="A34" s="34"/>
      <c r="B34" s="22" t="s">
        <v>159</v>
      </c>
      <c r="C34" s="22"/>
      <c r="D34" s="22">
        <v>18.899999999999999</v>
      </c>
      <c r="E34" s="22">
        <v>2</v>
      </c>
      <c r="F34" s="23" t="s">
        <v>140</v>
      </c>
      <c r="G34" s="32">
        <f t="shared" si="1"/>
        <v>37.799999999999997</v>
      </c>
      <c r="H34" s="22"/>
    </row>
    <row r="35" spans="1:8" x14ac:dyDescent="0.25">
      <c r="A35" s="34"/>
      <c r="B35" s="22" t="s">
        <v>160</v>
      </c>
      <c r="C35" s="22"/>
      <c r="D35" s="22">
        <v>399</v>
      </c>
      <c r="E35" s="22">
        <v>1</v>
      </c>
      <c r="F35" s="23" t="s">
        <v>147</v>
      </c>
      <c r="G35" s="32">
        <f t="shared" si="1"/>
        <v>399</v>
      </c>
      <c r="H35" s="22"/>
    </row>
    <row r="36" spans="1:8" x14ac:dyDescent="0.25">
      <c r="A36" s="34"/>
      <c r="B36" s="22" t="s">
        <v>161</v>
      </c>
      <c r="C36" s="22"/>
      <c r="D36" s="22">
        <v>85</v>
      </c>
      <c r="E36" s="22">
        <v>4</v>
      </c>
      <c r="F36" s="23" t="s">
        <v>140</v>
      </c>
      <c r="G36" s="32">
        <f t="shared" si="1"/>
        <v>340</v>
      </c>
      <c r="H36" s="22"/>
    </row>
    <row r="37" spans="1:8" x14ac:dyDescent="0.25">
      <c r="A37" s="34"/>
      <c r="B37" s="35" t="s">
        <v>6</v>
      </c>
      <c r="C37" s="36"/>
      <c r="D37" s="37"/>
      <c r="E37" s="23"/>
      <c r="F37" s="23"/>
      <c r="G37" s="16">
        <f>SUM(G22:G36)</f>
        <v>6021.45</v>
      </c>
      <c r="H37" s="1"/>
    </row>
    <row r="38" spans="1:8" x14ac:dyDescent="0.25">
      <c r="A38" s="1" t="s">
        <v>10</v>
      </c>
      <c r="B38" s="1" t="s">
        <v>1</v>
      </c>
      <c r="C38" s="1" t="s">
        <v>2</v>
      </c>
      <c r="D38" s="1" t="s">
        <v>3</v>
      </c>
      <c r="E38" s="22" t="s">
        <v>138</v>
      </c>
      <c r="F38" s="22"/>
      <c r="G38" s="1" t="s">
        <v>4</v>
      </c>
      <c r="H38" s="1" t="s">
        <v>5</v>
      </c>
    </row>
    <row r="39" spans="1:8" x14ac:dyDescent="0.25">
      <c r="A39" s="34" t="s">
        <v>33</v>
      </c>
      <c r="B39" s="1" t="s">
        <v>66</v>
      </c>
      <c r="C39" s="1" t="s">
        <v>67</v>
      </c>
      <c r="D39" s="1">
        <v>30</v>
      </c>
      <c r="E39" s="22">
        <v>10</v>
      </c>
      <c r="F39" s="22" t="s">
        <v>140</v>
      </c>
      <c r="G39" s="30">
        <f>D39*E39</f>
        <v>300</v>
      </c>
      <c r="H39" s="1"/>
    </row>
    <row r="40" spans="1:8" x14ac:dyDescent="0.25">
      <c r="A40" s="34"/>
      <c r="B40" s="1" t="s">
        <v>68</v>
      </c>
      <c r="C40" s="1" t="s">
        <v>69</v>
      </c>
      <c r="D40" s="1">
        <v>35.4</v>
      </c>
      <c r="E40" s="22">
        <v>10</v>
      </c>
      <c r="F40" s="22" t="s">
        <v>141</v>
      </c>
      <c r="G40" s="30">
        <f>D40*E40</f>
        <v>354</v>
      </c>
      <c r="H40" s="1"/>
    </row>
    <row r="41" spans="1:8" x14ac:dyDescent="0.25">
      <c r="A41" s="34"/>
      <c r="B41" s="1"/>
      <c r="C41" s="1"/>
      <c r="D41" s="1"/>
      <c r="E41" s="22"/>
      <c r="F41" s="22"/>
      <c r="G41" s="1"/>
      <c r="H41" s="1"/>
    </row>
    <row r="42" spans="1:8" x14ac:dyDescent="0.25">
      <c r="A42" s="34"/>
      <c r="B42" s="35"/>
      <c r="C42" s="36"/>
      <c r="D42" s="37"/>
      <c r="E42" s="23"/>
      <c r="F42" s="23"/>
      <c r="G42" s="15">
        <f>SUM(G39:G41)</f>
        <v>654</v>
      </c>
      <c r="H42" s="1"/>
    </row>
    <row r="43" spans="1:8" x14ac:dyDescent="0.25">
      <c r="A43" s="1" t="s">
        <v>11</v>
      </c>
      <c r="B43" s="1" t="s">
        <v>1</v>
      </c>
      <c r="C43" s="1" t="s">
        <v>2</v>
      </c>
      <c r="D43" s="1" t="s">
        <v>3</v>
      </c>
      <c r="E43" s="23" t="s">
        <v>138</v>
      </c>
      <c r="F43" s="23"/>
      <c r="G43" s="3" t="s">
        <v>4</v>
      </c>
      <c r="H43" s="1" t="s">
        <v>5</v>
      </c>
    </row>
    <row r="44" spans="1:8" x14ac:dyDescent="0.25">
      <c r="A44" s="44"/>
      <c r="B44" s="1" t="s">
        <v>139</v>
      </c>
      <c r="C44" s="1"/>
      <c r="D44" s="1">
        <v>33.6</v>
      </c>
      <c r="E44" s="22">
        <v>36</v>
      </c>
      <c r="F44" s="22" t="s">
        <v>140</v>
      </c>
      <c r="G44" s="31">
        <f>E44*D44</f>
        <v>1209.6000000000001</v>
      </c>
      <c r="H44" s="1"/>
    </row>
    <row r="45" spans="1:8" x14ac:dyDescent="0.25">
      <c r="A45" s="45"/>
      <c r="B45" s="1" t="s">
        <v>150</v>
      </c>
      <c r="C45" s="1"/>
      <c r="D45" s="1">
        <v>28.56</v>
      </c>
      <c r="E45" s="22">
        <v>65</v>
      </c>
      <c r="F45" s="22" t="s">
        <v>140</v>
      </c>
      <c r="G45" s="31">
        <f>E45*D45</f>
        <v>1856.3999999999999</v>
      </c>
      <c r="H45" s="1"/>
    </row>
    <row r="46" spans="1:8" x14ac:dyDescent="0.25">
      <c r="A46" s="46"/>
      <c r="B46" s="35" t="s">
        <v>6</v>
      </c>
      <c r="C46" s="36"/>
      <c r="D46" s="37"/>
      <c r="E46" s="23"/>
      <c r="F46" s="23"/>
      <c r="G46" s="16">
        <f>SUM(G44:G45)</f>
        <v>3066</v>
      </c>
      <c r="H46" s="5"/>
    </row>
    <row r="47" spans="1:8" x14ac:dyDescent="0.25">
      <c r="A47" s="6" t="s">
        <v>12</v>
      </c>
      <c r="B47" s="1" t="s">
        <v>1</v>
      </c>
      <c r="C47" s="1" t="s">
        <v>2</v>
      </c>
      <c r="D47" s="1" t="s">
        <v>3</v>
      </c>
      <c r="E47" s="22" t="s">
        <v>138</v>
      </c>
      <c r="F47" s="22"/>
      <c r="G47" s="1" t="s">
        <v>4</v>
      </c>
      <c r="H47" s="1"/>
    </row>
    <row r="48" spans="1:8" x14ac:dyDescent="0.25">
      <c r="A48" s="34"/>
      <c r="B48" s="1" t="s">
        <v>142</v>
      </c>
      <c r="C48" s="1"/>
      <c r="D48" s="1">
        <v>168</v>
      </c>
      <c r="E48" s="22">
        <v>3</v>
      </c>
      <c r="F48" s="22" t="s">
        <v>140</v>
      </c>
      <c r="G48" s="30">
        <f>D48*E48</f>
        <v>504</v>
      </c>
      <c r="H48" s="1"/>
    </row>
    <row r="49" spans="1:9" x14ac:dyDescent="0.25">
      <c r="A49" s="34"/>
      <c r="B49" s="1"/>
      <c r="C49" s="1"/>
      <c r="D49" s="1"/>
      <c r="E49" s="22"/>
      <c r="F49" s="22"/>
      <c r="G49" s="1"/>
      <c r="H49" s="1"/>
    </row>
    <row r="50" spans="1:9" x14ac:dyDescent="0.25">
      <c r="A50" s="34"/>
      <c r="B50" s="1"/>
      <c r="C50" s="1"/>
      <c r="D50" s="1"/>
      <c r="E50" s="22"/>
      <c r="F50" s="22"/>
      <c r="G50" s="1"/>
      <c r="H50" s="1"/>
    </row>
    <row r="51" spans="1:9" x14ac:dyDescent="0.25">
      <c r="A51" s="34"/>
      <c r="B51" s="1"/>
      <c r="C51" s="1"/>
      <c r="D51" s="1"/>
      <c r="E51" s="22"/>
      <c r="F51" s="22"/>
      <c r="G51" s="1"/>
      <c r="H51" s="1"/>
      <c r="I51" s="33">
        <f>21840-21750</f>
        <v>90</v>
      </c>
    </row>
    <row r="52" spans="1:9" x14ac:dyDescent="0.25">
      <c r="A52" s="34"/>
      <c r="B52" s="35" t="s">
        <v>6</v>
      </c>
      <c r="C52" s="36"/>
      <c r="D52" s="37"/>
      <c r="E52" s="23"/>
      <c r="F52" s="23"/>
      <c r="G52" s="15">
        <f>SUM(G48:G51)</f>
        <v>504</v>
      </c>
      <c r="H52" s="1"/>
    </row>
    <row r="53" spans="1:9" x14ac:dyDescent="0.25">
      <c r="A53" s="1"/>
      <c r="B53" s="41" t="s">
        <v>13</v>
      </c>
      <c r="C53" s="42"/>
      <c r="D53" s="43"/>
      <c r="E53" s="24"/>
      <c r="F53" s="24"/>
      <c r="G53" s="17">
        <f>G52+G46+G42+G37+G20+G14+G7</f>
        <v>21839.85</v>
      </c>
      <c r="H53" s="1"/>
    </row>
  </sheetData>
  <mergeCells count="16">
    <mergeCell ref="A48:A52"/>
    <mergeCell ref="B52:D52"/>
    <mergeCell ref="B53:D53"/>
    <mergeCell ref="A22:A37"/>
    <mergeCell ref="B37:D37"/>
    <mergeCell ref="A39:A42"/>
    <mergeCell ref="B42:D42"/>
    <mergeCell ref="A44:A46"/>
    <mergeCell ref="B46:D4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8" t="s">
        <v>18</v>
      </c>
      <c r="B1" s="39"/>
      <c r="C1" s="39"/>
      <c r="D1" s="39"/>
      <c r="E1" s="39"/>
      <c r="F1" s="39"/>
      <c r="G1" s="39"/>
      <c r="H1" s="4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6" t="s">
        <v>162</v>
      </c>
      <c r="F2" s="26"/>
      <c r="G2" s="1" t="s">
        <v>4</v>
      </c>
      <c r="H2" s="1" t="s">
        <v>5</v>
      </c>
    </row>
    <row r="3" spans="1:8" x14ac:dyDescent="0.25">
      <c r="A3" s="34" t="s">
        <v>34</v>
      </c>
      <c r="B3" s="1" t="s">
        <v>41</v>
      </c>
      <c r="C3" s="1" t="s">
        <v>42</v>
      </c>
      <c r="D3" s="1">
        <v>78</v>
      </c>
      <c r="E3" s="26">
        <v>46.22</v>
      </c>
      <c r="F3" s="26" t="s">
        <v>163</v>
      </c>
      <c r="G3" s="14">
        <f>D3*E3</f>
        <v>3605.16</v>
      </c>
      <c r="H3" s="1"/>
    </row>
    <row r="4" spans="1:8" x14ac:dyDescent="0.25">
      <c r="A4" s="34"/>
      <c r="B4" s="1"/>
      <c r="C4" s="1"/>
      <c r="D4" s="1"/>
      <c r="E4" s="26"/>
      <c r="F4" s="26"/>
      <c r="G4" s="1"/>
      <c r="H4" s="1"/>
    </row>
    <row r="5" spans="1:8" x14ac:dyDescent="0.25">
      <c r="A5" s="34"/>
      <c r="B5" s="1"/>
      <c r="C5" s="1"/>
      <c r="D5" s="1"/>
      <c r="E5" s="26"/>
      <c r="F5" s="26"/>
      <c r="G5" s="1"/>
      <c r="H5" s="1"/>
    </row>
    <row r="6" spans="1:8" x14ac:dyDescent="0.25">
      <c r="A6" s="34"/>
      <c r="B6" s="1"/>
      <c r="C6" s="1"/>
      <c r="D6" s="1"/>
      <c r="E6" s="27"/>
      <c r="F6" s="27"/>
      <c r="G6" s="3"/>
      <c r="H6" s="1"/>
    </row>
    <row r="7" spans="1:8" x14ac:dyDescent="0.25">
      <c r="A7" s="34"/>
      <c r="B7" s="35" t="s">
        <v>6</v>
      </c>
      <c r="C7" s="36"/>
      <c r="D7" s="37"/>
      <c r="E7" s="27"/>
      <c r="F7" s="27"/>
      <c r="G7" s="16">
        <f>SUM(G3:G6)</f>
        <v>3605.16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6" t="s">
        <v>162</v>
      </c>
      <c r="F8" s="26"/>
      <c r="G8" s="1" t="s">
        <v>4</v>
      </c>
      <c r="H8" s="1" t="s">
        <v>5</v>
      </c>
    </row>
    <row r="9" spans="1:8" x14ac:dyDescent="0.25">
      <c r="A9" s="34" t="s">
        <v>35</v>
      </c>
      <c r="B9" s="1" t="s">
        <v>43</v>
      </c>
      <c r="C9" s="1" t="s">
        <v>45</v>
      </c>
      <c r="D9" s="1">
        <v>93</v>
      </c>
      <c r="E9" s="26">
        <v>40</v>
      </c>
      <c r="F9" s="26" t="s">
        <v>163</v>
      </c>
      <c r="G9" s="1">
        <f>E9*D9</f>
        <v>3720</v>
      </c>
      <c r="H9" s="1"/>
    </row>
    <row r="10" spans="1:8" x14ac:dyDescent="0.25">
      <c r="A10" s="34"/>
      <c r="B10" s="1" t="s">
        <v>44</v>
      </c>
      <c r="C10" s="1" t="s">
        <v>46</v>
      </c>
      <c r="D10" s="1">
        <v>240</v>
      </c>
      <c r="E10" s="26">
        <v>2</v>
      </c>
      <c r="F10" s="26" t="s">
        <v>164</v>
      </c>
      <c r="G10" s="26">
        <f>E10*D10</f>
        <v>480</v>
      </c>
      <c r="H10" s="1"/>
    </row>
    <row r="11" spans="1:8" x14ac:dyDescent="0.25">
      <c r="A11" s="34"/>
      <c r="B11" s="1"/>
      <c r="C11" s="1"/>
      <c r="D11" s="1"/>
      <c r="E11" s="26"/>
      <c r="F11" s="26"/>
      <c r="G11" s="1"/>
      <c r="H11" s="1"/>
    </row>
    <row r="12" spans="1:8" x14ac:dyDescent="0.25">
      <c r="A12" s="34"/>
      <c r="B12" s="1"/>
      <c r="C12" s="1"/>
      <c r="D12" s="1"/>
      <c r="E12" s="26"/>
      <c r="F12" s="26"/>
      <c r="G12" s="1"/>
      <c r="H12" s="1"/>
    </row>
    <row r="13" spans="1:8" x14ac:dyDescent="0.25">
      <c r="A13" s="34"/>
      <c r="B13" s="1"/>
      <c r="C13" s="1"/>
      <c r="D13" s="1"/>
      <c r="E13" s="26"/>
      <c r="F13" s="26"/>
      <c r="G13" s="1"/>
      <c r="H13" s="1"/>
    </row>
    <row r="14" spans="1:8" x14ac:dyDescent="0.25">
      <c r="A14" s="34"/>
      <c r="B14" s="35" t="s">
        <v>6</v>
      </c>
      <c r="C14" s="36"/>
      <c r="D14" s="37"/>
      <c r="E14" s="27"/>
      <c r="F14" s="27"/>
      <c r="G14" s="15">
        <f>SUM(G9:G13)</f>
        <v>4200</v>
      </c>
      <c r="H14" s="1"/>
    </row>
    <row r="15" spans="1:8" x14ac:dyDescent="0.25">
      <c r="A15" s="1" t="s">
        <v>8</v>
      </c>
      <c r="B15" s="1" t="s">
        <v>1</v>
      </c>
      <c r="C15" s="1" t="s">
        <v>2</v>
      </c>
      <c r="D15" s="1" t="s">
        <v>3</v>
      </c>
      <c r="E15" s="26" t="s">
        <v>162</v>
      </c>
      <c r="F15" s="26"/>
      <c r="G15" s="1" t="s">
        <v>4</v>
      </c>
      <c r="H15" s="1" t="s">
        <v>5</v>
      </c>
    </row>
    <row r="16" spans="1:8" x14ac:dyDescent="0.25">
      <c r="A16" s="34" t="s">
        <v>36</v>
      </c>
      <c r="B16" s="1" t="s">
        <v>47</v>
      </c>
      <c r="C16" s="1" t="s">
        <v>52</v>
      </c>
      <c r="D16" s="1">
        <v>38.76</v>
      </c>
      <c r="E16" s="26">
        <v>30</v>
      </c>
      <c r="F16" s="26" t="s">
        <v>163</v>
      </c>
      <c r="G16" s="14">
        <f>D16*E16</f>
        <v>1162.8</v>
      </c>
      <c r="H16" s="1"/>
    </row>
    <row r="17" spans="1:8" x14ac:dyDescent="0.25">
      <c r="A17" s="34"/>
      <c r="B17" s="1" t="s">
        <v>48</v>
      </c>
      <c r="C17" s="1" t="s">
        <v>53</v>
      </c>
      <c r="D17" s="1">
        <v>90</v>
      </c>
      <c r="E17" s="26">
        <v>8</v>
      </c>
      <c r="F17" s="26" t="s">
        <v>163</v>
      </c>
      <c r="G17" s="26">
        <f t="shared" ref="G17:G19" si="0">D17*E17</f>
        <v>720</v>
      </c>
      <c r="H17" s="1"/>
    </row>
    <row r="18" spans="1:8" x14ac:dyDescent="0.25">
      <c r="A18" s="34"/>
      <c r="B18" s="1" t="s">
        <v>49</v>
      </c>
      <c r="C18" s="1" t="s">
        <v>54</v>
      </c>
      <c r="D18" s="1">
        <v>45</v>
      </c>
      <c r="E18" s="26">
        <v>5</v>
      </c>
      <c r="F18" s="26" t="s">
        <v>163</v>
      </c>
      <c r="G18" s="26">
        <f t="shared" si="0"/>
        <v>225</v>
      </c>
      <c r="H18" s="1"/>
    </row>
    <row r="19" spans="1:8" x14ac:dyDescent="0.25">
      <c r="A19" s="34"/>
      <c r="B19" s="1" t="s">
        <v>50</v>
      </c>
      <c r="C19" s="1" t="s">
        <v>51</v>
      </c>
      <c r="D19" s="1">
        <v>2</v>
      </c>
      <c r="E19" s="27">
        <v>25.08</v>
      </c>
      <c r="F19" s="26" t="s">
        <v>163</v>
      </c>
      <c r="G19" s="14">
        <f t="shared" si="0"/>
        <v>50.16</v>
      </c>
      <c r="H19" s="1"/>
    </row>
    <row r="20" spans="1:8" x14ac:dyDescent="0.25">
      <c r="A20" s="34"/>
      <c r="B20" s="35" t="s">
        <v>6</v>
      </c>
      <c r="C20" s="36"/>
      <c r="D20" s="37"/>
      <c r="E20" s="27"/>
      <c r="F20" s="27"/>
      <c r="G20" s="16">
        <f>SUM(G16:G19)</f>
        <v>2157.96</v>
      </c>
      <c r="H20" s="1"/>
    </row>
    <row r="21" spans="1:8" x14ac:dyDescent="0.25">
      <c r="A21" s="4" t="s">
        <v>9</v>
      </c>
      <c r="B21" s="1" t="s">
        <v>1</v>
      </c>
      <c r="C21" s="1" t="s">
        <v>2</v>
      </c>
      <c r="D21" s="1" t="s">
        <v>3</v>
      </c>
      <c r="E21" s="26" t="s">
        <v>162</v>
      </c>
      <c r="F21" s="26"/>
      <c r="G21" s="1" t="s">
        <v>4</v>
      </c>
      <c r="H21" s="1" t="s">
        <v>5</v>
      </c>
    </row>
    <row r="22" spans="1:8" x14ac:dyDescent="0.25">
      <c r="A22" s="34"/>
      <c r="B22" s="1" t="s">
        <v>171</v>
      </c>
      <c r="C22" s="1"/>
      <c r="D22" s="1">
        <v>264</v>
      </c>
      <c r="E22" s="26">
        <v>1</v>
      </c>
      <c r="F22" s="26" t="s">
        <v>172</v>
      </c>
      <c r="G22" s="1">
        <f>D22*E22</f>
        <v>264</v>
      </c>
      <c r="H22" s="1"/>
    </row>
    <row r="23" spans="1:8" x14ac:dyDescent="0.25">
      <c r="A23" s="34"/>
      <c r="B23" s="1" t="s">
        <v>173</v>
      </c>
      <c r="C23" s="1"/>
      <c r="D23" s="1">
        <v>80</v>
      </c>
      <c r="E23" s="26">
        <v>1</v>
      </c>
      <c r="F23" s="26" t="s">
        <v>176</v>
      </c>
      <c r="G23" s="26">
        <f t="shared" ref="G23:G24" si="1">D23*E23</f>
        <v>80</v>
      </c>
      <c r="H23" s="1"/>
    </row>
    <row r="24" spans="1:8" x14ac:dyDescent="0.25">
      <c r="A24" s="34"/>
      <c r="B24" s="1" t="s">
        <v>174</v>
      </c>
      <c r="C24" s="1"/>
      <c r="D24" s="1">
        <v>120</v>
      </c>
      <c r="E24" s="26">
        <v>2</v>
      </c>
      <c r="F24" s="26" t="s">
        <v>175</v>
      </c>
      <c r="G24" s="26">
        <f t="shared" si="1"/>
        <v>240</v>
      </c>
      <c r="H24" s="1"/>
    </row>
    <row r="25" spans="1:8" x14ac:dyDescent="0.25">
      <c r="A25" s="34"/>
      <c r="B25" s="1"/>
      <c r="C25" s="1"/>
      <c r="D25" s="1"/>
      <c r="E25" s="26"/>
      <c r="F25" s="26"/>
      <c r="G25" s="1"/>
      <c r="H25" s="1"/>
    </row>
    <row r="26" spans="1:8" x14ac:dyDescent="0.25">
      <c r="A26" s="34"/>
      <c r="B26" s="35" t="s">
        <v>6</v>
      </c>
      <c r="C26" s="36"/>
      <c r="D26" s="37"/>
      <c r="E26" s="27"/>
      <c r="F26" s="27"/>
      <c r="G26" s="15">
        <f>SUM(G22:G25)</f>
        <v>584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26" t="s">
        <v>162</v>
      </c>
      <c r="F27" s="26"/>
      <c r="G27" s="1" t="s">
        <v>4</v>
      </c>
      <c r="H27" s="1" t="s">
        <v>5</v>
      </c>
    </row>
    <row r="28" spans="1:8" x14ac:dyDescent="0.25">
      <c r="A28" s="34" t="s">
        <v>37</v>
      </c>
      <c r="B28" s="1" t="s">
        <v>38</v>
      </c>
      <c r="C28" s="1"/>
      <c r="D28" s="1"/>
      <c r="E28" s="26"/>
      <c r="F28" s="26"/>
      <c r="G28" s="1"/>
      <c r="H28" s="1" t="s">
        <v>40</v>
      </c>
    </row>
    <row r="29" spans="1:8" x14ac:dyDescent="0.25">
      <c r="A29" s="34"/>
      <c r="B29" s="1" t="s">
        <v>39</v>
      </c>
      <c r="C29" s="1"/>
      <c r="D29" s="1"/>
      <c r="E29" s="26"/>
      <c r="F29" s="26"/>
      <c r="G29" s="1"/>
      <c r="H29" s="1" t="s">
        <v>40</v>
      </c>
    </row>
    <row r="30" spans="1:8" x14ac:dyDescent="0.25">
      <c r="A30" s="34"/>
      <c r="B30" s="1"/>
      <c r="C30" s="1"/>
      <c r="D30" s="1"/>
      <c r="E30" s="26"/>
      <c r="F30" s="26"/>
      <c r="G30" s="1"/>
      <c r="H30" s="1"/>
    </row>
    <row r="31" spans="1:8" x14ac:dyDescent="0.25">
      <c r="A31" s="34"/>
      <c r="B31" s="35"/>
      <c r="C31" s="36"/>
      <c r="D31" s="37"/>
      <c r="E31" s="27"/>
      <c r="F31" s="27"/>
      <c r="G31" s="3"/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27" t="s">
        <v>162</v>
      </c>
      <c r="F32" s="27"/>
      <c r="G32" s="3" t="s">
        <v>4</v>
      </c>
      <c r="H32" s="1" t="s">
        <v>5</v>
      </c>
    </row>
    <row r="33" spans="1:8" x14ac:dyDescent="0.25">
      <c r="A33" s="44"/>
      <c r="B33" s="1" t="s">
        <v>165</v>
      </c>
      <c r="C33" s="1"/>
      <c r="D33" s="1">
        <v>18.899999999999999</v>
      </c>
      <c r="E33" s="26">
        <v>65</v>
      </c>
      <c r="F33" s="26" t="s">
        <v>163</v>
      </c>
      <c r="G33" s="14">
        <f>D33*E33</f>
        <v>1228.5</v>
      </c>
      <c r="H33" s="1"/>
    </row>
    <row r="34" spans="1:8" x14ac:dyDescent="0.25">
      <c r="A34" s="45"/>
      <c r="B34" s="1" t="s">
        <v>166</v>
      </c>
      <c r="C34" s="1"/>
      <c r="D34" s="1"/>
      <c r="E34" s="26"/>
      <c r="F34" s="26"/>
      <c r="G34" s="1">
        <v>2640</v>
      </c>
      <c r="H34" s="1"/>
    </row>
    <row r="35" spans="1:8" x14ac:dyDescent="0.25">
      <c r="A35" s="46"/>
      <c r="B35" s="35" t="s">
        <v>6</v>
      </c>
      <c r="C35" s="36"/>
      <c r="D35" s="37"/>
      <c r="E35" s="27"/>
      <c r="F35" s="27"/>
      <c r="G35" s="16">
        <f>SUM(G33:G34)</f>
        <v>3868.5</v>
      </c>
      <c r="H35" s="5"/>
    </row>
    <row r="36" spans="1:8" x14ac:dyDescent="0.25">
      <c r="A36" s="6" t="s">
        <v>12</v>
      </c>
      <c r="B36" s="1" t="s">
        <v>1</v>
      </c>
      <c r="C36" s="1" t="s">
        <v>2</v>
      </c>
      <c r="D36" s="1" t="s">
        <v>3</v>
      </c>
      <c r="E36" s="26" t="s">
        <v>162</v>
      </c>
      <c r="F36" s="26"/>
      <c r="G36" s="1" t="s">
        <v>4</v>
      </c>
      <c r="H36" s="1"/>
    </row>
    <row r="37" spans="1:8" x14ac:dyDescent="0.25">
      <c r="A37" s="34"/>
      <c r="B37" s="1" t="s">
        <v>167</v>
      </c>
      <c r="C37" s="1"/>
      <c r="D37" s="1">
        <v>10</v>
      </c>
      <c r="E37" s="26">
        <v>25</v>
      </c>
      <c r="F37" s="26" t="s">
        <v>168</v>
      </c>
      <c r="G37" s="1">
        <f>D37*E37</f>
        <v>250</v>
      </c>
      <c r="H37" s="1"/>
    </row>
    <row r="38" spans="1:8" x14ac:dyDescent="0.25">
      <c r="A38" s="34"/>
      <c r="B38" s="26" t="s">
        <v>169</v>
      </c>
      <c r="C38" s="26"/>
      <c r="D38" s="26">
        <v>69</v>
      </c>
      <c r="E38" s="26">
        <v>2</v>
      </c>
      <c r="F38" s="26" t="s">
        <v>163</v>
      </c>
      <c r="G38" s="26">
        <f t="shared" ref="G38:G40" si="2">D38*E38</f>
        <v>138</v>
      </c>
      <c r="H38" s="26"/>
    </row>
    <row r="39" spans="1:8" x14ac:dyDescent="0.25">
      <c r="A39" s="34"/>
      <c r="B39" s="1" t="s">
        <v>177</v>
      </c>
      <c r="C39" s="1"/>
      <c r="D39" s="1">
        <v>1188</v>
      </c>
      <c r="E39" s="26">
        <v>1</v>
      </c>
      <c r="F39" s="26" t="s">
        <v>164</v>
      </c>
      <c r="G39" s="26">
        <f t="shared" si="2"/>
        <v>1188</v>
      </c>
      <c r="H39" s="1"/>
    </row>
    <row r="40" spans="1:8" x14ac:dyDescent="0.25">
      <c r="A40" s="34"/>
      <c r="B40" s="1" t="s">
        <v>170</v>
      </c>
      <c r="C40" s="1"/>
      <c r="D40" s="1">
        <v>339</v>
      </c>
      <c r="E40" s="26">
        <v>2</v>
      </c>
      <c r="F40" s="26" t="s">
        <v>164</v>
      </c>
      <c r="G40" s="26">
        <f t="shared" si="2"/>
        <v>678</v>
      </c>
      <c r="H40" s="1"/>
    </row>
    <row r="41" spans="1:8" x14ac:dyDescent="0.25">
      <c r="A41" s="34"/>
      <c r="B41" s="1"/>
      <c r="C41" s="1"/>
      <c r="D41" s="1"/>
      <c r="E41" s="26"/>
      <c r="F41" s="26"/>
      <c r="G41" s="1"/>
      <c r="H41" s="1"/>
    </row>
    <row r="42" spans="1:8" x14ac:dyDescent="0.25">
      <c r="A42" s="34"/>
      <c r="B42" s="35" t="s">
        <v>6</v>
      </c>
      <c r="C42" s="36"/>
      <c r="D42" s="37"/>
      <c r="E42" s="27"/>
      <c r="F42" s="27"/>
      <c r="G42" s="15">
        <f>SUM(G37:G41)</f>
        <v>2254</v>
      </c>
      <c r="H42" s="1"/>
    </row>
    <row r="43" spans="1:8" x14ac:dyDescent="0.25">
      <c r="A43" s="1"/>
      <c r="B43" s="41" t="s">
        <v>13</v>
      </c>
      <c r="C43" s="42"/>
      <c r="D43" s="43"/>
      <c r="E43" s="28"/>
      <c r="F43" s="28"/>
      <c r="G43" s="17">
        <f>G42+G35+G26+G20+G7+G14</f>
        <v>16669.62</v>
      </c>
      <c r="H43" s="1"/>
    </row>
  </sheetData>
  <mergeCells count="16">
    <mergeCell ref="A37:A42"/>
    <mergeCell ref="B42:D42"/>
    <mergeCell ref="B43:D43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1223+</vt:lpstr>
      <vt:lpstr>1224+</vt:lpstr>
      <vt:lpstr>1225+</vt:lpstr>
      <vt:lpstr>1226</vt:lpstr>
      <vt:lpstr>1227</vt:lpstr>
      <vt:lpstr>'1223+'!Print_Area</vt:lpstr>
      <vt:lpstr>'1224+'!Print_Area</vt:lpstr>
      <vt:lpstr>'1227'!Print_Area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2024-12-27T07:53:18Z</cp:lastPrinted>
  <dcterms:created xsi:type="dcterms:W3CDTF">2024-12-09T09:25:28Z</dcterms:created>
  <dcterms:modified xsi:type="dcterms:W3CDTF">2024-12-31T06:57:24Z</dcterms:modified>
</cp:coreProperties>
</file>