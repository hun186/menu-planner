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2月份\"/>
    </mc:Choice>
  </mc:AlternateContent>
  <bookViews>
    <workbookView xWindow="0" yWindow="0" windowWidth="28800" windowHeight="13560" activeTab="3"/>
  </bookViews>
  <sheets>
    <sheet name="1230" sheetId="1" r:id="rId1"/>
    <sheet name="1231" sheetId="2" r:id="rId2"/>
    <sheet name="0102" sheetId="3" r:id="rId3"/>
    <sheet name="0103" sheetId="4" r:id="rId4"/>
  </sheets>
  <definedNames>
    <definedName name="_xlnm.Print_Area" localSheetId="2">'0102'!$A$1:$H$50</definedName>
    <definedName name="_xlnm.Print_Area" localSheetId="3">'0103'!$A$1:$H$43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4" l="1"/>
  <c r="G24" i="4"/>
  <c r="G25" i="4"/>
  <c r="G23" i="4"/>
  <c r="G39" i="4"/>
  <c r="G42" i="4" s="1"/>
  <c r="G40" i="4"/>
  <c r="G41" i="4"/>
  <c r="G36" i="4"/>
  <c r="G35" i="4"/>
  <c r="G38" i="4"/>
  <c r="G34" i="4"/>
  <c r="G21" i="4"/>
  <c r="G18" i="4"/>
  <c r="G19" i="4"/>
  <c r="G17" i="4"/>
  <c r="G15" i="4"/>
  <c r="G11" i="4"/>
  <c r="G10" i="4"/>
  <c r="G8" i="4"/>
  <c r="G4" i="4"/>
  <c r="G5" i="4"/>
  <c r="G6" i="4"/>
  <c r="G7" i="4"/>
  <c r="G3" i="4"/>
  <c r="G43" i="4" l="1"/>
  <c r="G34" i="3"/>
  <c r="G50" i="3" s="1"/>
  <c r="G49" i="3"/>
  <c r="G46" i="3"/>
  <c r="G45" i="3"/>
  <c r="G43" i="3"/>
  <c r="G33" i="3"/>
  <c r="G32" i="3"/>
  <c r="G31" i="3"/>
  <c r="G30" i="3"/>
  <c r="G29" i="3"/>
  <c r="G20" i="3"/>
  <c r="G17" i="3"/>
  <c r="G18" i="3"/>
  <c r="G19" i="3"/>
  <c r="G16" i="3"/>
  <c r="G14" i="3"/>
  <c r="G7" i="3"/>
  <c r="G3" i="3"/>
  <c r="G28" i="3"/>
  <c r="G24" i="3"/>
  <c r="G25" i="3"/>
  <c r="G26" i="3"/>
  <c r="G27" i="3"/>
  <c r="G23" i="3"/>
  <c r="G41" i="3"/>
  <c r="G39" i="3"/>
  <c r="G38" i="3"/>
  <c r="G37" i="3"/>
  <c r="G10" i="3"/>
  <c r="G11" i="3"/>
  <c r="G9" i="3"/>
  <c r="G28" i="2" l="1"/>
  <c r="G44" i="2" s="1"/>
  <c r="G43" i="2"/>
  <c r="G40" i="2"/>
  <c r="G39" i="2"/>
  <c r="G37" i="2"/>
  <c r="G36" i="2"/>
  <c r="G33" i="2"/>
  <c r="G31" i="2"/>
  <c r="G30" i="2"/>
  <c r="G22" i="2"/>
  <c r="G18" i="2"/>
  <c r="G19" i="2"/>
  <c r="G20" i="2"/>
  <c r="G21" i="2"/>
  <c r="G15" i="2"/>
  <c r="G8" i="2"/>
  <c r="G26" i="2"/>
  <c r="G24" i="2"/>
  <c r="G17" i="2"/>
  <c r="G11" i="2"/>
  <c r="G12" i="2"/>
  <c r="G13" i="2"/>
  <c r="G10" i="2"/>
  <c r="G4" i="2"/>
  <c r="G5" i="2"/>
  <c r="G6" i="2"/>
  <c r="G7" i="2"/>
  <c r="G3" i="2"/>
  <c r="G35" i="2"/>
  <c r="G45" i="1" l="1"/>
  <c r="G44" i="1"/>
  <c r="G41" i="1"/>
  <c r="G40" i="1"/>
  <c r="G34" i="1"/>
  <c r="G32" i="1"/>
  <c r="G29" i="1"/>
  <c r="G31" i="1"/>
  <c r="G20" i="1"/>
  <c r="G17" i="1"/>
  <c r="G18" i="1"/>
  <c r="G19" i="1"/>
  <c r="G16" i="1"/>
  <c r="G14" i="1"/>
  <c r="G10" i="1"/>
  <c r="G11" i="1"/>
  <c r="G12" i="1"/>
  <c r="G9" i="1"/>
  <c r="G37" i="1"/>
  <c r="G38" i="1" s="1"/>
  <c r="G7" i="1"/>
  <c r="G3" i="1"/>
  <c r="G27" i="1"/>
  <c r="G36" i="1" l="1"/>
</calcChain>
</file>

<file path=xl/sharedStrings.xml><?xml version="1.0" encoding="utf-8"?>
<sst xmlns="http://schemas.openxmlformats.org/spreadsheetml/2006/main" count="467" uniqueCount="170">
  <si>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</si>
  <si>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</si>
  <si>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</si>
  <si>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</si>
  <si>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</si>
  <si>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</si>
  <si>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260隻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</si>
  <si>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</si>
  <si>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</si>
  <si>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絞肉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</si>
  <si>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</si>
  <si>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30斤</t>
    <phoneticPr fontId="2" type="noConversion"/>
  </si>
  <si>
    <t>8斤</t>
    <phoneticPr fontId="2" type="noConversion"/>
  </si>
  <si>
    <t>木耳絲</t>
    <phoneticPr fontId="2" type="noConversion"/>
  </si>
  <si>
    <t>5斤</t>
    <phoneticPr fontId="2" type="noConversion"/>
  </si>
  <si>
    <t>紅蘿蔔絲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</si>
  <si>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</si>
  <si>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</si>
  <si>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</si>
  <si>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蛋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</si>
  <si>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</si>
  <si>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</si>
  <si>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</si>
  <si>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12月   30日      午餐明細表</t>
    <phoneticPr fontId="2" type="noConversion"/>
  </si>
  <si>
    <t>電訊科技中心(安康營區)     113年      12月   31日      午餐明細表</t>
    <phoneticPr fontId="2" type="noConversion"/>
  </si>
  <si>
    <t>電訊科技中心(安康營區)     114年      1月   2日      午餐明細表</t>
    <phoneticPr fontId="2" type="noConversion"/>
  </si>
  <si>
    <t>烤雞腿</t>
    <phoneticPr fontId="2" type="noConversion"/>
  </si>
  <si>
    <t>芽菜炒肉絲</t>
    <phoneticPr fontId="2" type="noConversion"/>
  </si>
  <si>
    <t>木須炒蛋</t>
    <phoneticPr fontId="2" type="noConversion"/>
  </si>
  <si>
    <t>香芹魚丸湯</t>
    <phoneticPr fontId="2" type="noConversion"/>
  </si>
  <si>
    <t>去葉芹菜</t>
    <phoneticPr fontId="2" type="noConversion"/>
  </si>
  <si>
    <t>魚丸</t>
    <phoneticPr fontId="2" type="noConversion"/>
  </si>
  <si>
    <t>3包</t>
    <phoneticPr fontId="2" type="noConversion"/>
  </si>
  <si>
    <t>棒腿</t>
    <phoneticPr fontId="2" type="noConversion"/>
  </si>
  <si>
    <t>豆芽菜</t>
    <phoneticPr fontId="2" type="noConversion"/>
  </si>
  <si>
    <t>炸豆包</t>
    <phoneticPr fontId="2" type="noConversion"/>
  </si>
  <si>
    <t>豬肉絲</t>
    <phoneticPr fontId="2" type="noConversion"/>
  </si>
  <si>
    <t>去皮洋蔥</t>
    <phoneticPr fontId="2" type="noConversion"/>
  </si>
  <si>
    <t>1件</t>
    <phoneticPr fontId="2" type="noConversion"/>
  </si>
  <si>
    <t>35斤</t>
    <phoneticPr fontId="2" type="noConversion"/>
  </si>
  <si>
    <t>10斤</t>
    <phoneticPr fontId="2" type="noConversion"/>
  </si>
  <si>
    <t>6斤</t>
    <phoneticPr fontId="2" type="noConversion"/>
  </si>
  <si>
    <t>3斤</t>
    <phoneticPr fontId="2" type="noConversion"/>
  </si>
  <si>
    <t>電訊科技中心(安康營區)     114年      1月   3日      午餐明細表</t>
    <phoneticPr fontId="2" type="noConversion"/>
  </si>
  <si>
    <t>薑汁燒肉</t>
    <phoneticPr fontId="2" type="noConversion"/>
  </si>
  <si>
    <t>泡菜年糕</t>
    <phoneticPr fontId="2" type="noConversion"/>
  </si>
  <si>
    <t>雙色花椰菜</t>
    <phoneticPr fontId="2" type="noConversion"/>
  </si>
  <si>
    <t>白蘿蔔排骨湯</t>
    <phoneticPr fontId="2" type="noConversion"/>
  </si>
  <si>
    <t>白蘿蔔</t>
    <phoneticPr fontId="2" type="noConversion"/>
  </si>
  <si>
    <t>軟骨排</t>
    <phoneticPr fontId="2" type="noConversion"/>
  </si>
  <si>
    <t>20斤</t>
    <phoneticPr fontId="2" type="noConversion"/>
  </si>
  <si>
    <t>15斤</t>
    <phoneticPr fontId="2" type="noConversion"/>
  </si>
  <si>
    <t>薑泥</t>
    <phoneticPr fontId="2" type="noConversion"/>
  </si>
  <si>
    <t>豬肉片</t>
    <phoneticPr fontId="2" type="noConversion"/>
  </si>
  <si>
    <t>五花肉片</t>
    <phoneticPr fontId="2" type="noConversion"/>
  </si>
  <si>
    <t>薑絲</t>
    <phoneticPr fontId="2" type="noConversion"/>
  </si>
  <si>
    <t>4斤</t>
    <phoneticPr fontId="2" type="noConversion"/>
  </si>
  <si>
    <t>1斤</t>
    <phoneticPr fontId="2" type="noConversion"/>
  </si>
  <si>
    <t>韓式泡菜</t>
    <phoneticPr fontId="2" type="noConversion"/>
  </si>
  <si>
    <t>年糕片</t>
    <phoneticPr fontId="2" type="noConversion"/>
  </si>
  <si>
    <t>甜不辣條</t>
    <phoneticPr fontId="2" type="noConversion"/>
  </si>
  <si>
    <t>韓式辣椒醬(小)</t>
    <phoneticPr fontId="2" type="noConversion"/>
  </si>
  <si>
    <t>25斤</t>
    <phoneticPr fontId="2" type="noConversion"/>
  </si>
  <si>
    <t>2盒</t>
    <phoneticPr fontId="2" type="noConversion"/>
  </si>
  <si>
    <t>冷凍青花菜</t>
    <phoneticPr fontId="2" type="noConversion"/>
  </si>
  <si>
    <t>黃椒</t>
    <phoneticPr fontId="2" type="noConversion"/>
  </si>
  <si>
    <t>青椒</t>
    <phoneticPr fontId="2" type="noConversion"/>
  </si>
  <si>
    <t>紅椒</t>
    <phoneticPr fontId="2" type="noConversion"/>
  </si>
  <si>
    <t>川耳</t>
    <phoneticPr fontId="2" type="noConversion"/>
  </si>
  <si>
    <t>4件</t>
    <phoneticPr fontId="2" type="noConversion"/>
  </si>
  <si>
    <t>鐵路豬排</t>
    <phoneticPr fontId="2" type="noConversion"/>
  </si>
  <si>
    <t>麻婆豆腐</t>
    <phoneticPr fontId="2" type="noConversion"/>
  </si>
  <si>
    <t>大黃瓜炒竹輪</t>
    <phoneticPr fontId="2" type="noConversion"/>
  </si>
  <si>
    <t>綠豆芋圓</t>
    <phoneticPr fontId="2" type="noConversion"/>
  </si>
  <si>
    <t>綠豆</t>
    <phoneticPr fontId="2" type="noConversion"/>
  </si>
  <si>
    <t>芋圓</t>
    <phoneticPr fontId="2" type="noConversion"/>
  </si>
  <si>
    <t>地瓜圓</t>
    <phoneticPr fontId="2" type="noConversion"/>
  </si>
  <si>
    <t>照燒豬排</t>
    <phoneticPr fontId="2" type="noConversion"/>
  </si>
  <si>
    <t>5件</t>
    <phoneticPr fontId="2" type="noConversion"/>
  </si>
  <si>
    <t>4.3豆腐</t>
    <phoneticPr fontId="2" type="noConversion"/>
  </si>
  <si>
    <t>6板</t>
    <phoneticPr fontId="2" type="noConversion"/>
  </si>
  <si>
    <t>去皮大黃瓜</t>
    <phoneticPr fontId="2" type="noConversion"/>
  </si>
  <si>
    <t>竹輪</t>
    <phoneticPr fontId="2" type="noConversion"/>
  </si>
  <si>
    <t>火鍋魚板</t>
    <phoneticPr fontId="2" type="noConversion"/>
  </si>
  <si>
    <t>10包</t>
    <phoneticPr fontId="2" type="noConversion"/>
  </si>
  <si>
    <t>45斤</t>
    <phoneticPr fontId="2" type="noConversion"/>
  </si>
  <si>
    <t>綠咖哩雞</t>
    <phoneticPr fontId="2" type="noConversion"/>
  </si>
  <si>
    <t>塔香茄子</t>
    <phoneticPr fontId="2" type="noConversion"/>
  </si>
  <si>
    <t>玉米絞肉</t>
    <phoneticPr fontId="2" type="noConversion"/>
  </si>
  <si>
    <t>紫菜蛋花湯</t>
    <phoneticPr fontId="2" type="noConversion"/>
  </si>
  <si>
    <t>紫菜</t>
    <phoneticPr fontId="2" type="noConversion"/>
  </si>
  <si>
    <t>骨腿丁</t>
    <phoneticPr fontId="2" type="noConversion"/>
  </si>
  <si>
    <t>咖哩塊(大)</t>
    <phoneticPr fontId="2" type="noConversion"/>
  </si>
  <si>
    <t>綠咖哩醬</t>
    <phoneticPr fontId="2" type="noConversion"/>
  </si>
  <si>
    <t>去皮馬鈴薯</t>
    <phoneticPr fontId="2" type="noConversion"/>
  </si>
  <si>
    <t>2包</t>
    <phoneticPr fontId="2" type="noConversion"/>
  </si>
  <si>
    <t>60斤</t>
    <phoneticPr fontId="2" type="noConversion"/>
  </si>
  <si>
    <t>茄子</t>
    <phoneticPr fontId="2" type="noConversion"/>
  </si>
  <si>
    <t>九層塔</t>
    <phoneticPr fontId="2" type="noConversion"/>
  </si>
  <si>
    <t>50斤</t>
    <phoneticPr fontId="2" type="noConversion"/>
  </si>
  <si>
    <t>冷凍玉米粒</t>
    <phoneticPr fontId="2" type="noConversion"/>
  </si>
  <si>
    <t>小黃瓜</t>
    <phoneticPr fontId="2" type="noConversion"/>
  </si>
  <si>
    <t>訂貨數量</t>
    <phoneticPr fontId="2" type="noConversion"/>
  </si>
  <si>
    <t>柳丁</t>
    <phoneticPr fontId="2" type="noConversion"/>
  </si>
  <si>
    <t>斤</t>
  </si>
  <si>
    <t>斤</t>
    <phoneticPr fontId="2" type="noConversion"/>
  </si>
  <si>
    <t>蒜仁</t>
  </si>
  <si>
    <t>辣椒</t>
  </si>
  <si>
    <t>洗選蛋</t>
  </si>
  <si>
    <t>老薑</t>
  </si>
  <si>
    <t>杏鮑菇</t>
  </si>
  <si>
    <t>青蔥</t>
  </si>
  <si>
    <t>油菜</t>
    <phoneticPr fontId="2" type="noConversion"/>
  </si>
  <si>
    <t>小籠湯包</t>
    <phoneticPr fontId="2" type="noConversion"/>
  </si>
  <si>
    <t>個</t>
    <phoneticPr fontId="2" type="noConversion"/>
  </si>
  <si>
    <t>紙杯</t>
    <phoneticPr fontId="2" type="noConversion"/>
  </si>
  <si>
    <t>訂貨數量</t>
  </si>
  <si>
    <t>訂貨數量</t>
    <phoneticPr fontId="2" type="noConversion"/>
  </si>
  <si>
    <t>柳丁</t>
    <phoneticPr fontId="2" type="noConversion"/>
  </si>
  <si>
    <t>斤</t>
    <phoneticPr fontId="2" type="noConversion"/>
  </si>
  <si>
    <t>包</t>
    <phoneticPr fontId="2" type="noConversion"/>
  </si>
  <si>
    <t>盒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</si>
  <si>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</si>
  <si>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</si>
  <si>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</si>
  <si>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高麗菜</t>
    <phoneticPr fontId="2" type="noConversion"/>
  </si>
  <si>
    <t>油麵</t>
    <phoneticPr fontId="2" type="noConversion"/>
  </si>
  <si>
    <t>香腸</t>
    <phoneticPr fontId="2" type="noConversion"/>
  </si>
  <si>
    <t>訂貨數量</t>
    <phoneticPr fontId="2" type="noConversion"/>
  </si>
  <si>
    <t>絞肉</t>
    <phoneticPr fontId="2" type="noConversion"/>
  </si>
  <si>
    <t>斤</t>
    <phoneticPr fontId="2" type="noConversion"/>
  </si>
  <si>
    <t>10斤</t>
    <phoneticPr fontId="2" type="noConversion"/>
  </si>
  <si>
    <t>盤</t>
    <phoneticPr fontId="2" type="noConversion"/>
  </si>
  <si>
    <t>油菜</t>
    <phoneticPr fontId="2" type="noConversion"/>
  </si>
  <si>
    <t>超秦雞排</t>
    <phoneticPr fontId="2" type="noConversion"/>
  </si>
  <si>
    <t>油膏</t>
    <phoneticPr fontId="2" type="noConversion"/>
  </si>
  <si>
    <t>桶</t>
    <phoneticPr fontId="2" type="noConversion"/>
  </si>
  <si>
    <t>二砂</t>
    <phoneticPr fontId="2" type="noConversion"/>
  </si>
  <si>
    <t>袋</t>
    <phoneticPr fontId="2" type="noConversion"/>
  </si>
  <si>
    <t>油麵</t>
    <phoneticPr fontId="2" type="noConversion"/>
  </si>
  <si>
    <t>羊肉片</t>
    <phoneticPr fontId="2" type="noConversion"/>
  </si>
  <si>
    <t>酥炸粉</t>
    <phoneticPr fontId="2" type="noConversion"/>
  </si>
  <si>
    <t>包</t>
    <phoneticPr fontId="2" type="noConversion"/>
  </si>
  <si>
    <t>素蠔油</t>
    <phoneticPr fontId="2" type="noConversion"/>
  </si>
  <si>
    <t>醬油</t>
    <phoneticPr fontId="2" type="noConversion"/>
  </si>
  <si>
    <t>洗選蛋</t>
    <phoneticPr fontId="2" type="noConversion"/>
  </si>
  <si>
    <t>件</t>
    <phoneticPr fontId="2" type="noConversion"/>
  </si>
  <si>
    <t>味素</t>
    <phoneticPr fontId="2" type="noConversion"/>
  </si>
  <si>
    <t>盒</t>
    <phoneticPr fontId="2" type="noConversion"/>
  </si>
  <si>
    <t>麻辣醬</t>
    <phoneticPr fontId="2" type="noConversion"/>
  </si>
  <si>
    <t>蜂蜜</t>
    <phoneticPr fontId="2" type="noConversion"/>
  </si>
  <si>
    <t>厚片土司</t>
    <phoneticPr fontId="2" type="noConversion"/>
  </si>
  <si>
    <t>胡椒粉</t>
    <phoneticPr fontId="2" type="noConversion"/>
  </si>
  <si>
    <t>條</t>
    <phoneticPr fontId="2" type="noConversion"/>
  </si>
  <si>
    <t>訂貨數量</t>
    <phoneticPr fontId="2" type="noConversion"/>
  </si>
  <si>
    <t>斤</t>
    <phoneticPr fontId="2" type="noConversion"/>
  </si>
  <si>
    <t>盒</t>
    <phoneticPr fontId="2" type="noConversion"/>
  </si>
  <si>
    <t>包</t>
    <phoneticPr fontId="2" type="noConversion"/>
  </si>
  <si>
    <t>鵝白菜</t>
    <phoneticPr fontId="2" type="noConversion"/>
  </si>
  <si>
    <t>滷蛋</t>
    <phoneticPr fontId="2" type="noConversion"/>
  </si>
  <si>
    <t>個</t>
    <phoneticPr fontId="2" type="noConversion"/>
  </si>
  <si>
    <t>蘭花干</t>
    <phoneticPr fontId="2" type="noConversion"/>
  </si>
  <si>
    <t>柳丁</t>
    <phoneticPr fontId="2" type="noConversion"/>
  </si>
  <si>
    <t>香雞排</t>
    <phoneticPr fontId="2" type="noConversion"/>
  </si>
  <si>
    <t>熟拉麵</t>
    <phoneticPr fontId="2" type="noConversion"/>
  </si>
  <si>
    <t>件</t>
    <phoneticPr fontId="2" type="noConversion"/>
  </si>
  <si>
    <t>葡萄汁</t>
    <phoneticPr fontId="2" type="noConversion"/>
  </si>
  <si>
    <t>帶皮五花肉</t>
    <phoneticPr fontId="2" type="noConversion"/>
  </si>
  <si>
    <t>冬粉球</t>
    <phoneticPr fontId="2" type="noConversion"/>
  </si>
  <si>
    <t>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</si>
</sst>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H45" sqref="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8" t="s">
        <v>23</v>
      </c>
      <c r="B1" s="29"/>
      <c r="C1" s="29"/>
      <c r="D1" s="29"/>
      <c r="E1" s="29"/>
      <c r="F1" s="29"/>
      <c r="G1" s="29"/>
      <c r="H1" s="3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102</v>
      </c>
      <c r="F2" s="2"/>
      <c r="G2" s="1" t="s">
        <v>4</v>
      </c>
      <c r="H2" s="1" t="s">
        <v>5</v>
      </c>
    </row>
    <row r="3" spans="1:8" x14ac:dyDescent="0.25">
      <c r="A3" s="24" t="s">
        <v>26</v>
      </c>
      <c r="B3" s="1" t="s">
        <v>33</v>
      </c>
      <c r="C3" s="1" t="s">
        <v>6</v>
      </c>
      <c r="D3" s="1">
        <v>99</v>
      </c>
      <c r="E3" s="2">
        <v>60.07</v>
      </c>
      <c r="F3" s="2" t="s">
        <v>105</v>
      </c>
      <c r="G3" s="13">
        <f>D3*E3</f>
        <v>5946.93</v>
      </c>
      <c r="H3" s="1"/>
    </row>
    <row r="4" spans="1:8" x14ac:dyDescent="0.25">
      <c r="A4" s="24"/>
      <c r="B4" s="1"/>
      <c r="C4" s="1"/>
      <c r="D4" s="1"/>
      <c r="E4" s="2"/>
      <c r="F4" s="2"/>
      <c r="G4" s="1"/>
      <c r="H4" s="1"/>
    </row>
    <row r="5" spans="1:8" x14ac:dyDescent="0.25">
      <c r="A5" s="24"/>
      <c r="B5" s="1"/>
      <c r="C5" s="1"/>
      <c r="D5" s="1"/>
      <c r="E5" s="2"/>
      <c r="F5" s="2"/>
      <c r="G5" s="1"/>
      <c r="H5" s="1"/>
    </row>
    <row r="6" spans="1:8" x14ac:dyDescent="0.25">
      <c r="A6" s="24"/>
      <c r="B6" s="1"/>
      <c r="C6" s="1"/>
      <c r="D6" s="1"/>
      <c r="E6" s="4"/>
      <c r="F6" s="4"/>
      <c r="G6" s="3"/>
      <c r="H6" s="1"/>
    </row>
    <row r="7" spans="1:8" x14ac:dyDescent="0.25">
      <c r="A7" s="24"/>
      <c r="B7" s="25" t="s">
        <v>7</v>
      </c>
      <c r="C7" s="26"/>
      <c r="D7" s="27"/>
      <c r="E7" s="4"/>
      <c r="F7" s="4"/>
      <c r="G7" s="15">
        <f>SUM(G3:G6)</f>
        <v>5946.93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2" t="s">
        <v>102</v>
      </c>
      <c r="F8" s="2"/>
      <c r="G8" s="1" t="s">
        <v>4</v>
      </c>
      <c r="H8" s="1" t="s">
        <v>5</v>
      </c>
    </row>
    <row r="9" spans="1:8" x14ac:dyDescent="0.25">
      <c r="A9" s="24" t="s">
        <v>27</v>
      </c>
      <c r="B9" s="1" t="s">
        <v>34</v>
      </c>
      <c r="C9" s="1" t="s">
        <v>39</v>
      </c>
      <c r="D9" s="1">
        <v>11.7</v>
      </c>
      <c r="E9" s="2">
        <v>35</v>
      </c>
      <c r="F9" s="2" t="s">
        <v>105</v>
      </c>
      <c r="G9" s="1">
        <f>D9*E9</f>
        <v>409.5</v>
      </c>
      <c r="H9" s="1"/>
    </row>
    <row r="10" spans="1:8" x14ac:dyDescent="0.25">
      <c r="A10" s="24"/>
      <c r="B10" s="1" t="s">
        <v>35</v>
      </c>
      <c r="C10" s="1" t="s">
        <v>12</v>
      </c>
      <c r="D10" s="1">
        <v>150</v>
      </c>
      <c r="E10" s="2">
        <v>8</v>
      </c>
      <c r="F10" s="2" t="s">
        <v>105</v>
      </c>
      <c r="G10" s="2">
        <f t="shared" ref="G10:G12" si="0">D10*E10</f>
        <v>1200</v>
      </c>
      <c r="H10" s="1"/>
    </row>
    <row r="11" spans="1:8" x14ac:dyDescent="0.25">
      <c r="A11" s="24"/>
      <c r="B11" s="1" t="s">
        <v>36</v>
      </c>
      <c r="C11" s="1" t="s">
        <v>40</v>
      </c>
      <c r="D11" s="1">
        <v>99</v>
      </c>
      <c r="E11" s="2">
        <v>10</v>
      </c>
      <c r="F11" s="2" t="s">
        <v>105</v>
      </c>
      <c r="G11" s="2">
        <f t="shared" si="0"/>
        <v>990</v>
      </c>
      <c r="H11" s="1"/>
    </row>
    <row r="12" spans="1:8" x14ac:dyDescent="0.25">
      <c r="A12" s="24"/>
      <c r="B12" s="1" t="s">
        <v>37</v>
      </c>
      <c r="C12" s="1" t="s">
        <v>41</v>
      </c>
      <c r="D12" s="1">
        <v>30.6</v>
      </c>
      <c r="E12" s="2">
        <v>6</v>
      </c>
      <c r="F12" s="2" t="s">
        <v>105</v>
      </c>
      <c r="G12" s="2">
        <f t="shared" si="0"/>
        <v>183.60000000000002</v>
      </c>
      <c r="H12" s="1"/>
    </row>
    <row r="13" spans="1:8" x14ac:dyDescent="0.25">
      <c r="A13" s="24"/>
      <c r="B13" s="1"/>
      <c r="C13" s="1"/>
      <c r="D13" s="1"/>
      <c r="E13" s="2"/>
      <c r="F13" s="2"/>
      <c r="G13" s="1"/>
      <c r="H13" s="1"/>
    </row>
    <row r="14" spans="1:8" x14ac:dyDescent="0.25">
      <c r="A14" s="24"/>
      <c r="B14" s="25" t="s">
        <v>7</v>
      </c>
      <c r="C14" s="26"/>
      <c r="D14" s="27"/>
      <c r="E14" s="4"/>
      <c r="F14" s="4"/>
      <c r="G14" s="15">
        <f>SUM(G9:G13)</f>
        <v>2783.1</v>
      </c>
      <c r="H14" s="1"/>
    </row>
    <row r="15" spans="1:8" x14ac:dyDescent="0.25">
      <c r="A15" s="1" t="s">
        <v>10</v>
      </c>
      <c r="B15" s="1" t="s">
        <v>1</v>
      </c>
      <c r="C15" s="1" t="s">
        <v>2</v>
      </c>
      <c r="D15" s="1" t="s">
        <v>3</v>
      </c>
      <c r="E15" s="2" t="s">
        <v>102</v>
      </c>
      <c r="F15" s="2"/>
      <c r="G15" s="1" t="s">
        <v>4</v>
      </c>
      <c r="H15" s="1" t="s">
        <v>5</v>
      </c>
    </row>
    <row r="16" spans="1:8" x14ac:dyDescent="0.25">
      <c r="A16" s="24" t="s">
        <v>28</v>
      </c>
      <c r="B16" s="1" t="s">
        <v>19</v>
      </c>
      <c r="C16" s="1" t="s">
        <v>38</v>
      </c>
      <c r="D16" s="1">
        <v>40.799999999999997</v>
      </c>
      <c r="E16" s="2">
        <v>20</v>
      </c>
      <c r="F16" s="2" t="s">
        <v>105</v>
      </c>
      <c r="G16" s="1">
        <f>D16*E16</f>
        <v>816</v>
      </c>
      <c r="H16" s="1"/>
    </row>
    <row r="17" spans="1:8" x14ac:dyDescent="0.25">
      <c r="A17" s="24"/>
      <c r="B17" s="1" t="s">
        <v>13</v>
      </c>
      <c r="C17" s="1" t="s">
        <v>40</v>
      </c>
      <c r="D17" s="1">
        <v>45</v>
      </c>
      <c r="E17" s="2">
        <v>10</v>
      </c>
      <c r="F17" s="2" t="s">
        <v>105</v>
      </c>
      <c r="G17" s="2">
        <f t="shared" ref="G17:G19" si="1">D17*E17</f>
        <v>450</v>
      </c>
      <c r="H17" s="1"/>
    </row>
    <row r="18" spans="1:8" x14ac:dyDescent="0.25">
      <c r="A18" s="24"/>
      <c r="B18" s="1" t="s">
        <v>15</v>
      </c>
      <c r="C18" s="1" t="s">
        <v>42</v>
      </c>
      <c r="D18" s="1">
        <v>23.94</v>
      </c>
      <c r="E18" s="2">
        <v>3</v>
      </c>
      <c r="F18" s="2" t="s">
        <v>105</v>
      </c>
      <c r="G18" s="2">
        <f t="shared" si="1"/>
        <v>71.820000000000007</v>
      </c>
      <c r="H18" s="1"/>
    </row>
    <row r="19" spans="1:8" x14ac:dyDescent="0.25">
      <c r="A19" s="24"/>
      <c r="B19" s="1" t="s">
        <v>37</v>
      </c>
      <c r="C19" s="1" t="s">
        <v>56</v>
      </c>
      <c r="D19" s="1">
        <v>30.6</v>
      </c>
      <c r="E19" s="4">
        <v>4</v>
      </c>
      <c r="F19" s="2" t="s">
        <v>105</v>
      </c>
      <c r="G19" s="2">
        <f t="shared" si="1"/>
        <v>122.4</v>
      </c>
      <c r="H19" s="1"/>
    </row>
    <row r="20" spans="1:8" x14ac:dyDescent="0.25">
      <c r="A20" s="24"/>
      <c r="B20" s="25" t="s">
        <v>7</v>
      </c>
      <c r="C20" s="26"/>
      <c r="D20" s="27"/>
      <c r="E20" s="4"/>
      <c r="F20" s="4"/>
      <c r="G20" s="15">
        <f>SUM(G16:G19)</f>
        <v>1460.22</v>
      </c>
      <c r="H20" s="1"/>
    </row>
    <row r="21" spans="1:8" x14ac:dyDescent="0.25">
      <c r="A21" s="5" t="s">
        <v>16</v>
      </c>
      <c r="B21" s="1" t="s">
        <v>1</v>
      </c>
      <c r="C21" s="1" t="s">
        <v>2</v>
      </c>
      <c r="D21" s="1" t="s">
        <v>3</v>
      </c>
      <c r="E21" s="2" t="s">
        <v>102</v>
      </c>
      <c r="F21" s="2"/>
      <c r="G21" s="1" t="s">
        <v>4</v>
      </c>
      <c r="H21" s="1" t="s">
        <v>5</v>
      </c>
    </row>
    <row r="22" spans="1:8" x14ac:dyDescent="0.25">
      <c r="A22" s="24"/>
      <c r="B22" s="2" t="s">
        <v>106</v>
      </c>
      <c r="C22" s="2"/>
      <c r="D22" s="2">
        <v>173.4</v>
      </c>
      <c r="E22" s="2">
        <v>8</v>
      </c>
      <c r="F22" s="2" t="s">
        <v>104</v>
      </c>
      <c r="G22" s="12">
        <v>1387</v>
      </c>
      <c r="H22" s="1"/>
    </row>
    <row r="23" spans="1:8" x14ac:dyDescent="0.25">
      <c r="A23" s="24"/>
      <c r="B23" s="2" t="s">
        <v>107</v>
      </c>
      <c r="C23" s="2"/>
      <c r="D23" s="2">
        <v>150</v>
      </c>
      <c r="E23" s="2">
        <v>2</v>
      </c>
      <c r="F23" s="2" t="s">
        <v>104</v>
      </c>
      <c r="G23" s="12">
        <v>300</v>
      </c>
      <c r="H23" s="1"/>
    </row>
    <row r="24" spans="1:8" x14ac:dyDescent="0.25">
      <c r="A24" s="24"/>
      <c r="B24" s="2" t="s">
        <v>108</v>
      </c>
      <c r="C24" s="2"/>
      <c r="D24" s="2">
        <v>40.799999999999997</v>
      </c>
      <c r="E24" s="2">
        <v>20</v>
      </c>
      <c r="F24" s="2" t="s">
        <v>104</v>
      </c>
      <c r="G24" s="12">
        <v>816</v>
      </c>
      <c r="H24" s="1"/>
    </row>
    <row r="25" spans="1:8" x14ac:dyDescent="0.25">
      <c r="A25" s="24"/>
      <c r="B25" s="2" t="s">
        <v>109</v>
      </c>
      <c r="C25" s="2"/>
      <c r="D25" s="2">
        <v>67.5</v>
      </c>
      <c r="E25" s="2">
        <v>0.5</v>
      </c>
      <c r="F25" s="2" t="s">
        <v>104</v>
      </c>
      <c r="G25" s="12">
        <v>34</v>
      </c>
      <c r="H25" s="1"/>
    </row>
    <row r="26" spans="1:8" x14ac:dyDescent="0.25">
      <c r="A26" s="24"/>
      <c r="B26" s="2" t="s">
        <v>110</v>
      </c>
      <c r="C26" s="2"/>
      <c r="D26" s="2">
        <v>105</v>
      </c>
      <c r="E26" s="2">
        <v>4</v>
      </c>
      <c r="F26" s="2" t="s">
        <v>104</v>
      </c>
      <c r="G26" s="12">
        <v>420</v>
      </c>
      <c r="H26" s="2"/>
    </row>
    <row r="27" spans="1:8" x14ac:dyDescent="0.25">
      <c r="A27" s="24"/>
      <c r="B27" s="2" t="s">
        <v>111</v>
      </c>
      <c r="C27" s="2"/>
      <c r="D27" s="2">
        <v>94.5</v>
      </c>
      <c r="E27" s="2">
        <v>4</v>
      </c>
      <c r="F27" s="2" t="s">
        <v>104</v>
      </c>
      <c r="G27" s="12">
        <f>D27*E27</f>
        <v>378</v>
      </c>
      <c r="H27" s="2"/>
    </row>
    <row r="28" spans="1:8" x14ac:dyDescent="0.25">
      <c r="A28" s="24"/>
      <c r="B28" s="2"/>
      <c r="C28" s="2"/>
      <c r="D28" s="2"/>
      <c r="E28" s="2"/>
      <c r="F28" s="4"/>
      <c r="G28" s="4"/>
      <c r="H28" s="2"/>
    </row>
    <row r="29" spans="1:8" x14ac:dyDescent="0.25">
      <c r="A29" s="24"/>
      <c r="B29" s="25" t="s">
        <v>7</v>
      </c>
      <c r="C29" s="26"/>
      <c r="D29" s="27"/>
      <c r="E29" s="4"/>
      <c r="F29" s="4"/>
      <c r="G29" s="14">
        <f>SUM(G22:G28)</f>
        <v>3335</v>
      </c>
      <c r="H29" s="1"/>
    </row>
    <row r="30" spans="1:8" x14ac:dyDescent="0.25">
      <c r="A30" s="1" t="s">
        <v>17</v>
      </c>
      <c r="B30" s="1" t="s">
        <v>1</v>
      </c>
      <c r="C30" s="1" t="s">
        <v>2</v>
      </c>
      <c r="D30" s="1" t="s">
        <v>3</v>
      </c>
      <c r="E30" s="2" t="s">
        <v>102</v>
      </c>
      <c r="F30" s="2"/>
      <c r="G30" s="1" t="s">
        <v>4</v>
      </c>
      <c r="H30" s="1" t="s">
        <v>5</v>
      </c>
    </row>
    <row r="31" spans="1:8" x14ac:dyDescent="0.25">
      <c r="A31" s="24" t="s">
        <v>29</v>
      </c>
      <c r="B31" s="1" t="s">
        <v>30</v>
      </c>
      <c r="C31" s="1" t="s">
        <v>14</v>
      </c>
      <c r="D31" s="1">
        <v>43.86</v>
      </c>
      <c r="E31" s="2">
        <v>5</v>
      </c>
      <c r="F31" s="2" t="s">
        <v>105</v>
      </c>
      <c r="G31" s="13">
        <f>D31*E31</f>
        <v>219.3</v>
      </c>
      <c r="H31" s="1"/>
    </row>
    <row r="32" spans="1:8" x14ac:dyDescent="0.25">
      <c r="A32" s="24"/>
      <c r="B32" s="1" t="s">
        <v>31</v>
      </c>
      <c r="C32" s="1" t="s">
        <v>32</v>
      </c>
      <c r="D32" s="1">
        <v>72</v>
      </c>
      <c r="E32" s="2">
        <v>15</v>
      </c>
      <c r="F32" s="2" t="s">
        <v>105</v>
      </c>
      <c r="G32" s="13">
        <f>D32*E32</f>
        <v>1080</v>
      </c>
      <c r="H32" s="1"/>
    </row>
    <row r="33" spans="1:8" x14ac:dyDescent="0.25">
      <c r="A33" s="24"/>
      <c r="B33" s="1"/>
      <c r="C33" s="1"/>
      <c r="D33" s="1"/>
      <c r="E33" s="2"/>
      <c r="F33" s="2"/>
      <c r="G33" s="1"/>
      <c r="H33" s="1"/>
    </row>
    <row r="34" spans="1:8" x14ac:dyDescent="0.25">
      <c r="A34" s="24"/>
      <c r="B34" s="25"/>
      <c r="C34" s="26"/>
      <c r="D34" s="27"/>
      <c r="E34" s="4"/>
      <c r="F34" s="4"/>
      <c r="G34" s="15">
        <f>SUM(G31:G33)</f>
        <v>1299.3</v>
      </c>
      <c r="H34" s="1"/>
    </row>
    <row r="35" spans="1:8" x14ac:dyDescent="0.25">
      <c r="A35" s="1" t="s">
        <v>20</v>
      </c>
      <c r="B35" s="1" t="s">
        <v>1</v>
      </c>
      <c r="C35" s="1" t="s">
        <v>2</v>
      </c>
      <c r="D35" s="1" t="s">
        <v>3</v>
      </c>
      <c r="E35" s="4" t="s">
        <v>102</v>
      </c>
      <c r="F35" s="4"/>
      <c r="G35" s="3" t="s">
        <v>4</v>
      </c>
      <c r="H35" s="1" t="s">
        <v>5</v>
      </c>
    </row>
    <row r="36" spans="1:8" x14ac:dyDescent="0.25">
      <c r="A36" s="34"/>
      <c r="B36" s="1" t="s">
        <v>103</v>
      </c>
      <c r="C36" s="1"/>
      <c r="D36" s="1">
        <v>35.520000000000003</v>
      </c>
      <c r="E36" s="2">
        <v>50</v>
      </c>
      <c r="F36" s="2" t="s">
        <v>105</v>
      </c>
      <c r="G36" s="1">
        <f>D36*E36</f>
        <v>1776.0000000000002</v>
      </c>
      <c r="H36" s="1"/>
    </row>
    <row r="37" spans="1:8" x14ac:dyDescent="0.25">
      <c r="A37" s="35"/>
      <c r="B37" s="1" t="s">
        <v>112</v>
      </c>
      <c r="C37" s="1"/>
      <c r="D37" s="1">
        <v>13.5</v>
      </c>
      <c r="E37" s="2">
        <v>55</v>
      </c>
      <c r="F37" s="2" t="s">
        <v>105</v>
      </c>
      <c r="G37" s="2">
        <f>D37*E37</f>
        <v>742.5</v>
      </c>
      <c r="H37" s="1"/>
    </row>
    <row r="38" spans="1:8" x14ac:dyDescent="0.25">
      <c r="A38" s="36"/>
      <c r="B38" s="25" t="s">
        <v>7</v>
      </c>
      <c r="C38" s="26"/>
      <c r="D38" s="27"/>
      <c r="E38" s="4"/>
      <c r="F38" s="4"/>
      <c r="G38" s="15">
        <f>SUM(G36:G37)</f>
        <v>2518.5</v>
      </c>
      <c r="H38" s="6"/>
    </row>
    <row r="39" spans="1:8" x14ac:dyDescent="0.25">
      <c r="A39" s="7" t="s">
        <v>21</v>
      </c>
      <c r="B39" s="1" t="s">
        <v>1</v>
      </c>
      <c r="C39" s="1" t="s">
        <v>2</v>
      </c>
      <c r="D39" s="1" t="s">
        <v>3</v>
      </c>
      <c r="E39" s="2" t="s">
        <v>102</v>
      </c>
      <c r="F39" s="2"/>
      <c r="G39" s="1" t="s">
        <v>4</v>
      </c>
      <c r="H39" s="1"/>
    </row>
    <row r="40" spans="1:8" x14ac:dyDescent="0.25">
      <c r="A40" s="24"/>
      <c r="B40" s="1" t="s">
        <v>113</v>
      </c>
      <c r="C40" s="1"/>
      <c r="D40" s="1">
        <v>4.5</v>
      </c>
      <c r="E40" s="2">
        <v>50</v>
      </c>
      <c r="F40" s="2" t="s">
        <v>114</v>
      </c>
      <c r="G40" s="1">
        <f>D40*E40</f>
        <v>225</v>
      </c>
      <c r="H40" s="1"/>
    </row>
    <row r="41" spans="1:8" x14ac:dyDescent="0.25">
      <c r="A41" s="24"/>
      <c r="B41" s="1" t="s">
        <v>115</v>
      </c>
      <c r="C41" s="1"/>
      <c r="D41" s="1">
        <v>4</v>
      </c>
      <c r="E41" s="2">
        <v>150</v>
      </c>
      <c r="F41" s="2" t="s">
        <v>114</v>
      </c>
      <c r="G41" s="2">
        <f>D41*E41</f>
        <v>600</v>
      </c>
      <c r="H41" s="1"/>
    </row>
    <row r="42" spans="1:8" x14ac:dyDescent="0.25">
      <c r="A42" s="24"/>
      <c r="B42" s="1"/>
      <c r="C42" s="1"/>
      <c r="D42" s="1"/>
      <c r="E42" s="2"/>
      <c r="F42" s="2"/>
      <c r="G42" s="1"/>
      <c r="H42" s="1"/>
    </row>
    <row r="43" spans="1:8" x14ac:dyDescent="0.25">
      <c r="A43" s="24"/>
      <c r="B43" s="1"/>
      <c r="C43" s="1"/>
      <c r="D43" s="1"/>
      <c r="E43" s="2"/>
      <c r="F43" s="2"/>
      <c r="G43" s="1"/>
      <c r="H43" s="1"/>
    </row>
    <row r="44" spans="1:8" x14ac:dyDescent="0.25">
      <c r="A44" s="24"/>
      <c r="B44" s="25" t="s">
        <v>7</v>
      </c>
      <c r="C44" s="26"/>
      <c r="D44" s="27"/>
      <c r="E44" s="4"/>
      <c r="F44" s="4"/>
      <c r="G44" s="14">
        <f>SUM(G40:G43)</f>
        <v>825</v>
      </c>
      <c r="H44" s="1"/>
    </row>
    <row r="45" spans="1:8" x14ac:dyDescent="0.25">
      <c r="A45" s="1"/>
      <c r="B45" s="31" t="s">
        <v>22</v>
      </c>
      <c r="C45" s="32"/>
      <c r="D45" s="33"/>
      <c r="E45" s="8"/>
      <c r="F45" s="8"/>
      <c r="G45" s="16">
        <f>G44+G38+G34+G29+G20+G14+G7</f>
        <v>18168.050000000003</v>
      </c>
      <c r="H45" s="1"/>
    </row>
  </sheetData>
  <mergeCells count="16">
    <mergeCell ref="A40:A44"/>
    <mergeCell ref="B44:D44"/>
    <mergeCell ref="B45:D45"/>
    <mergeCell ref="A22:A29"/>
    <mergeCell ref="B29:D29"/>
    <mergeCell ref="A31:A34"/>
    <mergeCell ref="B34:D34"/>
    <mergeCell ref="A36:A38"/>
    <mergeCell ref="B38:D38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4" workbookViewId="0">
      <selection activeCell="H44" sqref="H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8" t="s">
        <v>24</v>
      </c>
      <c r="B1" s="29"/>
      <c r="C1" s="29"/>
      <c r="D1" s="29"/>
      <c r="E1" s="29"/>
      <c r="F1" s="29"/>
      <c r="G1" s="29"/>
      <c r="H1" s="3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117</v>
      </c>
      <c r="F2" s="9"/>
      <c r="G2" s="1" t="s">
        <v>4</v>
      </c>
      <c r="H2" s="1" t="s">
        <v>5</v>
      </c>
    </row>
    <row r="3" spans="1:8" x14ac:dyDescent="0.25">
      <c r="A3" s="24" t="s">
        <v>44</v>
      </c>
      <c r="B3" s="1" t="s">
        <v>52</v>
      </c>
      <c r="C3" s="1" t="s">
        <v>42</v>
      </c>
      <c r="D3" s="1">
        <v>85.5</v>
      </c>
      <c r="E3" s="9">
        <v>3</v>
      </c>
      <c r="F3" s="9" t="s">
        <v>119</v>
      </c>
      <c r="G3" s="1">
        <f>D3*E3</f>
        <v>256.5</v>
      </c>
      <c r="H3" s="1"/>
    </row>
    <row r="4" spans="1:8" x14ac:dyDescent="0.25">
      <c r="A4" s="24"/>
      <c r="B4" s="1" t="s">
        <v>53</v>
      </c>
      <c r="C4" s="1" t="s">
        <v>11</v>
      </c>
      <c r="D4" s="1">
        <v>99</v>
      </c>
      <c r="E4" s="9">
        <v>30</v>
      </c>
      <c r="F4" s="9" t="s">
        <v>119</v>
      </c>
      <c r="G4" s="9">
        <f t="shared" ref="G4:G7" si="0">D4*E4</f>
        <v>2970</v>
      </c>
      <c r="H4" s="1"/>
    </row>
    <row r="5" spans="1:8" x14ac:dyDescent="0.25">
      <c r="A5" s="24"/>
      <c r="B5" s="1" t="s">
        <v>37</v>
      </c>
      <c r="C5" s="1" t="s">
        <v>14</v>
      </c>
      <c r="D5" s="1">
        <v>30.6</v>
      </c>
      <c r="E5" s="9">
        <v>5</v>
      </c>
      <c r="F5" s="9" t="s">
        <v>119</v>
      </c>
      <c r="G5" s="9">
        <f t="shared" si="0"/>
        <v>153</v>
      </c>
      <c r="H5" s="1"/>
    </row>
    <row r="6" spans="1:8" x14ac:dyDescent="0.25">
      <c r="A6" s="24"/>
      <c r="B6" s="1" t="s">
        <v>54</v>
      </c>
      <c r="C6" s="1" t="s">
        <v>50</v>
      </c>
      <c r="D6" s="1">
        <v>168</v>
      </c>
      <c r="E6" s="9">
        <v>20</v>
      </c>
      <c r="F6" s="9" t="s">
        <v>119</v>
      </c>
      <c r="G6" s="9">
        <f t="shared" si="0"/>
        <v>3360</v>
      </c>
      <c r="H6" s="1"/>
    </row>
    <row r="7" spans="1:8" x14ac:dyDescent="0.25">
      <c r="A7" s="24"/>
      <c r="B7" s="1" t="s">
        <v>55</v>
      </c>
      <c r="C7" s="1" t="s">
        <v>57</v>
      </c>
      <c r="D7" s="1">
        <v>85.5</v>
      </c>
      <c r="E7" s="10">
        <v>1</v>
      </c>
      <c r="F7" s="9" t="s">
        <v>119</v>
      </c>
      <c r="G7" s="9">
        <f t="shared" si="0"/>
        <v>85.5</v>
      </c>
      <c r="H7" s="1"/>
    </row>
    <row r="8" spans="1:8" x14ac:dyDescent="0.25">
      <c r="A8" s="24"/>
      <c r="B8" s="25" t="s">
        <v>7</v>
      </c>
      <c r="C8" s="26"/>
      <c r="D8" s="27"/>
      <c r="E8" s="10"/>
      <c r="F8" s="10"/>
      <c r="G8" s="14">
        <f>SUM(G3:G7)</f>
        <v>6825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9" t="s">
        <v>117</v>
      </c>
      <c r="F9" s="9"/>
      <c r="G9" s="1" t="s">
        <v>4</v>
      </c>
      <c r="H9" s="1" t="s">
        <v>5</v>
      </c>
    </row>
    <row r="10" spans="1:8" x14ac:dyDescent="0.25">
      <c r="A10" s="24" t="s">
        <v>45</v>
      </c>
      <c r="B10" s="1" t="s">
        <v>58</v>
      </c>
      <c r="C10" s="1" t="s">
        <v>51</v>
      </c>
      <c r="D10" s="1">
        <v>87</v>
      </c>
      <c r="E10" s="9">
        <v>15</v>
      </c>
      <c r="F10" s="9" t="s">
        <v>119</v>
      </c>
      <c r="G10" s="1">
        <f>D10*E10</f>
        <v>1305</v>
      </c>
      <c r="H10" s="1"/>
    </row>
    <row r="11" spans="1:8" x14ac:dyDescent="0.25">
      <c r="A11" s="24"/>
      <c r="B11" s="1" t="s">
        <v>59</v>
      </c>
      <c r="C11" s="1" t="s">
        <v>62</v>
      </c>
      <c r="D11" s="1">
        <v>75</v>
      </c>
      <c r="E11" s="9">
        <v>28</v>
      </c>
      <c r="F11" s="9" t="s">
        <v>120</v>
      </c>
      <c r="G11" s="9">
        <f t="shared" ref="G11:G13" si="1">D11*E11</f>
        <v>2100</v>
      </c>
      <c r="H11" s="1"/>
    </row>
    <row r="12" spans="1:8" x14ac:dyDescent="0.25">
      <c r="A12" s="24"/>
      <c r="B12" s="1" t="s">
        <v>60</v>
      </c>
      <c r="C12" s="1" t="s">
        <v>51</v>
      </c>
      <c r="D12" s="1">
        <v>48</v>
      </c>
      <c r="E12" s="9">
        <v>15</v>
      </c>
      <c r="F12" s="9" t="s">
        <v>119</v>
      </c>
      <c r="G12" s="9">
        <f t="shared" si="1"/>
        <v>720</v>
      </c>
      <c r="H12" s="1"/>
    </row>
    <row r="13" spans="1:8" x14ac:dyDescent="0.25">
      <c r="A13" s="24"/>
      <c r="B13" s="1" t="s">
        <v>61</v>
      </c>
      <c r="C13" s="1" t="s">
        <v>63</v>
      </c>
      <c r="D13" s="1">
        <v>190</v>
      </c>
      <c r="E13" s="9">
        <v>2</v>
      </c>
      <c r="F13" s="9" t="s">
        <v>121</v>
      </c>
      <c r="G13" s="9">
        <f t="shared" si="1"/>
        <v>380</v>
      </c>
      <c r="H13" s="1"/>
    </row>
    <row r="14" spans="1:8" x14ac:dyDescent="0.25">
      <c r="A14" s="24"/>
      <c r="B14" s="1"/>
      <c r="C14" s="1"/>
      <c r="D14" s="1"/>
      <c r="E14" s="9"/>
      <c r="F14" s="9"/>
      <c r="G14" s="1"/>
      <c r="H14" s="1"/>
    </row>
    <row r="15" spans="1:8" x14ac:dyDescent="0.25">
      <c r="A15" s="24"/>
      <c r="B15" s="25" t="s">
        <v>7</v>
      </c>
      <c r="C15" s="26"/>
      <c r="D15" s="27"/>
      <c r="E15" s="10"/>
      <c r="F15" s="10"/>
      <c r="G15" s="14">
        <f>SUM(G10:G14)</f>
        <v>4505</v>
      </c>
      <c r="H15" s="1"/>
    </row>
    <row r="16" spans="1:8" x14ac:dyDescent="0.25">
      <c r="A16" s="1" t="s">
        <v>10</v>
      </c>
      <c r="B16" s="1" t="s">
        <v>1</v>
      </c>
      <c r="C16" s="1" t="s">
        <v>2</v>
      </c>
      <c r="D16" s="1" t="s">
        <v>3</v>
      </c>
      <c r="E16" s="9" t="s">
        <v>117</v>
      </c>
      <c r="F16" s="9"/>
      <c r="G16" s="1" t="s">
        <v>4</v>
      </c>
      <c r="H16" s="1" t="s">
        <v>5</v>
      </c>
    </row>
    <row r="17" spans="1:8" x14ac:dyDescent="0.25">
      <c r="A17" s="24" t="s">
        <v>46</v>
      </c>
      <c r="B17" s="1" t="s">
        <v>64</v>
      </c>
      <c r="C17" s="1" t="s">
        <v>69</v>
      </c>
      <c r="D17" s="1">
        <v>70</v>
      </c>
      <c r="E17" s="9">
        <v>40</v>
      </c>
      <c r="F17" s="9" t="s">
        <v>120</v>
      </c>
      <c r="G17" s="1">
        <f>E17*D17</f>
        <v>2800</v>
      </c>
      <c r="H17" s="1"/>
    </row>
    <row r="18" spans="1:8" x14ac:dyDescent="0.25">
      <c r="A18" s="24"/>
      <c r="B18" s="1" t="s">
        <v>65</v>
      </c>
      <c r="C18" s="1" t="s">
        <v>14</v>
      </c>
      <c r="D18" s="1">
        <v>86.4</v>
      </c>
      <c r="E18" s="9">
        <v>5</v>
      </c>
      <c r="F18" s="9" t="s">
        <v>119</v>
      </c>
      <c r="G18" s="9">
        <f t="shared" ref="G18:G21" si="2">E18*D18</f>
        <v>432</v>
      </c>
      <c r="H18" s="1"/>
    </row>
    <row r="19" spans="1:8" x14ac:dyDescent="0.25">
      <c r="A19" s="24"/>
      <c r="B19" s="1" t="s">
        <v>68</v>
      </c>
      <c r="C19" s="1" t="s">
        <v>56</v>
      </c>
      <c r="D19" s="1">
        <v>85</v>
      </c>
      <c r="E19" s="9">
        <v>4</v>
      </c>
      <c r="F19" s="9" t="s">
        <v>119</v>
      </c>
      <c r="G19" s="9">
        <f t="shared" si="2"/>
        <v>340</v>
      </c>
      <c r="H19" s="1"/>
    </row>
    <row r="20" spans="1:8" x14ac:dyDescent="0.25">
      <c r="A20" s="24"/>
      <c r="B20" s="1" t="s">
        <v>66</v>
      </c>
      <c r="C20" s="1" t="s">
        <v>14</v>
      </c>
      <c r="D20" s="1">
        <v>94.5</v>
      </c>
      <c r="E20" s="9">
        <v>5</v>
      </c>
      <c r="F20" s="9" t="s">
        <v>119</v>
      </c>
      <c r="G20" s="9">
        <f t="shared" si="2"/>
        <v>472.5</v>
      </c>
      <c r="H20" s="1"/>
    </row>
    <row r="21" spans="1:8" x14ac:dyDescent="0.25">
      <c r="A21" s="24"/>
      <c r="B21" s="1" t="s">
        <v>67</v>
      </c>
      <c r="C21" s="1" t="s">
        <v>14</v>
      </c>
      <c r="D21" s="1">
        <v>86.4</v>
      </c>
      <c r="E21" s="10">
        <v>5</v>
      </c>
      <c r="F21" s="9" t="s">
        <v>119</v>
      </c>
      <c r="G21" s="9">
        <f t="shared" si="2"/>
        <v>432</v>
      </c>
      <c r="H21" s="1"/>
    </row>
    <row r="22" spans="1:8" x14ac:dyDescent="0.25">
      <c r="A22" s="24"/>
      <c r="B22" s="25" t="s">
        <v>7</v>
      </c>
      <c r="C22" s="26"/>
      <c r="D22" s="27"/>
      <c r="E22" s="10"/>
      <c r="F22" s="10"/>
      <c r="G22" s="15">
        <f>SUM(G17:G21)</f>
        <v>4476.5</v>
      </c>
      <c r="H22" s="1"/>
    </row>
    <row r="23" spans="1:8" x14ac:dyDescent="0.25">
      <c r="A23" s="5" t="s">
        <v>16</v>
      </c>
      <c r="B23" s="1" t="s">
        <v>1</v>
      </c>
      <c r="C23" s="1" t="s">
        <v>2</v>
      </c>
      <c r="D23" s="1" t="s">
        <v>3</v>
      </c>
      <c r="E23" s="9" t="s">
        <v>117</v>
      </c>
      <c r="F23" s="9"/>
      <c r="G23" s="1" t="s">
        <v>4</v>
      </c>
      <c r="H23" s="1" t="s">
        <v>5</v>
      </c>
    </row>
    <row r="24" spans="1:8" x14ac:dyDescent="0.25">
      <c r="A24" s="24"/>
      <c r="B24" s="9" t="s">
        <v>122</v>
      </c>
      <c r="C24" s="9"/>
      <c r="D24" s="9">
        <v>55</v>
      </c>
      <c r="E24" s="9">
        <v>20</v>
      </c>
      <c r="F24" s="9" t="s">
        <v>105</v>
      </c>
      <c r="G24" s="9">
        <f>D24*E24</f>
        <v>1100</v>
      </c>
      <c r="H24" s="1"/>
    </row>
    <row r="25" spans="1:8" x14ac:dyDescent="0.25">
      <c r="A25" s="24"/>
      <c r="B25" s="9"/>
      <c r="C25" s="9"/>
      <c r="D25" s="9"/>
      <c r="E25" s="9"/>
      <c r="F25" s="9"/>
      <c r="G25" s="9"/>
      <c r="H25" s="1"/>
    </row>
    <row r="26" spans="1:8" x14ac:dyDescent="0.25">
      <c r="A26" s="24"/>
      <c r="B26" s="9" t="s">
        <v>123</v>
      </c>
      <c r="C26" s="9"/>
      <c r="D26" s="9">
        <v>1188</v>
      </c>
      <c r="E26" s="9">
        <v>2</v>
      </c>
      <c r="F26" s="9" t="s">
        <v>124</v>
      </c>
      <c r="G26" s="9">
        <f t="shared" ref="G26" si="3">D26*E26</f>
        <v>2376</v>
      </c>
      <c r="H26" s="1"/>
    </row>
    <row r="27" spans="1:8" x14ac:dyDescent="0.25">
      <c r="A27" s="24"/>
      <c r="B27" s="1"/>
      <c r="C27" s="1"/>
      <c r="D27" s="1"/>
      <c r="E27" s="9"/>
      <c r="F27" s="9"/>
      <c r="G27" s="1"/>
      <c r="H27" s="1"/>
    </row>
    <row r="28" spans="1:8" x14ac:dyDescent="0.25">
      <c r="A28" s="24"/>
      <c r="B28" s="25" t="s">
        <v>7</v>
      </c>
      <c r="C28" s="26"/>
      <c r="D28" s="27"/>
      <c r="E28" s="10"/>
      <c r="F28" s="10"/>
      <c r="G28" s="14">
        <f>SUM(G24:G27)</f>
        <v>3476</v>
      </c>
      <c r="H28" s="1"/>
    </row>
    <row r="29" spans="1:8" x14ac:dyDescent="0.25">
      <c r="A29" s="1" t="s">
        <v>17</v>
      </c>
      <c r="B29" s="1" t="s">
        <v>1</v>
      </c>
      <c r="C29" s="1" t="s">
        <v>2</v>
      </c>
      <c r="D29" s="1" t="s">
        <v>3</v>
      </c>
      <c r="E29" s="9" t="s">
        <v>116</v>
      </c>
      <c r="F29" s="9"/>
      <c r="G29" s="1" t="s">
        <v>4</v>
      </c>
      <c r="H29" s="1" t="s">
        <v>5</v>
      </c>
    </row>
    <row r="30" spans="1:8" x14ac:dyDescent="0.25">
      <c r="A30" s="24" t="s">
        <v>47</v>
      </c>
      <c r="B30" s="1" t="s">
        <v>48</v>
      </c>
      <c r="C30" s="1" t="s">
        <v>50</v>
      </c>
      <c r="D30" s="1">
        <v>15.3</v>
      </c>
      <c r="E30" s="9">
        <v>20</v>
      </c>
      <c r="F30" s="9" t="s">
        <v>119</v>
      </c>
      <c r="G30" s="1">
        <f>D30*E30</f>
        <v>306</v>
      </c>
      <c r="H30" s="1"/>
    </row>
    <row r="31" spans="1:8" x14ac:dyDescent="0.25">
      <c r="A31" s="24"/>
      <c r="B31" s="1" t="s">
        <v>49</v>
      </c>
      <c r="C31" s="1" t="s">
        <v>51</v>
      </c>
      <c r="D31" s="1">
        <v>150</v>
      </c>
      <c r="E31" s="9">
        <v>15</v>
      </c>
      <c r="F31" s="9" t="s">
        <v>119</v>
      </c>
      <c r="G31" s="9">
        <f>D31*E31</f>
        <v>2250</v>
      </c>
      <c r="H31" s="1"/>
    </row>
    <row r="32" spans="1:8" x14ac:dyDescent="0.25">
      <c r="A32" s="24"/>
      <c r="B32" s="1"/>
      <c r="C32" s="1"/>
      <c r="D32" s="1"/>
      <c r="E32" s="9"/>
      <c r="F32" s="9"/>
      <c r="G32" s="1"/>
      <c r="H32" s="1"/>
    </row>
    <row r="33" spans="1:8" x14ac:dyDescent="0.25">
      <c r="A33" s="24"/>
      <c r="B33" s="25" t="s">
        <v>7</v>
      </c>
      <c r="C33" s="26"/>
      <c r="D33" s="27"/>
      <c r="E33" s="10"/>
      <c r="F33" s="10"/>
      <c r="G33" s="14">
        <f>SUM(G30:G32)</f>
        <v>2556</v>
      </c>
      <c r="H33" s="1"/>
    </row>
    <row r="34" spans="1:8" x14ac:dyDescent="0.25">
      <c r="A34" s="1" t="s">
        <v>20</v>
      </c>
      <c r="B34" s="1" t="s">
        <v>1</v>
      </c>
      <c r="C34" s="1" t="s">
        <v>2</v>
      </c>
      <c r="D34" s="1" t="s">
        <v>3</v>
      </c>
      <c r="E34" s="10" t="s">
        <v>117</v>
      </c>
      <c r="F34" s="10"/>
      <c r="G34" s="3" t="s">
        <v>4</v>
      </c>
      <c r="H34" s="1" t="s">
        <v>5</v>
      </c>
    </row>
    <row r="35" spans="1:8" x14ac:dyDescent="0.25">
      <c r="A35" s="34"/>
      <c r="B35" s="1" t="s">
        <v>118</v>
      </c>
      <c r="C35" s="1"/>
      <c r="D35" s="1">
        <v>36.479999999999997</v>
      </c>
      <c r="E35" s="9">
        <v>76.67</v>
      </c>
      <c r="F35" s="9" t="s">
        <v>119</v>
      </c>
      <c r="G35" s="13">
        <f>D35*E35</f>
        <v>2796.9215999999997</v>
      </c>
      <c r="H35" s="1"/>
    </row>
    <row r="36" spans="1:8" x14ac:dyDescent="0.25">
      <c r="A36" s="35"/>
      <c r="B36" s="1" t="s">
        <v>125</v>
      </c>
      <c r="C36" s="1"/>
      <c r="D36" s="1">
        <v>26.52</v>
      </c>
      <c r="E36" s="9">
        <v>55</v>
      </c>
      <c r="F36" s="9" t="s">
        <v>119</v>
      </c>
      <c r="G36" s="13">
        <f>D36*E36</f>
        <v>1458.6</v>
      </c>
      <c r="H36" s="1"/>
    </row>
    <row r="37" spans="1:8" x14ac:dyDescent="0.25">
      <c r="A37" s="36"/>
      <c r="B37" s="25" t="s">
        <v>7</v>
      </c>
      <c r="C37" s="26"/>
      <c r="D37" s="27"/>
      <c r="E37" s="10"/>
      <c r="F37" s="10"/>
      <c r="G37" s="15">
        <f>SUM(G35:G36)</f>
        <v>4255.5216</v>
      </c>
      <c r="H37" s="6"/>
    </row>
    <row r="38" spans="1:8" x14ac:dyDescent="0.25">
      <c r="A38" s="7" t="s">
        <v>21</v>
      </c>
      <c r="B38" s="1" t="s">
        <v>1</v>
      </c>
      <c r="C38" s="1" t="s">
        <v>2</v>
      </c>
      <c r="D38" s="1" t="s">
        <v>3</v>
      </c>
      <c r="E38" s="9" t="s">
        <v>117</v>
      </c>
      <c r="F38" s="9"/>
      <c r="G38" s="1" t="s">
        <v>4</v>
      </c>
      <c r="H38" s="1"/>
    </row>
    <row r="39" spans="1:8" x14ac:dyDescent="0.25">
      <c r="A39" s="24"/>
      <c r="B39" s="1" t="s">
        <v>126</v>
      </c>
      <c r="C39" s="1"/>
      <c r="D39" s="1">
        <v>19.8</v>
      </c>
      <c r="E39" s="9">
        <v>8</v>
      </c>
      <c r="F39" s="9" t="s">
        <v>119</v>
      </c>
      <c r="G39" s="13">
        <f>D39*E39</f>
        <v>158.4</v>
      </c>
      <c r="H39" s="1"/>
    </row>
    <row r="40" spans="1:8" x14ac:dyDescent="0.25">
      <c r="A40" s="24"/>
      <c r="B40" s="1" t="s">
        <v>127</v>
      </c>
      <c r="C40" s="1"/>
      <c r="D40" s="1">
        <v>108</v>
      </c>
      <c r="E40" s="9">
        <v>3.83</v>
      </c>
      <c r="F40" s="9" t="s">
        <v>119</v>
      </c>
      <c r="G40" s="13">
        <f>D40*E40</f>
        <v>413.64</v>
      </c>
      <c r="H40" s="1"/>
    </row>
    <row r="41" spans="1:8" x14ac:dyDescent="0.25">
      <c r="A41" s="24"/>
      <c r="B41" s="1"/>
      <c r="C41" s="1"/>
      <c r="D41" s="1"/>
      <c r="E41" s="9"/>
      <c r="F41" s="9"/>
      <c r="G41" s="1"/>
      <c r="H41" s="1"/>
    </row>
    <row r="42" spans="1:8" x14ac:dyDescent="0.25">
      <c r="A42" s="24"/>
      <c r="B42" s="1"/>
      <c r="C42" s="1"/>
      <c r="D42" s="1"/>
      <c r="E42" s="9"/>
      <c r="F42" s="9"/>
      <c r="G42" s="1"/>
      <c r="H42" s="1"/>
    </row>
    <row r="43" spans="1:8" x14ac:dyDescent="0.25">
      <c r="A43" s="24"/>
      <c r="B43" s="25" t="s">
        <v>7</v>
      </c>
      <c r="C43" s="26"/>
      <c r="D43" s="27"/>
      <c r="E43" s="10"/>
      <c r="F43" s="10"/>
      <c r="G43" s="15">
        <f>SUM(G39:G42)</f>
        <v>572.04</v>
      </c>
      <c r="H43" s="1"/>
    </row>
    <row r="44" spans="1:8" x14ac:dyDescent="0.25">
      <c r="A44" s="1"/>
      <c r="B44" s="31" t="s">
        <v>22</v>
      </c>
      <c r="C44" s="32"/>
      <c r="D44" s="33"/>
      <c r="E44" s="11"/>
      <c r="F44" s="11"/>
      <c r="G44" s="16">
        <f>G43+G37+G33+G28+G22+G15+G8</f>
        <v>26666.061600000001</v>
      </c>
      <c r="H44" s="1"/>
    </row>
  </sheetData>
  <mergeCells count="16">
    <mergeCell ref="A39:A43"/>
    <mergeCell ref="B43:D43"/>
    <mergeCell ref="B44:D44"/>
    <mergeCell ref="A24:A28"/>
    <mergeCell ref="B28:D28"/>
    <mergeCell ref="A30:A33"/>
    <mergeCell ref="B33:D33"/>
    <mergeCell ref="A35:A37"/>
    <mergeCell ref="B37:D37"/>
    <mergeCell ref="A17:A22"/>
    <mergeCell ref="B22:D22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33" workbookViewId="0">
      <selection activeCell="H50" sqref="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8" t="s">
        <v>25</v>
      </c>
      <c r="B1" s="29"/>
      <c r="C1" s="29"/>
      <c r="D1" s="29"/>
      <c r="E1" s="29"/>
      <c r="F1" s="29"/>
      <c r="G1" s="29"/>
      <c r="H1" s="3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7" t="s">
        <v>128</v>
      </c>
      <c r="F2" s="17"/>
      <c r="G2" s="1" t="s">
        <v>4</v>
      </c>
      <c r="H2" s="1" t="s">
        <v>5</v>
      </c>
    </row>
    <row r="3" spans="1:8" x14ac:dyDescent="0.25">
      <c r="A3" s="24" t="s">
        <v>70</v>
      </c>
      <c r="B3" s="1" t="s">
        <v>77</v>
      </c>
      <c r="C3" s="1" t="s">
        <v>78</v>
      </c>
      <c r="D3" s="1">
        <v>1300</v>
      </c>
      <c r="E3" s="17">
        <v>5</v>
      </c>
      <c r="F3" s="17" t="s">
        <v>146</v>
      </c>
      <c r="G3" s="1">
        <f>D3*E3</f>
        <v>6500</v>
      </c>
      <c r="H3" s="1"/>
    </row>
    <row r="4" spans="1:8" x14ac:dyDescent="0.25">
      <c r="A4" s="24"/>
      <c r="B4" s="1"/>
      <c r="C4" s="1"/>
      <c r="D4" s="1"/>
      <c r="E4" s="17"/>
      <c r="F4" s="17"/>
      <c r="G4" s="1"/>
      <c r="H4" s="1"/>
    </row>
    <row r="5" spans="1:8" x14ac:dyDescent="0.25">
      <c r="A5" s="24"/>
      <c r="B5" s="1"/>
      <c r="C5" s="1"/>
      <c r="D5" s="1"/>
      <c r="E5" s="17"/>
      <c r="F5" s="17"/>
      <c r="G5" s="1"/>
      <c r="H5" s="1"/>
    </row>
    <row r="6" spans="1:8" x14ac:dyDescent="0.25">
      <c r="A6" s="24"/>
      <c r="B6" s="1"/>
      <c r="C6" s="1"/>
      <c r="D6" s="1"/>
      <c r="E6" s="18"/>
      <c r="F6" s="18"/>
      <c r="G6" s="3"/>
      <c r="H6" s="1"/>
    </row>
    <row r="7" spans="1:8" x14ac:dyDescent="0.25">
      <c r="A7" s="24"/>
      <c r="B7" s="25" t="s">
        <v>7</v>
      </c>
      <c r="C7" s="26"/>
      <c r="D7" s="27"/>
      <c r="E7" s="18"/>
      <c r="F7" s="18"/>
      <c r="G7" s="14">
        <f>SUM(G3:G6)</f>
        <v>6500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7" t="s">
        <v>128</v>
      </c>
      <c r="F8" s="17"/>
      <c r="G8" s="1" t="s">
        <v>4</v>
      </c>
      <c r="H8" s="1" t="s">
        <v>5</v>
      </c>
    </row>
    <row r="9" spans="1:8" x14ac:dyDescent="0.25">
      <c r="A9" s="24" t="s">
        <v>71</v>
      </c>
      <c r="B9" s="17" t="s">
        <v>129</v>
      </c>
      <c r="C9" s="17" t="s">
        <v>131</v>
      </c>
      <c r="D9" s="17">
        <v>93</v>
      </c>
      <c r="E9" s="17">
        <v>10</v>
      </c>
      <c r="F9" s="17" t="s">
        <v>130</v>
      </c>
      <c r="G9" s="17">
        <f>E9*D9</f>
        <v>930</v>
      </c>
      <c r="H9" s="1"/>
    </row>
    <row r="10" spans="1:8" x14ac:dyDescent="0.25">
      <c r="A10" s="24"/>
      <c r="B10" s="1" t="s">
        <v>79</v>
      </c>
      <c r="C10" s="1" t="s">
        <v>80</v>
      </c>
      <c r="D10" s="1">
        <v>150</v>
      </c>
      <c r="E10" s="17">
        <v>6</v>
      </c>
      <c r="F10" s="17" t="s">
        <v>132</v>
      </c>
      <c r="G10" s="17">
        <f t="shared" ref="G10:G11" si="0">E10*D10</f>
        <v>900</v>
      </c>
      <c r="H10" s="1"/>
    </row>
    <row r="11" spans="1:8" x14ac:dyDescent="0.25">
      <c r="A11" s="24"/>
      <c r="B11" s="1" t="s">
        <v>37</v>
      </c>
      <c r="C11" s="1" t="s">
        <v>14</v>
      </c>
      <c r="D11" s="1">
        <v>30.6</v>
      </c>
      <c r="E11" s="17">
        <v>5</v>
      </c>
      <c r="F11" s="17" t="s">
        <v>130</v>
      </c>
      <c r="G11" s="17">
        <f t="shared" si="0"/>
        <v>153</v>
      </c>
      <c r="H11" s="1"/>
    </row>
    <row r="12" spans="1:8" x14ac:dyDescent="0.25">
      <c r="A12" s="24"/>
      <c r="B12" s="1"/>
      <c r="C12" s="1"/>
      <c r="D12" s="1"/>
      <c r="E12" s="17"/>
      <c r="F12" s="17"/>
      <c r="G12" s="1"/>
      <c r="H12" s="1"/>
    </row>
    <row r="13" spans="1:8" x14ac:dyDescent="0.25">
      <c r="A13" s="24"/>
      <c r="B13" s="1"/>
      <c r="C13" s="1"/>
      <c r="D13" s="1"/>
      <c r="E13" s="17"/>
      <c r="F13" s="17"/>
      <c r="G13" s="1"/>
      <c r="H13" s="1"/>
    </row>
    <row r="14" spans="1:8" x14ac:dyDescent="0.25">
      <c r="A14" s="24"/>
      <c r="B14" s="25" t="s">
        <v>7</v>
      </c>
      <c r="C14" s="26"/>
      <c r="D14" s="27"/>
      <c r="E14" s="18"/>
      <c r="F14" s="18"/>
      <c r="G14" s="14">
        <f>SUM(G9:G13)</f>
        <v>1983</v>
      </c>
      <c r="H14" s="1"/>
    </row>
    <row r="15" spans="1:8" x14ac:dyDescent="0.25">
      <c r="A15" s="1" t="s">
        <v>10</v>
      </c>
      <c r="B15" s="1" t="s">
        <v>1</v>
      </c>
      <c r="C15" s="1" t="s">
        <v>2</v>
      </c>
      <c r="D15" s="1" t="s">
        <v>3</v>
      </c>
      <c r="E15" s="17" t="s">
        <v>128</v>
      </c>
      <c r="F15" s="17"/>
      <c r="G15" s="1" t="s">
        <v>4</v>
      </c>
      <c r="H15" s="1" t="s">
        <v>5</v>
      </c>
    </row>
    <row r="16" spans="1:8" x14ac:dyDescent="0.25">
      <c r="A16" s="24" t="s">
        <v>72</v>
      </c>
      <c r="B16" s="1" t="s">
        <v>81</v>
      </c>
      <c r="C16" s="1" t="s">
        <v>85</v>
      </c>
      <c r="D16" s="1">
        <v>37.340000000000003</v>
      </c>
      <c r="E16" s="17">
        <v>45</v>
      </c>
      <c r="F16" s="17" t="s">
        <v>130</v>
      </c>
      <c r="G16" s="1">
        <f>D16*E16</f>
        <v>1680.3000000000002</v>
      </c>
      <c r="H16" s="1"/>
    </row>
    <row r="17" spans="1:8" x14ac:dyDescent="0.25">
      <c r="A17" s="24"/>
      <c r="B17" s="1" t="s">
        <v>82</v>
      </c>
      <c r="C17" s="1" t="s">
        <v>84</v>
      </c>
      <c r="D17" s="1">
        <v>105</v>
      </c>
      <c r="E17" s="17">
        <v>10</v>
      </c>
      <c r="F17" s="17" t="s">
        <v>142</v>
      </c>
      <c r="G17" s="17">
        <f t="shared" ref="G17:G19" si="1">D17*E17</f>
        <v>1050</v>
      </c>
      <c r="H17" s="1"/>
    </row>
    <row r="18" spans="1:8" x14ac:dyDescent="0.25">
      <c r="A18" s="24"/>
      <c r="B18" s="1" t="s">
        <v>83</v>
      </c>
      <c r="C18" s="1" t="s">
        <v>42</v>
      </c>
      <c r="D18" s="1">
        <v>120</v>
      </c>
      <c r="E18" s="17">
        <v>3</v>
      </c>
      <c r="F18" s="17" t="s">
        <v>130</v>
      </c>
      <c r="G18" s="17">
        <f t="shared" si="1"/>
        <v>360</v>
      </c>
      <c r="H18" s="1"/>
    </row>
    <row r="19" spans="1:8" x14ac:dyDescent="0.25">
      <c r="A19" s="24"/>
      <c r="B19" s="1" t="s">
        <v>68</v>
      </c>
      <c r="C19" s="1" t="s">
        <v>42</v>
      </c>
      <c r="D19" s="1">
        <v>85</v>
      </c>
      <c r="E19" s="18">
        <v>3</v>
      </c>
      <c r="F19" s="18" t="s">
        <v>130</v>
      </c>
      <c r="G19" s="17">
        <f t="shared" si="1"/>
        <v>255</v>
      </c>
      <c r="H19" s="1"/>
    </row>
    <row r="20" spans="1:8" x14ac:dyDescent="0.25">
      <c r="A20" s="24"/>
      <c r="B20" s="25" t="s">
        <v>7</v>
      </c>
      <c r="C20" s="26"/>
      <c r="D20" s="27"/>
      <c r="E20" s="18"/>
      <c r="F20" s="18"/>
      <c r="G20" s="15">
        <f>SUM(G16:G19)</f>
        <v>3345.3</v>
      </c>
      <c r="H20" s="1"/>
    </row>
    <row r="21" spans="1:8" x14ac:dyDescent="0.25">
      <c r="A21" s="5" t="s">
        <v>16</v>
      </c>
      <c r="B21" s="1" t="s">
        <v>1</v>
      </c>
      <c r="C21" s="1" t="s">
        <v>2</v>
      </c>
      <c r="D21" s="1" t="s">
        <v>3</v>
      </c>
      <c r="E21" s="17" t="s">
        <v>128</v>
      </c>
      <c r="F21" s="17"/>
      <c r="G21" s="1" t="s">
        <v>4</v>
      </c>
      <c r="H21" s="1" t="s">
        <v>5</v>
      </c>
    </row>
    <row r="22" spans="1:8" x14ac:dyDescent="0.25">
      <c r="A22" s="24"/>
      <c r="B22" s="1" t="s">
        <v>134</v>
      </c>
      <c r="C22" s="1"/>
      <c r="D22" s="1">
        <v>66</v>
      </c>
      <c r="E22" s="17"/>
      <c r="F22" s="17"/>
      <c r="G22" s="23"/>
      <c r="H22" s="1"/>
    </row>
    <row r="23" spans="1:8" x14ac:dyDescent="0.25">
      <c r="A23" s="24"/>
      <c r="B23" s="1" t="s">
        <v>135</v>
      </c>
      <c r="C23" s="1"/>
      <c r="D23" s="1">
        <v>235</v>
      </c>
      <c r="E23" s="17">
        <v>1</v>
      </c>
      <c r="F23" s="17" t="s">
        <v>136</v>
      </c>
      <c r="G23" s="1">
        <f>D23*E23</f>
        <v>235</v>
      </c>
      <c r="H23" s="1"/>
    </row>
    <row r="24" spans="1:8" x14ac:dyDescent="0.25">
      <c r="A24" s="24"/>
      <c r="B24" s="1" t="s">
        <v>137</v>
      </c>
      <c r="C24" s="1"/>
      <c r="D24" s="1">
        <v>844</v>
      </c>
      <c r="E24" s="17">
        <v>1</v>
      </c>
      <c r="F24" s="17" t="s">
        <v>138</v>
      </c>
      <c r="G24" s="17">
        <f t="shared" ref="G24:G33" si="2">D24*E24</f>
        <v>844</v>
      </c>
      <c r="H24" s="1"/>
    </row>
    <row r="25" spans="1:8" x14ac:dyDescent="0.25">
      <c r="A25" s="24"/>
      <c r="B25" s="1" t="s">
        <v>141</v>
      </c>
      <c r="C25" s="1"/>
      <c r="D25" s="1">
        <v>93</v>
      </c>
      <c r="E25" s="17">
        <v>5</v>
      </c>
      <c r="F25" s="17" t="s">
        <v>142</v>
      </c>
      <c r="G25" s="17">
        <f t="shared" si="2"/>
        <v>465</v>
      </c>
      <c r="H25" s="1"/>
    </row>
    <row r="26" spans="1:8" x14ac:dyDescent="0.25">
      <c r="A26" s="24"/>
      <c r="B26" s="17" t="s">
        <v>143</v>
      </c>
      <c r="C26" s="17"/>
      <c r="D26" s="17">
        <v>291</v>
      </c>
      <c r="E26" s="17">
        <v>1</v>
      </c>
      <c r="F26" s="18" t="s">
        <v>136</v>
      </c>
      <c r="G26" s="17">
        <f t="shared" si="2"/>
        <v>291</v>
      </c>
      <c r="H26" s="17"/>
    </row>
    <row r="27" spans="1:8" x14ac:dyDescent="0.25">
      <c r="A27" s="24"/>
      <c r="B27" s="17" t="s">
        <v>144</v>
      </c>
      <c r="C27" s="17"/>
      <c r="D27" s="17">
        <v>225</v>
      </c>
      <c r="E27" s="18">
        <v>1</v>
      </c>
      <c r="F27" s="18" t="s">
        <v>136</v>
      </c>
      <c r="G27" s="17">
        <f t="shared" si="2"/>
        <v>225</v>
      </c>
      <c r="H27" s="17"/>
    </row>
    <row r="28" spans="1:8" x14ac:dyDescent="0.25">
      <c r="A28" s="24"/>
      <c r="B28" s="17" t="s">
        <v>145</v>
      </c>
      <c r="C28" s="17"/>
      <c r="D28" s="17">
        <v>40.799999999999997</v>
      </c>
      <c r="E28" s="18">
        <v>20</v>
      </c>
      <c r="F28" s="18" t="s">
        <v>130</v>
      </c>
      <c r="G28" s="18">
        <f t="shared" si="2"/>
        <v>816</v>
      </c>
      <c r="H28" s="17"/>
    </row>
    <row r="29" spans="1:8" x14ac:dyDescent="0.25">
      <c r="A29" s="24"/>
      <c r="B29" s="17" t="s">
        <v>147</v>
      </c>
      <c r="C29" s="17"/>
      <c r="D29" s="17">
        <v>235</v>
      </c>
      <c r="E29" s="18">
        <v>2</v>
      </c>
      <c r="F29" s="18" t="s">
        <v>148</v>
      </c>
      <c r="G29" s="18">
        <f t="shared" si="2"/>
        <v>470</v>
      </c>
      <c r="H29" s="17"/>
    </row>
    <row r="30" spans="1:8" x14ac:dyDescent="0.25">
      <c r="A30" s="24"/>
      <c r="B30" s="17" t="s">
        <v>149</v>
      </c>
      <c r="C30" s="17"/>
      <c r="D30" s="17">
        <v>960</v>
      </c>
      <c r="E30" s="18">
        <v>1</v>
      </c>
      <c r="F30" s="18" t="s">
        <v>136</v>
      </c>
      <c r="G30" s="18">
        <f t="shared" si="2"/>
        <v>960</v>
      </c>
      <c r="H30" s="17"/>
    </row>
    <row r="31" spans="1:8" x14ac:dyDescent="0.25">
      <c r="A31" s="24"/>
      <c r="B31" s="17" t="s">
        <v>150</v>
      </c>
      <c r="C31" s="17"/>
      <c r="D31" s="17">
        <v>480</v>
      </c>
      <c r="E31" s="18">
        <v>1</v>
      </c>
      <c r="F31" s="18" t="s">
        <v>136</v>
      </c>
      <c r="G31" s="18">
        <f t="shared" si="2"/>
        <v>480</v>
      </c>
      <c r="H31" s="17"/>
    </row>
    <row r="32" spans="1:8" x14ac:dyDescent="0.25">
      <c r="A32" s="24"/>
      <c r="B32" s="17" t="s">
        <v>151</v>
      </c>
      <c r="C32" s="17"/>
      <c r="D32" s="17">
        <v>60</v>
      </c>
      <c r="E32" s="18">
        <v>2</v>
      </c>
      <c r="F32" s="18" t="s">
        <v>153</v>
      </c>
      <c r="G32" s="18">
        <f t="shared" si="2"/>
        <v>120</v>
      </c>
      <c r="H32" s="17"/>
    </row>
    <row r="33" spans="1:8" x14ac:dyDescent="0.25">
      <c r="A33" s="24"/>
      <c r="B33" s="17" t="s">
        <v>152</v>
      </c>
      <c r="C33" s="17"/>
      <c r="D33" s="17">
        <v>110</v>
      </c>
      <c r="E33" s="18">
        <v>1</v>
      </c>
      <c r="F33" s="18" t="s">
        <v>153</v>
      </c>
      <c r="G33" s="18">
        <f t="shared" si="2"/>
        <v>110</v>
      </c>
      <c r="H33" s="17"/>
    </row>
    <row r="34" spans="1:8" x14ac:dyDescent="0.25">
      <c r="A34" s="24"/>
      <c r="B34" s="24" t="s">
        <v>7</v>
      </c>
      <c r="C34" s="24"/>
      <c r="D34" s="24"/>
      <c r="E34" s="18"/>
      <c r="F34" s="18"/>
      <c r="G34" s="14">
        <f>SUM(G23:G33)</f>
        <v>5016</v>
      </c>
      <c r="H34" s="1"/>
    </row>
    <row r="35" spans="1:8" x14ac:dyDescent="0.25">
      <c r="A35" s="1" t="s">
        <v>17</v>
      </c>
      <c r="B35" s="1" t="s">
        <v>1</v>
      </c>
      <c r="C35" s="1" t="s">
        <v>2</v>
      </c>
      <c r="D35" s="1" t="s">
        <v>3</v>
      </c>
      <c r="E35" s="17" t="s">
        <v>128</v>
      </c>
      <c r="F35" s="17"/>
      <c r="G35" s="1" t="s">
        <v>4</v>
      </c>
      <c r="H35" s="1" t="s">
        <v>5</v>
      </c>
    </row>
    <row r="36" spans="1:8" x14ac:dyDescent="0.25">
      <c r="A36" s="24" t="s">
        <v>73</v>
      </c>
      <c r="B36" s="1" t="s">
        <v>74</v>
      </c>
      <c r="C36" s="1"/>
      <c r="D36" s="1"/>
      <c r="E36" s="17"/>
      <c r="F36" s="17"/>
      <c r="G36" s="1"/>
      <c r="H36" s="1" t="s">
        <v>18</v>
      </c>
    </row>
    <row r="37" spans="1:8" x14ac:dyDescent="0.25">
      <c r="A37" s="24"/>
      <c r="B37" s="1" t="s">
        <v>75</v>
      </c>
      <c r="C37" s="1" t="s">
        <v>40</v>
      </c>
      <c r="D37" s="1">
        <v>56</v>
      </c>
      <c r="E37" s="17">
        <v>10</v>
      </c>
      <c r="F37" s="17" t="s">
        <v>130</v>
      </c>
      <c r="G37" s="1">
        <f>D37*E37</f>
        <v>560</v>
      </c>
      <c r="H37" s="1"/>
    </row>
    <row r="38" spans="1:8" x14ac:dyDescent="0.25">
      <c r="A38" s="24"/>
      <c r="B38" s="1" t="s">
        <v>76</v>
      </c>
      <c r="C38" s="1" t="s">
        <v>40</v>
      </c>
      <c r="D38" s="1">
        <v>48</v>
      </c>
      <c r="E38" s="17">
        <v>10</v>
      </c>
      <c r="F38" s="17" t="s">
        <v>130</v>
      </c>
      <c r="G38" s="17">
        <f>D38*E38</f>
        <v>480</v>
      </c>
      <c r="H38" s="1"/>
    </row>
    <row r="39" spans="1:8" x14ac:dyDescent="0.25">
      <c r="A39" s="24"/>
      <c r="B39" s="25"/>
      <c r="C39" s="26"/>
      <c r="D39" s="27"/>
      <c r="E39" s="18"/>
      <c r="F39" s="18"/>
      <c r="G39" s="14">
        <f>SUM(G37:G38)</f>
        <v>1040</v>
      </c>
      <c r="H39" s="1"/>
    </row>
    <row r="40" spans="1:8" x14ac:dyDescent="0.25">
      <c r="A40" s="1" t="s">
        <v>20</v>
      </c>
      <c r="B40" s="1" t="s">
        <v>1</v>
      </c>
      <c r="C40" s="1" t="s">
        <v>2</v>
      </c>
      <c r="D40" s="1" t="s">
        <v>3</v>
      </c>
      <c r="E40" s="18" t="s">
        <v>128</v>
      </c>
      <c r="F40" s="18"/>
      <c r="G40" s="3" t="s">
        <v>4</v>
      </c>
      <c r="H40" s="1" t="s">
        <v>5</v>
      </c>
    </row>
    <row r="41" spans="1:8" x14ac:dyDescent="0.25">
      <c r="A41" s="34"/>
      <c r="B41" s="1" t="s">
        <v>133</v>
      </c>
      <c r="C41" s="1"/>
      <c r="D41" s="1">
        <v>9.9</v>
      </c>
      <c r="E41" s="17">
        <v>55</v>
      </c>
      <c r="F41" s="17" t="s">
        <v>130</v>
      </c>
      <c r="G41" s="1">
        <f>D41*E41</f>
        <v>544.5</v>
      </c>
      <c r="H41" s="1"/>
    </row>
    <row r="42" spans="1:8" x14ac:dyDescent="0.25">
      <c r="A42" s="35"/>
      <c r="B42" s="1"/>
      <c r="C42" s="1"/>
      <c r="D42" s="1"/>
      <c r="E42" s="17"/>
      <c r="F42" s="17"/>
      <c r="G42" s="1"/>
      <c r="H42" s="1"/>
    </row>
    <row r="43" spans="1:8" x14ac:dyDescent="0.25">
      <c r="A43" s="36"/>
      <c r="B43" s="25" t="s">
        <v>7</v>
      </c>
      <c r="C43" s="26"/>
      <c r="D43" s="27"/>
      <c r="E43" s="18"/>
      <c r="F43" s="18"/>
      <c r="G43" s="15">
        <f>SUM(G41:G42)</f>
        <v>544.5</v>
      </c>
      <c r="H43" s="6"/>
    </row>
    <row r="44" spans="1:8" x14ac:dyDescent="0.25">
      <c r="A44" s="7" t="s">
        <v>21</v>
      </c>
      <c r="B44" s="1" t="s">
        <v>1</v>
      </c>
      <c r="C44" s="1" t="s">
        <v>2</v>
      </c>
      <c r="D44" s="1" t="s">
        <v>3</v>
      </c>
      <c r="E44" s="17" t="s">
        <v>128</v>
      </c>
      <c r="F44" s="17"/>
      <c r="G44" s="1" t="s">
        <v>4</v>
      </c>
      <c r="H44" s="1"/>
    </row>
    <row r="45" spans="1:8" x14ac:dyDescent="0.25">
      <c r="A45" s="24"/>
      <c r="B45" s="17" t="s">
        <v>139</v>
      </c>
      <c r="C45" s="17"/>
      <c r="D45" s="17">
        <v>19.8</v>
      </c>
      <c r="E45" s="17">
        <v>2</v>
      </c>
      <c r="F45" s="17" t="s">
        <v>130</v>
      </c>
      <c r="G45" s="1">
        <f>D45*E45</f>
        <v>39.6</v>
      </c>
      <c r="H45" s="1"/>
    </row>
    <row r="46" spans="1:8" x14ac:dyDescent="0.25">
      <c r="A46" s="24"/>
      <c r="B46" s="1" t="s">
        <v>140</v>
      </c>
      <c r="C46" s="1"/>
      <c r="D46" s="1">
        <v>156</v>
      </c>
      <c r="E46" s="17">
        <v>2</v>
      </c>
      <c r="F46" s="17" t="s">
        <v>130</v>
      </c>
      <c r="G46" s="17">
        <f>D46*E46</f>
        <v>312</v>
      </c>
      <c r="H46" s="1"/>
    </row>
    <row r="47" spans="1:8" x14ac:dyDescent="0.25">
      <c r="A47" s="24"/>
      <c r="B47" s="1"/>
      <c r="C47" s="1"/>
      <c r="D47" s="1"/>
      <c r="E47" s="17"/>
      <c r="F47" s="17"/>
      <c r="G47" s="1"/>
      <c r="H47" s="1"/>
    </row>
    <row r="48" spans="1:8" x14ac:dyDescent="0.25">
      <c r="A48" s="24"/>
      <c r="B48" s="1"/>
      <c r="C48" s="1"/>
      <c r="D48" s="1"/>
      <c r="E48" s="17"/>
      <c r="F48" s="17"/>
      <c r="G48" s="1"/>
      <c r="H48" s="1"/>
    </row>
    <row r="49" spans="1:8" x14ac:dyDescent="0.25">
      <c r="A49" s="24"/>
      <c r="B49" s="25" t="s">
        <v>7</v>
      </c>
      <c r="C49" s="26"/>
      <c r="D49" s="27"/>
      <c r="E49" s="18"/>
      <c r="F49" s="18"/>
      <c r="G49" s="14">
        <f>SUM(G45:G48)</f>
        <v>351.6</v>
      </c>
      <c r="H49" s="1"/>
    </row>
    <row r="50" spans="1:8" x14ac:dyDescent="0.25">
      <c r="A50" s="1"/>
      <c r="B50" s="31" t="s">
        <v>22</v>
      </c>
      <c r="C50" s="32"/>
      <c r="D50" s="33"/>
      <c r="E50" s="19"/>
      <c r="F50" s="19"/>
      <c r="G50" s="16">
        <f>G49+G43+G39+G34+G20+G7+G14</f>
        <v>18780.400000000001</v>
      </c>
      <c r="H50" s="1"/>
    </row>
  </sheetData>
  <mergeCells count="16">
    <mergeCell ref="A45:A49"/>
    <mergeCell ref="B49:D49"/>
    <mergeCell ref="B50:D50"/>
    <mergeCell ref="A22:A34"/>
    <mergeCell ref="B34:D34"/>
    <mergeCell ref="A36:A39"/>
    <mergeCell ref="B39:D39"/>
    <mergeCell ref="A41:A43"/>
    <mergeCell ref="B43:D43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abSelected="1" topLeftCell="A26" workbookViewId="0">
      <selection activeCell="H43" sqref="A1: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28" t="s">
        <v>43</v>
      </c>
      <c r="B1" s="29"/>
      <c r="C1" s="29"/>
      <c r="D1" s="29"/>
      <c r="E1" s="29"/>
      <c r="F1" s="29"/>
      <c r="G1" s="29"/>
      <c r="H1" s="30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0" t="s">
        <v>154</v>
      </c>
      <c r="F2" s="20"/>
      <c r="G2" s="1" t="s">
        <v>4</v>
      </c>
      <c r="H2" s="1" t="s">
        <v>5</v>
      </c>
    </row>
    <row r="3" spans="1:8" x14ac:dyDescent="0.25">
      <c r="A3" s="24" t="s">
        <v>86</v>
      </c>
      <c r="B3" s="1" t="s">
        <v>91</v>
      </c>
      <c r="C3" s="1" t="s">
        <v>96</v>
      </c>
      <c r="D3" s="1">
        <v>75</v>
      </c>
      <c r="E3" s="20">
        <v>60</v>
      </c>
      <c r="F3" s="20" t="s">
        <v>155</v>
      </c>
      <c r="G3" s="1">
        <f>D3*E3</f>
        <v>4500</v>
      </c>
      <c r="H3" s="1"/>
    </row>
    <row r="4" spans="1:8" x14ac:dyDescent="0.25">
      <c r="A4" s="24"/>
      <c r="B4" s="1" t="s">
        <v>92</v>
      </c>
      <c r="C4" s="1" t="s">
        <v>63</v>
      </c>
      <c r="D4" s="1">
        <v>294</v>
      </c>
      <c r="E4" s="20">
        <v>2</v>
      </c>
      <c r="F4" s="20" t="s">
        <v>156</v>
      </c>
      <c r="G4" s="20">
        <f t="shared" ref="G4:G7" si="0">D4*E4</f>
        <v>588</v>
      </c>
      <c r="H4" s="1"/>
    </row>
    <row r="5" spans="1:8" x14ac:dyDescent="0.25">
      <c r="A5" s="24"/>
      <c r="B5" s="1" t="s">
        <v>94</v>
      </c>
      <c r="C5" s="1" t="s">
        <v>51</v>
      </c>
      <c r="D5" s="1">
        <v>37.74</v>
      </c>
      <c r="E5" s="20">
        <v>15</v>
      </c>
      <c r="F5" s="20" t="s">
        <v>155</v>
      </c>
      <c r="G5" s="20">
        <f t="shared" si="0"/>
        <v>566.1</v>
      </c>
      <c r="H5" s="1"/>
    </row>
    <row r="6" spans="1:8" x14ac:dyDescent="0.25">
      <c r="A6" s="24"/>
      <c r="B6" s="1" t="s">
        <v>93</v>
      </c>
      <c r="C6" s="1" t="s">
        <v>95</v>
      </c>
      <c r="D6" s="1">
        <v>120</v>
      </c>
      <c r="E6" s="20">
        <v>2</v>
      </c>
      <c r="F6" s="20" t="s">
        <v>157</v>
      </c>
      <c r="G6" s="20">
        <f t="shared" si="0"/>
        <v>240</v>
      </c>
      <c r="H6" s="1"/>
    </row>
    <row r="7" spans="1:8" x14ac:dyDescent="0.25">
      <c r="A7" s="24"/>
      <c r="B7" s="1" t="s">
        <v>37</v>
      </c>
      <c r="C7" s="1" t="s">
        <v>41</v>
      </c>
      <c r="D7" s="1">
        <v>30.6</v>
      </c>
      <c r="E7" s="21">
        <v>6</v>
      </c>
      <c r="F7" s="20" t="s">
        <v>155</v>
      </c>
      <c r="G7" s="13">
        <f t="shared" si="0"/>
        <v>183.60000000000002</v>
      </c>
      <c r="H7" s="1"/>
    </row>
    <row r="8" spans="1:8" x14ac:dyDescent="0.25">
      <c r="A8" s="24"/>
      <c r="B8" s="25" t="s">
        <v>7</v>
      </c>
      <c r="C8" s="26"/>
      <c r="D8" s="27"/>
      <c r="E8" s="21"/>
      <c r="F8" s="21"/>
      <c r="G8" s="15">
        <f>SUM(G3:G7)</f>
        <v>6077.7000000000007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20" t="s">
        <v>154</v>
      </c>
      <c r="F9" s="20"/>
      <c r="G9" s="1" t="s">
        <v>4</v>
      </c>
      <c r="H9" s="1" t="s">
        <v>5</v>
      </c>
    </row>
    <row r="10" spans="1:8" x14ac:dyDescent="0.25">
      <c r="A10" s="24" t="s">
        <v>87</v>
      </c>
      <c r="B10" s="1" t="s">
        <v>97</v>
      </c>
      <c r="C10" s="1" t="s">
        <v>99</v>
      </c>
      <c r="D10" s="1">
        <v>43.2</v>
      </c>
      <c r="E10" s="20">
        <v>50</v>
      </c>
      <c r="F10" s="20" t="s">
        <v>155</v>
      </c>
      <c r="G10" s="1">
        <f>D10*E10</f>
        <v>2160</v>
      </c>
      <c r="H10" s="1"/>
    </row>
    <row r="11" spans="1:8" x14ac:dyDescent="0.25">
      <c r="A11" s="24"/>
      <c r="B11" s="1" t="s">
        <v>98</v>
      </c>
      <c r="C11" s="1" t="s">
        <v>57</v>
      </c>
      <c r="D11" s="1">
        <v>81.599999999999994</v>
      </c>
      <c r="E11" s="20">
        <v>1</v>
      </c>
      <c r="F11" s="20" t="s">
        <v>155</v>
      </c>
      <c r="G11" s="13">
        <f>D11*E11</f>
        <v>81.599999999999994</v>
      </c>
      <c r="H11" s="1"/>
    </row>
    <row r="12" spans="1:8" x14ac:dyDescent="0.25">
      <c r="A12" s="24"/>
      <c r="B12" s="1"/>
      <c r="C12" s="1"/>
      <c r="D12" s="1"/>
      <c r="E12" s="20"/>
      <c r="F12" s="20"/>
      <c r="G12" s="1"/>
      <c r="H12" s="1"/>
    </row>
    <row r="13" spans="1:8" x14ac:dyDescent="0.25">
      <c r="A13" s="24"/>
      <c r="B13" s="1"/>
      <c r="C13" s="1"/>
      <c r="D13" s="1"/>
      <c r="E13" s="20"/>
      <c r="F13" s="20"/>
      <c r="G13" s="1"/>
      <c r="H13" s="1"/>
    </row>
    <row r="14" spans="1:8" x14ac:dyDescent="0.25">
      <c r="A14" s="24"/>
      <c r="B14" s="1"/>
      <c r="C14" s="1"/>
      <c r="D14" s="1"/>
      <c r="E14" s="20"/>
      <c r="F14" s="20"/>
      <c r="G14" s="1"/>
      <c r="H14" s="1"/>
    </row>
    <row r="15" spans="1:8" x14ac:dyDescent="0.25">
      <c r="A15" s="24"/>
      <c r="B15" s="25" t="s">
        <v>7</v>
      </c>
      <c r="C15" s="26"/>
      <c r="D15" s="27"/>
      <c r="E15" s="21"/>
      <c r="F15" s="21"/>
      <c r="G15" s="15">
        <f>SUM(G10:G14)</f>
        <v>2241.6</v>
      </c>
      <c r="H15" s="1"/>
    </row>
    <row r="16" spans="1:8" x14ac:dyDescent="0.25">
      <c r="A16" s="1" t="s">
        <v>10</v>
      </c>
      <c r="B16" s="1" t="s">
        <v>1</v>
      </c>
      <c r="C16" s="1" t="s">
        <v>2</v>
      </c>
      <c r="D16" s="1" t="s">
        <v>3</v>
      </c>
      <c r="E16" s="20" t="s">
        <v>154</v>
      </c>
      <c r="F16" s="20"/>
      <c r="G16" s="1" t="s">
        <v>4</v>
      </c>
      <c r="H16" s="1" t="s">
        <v>5</v>
      </c>
    </row>
    <row r="17" spans="1:8" x14ac:dyDescent="0.25">
      <c r="A17" s="24" t="s">
        <v>88</v>
      </c>
      <c r="B17" s="1" t="s">
        <v>9</v>
      </c>
      <c r="C17" s="1" t="s">
        <v>51</v>
      </c>
      <c r="D17" s="1">
        <v>93</v>
      </c>
      <c r="E17" s="20">
        <v>15</v>
      </c>
      <c r="F17" s="20" t="s">
        <v>155</v>
      </c>
      <c r="G17" s="1">
        <f>D17*E17</f>
        <v>1395</v>
      </c>
      <c r="H17" s="1"/>
    </row>
    <row r="18" spans="1:8" x14ac:dyDescent="0.25">
      <c r="A18" s="24"/>
      <c r="B18" s="1" t="s">
        <v>100</v>
      </c>
      <c r="C18" s="1" t="s">
        <v>38</v>
      </c>
      <c r="D18" s="1">
        <v>75</v>
      </c>
      <c r="E18" s="20">
        <v>15</v>
      </c>
      <c r="F18" s="20" t="s">
        <v>157</v>
      </c>
      <c r="G18" s="20">
        <f t="shared" ref="G18:G19" si="1">D18*E18</f>
        <v>1125</v>
      </c>
      <c r="H18" s="1"/>
    </row>
    <row r="19" spans="1:8" x14ac:dyDescent="0.25">
      <c r="A19" s="24"/>
      <c r="B19" s="1" t="s">
        <v>101</v>
      </c>
      <c r="C19" s="1" t="s">
        <v>40</v>
      </c>
      <c r="D19" s="1">
        <v>34.200000000000003</v>
      </c>
      <c r="E19" s="20">
        <v>10</v>
      </c>
      <c r="F19" s="20" t="s">
        <v>155</v>
      </c>
      <c r="G19" s="20">
        <f t="shared" si="1"/>
        <v>342</v>
      </c>
      <c r="H19" s="1"/>
    </row>
    <row r="20" spans="1:8" x14ac:dyDescent="0.25">
      <c r="A20" s="24"/>
      <c r="B20" s="1"/>
      <c r="C20" s="1"/>
      <c r="D20" s="1"/>
      <c r="E20" s="21"/>
      <c r="F20" s="21"/>
      <c r="G20" s="3"/>
      <c r="H20" s="1"/>
    </row>
    <row r="21" spans="1:8" x14ac:dyDescent="0.25">
      <c r="A21" s="24"/>
      <c r="B21" s="25" t="s">
        <v>7</v>
      </c>
      <c r="C21" s="26"/>
      <c r="D21" s="27"/>
      <c r="E21" s="21"/>
      <c r="F21" s="21"/>
      <c r="G21" s="14">
        <f>SUM(G17:G20)</f>
        <v>2862</v>
      </c>
      <c r="H21" s="1"/>
    </row>
    <row r="22" spans="1:8" x14ac:dyDescent="0.25">
      <c r="A22" s="5" t="s">
        <v>16</v>
      </c>
      <c r="B22" s="1" t="s">
        <v>1</v>
      </c>
      <c r="C22" s="1" t="s">
        <v>2</v>
      </c>
      <c r="D22" s="1" t="s">
        <v>3</v>
      </c>
      <c r="E22" s="20" t="s">
        <v>154</v>
      </c>
      <c r="F22" s="20"/>
      <c r="G22" s="1" t="s">
        <v>4</v>
      </c>
      <c r="H22" s="1" t="s">
        <v>5</v>
      </c>
    </row>
    <row r="23" spans="1:8" x14ac:dyDescent="0.25">
      <c r="A23" s="24"/>
      <c r="B23" s="1" t="s">
        <v>166</v>
      </c>
      <c r="C23" s="1"/>
      <c r="D23" s="1">
        <v>12</v>
      </c>
      <c r="E23" s="20">
        <v>24</v>
      </c>
      <c r="F23" s="20" t="s">
        <v>169</v>
      </c>
      <c r="G23" s="1">
        <f>E23*D23</f>
        <v>288</v>
      </c>
      <c r="H23" s="1"/>
    </row>
    <row r="24" spans="1:8" x14ac:dyDescent="0.25">
      <c r="A24" s="24"/>
      <c r="B24" s="1" t="s">
        <v>167</v>
      </c>
      <c r="C24" s="1"/>
      <c r="D24" s="1">
        <v>168</v>
      </c>
      <c r="E24" s="20">
        <v>3</v>
      </c>
      <c r="F24" s="20" t="s">
        <v>155</v>
      </c>
      <c r="G24" s="20">
        <f t="shared" ref="G24:G25" si="2">E24*D24</f>
        <v>504</v>
      </c>
      <c r="H24" s="1"/>
    </row>
    <row r="25" spans="1:8" x14ac:dyDescent="0.25">
      <c r="A25" s="24"/>
      <c r="B25" s="1" t="s">
        <v>168</v>
      </c>
      <c r="C25" s="1"/>
      <c r="D25" s="1">
        <v>93</v>
      </c>
      <c r="E25" s="20">
        <v>1</v>
      </c>
      <c r="F25" s="20" t="s">
        <v>155</v>
      </c>
      <c r="G25" s="20">
        <f t="shared" si="2"/>
        <v>93</v>
      </c>
      <c r="H25" s="1"/>
    </row>
    <row r="26" spans="1:8" x14ac:dyDescent="0.25">
      <c r="A26" s="24"/>
      <c r="B26" s="1"/>
      <c r="C26" s="1"/>
      <c r="D26" s="1"/>
      <c r="E26" s="20"/>
      <c r="F26" s="20"/>
      <c r="G26" s="1"/>
      <c r="H26" s="1"/>
    </row>
    <row r="27" spans="1:8" x14ac:dyDescent="0.25">
      <c r="A27" s="24"/>
      <c r="B27" s="25" t="s">
        <v>7</v>
      </c>
      <c r="C27" s="26"/>
      <c r="D27" s="27"/>
      <c r="E27" s="21"/>
      <c r="F27" s="21"/>
      <c r="G27" s="14">
        <f>SUM(G23:G26)</f>
        <v>885</v>
      </c>
      <c r="H27" s="1"/>
    </row>
    <row r="28" spans="1:8" x14ac:dyDescent="0.25">
      <c r="A28" s="1" t="s">
        <v>17</v>
      </c>
      <c r="B28" s="1" t="s">
        <v>1</v>
      </c>
      <c r="C28" s="1" t="s">
        <v>2</v>
      </c>
      <c r="D28" s="1" t="s">
        <v>3</v>
      </c>
      <c r="E28" s="20" t="s">
        <v>154</v>
      </c>
      <c r="F28" s="20"/>
      <c r="G28" s="1" t="s">
        <v>4</v>
      </c>
      <c r="H28" s="1" t="s">
        <v>5</v>
      </c>
    </row>
    <row r="29" spans="1:8" x14ac:dyDescent="0.25">
      <c r="A29" s="24" t="s">
        <v>89</v>
      </c>
      <c r="B29" s="1" t="s">
        <v>90</v>
      </c>
      <c r="C29" s="1"/>
      <c r="D29" s="1"/>
      <c r="E29" s="20"/>
      <c r="F29" s="20"/>
      <c r="G29" s="1"/>
      <c r="H29" s="1" t="s">
        <v>18</v>
      </c>
    </row>
    <row r="30" spans="1:8" x14ac:dyDescent="0.25">
      <c r="A30" s="24"/>
      <c r="B30" s="1" t="s">
        <v>19</v>
      </c>
      <c r="C30" s="1"/>
      <c r="D30" s="1"/>
      <c r="E30" s="20"/>
      <c r="F30" s="20"/>
      <c r="G30" s="1"/>
      <c r="H30" s="1" t="s">
        <v>18</v>
      </c>
    </row>
    <row r="31" spans="1:8" x14ac:dyDescent="0.25">
      <c r="A31" s="24"/>
      <c r="B31" s="1"/>
      <c r="C31" s="1"/>
      <c r="D31" s="1"/>
      <c r="E31" s="20"/>
      <c r="F31" s="20"/>
      <c r="G31" s="1"/>
      <c r="H31" s="1"/>
    </row>
    <row r="32" spans="1:8" x14ac:dyDescent="0.25">
      <c r="A32" s="24"/>
      <c r="B32" s="25"/>
      <c r="C32" s="26"/>
      <c r="D32" s="27"/>
      <c r="E32" s="21"/>
      <c r="F32" s="21"/>
      <c r="G32" s="3"/>
      <c r="H32" s="1"/>
    </row>
    <row r="33" spans="1:8" x14ac:dyDescent="0.25">
      <c r="A33" s="1" t="s">
        <v>20</v>
      </c>
      <c r="B33" s="1" t="s">
        <v>1</v>
      </c>
      <c r="C33" s="1" t="s">
        <v>2</v>
      </c>
      <c r="D33" s="1" t="s">
        <v>3</v>
      </c>
      <c r="E33" s="21" t="s">
        <v>154</v>
      </c>
      <c r="F33" s="21"/>
      <c r="G33" s="3" t="s">
        <v>4</v>
      </c>
      <c r="H33" s="1" t="s">
        <v>5</v>
      </c>
    </row>
    <row r="34" spans="1:8" x14ac:dyDescent="0.25">
      <c r="A34" s="34"/>
      <c r="B34" s="1" t="s">
        <v>158</v>
      </c>
      <c r="C34" s="1"/>
      <c r="D34" s="1">
        <v>10.8</v>
      </c>
      <c r="E34" s="20">
        <v>65</v>
      </c>
      <c r="F34" s="20" t="s">
        <v>155</v>
      </c>
      <c r="G34" s="1">
        <f>D34*E34</f>
        <v>702</v>
      </c>
      <c r="H34" s="1"/>
    </row>
    <row r="35" spans="1:8" x14ac:dyDescent="0.25">
      <c r="A35" s="35"/>
      <c r="B35" s="1" t="s">
        <v>162</v>
      </c>
      <c r="C35" s="1"/>
      <c r="D35" s="1">
        <v>35.520000000000003</v>
      </c>
      <c r="E35" s="20">
        <v>66.67</v>
      </c>
      <c r="F35" s="20" t="s">
        <v>155</v>
      </c>
      <c r="G35" s="13">
        <f>D35*E35</f>
        <v>2368.1184000000003</v>
      </c>
      <c r="H35" s="1"/>
    </row>
    <row r="36" spans="1:8" x14ac:dyDescent="0.25">
      <c r="A36" s="36"/>
      <c r="B36" s="25" t="s">
        <v>7</v>
      </c>
      <c r="C36" s="26"/>
      <c r="D36" s="27"/>
      <c r="E36" s="21"/>
      <c r="F36" s="21"/>
      <c r="G36" s="15">
        <f>SUM(G34:G35)</f>
        <v>3070.1184000000003</v>
      </c>
      <c r="H36" s="6"/>
    </row>
    <row r="37" spans="1:8" x14ac:dyDescent="0.25">
      <c r="A37" s="7" t="s">
        <v>21</v>
      </c>
      <c r="B37" s="1" t="s">
        <v>1</v>
      </c>
      <c r="C37" s="1" t="s">
        <v>2</v>
      </c>
      <c r="D37" s="1" t="s">
        <v>3</v>
      </c>
      <c r="E37" s="20" t="s">
        <v>154</v>
      </c>
      <c r="F37" s="20"/>
      <c r="G37" s="1" t="s">
        <v>4</v>
      </c>
      <c r="H37" s="1"/>
    </row>
    <row r="38" spans="1:8" x14ac:dyDescent="0.25">
      <c r="A38" s="24"/>
      <c r="B38" s="1" t="s">
        <v>159</v>
      </c>
      <c r="C38" s="1"/>
      <c r="D38" s="1">
        <v>10</v>
      </c>
      <c r="E38" s="20">
        <v>25</v>
      </c>
      <c r="F38" s="20" t="s">
        <v>160</v>
      </c>
      <c r="G38" s="1">
        <f>D38*E38</f>
        <v>250</v>
      </c>
      <c r="H38" s="1"/>
    </row>
    <row r="39" spans="1:8" x14ac:dyDescent="0.25">
      <c r="A39" s="24"/>
      <c r="B39" s="1" t="s">
        <v>161</v>
      </c>
      <c r="C39" s="1"/>
      <c r="D39" s="1">
        <v>14.26</v>
      </c>
      <c r="E39" s="20">
        <v>25</v>
      </c>
      <c r="F39" s="20" t="s">
        <v>160</v>
      </c>
      <c r="G39" s="20">
        <f t="shared" ref="G39:G41" si="3">D39*E39</f>
        <v>356.5</v>
      </c>
      <c r="H39" s="1"/>
    </row>
    <row r="40" spans="1:8" x14ac:dyDescent="0.25">
      <c r="A40" s="24"/>
      <c r="B40" s="1" t="s">
        <v>163</v>
      </c>
      <c r="C40" s="1"/>
      <c r="D40" s="1">
        <v>1164</v>
      </c>
      <c r="E40" s="20">
        <v>1</v>
      </c>
      <c r="F40" s="20" t="s">
        <v>165</v>
      </c>
      <c r="G40" s="20">
        <f t="shared" si="3"/>
        <v>1164</v>
      </c>
      <c r="H40" s="1"/>
    </row>
    <row r="41" spans="1:8" x14ac:dyDescent="0.25">
      <c r="A41" s="24"/>
      <c r="B41" s="1" t="s">
        <v>164</v>
      </c>
      <c r="C41" s="1"/>
      <c r="D41" s="1">
        <v>30</v>
      </c>
      <c r="E41" s="20">
        <v>8</v>
      </c>
      <c r="F41" s="20" t="s">
        <v>155</v>
      </c>
      <c r="G41" s="20">
        <f t="shared" si="3"/>
        <v>240</v>
      </c>
      <c r="H41" s="1"/>
    </row>
    <row r="42" spans="1:8" x14ac:dyDescent="0.25">
      <c r="A42" s="24"/>
      <c r="B42" s="25" t="s">
        <v>7</v>
      </c>
      <c r="C42" s="26"/>
      <c r="D42" s="27"/>
      <c r="E42" s="21"/>
      <c r="F42" s="21"/>
      <c r="G42" s="15">
        <f>SUM(G38:G41)</f>
        <v>2010.5</v>
      </c>
      <c r="H42" s="1"/>
    </row>
    <row r="43" spans="1:8" x14ac:dyDescent="0.25">
      <c r="A43" s="1"/>
      <c r="B43" s="31" t="s">
        <v>22</v>
      </c>
      <c r="C43" s="32"/>
      <c r="D43" s="33"/>
      <c r="E43" s="22"/>
      <c r="F43" s="22"/>
      <c r="G43" s="16">
        <f>G42+G36+G21+G15+G8+G27</f>
        <v>17146.918400000002</v>
      </c>
      <c r="H43" s="1"/>
    </row>
  </sheetData>
  <mergeCells count="16">
    <mergeCell ref="A38:A42"/>
    <mergeCell ref="B42:D42"/>
    <mergeCell ref="B43:D43"/>
    <mergeCell ref="A23:A27"/>
    <mergeCell ref="B27:D27"/>
    <mergeCell ref="A29:A32"/>
    <mergeCell ref="B32:D32"/>
    <mergeCell ref="A34:A36"/>
    <mergeCell ref="B36:D36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2</vt:i4>
      </vt:variant>
    </vt:vector>
  </HeadingPairs>
  <TitlesOfParts>
    <vt:vector size="6" baseType="lpstr">
      <vt:lpstr>1230</vt:lpstr>
      <vt:lpstr>1231</vt:lpstr>
      <vt:lpstr>0102</vt:lpstr>
      <vt:lpstr>0103</vt:lpstr>
      <vt:lpstr>'0102'!Print_Area</vt:lpstr>
      <vt:lpstr>'0103'!Print_Area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2025-01-03T05:44:30Z</cp:lastPrinted>
  <dcterms:created xsi:type="dcterms:W3CDTF">2024-12-18T13:28:11Z</dcterms:created>
  <dcterms:modified xsi:type="dcterms:W3CDTF">2025-01-03T05:44:32Z</dcterms:modified>
</cp:coreProperties>
</file>