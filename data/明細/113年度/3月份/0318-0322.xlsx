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3月份\"/>
    </mc:Choice>
  </mc:AlternateContent>
  <bookViews>
    <workbookView xWindow="0" yWindow="0" windowWidth="28800" windowHeight="12255" activeTab="2"/>
  </bookViews>
  <sheets>
    <sheet name="0318(+)" sheetId="1" r:id="rId1"/>
    <sheet name="0319(+)" sheetId="6" r:id="rId2"/>
    <sheet name="0320(+)" sheetId="7" r:id="rId3"/>
    <sheet name="0321(+)" sheetId="4" r:id="rId4"/>
    <sheet name="0322(+)" sheetId="5" r:id="rId5"/>
  </sheets>
  <definedNames>
    <definedName name="_xlnm.Print_Area" localSheetId="0">'0318(+)'!$A$1:$H$40</definedName>
    <definedName name="_xlnm.Print_Area" localSheetId="1">'0319(+)'!$A$1:$H$40</definedName>
    <definedName name="_xlnm.Print_Area" localSheetId="2">'0320(+)'!$A$1:$H$43</definedName>
    <definedName name="_xlnm.Print_Area" localSheetId="3">'0321(+)'!$A$1:$H$40</definedName>
    <definedName name="_xlnm.Print_Area" localSheetId="4">'0322(+)'!$A$1:$H$49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0" i="4" l="1"/>
  <c r="G39" i="4"/>
  <c r="G33" i="4"/>
  <c r="G29" i="4"/>
  <c r="G19" i="4"/>
  <c r="G35" i="4"/>
  <c r="G7" i="4"/>
  <c r="G3" i="4"/>
  <c r="G32" i="4"/>
  <c r="G31" i="4"/>
  <c r="G28" i="4"/>
  <c r="G27" i="4"/>
  <c r="G16" i="4"/>
  <c r="G15" i="4"/>
  <c r="G13" i="4"/>
  <c r="G9" i="4"/>
  <c r="G9" i="7"/>
  <c r="G36" i="7"/>
  <c r="G7" i="7"/>
  <c r="G27" i="7"/>
  <c r="G26" i="7"/>
  <c r="G28" i="7" s="1"/>
  <c r="G11" i="7"/>
  <c r="G10" i="7"/>
  <c r="G35" i="7"/>
  <c r="G25" i="7"/>
  <c r="G34" i="7"/>
  <c r="G41" i="7"/>
  <c r="G40" i="7"/>
  <c r="G42" i="7" s="1"/>
  <c r="G39" i="7"/>
  <c r="G38" i="7"/>
  <c r="G3" i="7"/>
  <c r="G25" i="6"/>
  <c r="G40" i="6"/>
  <c r="G16" i="6"/>
  <c r="G32" i="6"/>
  <c r="G31" i="6"/>
  <c r="G35" i="6"/>
  <c r="G39" i="6" s="1"/>
  <c r="G29" i="6"/>
  <c r="G28" i="6"/>
  <c r="G15" i="6"/>
  <c r="G10" i="6"/>
  <c r="G11" i="6"/>
  <c r="G9" i="6"/>
  <c r="G7" i="6"/>
  <c r="G4" i="6"/>
  <c r="G3" i="6"/>
  <c r="G49" i="5"/>
  <c r="G36" i="5"/>
  <c r="G35" i="5"/>
  <c r="G48" i="5"/>
  <c r="G46" i="5"/>
  <c r="G47" i="5"/>
  <c r="G45" i="5"/>
  <c r="G28" i="5"/>
  <c r="G27" i="5"/>
  <c r="G26" i="5"/>
  <c r="G25" i="5"/>
  <c r="G24" i="5"/>
  <c r="G21" i="5"/>
  <c r="G22" i="5"/>
  <c r="G23" i="5"/>
  <c r="G44" i="5"/>
  <c r="G39" i="5"/>
  <c r="G40" i="5"/>
  <c r="G38" i="5"/>
  <c r="G42" i="5" s="1"/>
  <c r="G34" i="5"/>
  <c r="G16" i="5"/>
  <c r="G17" i="5"/>
  <c r="G15" i="5"/>
  <c r="G11" i="5"/>
  <c r="G10" i="5"/>
  <c r="G9" i="5"/>
  <c r="G3" i="5"/>
  <c r="G24" i="7"/>
  <c r="G23" i="7"/>
  <c r="G22" i="7"/>
  <c r="G21" i="7"/>
  <c r="G19" i="7"/>
  <c r="G13" i="7"/>
  <c r="G33" i="6"/>
  <c r="G24" i="6"/>
  <c r="G23" i="6"/>
  <c r="G22" i="6"/>
  <c r="G21" i="6"/>
  <c r="G19" i="6"/>
  <c r="G43" i="7" l="1"/>
  <c r="G13" i="6"/>
  <c r="G13" i="5"/>
  <c r="G19" i="5"/>
  <c r="G39" i="1"/>
  <c r="G40" i="1" s="1"/>
  <c r="G35" i="1"/>
  <c r="G33" i="1"/>
  <c r="G32" i="1"/>
  <c r="G31" i="1"/>
  <c r="G28" i="1"/>
  <c r="G25" i="1"/>
  <c r="G22" i="1"/>
  <c r="G23" i="1"/>
  <c r="G24" i="1"/>
  <c r="G21" i="1"/>
  <c r="G19" i="1"/>
  <c r="G13" i="1"/>
</calcChain>
</file>

<file path=xl/sharedStrings.xml><?xml version="1.0" encoding="utf-8"?>
<sst xmlns="http://schemas.openxmlformats.org/spreadsheetml/2006/main" count="524" uniqueCount="191">
  <si>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</si>
  <si>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</si>
  <si>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</si>
  <si>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</si>
  <si>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</si>
  <si>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</si>
  <si>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</si>
  <si>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</si>
  <si>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食材</t>
    <phoneticPr fontId="2" type="noConversion"/>
  </si>
  <si>
    <t>單價</t>
    <phoneticPr fontId="2" type="noConversion"/>
  </si>
  <si>
    <t>金額</t>
    <phoneticPr fontId="2" type="noConversion"/>
  </si>
  <si>
    <t>15斤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</si>
  <si>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</si>
  <si>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</si>
  <si>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數量</t>
    <phoneticPr fontId="2" type="noConversion"/>
  </si>
  <si>
    <t>雜貨</t>
    <phoneticPr fontId="2" type="noConversion"/>
  </si>
  <si>
    <t>湯品</t>
    <phoneticPr fontId="2" type="noConversion"/>
  </si>
  <si>
    <t>備考</t>
    <phoneticPr fontId="2" type="noConversion"/>
  </si>
  <si>
    <t>庫存</t>
    <phoneticPr fontId="2" type="noConversion"/>
  </si>
  <si>
    <t>青菜/水果</t>
    <phoneticPr fontId="2" type="noConversion"/>
  </si>
  <si>
    <t>週三麵食</t>
    <phoneticPr fontId="2" type="noConversion"/>
  </si>
  <si>
    <t>總      計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</si>
  <si>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</si>
  <si>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</si>
  <si>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</si>
  <si>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</si>
  <si>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食材</t>
    <phoneticPr fontId="2" type="noConversion"/>
  </si>
  <si>
    <t>合      計</t>
    <phoneticPr fontId="2" type="noConversion"/>
  </si>
  <si>
    <t>雜貨</t>
    <phoneticPr fontId="2" type="noConversion"/>
  </si>
  <si>
    <t>雞蛋</t>
    <phoneticPr fontId="2" type="noConversion"/>
  </si>
  <si>
    <t>青菜/水果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</si>
  <si>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</si>
  <si>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豬肉絲</t>
    <phoneticPr fontId="2" type="noConversion"/>
  </si>
  <si>
    <t>木耳絲</t>
    <phoneticPr fontId="2" type="noConversion"/>
  </si>
  <si>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</si>
  <si>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電訊科技中心(安康營區)     113年      3月   18 日      午餐明細表</t>
    <phoneticPr fontId="2" type="noConversion"/>
  </si>
  <si>
    <t>電訊科技中心(安康營區)     113年      3月   21日      午餐明細表</t>
    <phoneticPr fontId="2" type="noConversion"/>
  </si>
  <si>
    <t>電訊科技中心(安康營區)     113年      3月   22日      午餐明細表</t>
    <phoneticPr fontId="2" type="noConversion"/>
  </si>
  <si>
    <t>烤腿排</t>
    <phoneticPr fontId="2" type="noConversion"/>
  </si>
  <si>
    <t>糖醋豆包</t>
    <phoneticPr fontId="2" type="noConversion"/>
  </si>
  <si>
    <t>清炒胡瓜</t>
    <phoneticPr fontId="2" type="noConversion"/>
  </si>
  <si>
    <t>紫菜蛋花湯</t>
    <phoneticPr fontId="2" type="noConversion"/>
  </si>
  <si>
    <t>腿排</t>
    <phoneticPr fontId="2" type="noConversion"/>
  </si>
  <si>
    <t>240個</t>
    <phoneticPr fontId="2" type="noConversion"/>
  </si>
  <si>
    <t>豆包</t>
    <phoneticPr fontId="2" type="noConversion"/>
  </si>
  <si>
    <t>去皮洋蔥</t>
    <phoneticPr fontId="2" type="noConversion"/>
  </si>
  <si>
    <t>240片</t>
    <phoneticPr fontId="2" type="noConversion"/>
  </si>
  <si>
    <t>5斤</t>
    <phoneticPr fontId="2" type="noConversion"/>
  </si>
  <si>
    <t>胡瓜絲</t>
    <phoneticPr fontId="2" type="noConversion"/>
  </si>
  <si>
    <t>乾香菇絲</t>
    <phoneticPr fontId="2" type="noConversion"/>
  </si>
  <si>
    <t>35斤</t>
    <phoneticPr fontId="2" type="noConversion"/>
  </si>
  <si>
    <t>5斤</t>
    <phoneticPr fontId="2" type="noConversion"/>
  </si>
  <si>
    <t>半斤</t>
    <phoneticPr fontId="2" type="noConversion"/>
  </si>
  <si>
    <t>紫菜</t>
    <phoneticPr fontId="2" type="noConversion"/>
  </si>
  <si>
    <t>黑胡椒肉片</t>
    <phoneticPr fontId="2" type="noConversion"/>
  </si>
  <si>
    <t>螞蟻上樹</t>
    <phoneticPr fontId="2" type="noConversion"/>
  </si>
  <si>
    <t>小黃瓜炒竹輪</t>
    <phoneticPr fontId="2" type="noConversion"/>
  </si>
  <si>
    <t>味增豆腐湯</t>
    <phoneticPr fontId="2" type="noConversion"/>
  </si>
  <si>
    <t>味增</t>
    <phoneticPr fontId="2" type="noConversion"/>
  </si>
  <si>
    <t>4.3豆腐</t>
    <phoneticPr fontId="2" type="noConversion"/>
  </si>
  <si>
    <t>3板</t>
    <phoneticPr fontId="2" type="noConversion"/>
  </si>
  <si>
    <t>豬肉片</t>
    <phoneticPr fontId="2" type="noConversion"/>
  </si>
  <si>
    <t>洋蔥絲</t>
    <phoneticPr fontId="2" type="noConversion"/>
  </si>
  <si>
    <t>50斤</t>
    <phoneticPr fontId="2" type="noConversion"/>
  </si>
  <si>
    <t>冬粉</t>
    <phoneticPr fontId="2" type="noConversion"/>
  </si>
  <si>
    <t>絞肉</t>
    <phoneticPr fontId="2" type="noConversion"/>
  </si>
  <si>
    <t>木耳絲</t>
    <phoneticPr fontId="2" type="noConversion"/>
  </si>
  <si>
    <t>10斤</t>
    <phoneticPr fontId="2" type="noConversion"/>
  </si>
  <si>
    <t>4斤</t>
    <phoneticPr fontId="2" type="noConversion"/>
  </si>
  <si>
    <t>小黃瓜</t>
    <phoneticPr fontId="2" type="noConversion"/>
  </si>
  <si>
    <t>竹輪</t>
    <phoneticPr fontId="2" type="noConversion"/>
  </si>
  <si>
    <t>8包</t>
    <phoneticPr fontId="2" type="noConversion"/>
  </si>
  <si>
    <t>30斤</t>
    <phoneticPr fontId="2" type="noConversion"/>
  </si>
  <si>
    <t>滷雞腿</t>
    <phoneticPr fontId="2" type="noConversion"/>
  </si>
  <si>
    <t>270支</t>
    <phoneticPr fontId="2" type="noConversion"/>
  </si>
  <si>
    <t>棒腿</t>
    <phoneticPr fontId="2" type="noConversion"/>
  </si>
  <si>
    <t>滷味拼盤</t>
    <phoneticPr fontId="2" type="noConversion"/>
  </si>
  <si>
    <t>鳥蛋</t>
    <phoneticPr fontId="2" type="noConversion"/>
  </si>
  <si>
    <t>油豆腐丁</t>
    <phoneticPr fontId="2" type="noConversion"/>
  </si>
  <si>
    <t>900粒</t>
    <phoneticPr fontId="2" type="noConversion"/>
  </si>
  <si>
    <t>20斤</t>
    <phoneticPr fontId="2" type="noConversion"/>
  </si>
  <si>
    <t>米苔目(湯)</t>
    <phoneticPr fontId="2" type="noConversion"/>
  </si>
  <si>
    <t>粗米苔目</t>
    <phoneticPr fontId="2" type="noConversion"/>
  </si>
  <si>
    <t>韭菜</t>
    <phoneticPr fontId="2" type="noConversion"/>
  </si>
  <si>
    <t>豆芽菜</t>
    <phoneticPr fontId="2" type="noConversion"/>
  </si>
  <si>
    <t>控肉片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</si>
  <si>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</si>
  <si>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涼拌茄子</t>
    <phoneticPr fontId="2" type="noConversion"/>
  </si>
  <si>
    <t>醬燒甜不辣條</t>
    <phoneticPr fontId="2" type="noConversion"/>
  </si>
  <si>
    <t>白蘿蔔海結湯</t>
    <phoneticPr fontId="2" type="noConversion"/>
  </si>
  <si>
    <t>去皮白蘿蔔</t>
    <phoneticPr fontId="2" type="noConversion"/>
  </si>
  <si>
    <t>海帶結</t>
    <phoneticPr fontId="2" type="noConversion"/>
  </si>
  <si>
    <t>甜不辣條</t>
    <phoneticPr fontId="2" type="noConversion"/>
  </si>
  <si>
    <t>去皮洋蔥</t>
    <phoneticPr fontId="2" type="noConversion"/>
  </si>
  <si>
    <t>8斤</t>
    <phoneticPr fontId="2" type="noConversion"/>
  </si>
  <si>
    <t>茄子</t>
    <phoneticPr fontId="2" type="noConversion"/>
  </si>
  <si>
    <t>55斤</t>
    <phoneticPr fontId="2" type="noConversion"/>
  </si>
  <si>
    <t>控肉片</t>
    <phoneticPr fontId="2" type="noConversion"/>
  </si>
  <si>
    <t>270片</t>
    <phoneticPr fontId="2" type="noConversion"/>
  </si>
  <si>
    <t>炸雞翅</t>
    <phoneticPr fontId="2" type="noConversion"/>
  </si>
  <si>
    <t>雞翅</t>
    <phoneticPr fontId="2" type="noConversion"/>
  </si>
  <si>
    <t>250支</t>
    <phoneticPr fontId="2" type="noConversion"/>
  </si>
  <si>
    <t>番茄炒蛋</t>
    <phoneticPr fontId="2" type="noConversion"/>
  </si>
  <si>
    <t>竹筍炒肉絲</t>
    <phoneticPr fontId="2" type="noConversion"/>
  </si>
  <si>
    <t>紅豆湯</t>
    <phoneticPr fontId="2" type="noConversion"/>
  </si>
  <si>
    <t>紅豆</t>
    <phoneticPr fontId="2" type="noConversion"/>
  </si>
  <si>
    <t>庫存</t>
    <phoneticPr fontId="2" type="noConversion"/>
  </si>
  <si>
    <t>筍絲</t>
    <phoneticPr fontId="2" type="noConversion"/>
  </si>
  <si>
    <t>20斤</t>
    <phoneticPr fontId="2" type="noConversion"/>
  </si>
  <si>
    <t>8斤</t>
    <phoneticPr fontId="2" type="noConversion"/>
  </si>
  <si>
    <t>牛番茄</t>
    <phoneticPr fontId="2" type="noConversion"/>
  </si>
  <si>
    <t>蛋</t>
    <phoneticPr fontId="2" type="noConversion"/>
  </si>
  <si>
    <t>1件</t>
    <phoneticPr fontId="2" type="noConversion"/>
  </si>
  <si>
    <t>炸豆包</t>
    <phoneticPr fontId="2" type="noConversion"/>
  </si>
  <si>
    <t>訂貨數量</t>
    <phoneticPr fontId="2" type="noConversion"/>
  </si>
  <si>
    <t>斤</t>
    <phoneticPr fontId="2" type="noConversion"/>
  </si>
  <si>
    <t>訂貨數量</t>
    <phoneticPr fontId="2" type="noConversion"/>
  </si>
  <si>
    <t>超秦雞排</t>
    <phoneticPr fontId="2" type="noConversion"/>
  </si>
  <si>
    <t>扁蒲切絲</t>
    <phoneticPr fontId="2" type="noConversion"/>
  </si>
  <si>
    <t>濕木耳絲</t>
    <phoneticPr fontId="2" type="noConversion"/>
  </si>
  <si>
    <t>辣椒</t>
    <phoneticPr fontId="2" type="noConversion"/>
  </si>
  <si>
    <t>老薑</t>
    <phoneticPr fontId="2" type="noConversion"/>
  </si>
  <si>
    <t>蒜仁</t>
    <phoneticPr fontId="2" type="noConversion"/>
  </si>
  <si>
    <t>青蔥</t>
    <phoneticPr fontId="2" type="noConversion"/>
  </si>
  <si>
    <t>高麗菜</t>
    <phoneticPr fontId="2" type="noConversion"/>
  </si>
  <si>
    <t>桶柑</t>
    <phoneticPr fontId="2" type="noConversion"/>
  </si>
  <si>
    <t>杏鮑菇</t>
    <phoneticPr fontId="2" type="noConversion"/>
  </si>
  <si>
    <t>額外項/素食</t>
    <phoneticPr fontId="2" type="noConversion"/>
  </si>
  <si>
    <t>奇美蔥抓餅</t>
    <phoneticPr fontId="2" type="noConversion"/>
  </si>
  <si>
    <t>包</t>
    <phoneticPr fontId="2" type="noConversion"/>
  </si>
  <si>
    <t>訂貨數量</t>
    <phoneticPr fontId="2" type="noConversion"/>
  </si>
  <si>
    <t>斤</t>
    <phoneticPr fontId="2" type="noConversion"/>
  </si>
  <si>
    <t>鮮筍切絲</t>
    <phoneticPr fontId="2" type="noConversion"/>
  </si>
  <si>
    <t>濕木耳絲</t>
    <phoneticPr fontId="2" type="noConversion"/>
  </si>
  <si>
    <t>前腿肉絲</t>
    <phoneticPr fontId="2" type="noConversion"/>
  </si>
  <si>
    <t>桶柑</t>
    <phoneticPr fontId="2" type="noConversion"/>
  </si>
  <si>
    <t>晚餐</t>
    <phoneticPr fontId="2" type="noConversion"/>
  </si>
  <si>
    <t>肉燥麵</t>
    <phoneticPr fontId="2" type="noConversion"/>
  </si>
  <si>
    <t>油麵</t>
    <phoneticPr fontId="2" type="noConversion"/>
  </si>
  <si>
    <t>乾豆芽</t>
    <phoneticPr fontId="2" type="noConversion"/>
  </si>
  <si>
    <t>紅蘿蔔切絲</t>
    <phoneticPr fontId="2" type="noConversion"/>
  </si>
  <si>
    <t>吐司(26片)</t>
    <phoneticPr fontId="2" type="noConversion"/>
  </si>
  <si>
    <t>條</t>
    <phoneticPr fontId="2" type="noConversion"/>
  </si>
  <si>
    <t>瓶</t>
    <phoneticPr fontId="2" type="noConversion"/>
  </si>
  <si>
    <t>金蘭醬油(5L)</t>
    <phoneticPr fontId="2" type="noConversion"/>
  </si>
  <si>
    <t>調理米酒(600ml)</t>
    <phoneticPr fontId="2" type="noConversion"/>
  </si>
  <si>
    <t>桶</t>
    <phoneticPr fontId="2" type="noConversion"/>
  </si>
  <si>
    <t>甘醇油膏(5L)</t>
    <phoneticPr fontId="2" type="noConversion"/>
  </si>
  <si>
    <t>可果美番茄醬</t>
    <phoneticPr fontId="2" type="noConversion"/>
  </si>
  <si>
    <t>牛頭牌沙茶醬</t>
    <phoneticPr fontId="2" type="noConversion"/>
  </si>
  <si>
    <t>台糖二砂</t>
    <phoneticPr fontId="2" type="noConversion"/>
  </si>
  <si>
    <t>袋</t>
    <phoneticPr fontId="2" type="noConversion"/>
  </si>
  <si>
    <t>雜貨/其他</t>
    <phoneticPr fontId="2" type="noConversion"/>
  </si>
  <si>
    <t>早餐</t>
    <phoneticPr fontId="2" type="noConversion"/>
  </si>
  <si>
    <t>高纖味素</t>
    <phoneticPr fontId="2" type="noConversion"/>
  </si>
  <si>
    <t>盒</t>
    <phoneticPr fontId="2" type="noConversion"/>
  </si>
  <si>
    <t>非合約項目</t>
    <phoneticPr fontId="2" type="noConversion"/>
  </si>
  <si>
    <t>鍋貼(50入)</t>
    <phoneticPr fontId="2" type="noConversion"/>
  </si>
  <si>
    <t>個</t>
    <phoneticPr fontId="2" type="noConversion"/>
  </si>
  <si>
    <t>厚片土司</t>
    <phoneticPr fontId="2" type="noConversion"/>
  </si>
  <si>
    <t>件</t>
    <phoneticPr fontId="2" type="noConversion"/>
  </si>
  <si>
    <t>合      計</t>
    <phoneticPr fontId="2" type="noConversion"/>
  </si>
  <si>
    <t>綠茶鋁箔包24入</t>
    <phoneticPr fontId="2" type="noConversion"/>
  </si>
  <si>
    <t>高麗菜</t>
    <phoneticPr fontId="2" type="noConversion"/>
  </si>
  <si>
    <t>三好米</t>
    <phoneticPr fontId="2" type="noConversion"/>
  </si>
  <si>
    <t>五穀米</t>
    <phoneticPr fontId="2" type="noConversion"/>
  </si>
  <si>
    <t>沙拉油(台糖18L)</t>
    <phoneticPr fontId="2" type="noConversion"/>
  </si>
  <si>
    <t>桶</t>
    <phoneticPr fontId="2" type="noConversion"/>
  </si>
  <si>
    <t>力大前腿肉絲</t>
    <phoneticPr fontId="2" type="noConversion"/>
  </si>
  <si>
    <t>盤</t>
    <phoneticPr fontId="2" type="noConversion"/>
  </si>
  <si>
    <t>早餐/素食</t>
    <phoneticPr fontId="2" type="noConversion"/>
  </si>
  <si>
    <t>條</t>
    <phoneticPr fontId="2" type="noConversion"/>
  </si>
  <si>
    <t>木瓜</t>
    <phoneticPr fontId="2" type="noConversion"/>
  </si>
  <si>
    <t>非合約項目</t>
    <phoneticPr fontId="2" type="noConversion"/>
  </si>
  <si>
    <t>超秦棒腿</t>
    <phoneticPr fontId="2" type="noConversion"/>
  </si>
  <si>
    <t>乾豆芽</t>
    <phoneticPr fontId="2" type="noConversion"/>
  </si>
  <si>
    <t>香油</t>
    <phoneticPr fontId="2" type="noConversion"/>
  </si>
  <si>
    <t>香菇素蠔油(5L)</t>
    <phoneticPr fontId="2" type="noConversion"/>
  </si>
  <si>
    <t>金蘭醬油</t>
    <phoneticPr fontId="2" type="noConversion"/>
  </si>
  <si>
    <t>非基改味噌</t>
    <phoneticPr fontId="2" type="noConversion"/>
  </si>
  <si>
    <t>件</t>
    <phoneticPr fontId="2" type="noConversion"/>
  </si>
  <si>
    <t>米血丁
(豬血糕.切)</t>
    <phoneticPr fontId="2" type="noConversion"/>
  </si>
  <si>
    <t>高鮮味素</t>
    <phoneticPr fontId="2" type="noConversion"/>
  </si>
  <si>
    <t>盒</t>
    <phoneticPr fontId="2" type="noConversion"/>
  </si>
  <si>
    <t>安佳奶油</t>
    <phoneticPr fontId="2" type="noConversion"/>
  </si>
  <si>
    <t>港式蘿蔔糕</t>
    <phoneticPr fontId="2" type="noConversion"/>
  </si>
  <si>
    <r>
      <rPr>
        <b/>
        <sz val="12"/>
        <color rgb="FFFF0000"/>
        <rFont val="標楷體"/>
        <family val="4"/>
        <charset val="136"/>
      </rPr>
      <t>早餐</t>
    </r>
    <r>
      <rPr>
        <sz val="12"/>
        <color theme="1"/>
        <rFont val="標楷體"/>
        <family val="4"/>
        <charset val="136"/>
      </rPr>
      <t>/菜名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</si>
  <si>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木瓜</t>
    <phoneticPr fontId="2" type="noConversion"/>
  </si>
  <si>
    <t>早餐</t>
    <phoneticPr fontId="2" type="noConversion"/>
  </si>
  <si>
    <t>電訊科技中心(安康營區)     113年      3月   19 日      午餐明細表</t>
    <phoneticPr fontId="2" type="noConversion"/>
  </si>
  <si>
    <t>電訊科技中心(安康營區)     113年      3月  20 日      午餐明細表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</si>
</sst>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_ "/>
  </numFmts>
  <fonts count="12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rgb="FF00B0F0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sz val="12"/>
      <color theme="1"/>
      <name val="新細明體"/>
      <family val="1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sz val="12"/>
      <color rgb="FF00B050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Border="1">
      <alignment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3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3" xfId="0" applyFont="1" applyFill="1" applyBorder="1">
      <alignment vertical="center"/>
    </xf>
    <xf numFmtId="0" fontId="3" fillId="0" borderId="4" xfId="0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0" fontId="0" fillId="0" borderId="3" xfId="0" applyBorder="1">
      <alignment vertical="center"/>
    </xf>
    <xf numFmtId="177" fontId="3" fillId="0" borderId="4" xfId="0" applyNumberFormat="1" applyFont="1" applyBorder="1" applyAlignment="1">
      <alignment horizontal="center" vertical="center"/>
    </xf>
    <xf numFmtId="177" fontId="3" fillId="2" borderId="4" xfId="0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workbookViewId="0">
      <selection activeCell="F3" sqref="F3"/>
    </sheetView>
  </sheetViews>
  <sheetFormatPr defaultRowHeight="16.5" x14ac:dyDescent="0.25"/>
  <cols>
    <col min="1" max="2" width="15.625" style="28" customWidth="1"/>
    <col min="3" max="4" width="9" style="28"/>
    <col min="5" max="5" width="8.5" style="28" customWidth="1"/>
    <col min="6" max="6" width="4" style="28" customWidth="1"/>
    <col min="7" max="8" width="13.625" style="28" customWidth="1"/>
    <col min="9" max="16384" width="9" style="28"/>
  </cols>
  <sheetData>
    <row r="1" spans="1:10" x14ac:dyDescent="0.25">
      <c r="A1" s="49" t="s">
        <v>35</v>
      </c>
      <c r="B1" s="49"/>
      <c r="C1" s="49"/>
      <c r="D1" s="49"/>
      <c r="E1" s="49"/>
      <c r="F1" s="49"/>
      <c r="G1" s="49"/>
      <c r="H1" s="50"/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116</v>
      </c>
      <c r="F2" s="29"/>
      <c r="G2" s="7" t="s">
        <v>4</v>
      </c>
      <c r="H2" s="2" t="s">
        <v>5</v>
      </c>
    </row>
    <row r="3" spans="1:10" x14ac:dyDescent="0.25">
      <c r="A3" s="2" t="s">
        <v>38</v>
      </c>
      <c r="B3" s="2" t="s">
        <v>42</v>
      </c>
      <c r="C3" s="2" t="s">
        <v>43</v>
      </c>
      <c r="D3" s="2">
        <v>66</v>
      </c>
      <c r="E3" s="29">
        <v>56.67</v>
      </c>
      <c r="F3" s="2" t="s">
        <v>115</v>
      </c>
      <c r="G3" s="7">
        <v>3740</v>
      </c>
      <c r="H3" s="24" t="s">
        <v>117</v>
      </c>
    </row>
    <row r="4" spans="1:10" x14ac:dyDescent="0.25">
      <c r="A4" s="2"/>
      <c r="B4" s="2"/>
      <c r="C4" s="2"/>
      <c r="D4" s="2"/>
      <c r="E4" s="29"/>
      <c r="F4" s="29"/>
      <c r="G4" s="7"/>
      <c r="H4" s="2"/>
    </row>
    <row r="5" spans="1:10" x14ac:dyDescent="0.25">
      <c r="A5" s="2"/>
      <c r="B5" s="2"/>
      <c r="C5" s="2"/>
      <c r="D5" s="2"/>
      <c r="E5" s="29"/>
      <c r="F5" s="29"/>
      <c r="G5" s="7"/>
      <c r="H5" s="2"/>
    </row>
    <row r="6" spans="1:10" x14ac:dyDescent="0.25">
      <c r="A6" s="2"/>
      <c r="B6" s="2"/>
      <c r="C6" s="2"/>
      <c r="D6" s="2"/>
      <c r="E6" s="29"/>
      <c r="F6" s="21"/>
      <c r="G6" s="7"/>
      <c r="H6" s="2"/>
    </row>
    <row r="7" spans="1:10" x14ac:dyDescent="0.25">
      <c r="A7" s="2"/>
      <c r="B7" s="5" t="s">
        <v>6</v>
      </c>
      <c r="C7" s="6"/>
      <c r="D7" s="7"/>
      <c r="E7" s="29"/>
      <c r="F7" s="22"/>
      <c r="G7" s="25">
        <v>3740</v>
      </c>
      <c r="H7" s="2"/>
    </row>
    <row r="8" spans="1:10" x14ac:dyDescent="0.25">
      <c r="A8" s="2" t="s">
        <v>7</v>
      </c>
      <c r="B8" s="2" t="s">
        <v>8</v>
      </c>
      <c r="C8" s="2" t="s">
        <v>2</v>
      </c>
      <c r="D8" s="2" t="s">
        <v>9</v>
      </c>
      <c r="E8" s="23" t="s">
        <v>114</v>
      </c>
      <c r="F8" s="22"/>
      <c r="G8" s="7" t="s">
        <v>10</v>
      </c>
      <c r="H8" s="2" t="s">
        <v>5</v>
      </c>
    </row>
    <row r="9" spans="1:10" x14ac:dyDescent="0.25">
      <c r="A9" s="2" t="s">
        <v>39</v>
      </c>
      <c r="B9" s="2" t="s">
        <v>44</v>
      </c>
      <c r="C9" s="2" t="s">
        <v>46</v>
      </c>
      <c r="D9" s="2">
        <v>130</v>
      </c>
      <c r="E9" s="23">
        <v>24.17</v>
      </c>
      <c r="F9" s="2" t="s">
        <v>115</v>
      </c>
      <c r="G9" s="7">
        <v>3142</v>
      </c>
      <c r="H9" s="24" t="s">
        <v>113</v>
      </c>
      <c r="I9" s="30"/>
      <c r="J9" s="30"/>
    </row>
    <row r="10" spans="1:10" x14ac:dyDescent="0.25">
      <c r="A10" s="2"/>
      <c r="B10" s="10" t="s">
        <v>45</v>
      </c>
      <c r="C10" s="2" t="s">
        <v>47</v>
      </c>
      <c r="D10" s="2">
        <v>30.6</v>
      </c>
      <c r="E10" s="29">
        <v>5</v>
      </c>
      <c r="F10" s="2" t="s">
        <v>115</v>
      </c>
      <c r="G10" s="7">
        <v>153</v>
      </c>
      <c r="H10" s="2"/>
      <c r="I10" s="31"/>
      <c r="J10" s="30"/>
    </row>
    <row r="11" spans="1:10" x14ac:dyDescent="0.25">
      <c r="A11" s="2"/>
      <c r="B11" s="2"/>
      <c r="C11" s="2"/>
      <c r="D11" s="2"/>
      <c r="E11" s="29"/>
      <c r="F11" s="29"/>
      <c r="G11" s="7"/>
      <c r="H11" s="2"/>
      <c r="I11" s="31"/>
      <c r="J11" s="30"/>
    </row>
    <row r="12" spans="1:10" x14ac:dyDescent="0.25">
      <c r="A12" s="2"/>
      <c r="B12" s="2"/>
      <c r="C12" s="2"/>
      <c r="D12" s="2"/>
      <c r="E12" s="29"/>
      <c r="F12" s="29"/>
      <c r="G12" s="7"/>
      <c r="H12" s="2"/>
      <c r="I12" s="31"/>
      <c r="J12" s="30"/>
    </row>
    <row r="13" spans="1:10" x14ac:dyDescent="0.25">
      <c r="A13" s="2"/>
      <c r="B13" s="5" t="s">
        <v>12</v>
      </c>
      <c r="C13" s="51"/>
      <c r="D13" s="51"/>
      <c r="E13" s="51"/>
      <c r="F13" s="52"/>
      <c r="G13" s="25">
        <f>SUM(G9:G12)</f>
        <v>3295</v>
      </c>
      <c r="H13" s="2"/>
      <c r="I13" s="30"/>
      <c r="J13" s="30"/>
    </row>
    <row r="14" spans="1:10" x14ac:dyDescent="0.25">
      <c r="A14" s="2" t="s">
        <v>13</v>
      </c>
      <c r="B14" s="2" t="s">
        <v>8</v>
      </c>
      <c r="C14" s="2" t="s">
        <v>14</v>
      </c>
      <c r="D14" s="2" t="s">
        <v>3</v>
      </c>
      <c r="E14" s="29" t="s">
        <v>114</v>
      </c>
      <c r="F14" s="29"/>
      <c r="G14" s="7" t="s">
        <v>10</v>
      </c>
      <c r="H14" s="2" t="s">
        <v>5</v>
      </c>
      <c r="I14" s="30"/>
      <c r="J14" s="30"/>
    </row>
    <row r="15" spans="1:10" x14ac:dyDescent="0.25">
      <c r="A15" s="2" t="s">
        <v>40</v>
      </c>
      <c r="B15" s="2" t="s">
        <v>48</v>
      </c>
      <c r="C15" s="2" t="s">
        <v>50</v>
      </c>
      <c r="D15" s="2">
        <v>28.5</v>
      </c>
      <c r="E15" s="29">
        <v>35</v>
      </c>
      <c r="F15" s="2" t="s">
        <v>115</v>
      </c>
      <c r="G15" s="7">
        <v>998</v>
      </c>
      <c r="H15" s="2" t="s">
        <v>118</v>
      </c>
      <c r="I15" s="30"/>
      <c r="J15" s="30"/>
    </row>
    <row r="16" spans="1:10" x14ac:dyDescent="0.25">
      <c r="A16" s="2"/>
      <c r="B16" s="2" t="s">
        <v>33</v>
      </c>
      <c r="C16" s="2" t="s">
        <v>51</v>
      </c>
      <c r="D16" s="2">
        <v>45</v>
      </c>
      <c r="E16" s="29">
        <v>5</v>
      </c>
      <c r="F16" s="2" t="s">
        <v>115</v>
      </c>
      <c r="G16" s="7">
        <v>225</v>
      </c>
      <c r="H16" s="2" t="s">
        <v>119</v>
      </c>
    </row>
    <row r="17" spans="1:8" x14ac:dyDescent="0.25">
      <c r="A17" s="2"/>
      <c r="B17" s="2" t="s">
        <v>49</v>
      </c>
      <c r="C17" s="2" t="s">
        <v>52</v>
      </c>
      <c r="D17" s="2">
        <v>660</v>
      </c>
      <c r="E17" s="29">
        <v>0.5</v>
      </c>
      <c r="F17" s="2" t="s">
        <v>115</v>
      </c>
      <c r="G17" s="7">
        <v>330</v>
      </c>
      <c r="H17" s="2"/>
    </row>
    <row r="18" spans="1:8" x14ac:dyDescent="0.25">
      <c r="A18" s="2"/>
      <c r="B18" s="23"/>
      <c r="C18" s="23"/>
      <c r="D18" s="23"/>
      <c r="E18" s="32"/>
      <c r="F18" s="32"/>
      <c r="G18" s="33"/>
      <c r="H18" s="2"/>
    </row>
    <row r="19" spans="1:8" x14ac:dyDescent="0.25">
      <c r="A19" s="2"/>
      <c r="B19" s="53" t="s">
        <v>12</v>
      </c>
      <c r="C19" s="54"/>
      <c r="D19" s="54"/>
      <c r="E19" s="54"/>
      <c r="F19" s="55"/>
      <c r="G19" s="25">
        <f>SUM(G15:G18)</f>
        <v>1553</v>
      </c>
      <c r="H19" s="2"/>
    </row>
    <row r="20" spans="1:8" x14ac:dyDescent="0.25">
      <c r="A20" s="12" t="s">
        <v>15</v>
      </c>
      <c r="B20" s="2" t="s">
        <v>8</v>
      </c>
      <c r="C20" s="2" t="s">
        <v>14</v>
      </c>
      <c r="D20" s="2" t="s">
        <v>9</v>
      </c>
      <c r="E20" s="2" t="s">
        <v>116</v>
      </c>
      <c r="F20" s="29"/>
      <c r="G20" s="7" t="s">
        <v>10</v>
      </c>
      <c r="H20" s="2" t="s">
        <v>5</v>
      </c>
    </row>
    <row r="21" spans="1:8" x14ac:dyDescent="0.25">
      <c r="A21" s="2"/>
      <c r="B21" s="2" t="s">
        <v>120</v>
      </c>
      <c r="C21" s="2"/>
      <c r="D21" s="2">
        <v>150</v>
      </c>
      <c r="E21" s="29">
        <v>2</v>
      </c>
      <c r="F21" s="2" t="s">
        <v>115</v>
      </c>
      <c r="G21" s="7">
        <f>D21*E21</f>
        <v>300</v>
      </c>
      <c r="H21" s="2"/>
    </row>
    <row r="22" spans="1:8" x14ac:dyDescent="0.25">
      <c r="A22" s="2"/>
      <c r="B22" s="2" t="s">
        <v>121</v>
      </c>
      <c r="C22" s="2"/>
      <c r="D22" s="2">
        <v>49.5</v>
      </c>
      <c r="E22" s="29">
        <v>0.5</v>
      </c>
      <c r="F22" s="29"/>
      <c r="G22" s="26">
        <f t="shared" ref="G22:G24" si="0">D22*E22</f>
        <v>24.75</v>
      </c>
      <c r="H22" s="2"/>
    </row>
    <row r="23" spans="1:8" x14ac:dyDescent="0.25">
      <c r="A23" s="2"/>
      <c r="B23" s="2" t="s">
        <v>122</v>
      </c>
      <c r="C23" s="2"/>
      <c r="D23" s="2">
        <v>132.6</v>
      </c>
      <c r="E23" s="29">
        <v>8</v>
      </c>
      <c r="F23" s="29"/>
      <c r="G23" s="26">
        <f t="shared" si="0"/>
        <v>1060.8</v>
      </c>
      <c r="H23" s="2"/>
    </row>
    <row r="24" spans="1:8" x14ac:dyDescent="0.25">
      <c r="A24" s="2"/>
      <c r="B24" s="2" t="s">
        <v>123</v>
      </c>
      <c r="C24" s="2"/>
      <c r="D24" s="2">
        <v>39.6</v>
      </c>
      <c r="E24" s="29">
        <v>5</v>
      </c>
      <c r="F24" s="29"/>
      <c r="G24" s="7">
        <f t="shared" si="0"/>
        <v>198</v>
      </c>
      <c r="H24" s="2"/>
    </row>
    <row r="25" spans="1:8" x14ac:dyDescent="0.25">
      <c r="A25" s="2"/>
      <c r="B25" s="53" t="s">
        <v>12</v>
      </c>
      <c r="C25" s="54"/>
      <c r="D25" s="54"/>
      <c r="E25" s="54"/>
      <c r="F25" s="55"/>
      <c r="G25" s="27">
        <f>SUM(G21:G24)</f>
        <v>1583.55</v>
      </c>
      <c r="H25" s="2"/>
    </row>
    <row r="26" spans="1:8" x14ac:dyDescent="0.25">
      <c r="A26" s="2" t="s">
        <v>16</v>
      </c>
      <c r="B26" s="2" t="s">
        <v>8</v>
      </c>
      <c r="C26" s="2" t="s">
        <v>14</v>
      </c>
      <c r="D26" s="2" t="s">
        <v>3</v>
      </c>
      <c r="E26" s="2" t="s">
        <v>116</v>
      </c>
      <c r="F26" s="29"/>
      <c r="G26" s="7" t="s">
        <v>4</v>
      </c>
      <c r="H26" s="2" t="s">
        <v>17</v>
      </c>
    </row>
    <row r="27" spans="1:8" x14ac:dyDescent="0.25">
      <c r="A27" s="2" t="s">
        <v>41</v>
      </c>
      <c r="B27" s="2" t="s">
        <v>53</v>
      </c>
      <c r="C27" s="2"/>
      <c r="D27" s="2"/>
      <c r="E27" s="29"/>
      <c r="F27" s="29"/>
      <c r="G27" s="7"/>
      <c r="H27" s="2" t="s">
        <v>18</v>
      </c>
    </row>
    <row r="28" spans="1:8" x14ac:dyDescent="0.25">
      <c r="A28" s="2"/>
      <c r="B28" s="2" t="s">
        <v>29</v>
      </c>
      <c r="C28" s="2"/>
      <c r="D28" s="2">
        <v>55.2</v>
      </c>
      <c r="E28" s="29">
        <v>40</v>
      </c>
      <c r="F28" s="29" t="s">
        <v>115</v>
      </c>
      <c r="G28" s="7">
        <f>D28*E28</f>
        <v>2208</v>
      </c>
      <c r="H28" s="2"/>
    </row>
    <row r="29" spans="1:8" x14ac:dyDescent="0.25">
      <c r="A29" s="2"/>
      <c r="B29" s="5" t="s">
        <v>6</v>
      </c>
      <c r="C29" s="6"/>
      <c r="D29" s="7"/>
      <c r="E29" s="29"/>
      <c r="F29" s="29"/>
      <c r="G29" s="25">
        <v>2208</v>
      </c>
      <c r="H29" s="2"/>
    </row>
    <row r="30" spans="1:8" x14ac:dyDescent="0.25">
      <c r="A30" s="2" t="s">
        <v>19</v>
      </c>
      <c r="B30" s="2" t="s">
        <v>8</v>
      </c>
      <c r="C30" s="2" t="s">
        <v>14</v>
      </c>
      <c r="D30" s="2" t="s">
        <v>9</v>
      </c>
      <c r="E30" s="2" t="s">
        <v>116</v>
      </c>
      <c r="F30" s="29"/>
      <c r="G30" s="7" t="s">
        <v>10</v>
      </c>
      <c r="H30" s="2" t="s">
        <v>17</v>
      </c>
    </row>
    <row r="31" spans="1:8" x14ac:dyDescent="0.25">
      <c r="A31" s="13"/>
      <c r="B31" s="2" t="s">
        <v>124</v>
      </c>
      <c r="C31" s="2"/>
      <c r="D31" s="2">
        <v>12.24</v>
      </c>
      <c r="E31" s="29">
        <v>65</v>
      </c>
      <c r="F31" s="29" t="s">
        <v>115</v>
      </c>
      <c r="G31" s="26">
        <f>D31*E31</f>
        <v>795.6</v>
      </c>
      <c r="H31" s="2"/>
    </row>
    <row r="32" spans="1:8" x14ac:dyDescent="0.25">
      <c r="A32" s="14"/>
      <c r="B32" s="2" t="s">
        <v>125</v>
      </c>
      <c r="C32" s="2"/>
      <c r="D32" s="2">
        <v>27.84</v>
      </c>
      <c r="E32" s="29">
        <v>53.33</v>
      </c>
      <c r="F32" s="29" t="s">
        <v>115</v>
      </c>
      <c r="G32" s="26">
        <f>D32*E32</f>
        <v>1484.7072000000001</v>
      </c>
      <c r="H32" s="2"/>
    </row>
    <row r="33" spans="1:8" x14ac:dyDescent="0.25">
      <c r="A33" s="15"/>
      <c r="B33" s="53" t="s">
        <v>12</v>
      </c>
      <c r="C33" s="54"/>
      <c r="D33" s="54"/>
      <c r="E33" s="54"/>
      <c r="F33" s="55"/>
      <c r="G33" s="27">
        <f>SUM(G31:G32)</f>
        <v>2280.3072000000002</v>
      </c>
      <c r="H33" s="16"/>
    </row>
    <row r="34" spans="1:8" x14ac:dyDescent="0.25">
      <c r="A34" s="17" t="s">
        <v>127</v>
      </c>
      <c r="B34" s="2" t="s">
        <v>1</v>
      </c>
      <c r="C34" s="2" t="s">
        <v>14</v>
      </c>
      <c r="D34" s="2" t="s">
        <v>9</v>
      </c>
      <c r="E34" s="2" t="s">
        <v>116</v>
      </c>
      <c r="F34" s="29"/>
      <c r="G34" s="7" t="s">
        <v>4</v>
      </c>
      <c r="H34" s="2"/>
    </row>
    <row r="35" spans="1:8" x14ac:dyDescent="0.25">
      <c r="A35" s="2"/>
      <c r="B35" s="2" t="s">
        <v>126</v>
      </c>
      <c r="C35" s="2"/>
      <c r="D35" s="2">
        <v>82.5</v>
      </c>
      <c r="E35" s="29">
        <v>8</v>
      </c>
      <c r="F35" s="29" t="s">
        <v>115</v>
      </c>
      <c r="G35" s="7">
        <f>E35*D35</f>
        <v>660</v>
      </c>
      <c r="H35" s="2"/>
    </row>
    <row r="36" spans="1:8" x14ac:dyDescent="0.25">
      <c r="A36" s="2"/>
      <c r="B36" s="2" t="s">
        <v>128</v>
      </c>
      <c r="C36" s="2"/>
      <c r="D36" s="2">
        <v>130</v>
      </c>
      <c r="E36" s="29">
        <v>1</v>
      </c>
      <c r="F36" s="29" t="s">
        <v>129</v>
      </c>
      <c r="G36" s="7">
        <v>130</v>
      </c>
      <c r="H36" s="2"/>
    </row>
    <row r="37" spans="1:8" x14ac:dyDescent="0.25">
      <c r="A37" s="2"/>
      <c r="B37" s="2"/>
      <c r="C37" s="2"/>
      <c r="D37" s="2"/>
      <c r="E37" s="29"/>
      <c r="F37" s="29"/>
      <c r="G37" s="7"/>
      <c r="H37" s="2"/>
    </row>
    <row r="38" spans="1:8" x14ac:dyDescent="0.25">
      <c r="A38" s="2"/>
      <c r="B38" s="2"/>
      <c r="C38" s="2"/>
      <c r="D38" s="2"/>
      <c r="E38" s="29"/>
      <c r="F38" s="29"/>
      <c r="G38" s="7"/>
      <c r="H38" s="2"/>
    </row>
    <row r="39" spans="1:8" x14ac:dyDescent="0.25">
      <c r="A39" s="2"/>
      <c r="B39" s="5" t="s">
        <v>6</v>
      </c>
      <c r="C39" s="6"/>
      <c r="D39" s="7"/>
      <c r="E39" s="29"/>
      <c r="F39" s="29"/>
      <c r="G39" s="27">
        <f>SUM(G35:G38)</f>
        <v>790</v>
      </c>
      <c r="H39" s="2"/>
    </row>
    <row r="40" spans="1:8" x14ac:dyDescent="0.25">
      <c r="A40" s="2"/>
      <c r="B40" s="18" t="s">
        <v>21</v>
      </c>
      <c r="C40" s="19"/>
      <c r="D40" s="20"/>
      <c r="E40" s="29"/>
      <c r="F40" s="29"/>
      <c r="G40" s="34">
        <f>G33+G25+G19+G13+G7+G39+G29</f>
        <v>15449.8572</v>
      </c>
      <c r="H40" s="2"/>
    </row>
  </sheetData>
  <mergeCells count="5">
    <mergeCell ref="A1:H1"/>
    <mergeCell ref="C13:F13"/>
    <mergeCell ref="B19:F19"/>
    <mergeCell ref="B25:F25"/>
    <mergeCell ref="B33:F33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workbookViewId="0">
      <selection sqref="A1:H1"/>
    </sheetView>
  </sheetViews>
  <sheetFormatPr defaultRowHeight="16.5" x14ac:dyDescent="0.25"/>
  <cols>
    <col min="1" max="2" width="15.625" style="28" customWidth="1"/>
    <col min="3" max="4" width="9" style="28"/>
    <col min="5" max="5" width="8.5" style="28" customWidth="1"/>
    <col min="6" max="6" width="4" style="28" customWidth="1"/>
    <col min="7" max="8" width="13.625" style="28" customWidth="1"/>
    <col min="9" max="16384" width="9" style="28"/>
  </cols>
  <sheetData>
    <row r="1" spans="1:10" x14ac:dyDescent="0.25">
      <c r="A1" s="49" t="s">
        <v>189</v>
      </c>
      <c r="B1" s="49"/>
      <c r="C1" s="49"/>
      <c r="D1" s="49"/>
      <c r="E1" s="49"/>
      <c r="F1" s="49"/>
      <c r="G1" s="49"/>
      <c r="H1" s="50"/>
    </row>
    <row r="2" spans="1:10" x14ac:dyDescent="0.25">
      <c r="A2" s="37" t="s">
        <v>0</v>
      </c>
      <c r="B2" s="37" t="s">
        <v>1</v>
      </c>
      <c r="C2" s="37" t="s">
        <v>2</v>
      </c>
      <c r="D2" s="37" t="s">
        <v>3</v>
      </c>
      <c r="E2" s="37" t="s">
        <v>114</v>
      </c>
      <c r="F2" s="29"/>
      <c r="G2" s="36" t="s">
        <v>4</v>
      </c>
      <c r="H2" s="37" t="s">
        <v>5</v>
      </c>
    </row>
    <row r="3" spans="1:10" x14ac:dyDescent="0.25">
      <c r="A3" s="56" t="s">
        <v>54</v>
      </c>
      <c r="B3" s="37" t="s">
        <v>61</v>
      </c>
      <c r="C3" s="37" t="s">
        <v>63</v>
      </c>
      <c r="D3" s="37">
        <v>99</v>
      </c>
      <c r="E3" s="29">
        <v>50</v>
      </c>
      <c r="F3" s="37" t="s">
        <v>115</v>
      </c>
      <c r="G3" s="36">
        <f>E3*D3</f>
        <v>4950</v>
      </c>
      <c r="H3" s="24" t="s">
        <v>168</v>
      </c>
    </row>
    <row r="4" spans="1:10" x14ac:dyDescent="0.25">
      <c r="A4" s="57"/>
      <c r="B4" s="37" t="s">
        <v>62</v>
      </c>
      <c r="C4" s="37" t="s">
        <v>11</v>
      </c>
      <c r="D4" s="37">
        <v>34.200000000000003</v>
      </c>
      <c r="E4" s="29">
        <v>15</v>
      </c>
      <c r="F4" s="37" t="s">
        <v>115</v>
      </c>
      <c r="G4" s="36">
        <f>E4*D4</f>
        <v>513</v>
      </c>
      <c r="H4" s="37"/>
    </row>
    <row r="5" spans="1:10" x14ac:dyDescent="0.25">
      <c r="A5" s="57"/>
      <c r="B5" s="37"/>
      <c r="C5" s="37"/>
      <c r="D5" s="37"/>
      <c r="E5" s="29"/>
      <c r="F5" s="29"/>
      <c r="G5" s="36"/>
      <c r="H5" s="37"/>
    </row>
    <row r="6" spans="1:10" x14ac:dyDescent="0.25">
      <c r="A6" s="58"/>
      <c r="B6" s="37"/>
      <c r="C6" s="37"/>
      <c r="D6" s="37"/>
      <c r="E6" s="29"/>
      <c r="F6" s="21"/>
      <c r="G6" s="36"/>
      <c r="H6" s="37"/>
    </row>
    <row r="7" spans="1:10" x14ac:dyDescent="0.25">
      <c r="A7" s="37"/>
      <c r="B7" s="38" t="s">
        <v>6</v>
      </c>
      <c r="C7" s="35"/>
      <c r="D7" s="36"/>
      <c r="E7" s="29"/>
      <c r="F7" s="22"/>
      <c r="G7" s="25">
        <f>SUM(G3:G6)</f>
        <v>5463</v>
      </c>
      <c r="H7" s="37"/>
    </row>
    <row r="8" spans="1:10" x14ac:dyDescent="0.25">
      <c r="A8" s="37" t="s">
        <v>7</v>
      </c>
      <c r="B8" s="37" t="s">
        <v>1</v>
      </c>
      <c r="C8" s="37" t="s">
        <v>2</v>
      </c>
      <c r="D8" s="37" t="s">
        <v>3</v>
      </c>
      <c r="E8" s="23" t="s">
        <v>114</v>
      </c>
      <c r="F8" s="22"/>
      <c r="G8" s="36" t="s">
        <v>4</v>
      </c>
      <c r="H8" s="37" t="s">
        <v>5</v>
      </c>
    </row>
    <row r="9" spans="1:10" x14ac:dyDescent="0.25">
      <c r="A9" s="56" t="s">
        <v>55</v>
      </c>
      <c r="B9" s="37" t="s">
        <v>64</v>
      </c>
      <c r="C9" s="37" t="s">
        <v>47</v>
      </c>
      <c r="D9" s="37">
        <v>93</v>
      </c>
      <c r="E9" s="23">
        <v>5</v>
      </c>
      <c r="F9" s="37" t="s">
        <v>115</v>
      </c>
      <c r="G9" s="36">
        <f>E9*D9</f>
        <v>465</v>
      </c>
      <c r="H9" s="24"/>
      <c r="I9" s="30"/>
      <c r="J9" s="30"/>
    </row>
    <row r="10" spans="1:10" x14ac:dyDescent="0.25">
      <c r="A10" s="57"/>
      <c r="B10" s="10" t="s">
        <v>65</v>
      </c>
      <c r="C10" s="37" t="s">
        <v>67</v>
      </c>
      <c r="D10" s="37">
        <v>93</v>
      </c>
      <c r="E10" s="37">
        <v>10</v>
      </c>
      <c r="F10" s="37" t="s">
        <v>115</v>
      </c>
      <c r="G10" s="36">
        <f t="shared" ref="G10:G11" si="0">E10*D10</f>
        <v>930</v>
      </c>
      <c r="H10" s="37"/>
      <c r="I10" s="31"/>
      <c r="J10" s="30"/>
    </row>
    <row r="11" spans="1:10" x14ac:dyDescent="0.25">
      <c r="A11" s="57"/>
      <c r="B11" s="37" t="s">
        <v>33</v>
      </c>
      <c r="C11" s="37" t="s">
        <v>68</v>
      </c>
      <c r="D11" s="37">
        <v>45</v>
      </c>
      <c r="E11" s="37">
        <v>4</v>
      </c>
      <c r="F11" s="37" t="s">
        <v>115</v>
      </c>
      <c r="G11" s="36">
        <f t="shared" si="0"/>
        <v>180</v>
      </c>
      <c r="H11" s="37" t="s">
        <v>119</v>
      </c>
      <c r="I11" s="31"/>
      <c r="J11" s="30"/>
    </row>
    <row r="12" spans="1:10" x14ac:dyDescent="0.25">
      <c r="A12" s="58"/>
      <c r="B12" s="37"/>
      <c r="C12" s="37"/>
      <c r="D12" s="37"/>
      <c r="E12" s="29"/>
      <c r="F12" s="29"/>
      <c r="G12" s="36"/>
      <c r="H12" s="37"/>
      <c r="I12" s="31"/>
      <c r="J12" s="30"/>
    </row>
    <row r="13" spans="1:10" x14ac:dyDescent="0.25">
      <c r="A13" s="37"/>
      <c r="B13" s="38" t="s">
        <v>6</v>
      </c>
      <c r="C13" s="51"/>
      <c r="D13" s="51"/>
      <c r="E13" s="51"/>
      <c r="F13" s="52"/>
      <c r="G13" s="25">
        <f>SUM(G9:G12)</f>
        <v>1575</v>
      </c>
      <c r="H13" s="37"/>
      <c r="I13" s="30"/>
      <c r="J13" s="30"/>
    </row>
    <row r="14" spans="1:10" x14ac:dyDescent="0.25">
      <c r="A14" s="37" t="s">
        <v>13</v>
      </c>
      <c r="B14" s="37" t="s">
        <v>1</v>
      </c>
      <c r="C14" s="37" t="s">
        <v>2</v>
      </c>
      <c r="D14" s="37" t="s">
        <v>3</v>
      </c>
      <c r="E14" s="29" t="s">
        <v>114</v>
      </c>
      <c r="F14" s="29"/>
      <c r="G14" s="36" t="s">
        <v>4</v>
      </c>
      <c r="H14" s="37" t="s">
        <v>5</v>
      </c>
      <c r="I14" s="30"/>
      <c r="J14" s="30"/>
    </row>
    <row r="15" spans="1:10" x14ac:dyDescent="0.25">
      <c r="A15" s="56" t="s">
        <v>56</v>
      </c>
      <c r="B15" s="37" t="s">
        <v>69</v>
      </c>
      <c r="C15" s="37" t="s">
        <v>72</v>
      </c>
      <c r="D15" s="37">
        <v>61.2</v>
      </c>
      <c r="E15" s="29">
        <v>30</v>
      </c>
      <c r="F15" s="37" t="s">
        <v>115</v>
      </c>
      <c r="G15" s="36">
        <f>E15*D15</f>
        <v>1836</v>
      </c>
      <c r="H15" s="37"/>
      <c r="I15" s="30"/>
      <c r="J15" s="30"/>
    </row>
    <row r="16" spans="1:10" x14ac:dyDescent="0.25">
      <c r="A16" s="57"/>
      <c r="B16" s="37" t="s">
        <v>70</v>
      </c>
      <c r="C16" s="37" t="s">
        <v>71</v>
      </c>
      <c r="D16" s="37">
        <v>85</v>
      </c>
      <c r="E16" s="29">
        <v>8</v>
      </c>
      <c r="F16" s="37" t="s">
        <v>129</v>
      </c>
      <c r="G16" s="36">
        <f>E16*D16</f>
        <v>680</v>
      </c>
      <c r="H16" s="47" t="s">
        <v>173</v>
      </c>
    </row>
    <row r="17" spans="1:8" x14ac:dyDescent="0.25">
      <c r="A17" s="57"/>
      <c r="B17" s="37"/>
      <c r="C17" s="37"/>
      <c r="D17" s="37"/>
      <c r="E17" s="29"/>
      <c r="F17" s="37"/>
      <c r="G17" s="36"/>
      <c r="H17" s="37"/>
    </row>
    <row r="18" spans="1:8" x14ac:dyDescent="0.25">
      <c r="A18" s="58"/>
      <c r="B18" s="23"/>
      <c r="C18" s="23"/>
      <c r="D18" s="23"/>
      <c r="E18" s="32"/>
      <c r="F18" s="32"/>
      <c r="G18" s="33"/>
      <c r="H18" s="37"/>
    </row>
    <row r="19" spans="1:8" x14ac:dyDescent="0.25">
      <c r="A19" s="37"/>
      <c r="B19" s="53" t="s">
        <v>6</v>
      </c>
      <c r="C19" s="54"/>
      <c r="D19" s="54"/>
      <c r="E19" s="54"/>
      <c r="F19" s="55"/>
      <c r="G19" s="25">
        <f>SUM(G15:G18)</f>
        <v>2516</v>
      </c>
      <c r="H19" s="37"/>
    </row>
    <row r="20" spans="1:8" x14ac:dyDescent="0.25">
      <c r="A20" s="12" t="s">
        <v>15</v>
      </c>
      <c r="B20" s="37" t="s">
        <v>1</v>
      </c>
      <c r="C20" s="37" t="s">
        <v>2</v>
      </c>
      <c r="D20" s="37" t="s">
        <v>3</v>
      </c>
      <c r="E20" s="37" t="s">
        <v>114</v>
      </c>
      <c r="F20" s="29"/>
      <c r="G20" s="36" t="s">
        <v>4</v>
      </c>
      <c r="H20" s="37" t="s">
        <v>5</v>
      </c>
    </row>
    <row r="21" spans="1:8" x14ac:dyDescent="0.25">
      <c r="A21" s="37"/>
      <c r="B21" s="37" t="s">
        <v>164</v>
      </c>
      <c r="C21" s="37"/>
      <c r="D21" s="37">
        <v>29.38</v>
      </c>
      <c r="E21" s="29">
        <v>100</v>
      </c>
      <c r="F21" s="37" t="s">
        <v>115</v>
      </c>
      <c r="G21" s="36">
        <f>D21*E21</f>
        <v>2938</v>
      </c>
      <c r="H21" s="37"/>
    </row>
    <row r="22" spans="1:8" x14ac:dyDescent="0.25">
      <c r="A22" s="37"/>
      <c r="B22" s="37" t="s">
        <v>165</v>
      </c>
      <c r="C22" s="37"/>
      <c r="D22" s="37">
        <v>55</v>
      </c>
      <c r="E22" s="29">
        <v>20</v>
      </c>
      <c r="F22" s="37" t="s">
        <v>115</v>
      </c>
      <c r="G22" s="26">
        <f t="shared" ref="G22:G24" si="1">D22*E22</f>
        <v>1100</v>
      </c>
      <c r="H22" s="37"/>
    </row>
    <row r="23" spans="1:8" x14ac:dyDescent="0.25">
      <c r="A23" s="37"/>
      <c r="B23" s="37" t="s">
        <v>166</v>
      </c>
      <c r="C23" s="37"/>
      <c r="D23" s="37">
        <v>3</v>
      </c>
      <c r="E23" s="29">
        <v>1188</v>
      </c>
      <c r="F23" s="37" t="s">
        <v>167</v>
      </c>
      <c r="G23" s="26">
        <f t="shared" si="1"/>
        <v>3564</v>
      </c>
      <c r="H23" s="37"/>
    </row>
    <row r="24" spans="1:8" x14ac:dyDescent="0.25">
      <c r="A24" s="37"/>
      <c r="B24" s="37"/>
      <c r="C24" s="37"/>
      <c r="D24" s="37"/>
      <c r="E24" s="29"/>
      <c r="F24" s="37" t="s">
        <v>115</v>
      </c>
      <c r="G24" s="36">
        <f t="shared" si="1"/>
        <v>0</v>
      </c>
      <c r="H24" s="37"/>
    </row>
    <row r="25" spans="1:8" x14ac:dyDescent="0.25">
      <c r="A25" s="37"/>
      <c r="B25" s="53" t="s">
        <v>6</v>
      </c>
      <c r="C25" s="54"/>
      <c r="D25" s="54"/>
      <c r="E25" s="54"/>
      <c r="F25" s="55"/>
      <c r="G25" s="27">
        <f>G21+G22+G23</f>
        <v>7602</v>
      </c>
      <c r="H25" s="37"/>
    </row>
    <row r="26" spans="1:8" x14ac:dyDescent="0.25">
      <c r="A26" s="37" t="s">
        <v>16</v>
      </c>
      <c r="B26" s="37" t="s">
        <v>1</v>
      </c>
      <c r="C26" s="37" t="s">
        <v>2</v>
      </c>
      <c r="D26" s="37" t="s">
        <v>3</v>
      </c>
      <c r="E26" s="37" t="s">
        <v>114</v>
      </c>
      <c r="F26" s="29"/>
      <c r="G26" s="36" t="s">
        <v>4</v>
      </c>
      <c r="H26" s="37" t="s">
        <v>5</v>
      </c>
    </row>
    <row r="27" spans="1:8" x14ac:dyDescent="0.25">
      <c r="A27" s="56" t="s">
        <v>57</v>
      </c>
      <c r="B27" s="37" t="s">
        <v>58</v>
      </c>
      <c r="C27" s="37"/>
      <c r="D27" s="37"/>
      <c r="E27" s="29"/>
      <c r="F27" s="29"/>
      <c r="G27" s="36"/>
      <c r="H27" s="37" t="s">
        <v>18</v>
      </c>
    </row>
    <row r="28" spans="1:8" x14ac:dyDescent="0.25">
      <c r="A28" s="58"/>
      <c r="B28" s="37" t="s">
        <v>59</v>
      </c>
      <c r="C28" s="37" t="s">
        <v>60</v>
      </c>
      <c r="D28" s="37">
        <v>150</v>
      </c>
      <c r="E28" s="29">
        <v>3</v>
      </c>
      <c r="F28" s="29" t="s">
        <v>169</v>
      </c>
      <c r="G28" s="36">
        <f>E28*D28</f>
        <v>450</v>
      </c>
      <c r="H28" s="37"/>
    </row>
    <row r="29" spans="1:8" x14ac:dyDescent="0.25">
      <c r="A29" s="37"/>
      <c r="B29" s="38" t="s">
        <v>6</v>
      </c>
      <c r="C29" s="35"/>
      <c r="D29" s="36"/>
      <c r="E29" s="29"/>
      <c r="F29" s="29"/>
      <c r="G29" s="25">
        <f>G28</f>
        <v>450</v>
      </c>
      <c r="H29" s="37"/>
    </row>
    <row r="30" spans="1:8" x14ac:dyDescent="0.25">
      <c r="A30" s="37" t="s">
        <v>19</v>
      </c>
      <c r="B30" s="37" t="s">
        <v>1</v>
      </c>
      <c r="C30" s="37" t="s">
        <v>2</v>
      </c>
      <c r="D30" s="37" t="s">
        <v>3</v>
      </c>
      <c r="E30" s="37" t="s">
        <v>114</v>
      </c>
      <c r="F30" s="29"/>
      <c r="G30" s="36" t="s">
        <v>4</v>
      </c>
      <c r="H30" s="37" t="s">
        <v>5</v>
      </c>
    </row>
    <row r="31" spans="1:8" x14ac:dyDescent="0.25">
      <c r="A31" s="37"/>
      <c r="B31" s="37" t="s">
        <v>124</v>
      </c>
      <c r="C31" s="37"/>
      <c r="D31" s="37">
        <v>12.24</v>
      </c>
      <c r="E31" s="29">
        <v>65</v>
      </c>
      <c r="F31" s="29" t="s">
        <v>115</v>
      </c>
      <c r="G31" s="26">
        <f>E31*D31</f>
        <v>795.6</v>
      </c>
      <c r="H31" s="37"/>
    </row>
    <row r="32" spans="1:8" x14ac:dyDescent="0.25">
      <c r="A32" s="37"/>
      <c r="B32" s="37" t="s">
        <v>172</v>
      </c>
      <c r="C32" s="37"/>
      <c r="D32" s="37">
        <v>34.56</v>
      </c>
      <c r="E32" s="29">
        <v>51.67</v>
      </c>
      <c r="F32" s="29" t="s">
        <v>115</v>
      </c>
      <c r="G32" s="26">
        <f>E32*D32</f>
        <v>1785.7152000000001</v>
      </c>
      <c r="H32" s="37"/>
    </row>
    <row r="33" spans="1:8" x14ac:dyDescent="0.25">
      <c r="A33" s="37"/>
      <c r="B33" s="53" t="s">
        <v>6</v>
      </c>
      <c r="C33" s="54"/>
      <c r="D33" s="54"/>
      <c r="E33" s="54"/>
      <c r="F33" s="55"/>
      <c r="G33" s="27">
        <f>SUM(G31:G32)</f>
        <v>2581.3152</v>
      </c>
      <c r="H33" s="16"/>
    </row>
    <row r="34" spans="1:8" x14ac:dyDescent="0.25">
      <c r="A34" s="17" t="s">
        <v>170</v>
      </c>
      <c r="B34" s="37" t="s">
        <v>1</v>
      </c>
      <c r="C34" s="37" t="s">
        <v>2</v>
      </c>
      <c r="D34" s="37" t="s">
        <v>3</v>
      </c>
      <c r="E34" s="37" t="s">
        <v>114</v>
      </c>
      <c r="F34" s="29"/>
      <c r="G34" s="36" t="s">
        <v>4</v>
      </c>
      <c r="H34" s="37"/>
    </row>
    <row r="35" spans="1:8" x14ac:dyDescent="0.25">
      <c r="A35" s="37"/>
      <c r="B35" s="37" t="s">
        <v>141</v>
      </c>
      <c r="C35" s="37">
        <v>1</v>
      </c>
      <c r="D35" s="37">
        <v>50</v>
      </c>
      <c r="E35" s="29"/>
      <c r="F35" s="29" t="s">
        <v>171</v>
      </c>
      <c r="G35" s="36">
        <f>C35*D35</f>
        <v>50</v>
      </c>
      <c r="H35" s="37"/>
    </row>
    <row r="36" spans="1:8" x14ac:dyDescent="0.25">
      <c r="A36" s="37"/>
      <c r="B36" s="37"/>
      <c r="C36" s="37"/>
      <c r="D36" s="37"/>
      <c r="E36" s="29"/>
      <c r="F36" s="29"/>
      <c r="G36" s="36"/>
      <c r="H36" s="37"/>
    </row>
    <row r="37" spans="1:8" x14ac:dyDescent="0.25">
      <c r="A37" s="37"/>
      <c r="B37" s="37"/>
      <c r="C37" s="37"/>
      <c r="D37" s="37"/>
      <c r="E37" s="29"/>
      <c r="F37" s="29"/>
      <c r="G37" s="36"/>
      <c r="H37" s="37"/>
    </row>
    <row r="38" spans="1:8" x14ac:dyDescent="0.25">
      <c r="A38" s="37"/>
      <c r="B38" s="37"/>
      <c r="C38" s="37"/>
      <c r="D38" s="37"/>
      <c r="E38" s="29"/>
      <c r="F38" s="29"/>
      <c r="G38" s="36"/>
      <c r="H38" s="37"/>
    </row>
    <row r="39" spans="1:8" x14ac:dyDescent="0.25">
      <c r="A39" s="37"/>
      <c r="B39" s="38" t="s">
        <v>6</v>
      </c>
      <c r="C39" s="35"/>
      <c r="D39" s="36"/>
      <c r="E39" s="29"/>
      <c r="F39" s="29"/>
      <c r="G39" s="27">
        <f>SUM(G35:G38)</f>
        <v>50</v>
      </c>
      <c r="H39" s="37"/>
    </row>
    <row r="40" spans="1:8" x14ac:dyDescent="0.25">
      <c r="A40" s="37"/>
      <c r="B40" s="39" t="s">
        <v>21</v>
      </c>
      <c r="C40" s="40"/>
      <c r="D40" s="41"/>
      <c r="E40" s="29"/>
      <c r="F40" s="29"/>
      <c r="G40" s="34">
        <f>G33+G25+G19+G13+G7+G39+G29</f>
        <v>20237.315200000001</v>
      </c>
      <c r="H40" s="37"/>
    </row>
  </sheetData>
  <mergeCells count="9">
    <mergeCell ref="A1:H1"/>
    <mergeCell ref="C13:F13"/>
    <mergeCell ref="B19:F19"/>
    <mergeCell ref="B25:F25"/>
    <mergeCell ref="B33:F33"/>
    <mergeCell ref="A9:A12"/>
    <mergeCell ref="A3:A6"/>
    <mergeCell ref="A15:A18"/>
    <mergeCell ref="A27:A28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3"/>
  <sheetViews>
    <sheetView tabSelected="1" workbookViewId="0">
      <selection sqref="A1:H1"/>
    </sheetView>
  </sheetViews>
  <sheetFormatPr defaultRowHeight="16.5" x14ac:dyDescent="0.25"/>
  <cols>
    <col min="1" max="2" width="15.625" style="28" customWidth="1"/>
    <col min="3" max="4" width="9" style="28"/>
    <col min="5" max="5" width="8.625" style="28" customWidth="1"/>
    <col min="6" max="6" width="3.625" style="28" customWidth="1"/>
    <col min="7" max="8" width="13.625" style="28" customWidth="1"/>
    <col min="9" max="16384" width="9" style="28"/>
  </cols>
  <sheetData>
    <row r="1" spans="1:10" x14ac:dyDescent="0.25">
      <c r="A1" s="49" t="s">
        <v>190</v>
      </c>
      <c r="B1" s="49"/>
      <c r="C1" s="49"/>
      <c r="D1" s="49"/>
      <c r="E1" s="49"/>
      <c r="F1" s="49"/>
      <c r="G1" s="49"/>
      <c r="H1" s="50"/>
    </row>
    <row r="2" spans="1:10" x14ac:dyDescent="0.25">
      <c r="A2" s="37" t="s">
        <v>0</v>
      </c>
      <c r="B2" s="37" t="s">
        <v>1</v>
      </c>
      <c r="C2" s="37" t="s">
        <v>2</v>
      </c>
      <c r="D2" s="37" t="s">
        <v>3</v>
      </c>
      <c r="E2" s="37" t="s">
        <v>114</v>
      </c>
      <c r="F2" s="29"/>
      <c r="G2" s="36" t="s">
        <v>4</v>
      </c>
      <c r="H2" s="37" t="s">
        <v>5</v>
      </c>
    </row>
    <row r="3" spans="1:10" x14ac:dyDescent="0.25">
      <c r="A3" s="56" t="s">
        <v>73</v>
      </c>
      <c r="B3" s="37" t="s">
        <v>75</v>
      </c>
      <c r="C3" s="37" t="s">
        <v>74</v>
      </c>
      <c r="D3" s="37">
        <v>99</v>
      </c>
      <c r="E3" s="29">
        <v>65.88</v>
      </c>
      <c r="F3" s="37" t="s">
        <v>115</v>
      </c>
      <c r="G3" s="26">
        <f>E3*D3</f>
        <v>6522.12</v>
      </c>
      <c r="H3" s="24" t="s">
        <v>174</v>
      </c>
    </row>
    <row r="4" spans="1:10" x14ac:dyDescent="0.25">
      <c r="A4" s="57"/>
      <c r="B4" s="37"/>
      <c r="C4" s="37"/>
      <c r="D4" s="37"/>
      <c r="E4" s="29"/>
      <c r="F4" s="37" t="s">
        <v>115</v>
      </c>
      <c r="G4" s="36"/>
      <c r="H4" s="37"/>
    </row>
    <row r="5" spans="1:10" x14ac:dyDescent="0.25">
      <c r="A5" s="57"/>
      <c r="B5" s="37"/>
      <c r="C5" s="37"/>
      <c r="D5" s="37"/>
      <c r="E5" s="29"/>
      <c r="F5" s="29"/>
      <c r="G5" s="36"/>
      <c r="H5" s="37"/>
    </row>
    <row r="6" spans="1:10" x14ac:dyDescent="0.25">
      <c r="A6" s="58"/>
      <c r="B6" s="37"/>
      <c r="C6" s="37"/>
      <c r="D6" s="37"/>
      <c r="E6" s="29"/>
      <c r="F6" s="21"/>
      <c r="G6" s="36"/>
      <c r="H6" s="37"/>
    </row>
    <row r="7" spans="1:10" x14ac:dyDescent="0.25">
      <c r="A7" s="37"/>
      <c r="B7" s="38" t="s">
        <v>6</v>
      </c>
      <c r="C7" s="35"/>
      <c r="D7" s="36"/>
      <c r="E7" s="29"/>
      <c r="F7" s="22"/>
      <c r="G7" s="27">
        <f>G3</f>
        <v>6522.12</v>
      </c>
      <c r="H7" s="37"/>
    </row>
    <row r="8" spans="1:10" x14ac:dyDescent="0.25">
      <c r="A8" s="37" t="s">
        <v>7</v>
      </c>
      <c r="B8" s="37" t="s">
        <v>1</v>
      </c>
      <c r="C8" s="37" t="s">
        <v>2</v>
      </c>
      <c r="D8" s="37" t="s">
        <v>3</v>
      </c>
      <c r="E8" s="23" t="s">
        <v>114</v>
      </c>
      <c r="F8" s="22"/>
      <c r="G8" s="36" t="s">
        <v>4</v>
      </c>
      <c r="H8" s="37" t="s">
        <v>5</v>
      </c>
    </row>
    <row r="9" spans="1:10" x14ac:dyDescent="0.25">
      <c r="A9" s="56" t="s">
        <v>76</v>
      </c>
      <c r="B9" s="37" t="s">
        <v>77</v>
      </c>
      <c r="C9" s="37" t="s">
        <v>79</v>
      </c>
      <c r="D9" s="37">
        <v>108</v>
      </c>
      <c r="E9" s="23">
        <v>18</v>
      </c>
      <c r="F9" s="37" t="s">
        <v>115</v>
      </c>
      <c r="G9" s="36">
        <f>D9*E9</f>
        <v>1944</v>
      </c>
      <c r="H9" s="24"/>
      <c r="I9" s="30"/>
      <c r="J9" s="30"/>
    </row>
    <row r="10" spans="1:10" x14ac:dyDescent="0.25">
      <c r="A10" s="57"/>
      <c r="B10" s="10" t="s">
        <v>78</v>
      </c>
      <c r="C10" s="37" t="s">
        <v>80</v>
      </c>
      <c r="D10" s="37">
        <v>60</v>
      </c>
      <c r="E10" s="29">
        <v>20</v>
      </c>
      <c r="F10" s="37" t="s">
        <v>115</v>
      </c>
      <c r="G10" s="36">
        <f>E10*D10</f>
        <v>1200</v>
      </c>
      <c r="H10" s="47" t="s">
        <v>173</v>
      </c>
      <c r="I10" s="31"/>
      <c r="J10" s="30"/>
    </row>
    <row r="11" spans="1:10" ht="33" x14ac:dyDescent="0.25">
      <c r="A11" s="57"/>
      <c r="B11" s="48" t="s">
        <v>181</v>
      </c>
      <c r="C11" s="37" t="s">
        <v>11</v>
      </c>
      <c r="D11" s="37">
        <v>42</v>
      </c>
      <c r="E11" s="29">
        <v>15</v>
      </c>
      <c r="F11" s="37" t="s">
        <v>115</v>
      </c>
      <c r="G11" s="36">
        <f>E11*D11</f>
        <v>630</v>
      </c>
      <c r="H11" s="47" t="s">
        <v>173</v>
      </c>
      <c r="I11" s="31"/>
      <c r="J11" s="30"/>
    </row>
    <row r="12" spans="1:10" x14ac:dyDescent="0.25">
      <c r="A12" s="58"/>
      <c r="B12" s="37"/>
      <c r="C12" s="37"/>
      <c r="D12" s="37"/>
      <c r="E12" s="29"/>
      <c r="F12" s="29"/>
      <c r="G12" s="36"/>
      <c r="H12" s="37"/>
      <c r="I12" s="31"/>
      <c r="J12" s="30"/>
    </row>
    <row r="13" spans="1:10" x14ac:dyDescent="0.25">
      <c r="A13" s="37"/>
      <c r="B13" s="38" t="s">
        <v>6</v>
      </c>
      <c r="C13" s="51"/>
      <c r="D13" s="51"/>
      <c r="E13" s="51"/>
      <c r="F13" s="52"/>
      <c r="G13" s="25">
        <f>SUM(G9:G12)</f>
        <v>3774</v>
      </c>
      <c r="H13" s="37"/>
      <c r="I13" s="30"/>
      <c r="J13" s="30"/>
    </row>
    <row r="14" spans="1:10" x14ac:dyDescent="0.25">
      <c r="A14" s="37" t="s">
        <v>186</v>
      </c>
      <c r="B14" s="37" t="s">
        <v>1</v>
      </c>
      <c r="C14" s="37" t="s">
        <v>2</v>
      </c>
      <c r="D14" s="37" t="s">
        <v>3</v>
      </c>
      <c r="E14" s="29" t="s">
        <v>114</v>
      </c>
      <c r="F14" s="29"/>
      <c r="G14" s="36" t="s">
        <v>4</v>
      </c>
      <c r="H14" s="37" t="s">
        <v>5</v>
      </c>
      <c r="I14" s="30"/>
      <c r="J14" s="30"/>
    </row>
    <row r="15" spans="1:10" x14ac:dyDescent="0.25">
      <c r="A15" s="37" t="s">
        <v>185</v>
      </c>
      <c r="B15" s="37"/>
      <c r="C15" s="37"/>
      <c r="D15" s="37">
        <v>210</v>
      </c>
      <c r="E15" s="29">
        <v>1</v>
      </c>
      <c r="F15" s="37" t="s">
        <v>129</v>
      </c>
      <c r="G15" s="36">
        <v>210</v>
      </c>
      <c r="H15" s="37" t="s">
        <v>173</v>
      </c>
      <c r="I15" s="30"/>
      <c r="J15" s="30"/>
    </row>
    <row r="16" spans="1:10" x14ac:dyDescent="0.25">
      <c r="A16" s="37"/>
      <c r="B16" s="37"/>
      <c r="C16" s="37"/>
      <c r="D16" s="37"/>
      <c r="E16" s="29"/>
      <c r="F16" s="37" t="s">
        <v>115</v>
      </c>
      <c r="G16" s="36"/>
      <c r="H16" s="37"/>
    </row>
    <row r="17" spans="1:8" x14ac:dyDescent="0.25">
      <c r="A17" s="37"/>
      <c r="B17" s="37"/>
      <c r="C17" s="37"/>
      <c r="D17" s="37"/>
      <c r="E17" s="29"/>
      <c r="F17" s="37"/>
      <c r="G17" s="36"/>
      <c r="H17" s="37"/>
    </row>
    <row r="18" spans="1:8" x14ac:dyDescent="0.25">
      <c r="A18" s="37"/>
      <c r="B18" s="23"/>
      <c r="C18" s="23"/>
      <c r="D18" s="23"/>
      <c r="E18" s="32"/>
      <c r="F18" s="32"/>
      <c r="G18" s="33"/>
      <c r="H18" s="37"/>
    </row>
    <row r="19" spans="1:8" x14ac:dyDescent="0.25">
      <c r="A19" s="37"/>
      <c r="B19" s="53" t="s">
        <v>6</v>
      </c>
      <c r="C19" s="54"/>
      <c r="D19" s="54"/>
      <c r="E19" s="54"/>
      <c r="F19" s="55"/>
      <c r="G19" s="25">
        <f>SUM(G15:G18)</f>
        <v>210</v>
      </c>
      <c r="H19" s="37"/>
    </row>
    <row r="20" spans="1:8" x14ac:dyDescent="0.25">
      <c r="A20" s="12" t="s">
        <v>15</v>
      </c>
      <c r="B20" s="37" t="s">
        <v>1</v>
      </c>
      <c r="C20" s="37" t="s">
        <v>2</v>
      </c>
      <c r="D20" s="37" t="s">
        <v>3</v>
      </c>
      <c r="E20" s="37" t="s">
        <v>114</v>
      </c>
      <c r="F20" s="29"/>
      <c r="G20" s="36" t="s">
        <v>4</v>
      </c>
      <c r="H20" s="37" t="s">
        <v>5</v>
      </c>
    </row>
    <row r="21" spans="1:8" x14ac:dyDescent="0.25">
      <c r="A21" s="37"/>
      <c r="B21" s="37" t="s">
        <v>176</v>
      </c>
      <c r="C21" s="37"/>
      <c r="D21" s="37">
        <v>339</v>
      </c>
      <c r="E21" s="29">
        <v>2</v>
      </c>
      <c r="F21" s="37" t="s">
        <v>167</v>
      </c>
      <c r="G21" s="36">
        <f>D21*E21</f>
        <v>678</v>
      </c>
      <c r="H21" s="37"/>
    </row>
    <row r="22" spans="1:8" x14ac:dyDescent="0.25">
      <c r="A22" s="37"/>
      <c r="B22" s="37" t="s">
        <v>177</v>
      </c>
      <c r="C22" s="37"/>
      <c r="D22" s="37">
        <v>291</v>
      </c>
      <c r="E22" s="29">
        <v>1</v>
      </c>
      <c r="F22" s="37" t="s">
        <v>167</v>
      </c>
      <c r="G22" s="26">
        <f t="shared" ref="G22:G27" si="0">D22*E22</f>
        <v>291</v>
      </c>
      <c r="H22" s="37"/>
    </row>
    <row r="23" spans="1:8" x14ac:dyDescent="0.25">
      <c r="A23" s="37"/>
      <c r="B23" s="37" t="s">
        <v>147</v>
      </c>
      <c r="C23" s="37"/>
      <c r="D23" s="37">
        <v>235</v>
      </c>
      <c r="E23" s="29">
        <v>1</v>
      </c>
      <c r="F23" s="37" t="s">
        <v>167</v>
      </c>
      <c r="G23" s="26">
        <f t="shared" si="0"/>
        <v>235</v>
      </c>
      <c r="H23" s="37"/>
    </row>
    <row r="24" spans="1:8" x14ac:dyDescent="0.25">
      <c r="A24" s="37"/>
      <c r="B24" s="37" t="s">
        <v>178</v>
      </c>
      <c r="C24" s="37"/>
      <c r="D24" s="37">
        <v>225</v>
      </c>
      <c r="E24" s="29">
        <v>1</v>
      </c>
      <c r="F24" s="37" t="s">
        <v>167</v>
      </c>
      <c r="G24" s="36">
        <f t="shared" si="0"/>
        <v>225</v>
      </c>
      <c r="H24" s="37"/>
    </row>
    <row r="25" spans="1:8" x14ac:dyDescent="0.25">
      <c r="A25" s="37"/>
      <c r="B25" s="38" t="s">
        <v>179</v>
      </c>
      <c r="C25" s="37"/>
      <c r="D25" s="37">
        <v>175</v>
      </c>
      <c r="E25" s="29">
        <v>1</v>
      </c>
      <c r="F25" s="37" t="s">
        <v>180</v>
      </c>
      <c r="G25" s="36">
        <f t="shared" si="0"/>
        <v>175</v>
      </c>
      <c r="H25" s="37"/>
    </row>
    <row r="26" spans="1:8" x14ac:dyDescent="0.25">
      <c r="A26" s="37"/>
      <c r="B26" s="37" t="s">
        <v>182</v>
      </c>
      <c r="C26" s="37"/>
      <c r="D26" s="37">
        <v>235</v>
      </c>
      <c r="E26" s="29">
        <v>2</v>
      </c>
      <c r="F26" s="37" t="s">
        <v>183</v>
      </c>
      <c r="G26" s="37">
        <f t="shared" si="0"/>
        <v>470</v>
      </c>
      <c r="H26" s="47" t="s">
        <v>173</v>
      </c>
    </row>
    <row r="27" spans="1:8" x14ac:dyDescent="0.25">
      <c r="A27" s="37"/>
      <c r="B27" s="38" t="s">
        <v>184</v>
      </c>
      <c r="C27" s="37"/>
      <c r="D27" s="37">
        <v>226</v>
      </c>
      <c r="E27" s="29">
        <v>1</v>
      </c>
      <c r="F27" s="37" t="s">
        <v>171</v>
      </c>
      <c r="G27" s="37">
        <f t="shared" si="0"/>
        <v>226</v>
      </c>
      <c r="H27" s="47" t="s">
        <v>173</v>
      </c>
    </row>
    <row r="28" spans="1:8" x14ac:dyDescent="0.25">
      <c r="A28" s="37"/>
      <c r="B28" s="53" t="s">
        <v>6</v>
      </c>
      <c r="C28" s="54"/>
      <c r="D28" s="54"/>
      <c r="E28" s="54"/>
      <c r="F28" s="55"/>
      <c r="G28" s="27">
        <f>SUM(G21:G27)</f>
        <v>2300</v>
      </c>
      <c r="H28" s="37"/>
    </row>
    <row r="29" spans="1:8" x14ac:dyDescent="0.25">
      <c r="A29" s="37" t="s">
        <v>16</v>
      </c>
      <c r="B29" s="37" t="s">
        <v>1</v>
      </c>
      <c r="C29" s="37" t="s">
        <v>2</v>
      </c>
      <c r="D29" s="37" t="s">
        <v>3</v>
      </c>
      <c r="E29" s="37" t="s">
        <v>114</v>
      </c>
      <c r="F29" s="29"/>
      <c r="G29" s="36" t="s">
        <v>4</v>
      </c>
      <c r="H29" s="37" t="s">
        <v>5</v>
      </c>
    </row>
    <row r="30" spans="1:8" x14ac:dyDescent="0.25">
      <c r="A30" s="37"/>
      <c r="B30" s="37"/>
      <c r="C30" s="37"/>
      <c r="D30" s="37"/>
      <c r="E30" s="29"/>
      <c r="F30" s="29"/>
      <c r="G30" s="36"/>
      <c r="H30" s="37" t="s">
        <v>18</v>
      </c>
    </row>
    <row r="31" spans="1:8" x14ac:dyDescent="0.25">
      <c r="A31" s="37"/>
      <c r="B31" s="37"/>
      <c r="C31" s="37"/>
      <c r="D31" s="37"/>
      <c r="E31" s="29"/>
      <c r="F31" s="29"/>
      <c r="G31" s="36"/>
      <c r="H31" s="37"/>
    </row>
    <row r="32" spans="1:8" x14ac:dyDescent="0.25">
      <c r="A32" s="37"/>
      <c r="B32" s="38" t="s">
        <v>6</v>
      </c>
      <c r="C32" s="35"/>
      <c r="D32" s="36"/>
      <c r="E32" s="29"/>
      <c r="F32" s="29"/>
      <c r="G32" s="25"/>
      <c r="H32" s="37"/>
    </row>
    <row r="33" spans="1:8" x14ac:dyDescent="0.25">
      <c r="A33" s="37" t="s">
        <v>19</v>
      </c>
      <c r="B33" s="37" t="s">
        <v>1</v>
      </c>
      <c r="C33" s="37" t="s">
        <v>2</v>
      </c>
      <c r="D33" s="37" t="s">
        <v>3</v>
      </c>
      <c r="E33" s="37" t="s">
        <v>114</v>
      </c>
      <c r="F33" s="29"/>
      <c r="G33" s="36" t="s">
        <v>4</v>
      </c>
      <c r="H33" s="37" t="s">
        <v>5</v>
      </c>
    </row>
    <row r="34" spans="1:8" x14ac:dyDescent="0.25">
      <c r="A34" s="37"/>
      <c r="B34" s="37" t="s">
        <v>124</v>
      </c>
      <c r="C34" s="37"/>
      <c r="D34" s="37">
        <v>11.22</v>
      </c>
      <c r="E34" s="29">
        <v>65</v>
      </c>
      <c r="F34" s="29" t="s">
        <v>115</v>
      </c>
      <c r="G34" s="26">
        <f>E34*D34</f>
        <v>729.30000000000007</v>
      </c>
      <c r="H34" s="37"/>
    </row>
    <row r="35" spans="1:8" x14ac:dyDescent="0.25">
      <c r="A35" s="37"/>
      <c r="B35" s="37" t="s">
        <v>125</v>
      </c>
      <c r="C35" s="37"/>
      <c r="D35" s="37">
        <v>23.04</v>
      </c>
      <c r="E35" s="29">
        <v>61.67</v>
      </c>
      <c r="F35" s="29"/>
      <c r="G35" s="26">
        <f>E35*D35</f>
        <v>1420.8768</v>
      </c>
      <c r="H35" s="37"/>
    </row>
    <row r="36" spans="1:8" x14ac:dyDescent="0.25">
      <c r="A36" s="37"/>
      <c r="B36" s="53" t="s">
        <v>6</v>
      </c>
      <c r="C36" s="54"/>
      <c r="D36" s="54"/>
      <c r="E36" s="54"/>
      <c r="F36" s="55"/>
      <c r="G36" s="27">
        <f>SUM(G34:G35)</f>
        <v>2150.1768000000002</v>
      </c>
      <c r="H36" s="16"/>
    </row>
    <row r="37" spans="1:8" x14ac:dyDescent="0.25">
      <c r="A37" s="17" t="s">
        <v>20</v>
      </c>
      <c r="B37" s="37" t="s">
        <v>1</v>
      </c>
      <c r="C37" s="37" t="s">
        <v>2</v>
      </c>
      <c r="D37" s="37" t="s">
        <v>3</v>
      </c>
      <c r="E37" s="37" t="s">
        <v>114</v>
      </c>
      <c r="F37" s="29"/>
      <c r="G37" s="36" t="s">
        <v>4</v>
      </c>
      <c r="H37" s="37"/>
    </row>
    <row r="38" spans="1:8" x14ac:dyDescent="0.25">
      <c r="A38" s="37" t="s">
        <v>81</v>
      </c>
      <c r="B38" s="37" t="s">
        <v>82</v>
      </c>
      <c r="C38" s="37" t="s">
        <v>63</v>
      </c>
      <c r="D38" s="37">
        <v>30</v>
      </c>
      <c r="E38" s="29">
        <v>50</v>
      </c>
      <c r="F38" s="29" t="s">
        <v>115</v>
      </c>
      <c r="G38" s="36">
        <f>E38*D38</f>
        <v>1500</v>
      </c>
      <c r="H38" s="37"/>
    </row>
    <row r="39" spans="1:8" x14ac:dyDescent="0.25">
      <c r="A39" s="37"/>
      <c r="B39" s="37" t="s">
        <v>83</v>
      </c>
      <c r="C39" s="37" t="s">
        <v>47</v>
      </c>
      <c r="D39" s="37">
        <v>40.5</v>
      </c>
      <c r="E39" s="29">
        <v>5</v>
      </c>
      <c r="F39" s="29"/>
      <c r="G39" s="26">
        <f>E39*D39</f>
        <v>202.5</v>
      </c>
      <c r="H39" s="37"/>
    </row>
    <row r="40" spans="1:8" x14ac:dyDescent="0.25">
      <c r="A40" s="37"/>
      <c r="B40" s="37" t="s">
        <v>84</v>
      </c>
      <c r="C40" s="37" t="s">
        <v>67</v>
      </c>
      <c r="D40" s="37">
        <v>30</v>
      </c>
      <c r="E40" s="29">
        <v>10</v>
      </c>
      <c r="F40" s="29"/>
      <c r="G40" s="26">
        <f>E40*D40</f>
        <v>300</v>
      </c>
      <c r="H40" s="37" t="s">
        <v>175</v>
      </c>
    </row>
    <row r="41" spans="1:8" x14ac:dyDescent="0.25">
      <c r="A41" s="37"/>
      <c r="B41" s="37" t="s">
        <v>33</v>
      </c>
      <c r="C41" s="37" t="s">
        <v>47</v>
      </c>
      <c r="D41" s="37">
        <v>45</v>
      </c>
      <c r="E41" s="29">
        <v>5</v>
      </c>
      <c r="F41" s="29"/>
      <c r="G41" s="26">
        <f>E41*D41</f>
        <v>225</v>
      </c>
      <c r="H41" s="37" t="s">
        <v>119</v>
      </c>
    </row>
    <row r="42" spans="1:8" x14ac:dyDescent="0.25">
      <c r="A42" s="37"/>
      <c r="B42" s="38" t="s">
        <v>6</v>
      </c>
      <c r="C42" s="35"/>
      <c r="D42" s="36"/>
      <c r="E42" s="29"/>
      <c r="F42" s="29"/>
      <c r="G42" s="27">
        <f>SUM(G38:G41)</f>
        <v>2227.5</v>
      </c>
      <c r="H42" s="37"/>
    </row>
    <row r="43" spans="1:8" x14ac:dyDescent="0.25">
      <c r="A43" s="37"/>
      <c r="B43" s="39" t="s">
        <v>21</v>
      </c>
      <c r="C43" s="40"/>
      <c r="D43" s="41"/>
      <c r="E43" s="29"/>
      <c r="F43" s="29"/>
      <c r="G43" s="34">
        <f>G36+G28+G19+G13+G7+G42+G32</f>
        <v>17183.7968</v>
      </c>
      <c r="H43" s="37"/>
    </row>
  </sheetData>
  <mergeCells count="7">
    <mergeCell ref="A1:H1"/>
    <mergeCell ref="C13:F13"/>
    <mergeCell ref="B19:F19"/>
    <mergeCell ref="B28:F28"/>
    <mergeCell ref="B36:F36"/>
    <mergeCell ref="A3:A6"/>
    <mergeCell ref="A9:A12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topLeftCell="A10" workbookViewId="0">
      <selection activeCell="H35" sqref="H3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2" x14ac:dyDescent="0.25">
      <c r="A1" s="61" t="s">
        <v>36</v>
      </c>
      <c r="B1" s="62"/>
      <c r="C1" s="62"/>
      <c r="D1" s="62"/>
      <c r="E1" s="62"/>
      <c r="F1" s="62"/>
      <c r="G1" s="62"/>
      <c r="H1" s="63"/>
    </row>
    <row r="2" spans="1:12" x14ac:dyDescent="0.25">
      <c r="A2" s="1" t="s">
        <v>34</v>
      </c>
      <c r="B2" s="1" t="s">
        <v>26</v>
      </c>
      <c r="C2" s="1" t="s">
        <v>22</v>
      </c>
      <c r="D2" s="1" t="s">
        <v>23</v>
      </c>
      <c r="E2" s="37" t="s">
        <v>130</v>
      </c>
      <c r="F2" s="37"/>
      <c r="G2" s="1" t="s">
        <v>4</v>
      </c>
      <c r="H2" s="1" t="s">
        <v>5</v>
      </c>
    </row>
    <row r="3" spans="1:12" x14ac:dyDescent="0.25">
      <c r="A3" s="59" t="s">
        <v>85</v>
      </c>
      <c r="B3" s="1" t="s">
        <v>97</v>
      </c>
      <c r="C3" s="1" t="s">
        <v>98</v>
      </c>
      <c r="D3" s="1">
        <v>168</v>
      </c>
      <c r="E3" s="37">
        <v>42.5</v>
      </c>
      <c r="F3" s="37" t="s">
        <v>131</v>
      </c>
      <c r="G3" s="1">
        <f>E3*D3</f>
        <v>7140</v>
      </c>
      <c r="H3" s="47" t="s">
        <v>156</v>
      </c>
    </row>
    <row r="4" spans="1:12" x14ac:dyDescent="0.25">
      <c r="A4" s="59"/>
      <c r="B4" s="1"/>
      <c r="C4" s="1"/>
      <c r="D4" s="1"/>
      <c r="E4" s="37"/>
      <c r="F4" s="37"/>
      <c r="G4" s="1"/>
      <c r="H4" s="1"/>
    </row>
    <row r="5" spans="1:12" x14ac:dyDescent="0.25">
      <c r="A5" s="59"/>
      <c r="B5" s="1"/>
      <c r="C5" s="1"/>
      <c r="D5" s="1"/>
      <c r="E5" s="37"/>
      <c r="F5" s="37"/>
      <c r="G5" s="1"/>
      <c r="H5" s="1"/>
    </row>
    <row r="6" spans="1:12" x14ac:dyDescent="0.25">
      <c r="A6" s="59"/>
      <c r="B6" s="1"/>
      <c r="C6" s="1"/>
      <c r="D6" s="1"/>
      <c r="E6" s="36"/>
      <c r="F6" s="36"/>
      <c r="G6" s="3"/>
      <c r="H6" s="1"/>
      <c r="J6" s="4"/>
    </row>
    <row r="7" spans="1:12" x14ac:dyDescent="0.25">
      <c r="A7" s="59"/>
      <c r="B7" s="60" t="s">
        <v>27</v>
      </c>
      <c r="C7" s="51"/>
      <c r="D7" s="52"/>
      <c r="E7" s="36"/>
      <c r="F7" s="36"/>
      <c r="G7" s="25">
        <f>G3</f>
        <v>7140</v>
      </c>
      <c r="H7" s="1"/>
      <c r="J7" s="8"/>
    </row>
    <row r="8" spans="1:12" x14ac:dyDescent="0.25">
      <c r="A8" s="1" t="s">
        <v>86</v>
      </c>
      <c r="B8" s="1" t="s">
        <v>1</v>
      </c>
      <c r="C8" s="1" t="s">
        <v>22</v>
      </c>
      <c r="D8" s="1" t="s">
        <v>23</v>
      </c>
      <c r="E8" s="37" t="s">
        <v>130</v>
      </c>
      <c r="F8" s="37"/>
      <c r="G8" s="1" t="s">
        <v>24</v>
      </c>
      <c r="H8" s="1" t="s">
        <v>25</v>
      </c>
      <c r="J8" s="8"/>
    </row>
    <row r="9" spans="1:12" x14ac:dyDescent="0.25">
      <c r="A9" s="59" t="s">
        <v>87</v>
      </c>
      <c r="B9" s="1" t="s">
        <v>95</v>
      </c>
      <c r="C9" s="1" t="s">
        <v>96</v>
      </c>
      <c r="D9" s="1">
        <v>26.1</v>
      </c>
      <c r="E9" s="37">
        <v>55</v>
      </c>
      <c r="F9" s="37" t="s">
        <v>131</v>
      </c>
      <c r="G9" s="1">
        <f>E9*D9</f>
        <v>1435.5</v>
      </c>
      <c r="H9" s="1"/>
      <c r="J9" s="8"/>
      <c r="K9" s="9"/>
      <c r="L9" s="9"/>
    </row>
    <row r="10" spans="1:12" x14ac:dyDescent="0.25">
      <c r="A10" s="59"/>
      <c r="B10" s="10"/>
      <c r="C10" s="1"/>
      <c r="D10" s="1"/>
      <c r="E10" s="37"/>
      <c r="F10" s="37"/>
      <c r="G10" s="1"/>
      <c r="H10" s="1"/>
      <c r="J10" s="8"/>
      <c r="K10" s="11"/>
      <c r="L10" s="9"/>
    </row>
    <row r="11" spans="1:12" x14ac:dyDescent="0.25">
      <c r="A11" s="59"/>
      <c r="B11" s="1"/>
      <c r="C11" s="1"/>
      <c r="D11" s="1"/>
      <c r="E11" s="37"/>
      <c r="F11" s="37"/>
      <c r="G11" s="1"/>
      <c r="H11" s="1"/>
      <c r="K11" s="11"/>
      <c r="L11" s="9"/>
    </row>
    <row r="12" spans="1:12" x14ac:dyDescent="0.25">
      <c r="A12" s="59"/>
      <c r="B12" s="1"/>
      <c r="C12" s="1"/>
      <c r="D12" s="1"/>
      <c r="E12" s="37"/>
      <c r="F12" s="37"/>
      <c r="G12" s="1"/>
      <c r="H12" s="1"/>
      <c r="K12" s="11"/>
      <c r="L12" s="9"/>
    </row>
    <row r="13" spans="1:12" x14ac:dyDescent="0.25">
      <c r="A13" s="59"/>
      <c r="B13" s="60" t="s">
        <v>6</v>
      </c>
      <c r="C13" s="51"/>
      <c r="D13" s="52"/>
      <c r="E13" s="36"/>
      <c r="F13" s="36"/>
      <c r="G13" s="27">
        <f>G9</f>
        <v>1435.5</v>
      </c>
      <c r="H13" s="1"/>
      <c r="K13" s="9"/>
      <c r="L13" s="9"/>
    </row>
    <row r="14" spans="1:12" x14ac:dyDescent="0.25">
      <c r="A14" s="1" t="s">
        <v>13</v>
      </c>
      <c r="B14" s="1" t="s">
        <v>26</v>
      </c>
      <c r="C14" s="1" t="s">
        <v>2</v>
      </c>
      <c r="D14" s="1" t="s">
        <v>3</v>
      </c>
      <c r="E14" s="37" t="s">
        <v>130</v>
      </c>
      <c r="F14" s="37"/>
      <c r="G14" s="1" t="s">
        <v>24</v>
      </c>
      <c r="H14" s="1" t="s">
        <v>25</v>
      </c>
      <c r="K14" s="9"/>
      <c r="L14" s="9"/>
    </row>
    <row r="15" spans="1:12" x14ac:dyDescent="0.25">
      <c r="A15" s="59" t="s">
        <v>88</v>
      </c>
      <c r="B15" s="1" t="s">
        <v>92</v>
      </c>
      <c r="C15" s="1" t="s">
        <v>50</v>
      </c>
      <c r="D15" s="1">
        <v>48</v>
      </c>
      <c r="E15" s="37">
        <v>35</v>
      </c>
      <c r="F15" s="37" t="s">
        <v>131</v>
      </c>
      <c r="G15" s="1">
        <f>E15*D15</f>
        <v>1680</v>
      </c>
      <c r="H15" s="1"/>
      <c r="K15" s="9"/>
      <c r="L15" s="9"/>
    </row>
    <row r="16" spans="1:12" x14ac:dyDescent="0.25">
      <c r="A16" s="59"/>
      <c r="B16" s="1" t="s">
        <v>93</v>
      </c>
      <c r="C16" s="1" t="s">
        <v>94</v>
      </c>
      <c r="D16" s="1">
        <v>29.58</v>
      </c>
      <c r="E16" s="37">
        <v>8</v>
      </c>
      <c r="F16" s="37" t="s">
        <v>131</v>
      </c>
      <c r="G16" s="37">
        <f>E16*D16</f>
        <v>236.64</v>
      </c>
      <c r="H16" s="1"/>
    </row>
    <row r="17" spans="1:8" x14ac:dyDescent="0.25">
      <c r="A17" s="59"/>
      <c r="B17" s="1"/>
      <c r="C17" s="1"/>
      <c r="D17" s="1"/>
      <c r="E17" s="37"/>
      <c r="F17" s="37"/>
      <c r="G17" s="1"/>
      <c r="H17" s="1"/>
    </row>
    <row r="18" spans="1:8" x14ac:dyDescent="0.25">
      <c r="A18" s="59"/>
      <c r="B18" s="1"/>
      <c r="C18" s="1"/>
      <c r="D18" s="1"/>
      <c r="E18" s="36"/>
      <c r="F18" s="36"/>
      <c r="G18" s="3"/>
      <c r="H18" s="1"/>
    </row>
    <row r="19" spans="1:8" x14ac:dyDescent="0.25">
      <c r="A19" s="59"/>
      <c r="B19" s="60" t="s">
        <v>6</v>
      </c>
      <c r="C19" s="51"/>
      <c r="D19" s="52"/>
      <c r="E19" s="36"/>
      <c r="F19" s="36"/>
      <c r="G19" s="27">
        <f>SUM(G15:G18)</f>
        <v>1916.6399999999999</v>
      </c>
      <c r="H19" s="1"/>
    </row>
    <row r="20" spans="1:8" x14ac:dyDescent="0.25">
      <c r="A20" s="12" t="s">
        <v>28</v>
      </c>
      <c r="B20" s="1" t="s">
        <v>26</v>
      </c>
      <c r="C20" s="1" t="s">
        <v>22</v>
      </c>
      <c r="D20" s="1" t="s">
        <v>3</v>
      </c>
      <c r="E20" s="37" t="s">
        <v>130</v>
      </c>
      <c r="F20" s="37"/>
      <c r="G20" s="1" t="s">
        <v>4</v>
      </c>
      <c r="H20" s="1" t="s">
        <v>25</v>
      </c>
    </row>
    <row r="21" spans="1:8" x14ac:dyDescent="0.25">
      <c r="A21" s="59"/>
      <c r="B21" s="1"/>
      <c r="C21" s="1"/>
      <c r="D21" s="1"/>
      <c r="E21" s="37"/>
      <c r="F21" s="37"/>
      <c r="G21" s="1"/>
      <c r="H21" s="1"/>
    </row>
    <row r="22" spans="1:8" x14ac:dyDescent="0.25">
      <c r="A22" s="59"/>
      <c r="B22" s="1"/>
      <c r="C22" s="1"/>
      <c r="D22" s="1"/>
      <c r="E22" s="37"/>
      <c r="F22" s="37"/>
      <c r="G22" s="1"/>
      <c r="H22" s="1"/>
    </row>
    <row r="23" spans="1:8" x14ac:dyDescent="0.25">
      <c r="A23" s="59"/>
      <c r="B23" s="1"/>
      <c r="C23" s="1"/>
      <c r="D23" s="1"/>
      <c r="E23" s="37"/>
      <c r="F23" s="37"/>
      <c r="G23" s="1"/>
      <c r="H23" s="1"/>
    </row>
    <row r="24" spans="1:8" x14ac:dyDescent="0.25">
      <c r="A24" s="59"/>
      <c r="B24" s="1"/>
      <c r="C24" s="1"/>
      <c r="D24" s="1"/>
      <c r="E24" s="37"/>
      <c r="F24" s="37"/>
      <c r="G24" s="1"/>
      <c r="H24" s="1"/>
    </row>
    <row r="25" spans="1:8" x14ac:dyDescent="0.25">
      <c r="A25" s="59"/>
      <c r="B25" s="60" t="s">
        <v>6</v>
      </c>
      <c r="C25" s="51"/>
      <c r="D25" s="52"/>
      <c r="E25" s="36"/>
      <c r="F25" s="36"/>
      <c r="G25" s="3"/>
      <c r="H25" s="1"/>
    </row>
    <row r="26" spans="1:8" x14ac:dyDescent="0.25">
      <c r="A26" s="1" t="s">
        <v>16</v>
      </c>
      <c r="B26" s="1" t="s">
        <v>1</v>
      </c>
      <c r="C26" s="1" t="s">
        <v>2</v>
      </c>
      <c r="D26" s="1" t="s">
        <v>3</v>
      </c>
      <c r="E26" s="37" t="s">
        <v>130</v>
      </c>
      <c r="F26" s="37"/>
      <c r="G26" s="1" t="s">
        <v>4</v>
      </c>
      <c r="H26" s="1" t="s">
        <v>5</v>
      </c>
    </row>
    <row r="27" spans="1:8" x14ac:dyDescent="0.25">
      <c r="A27" s="59" t="s">
        <v>89</v>
      </c>
      <c r="B27" s="1" t="s">
        <v>90</v>
      </c>
      <c r="C27" s="1" t="s">
        <v>11</v>
      </c>
      <c r="D27" s="1">
        <v>10.199999999999999</v>
      </c>
      <c r="E27" s="37">
        <v>15</v>
      </c>
      <c r="F27" s="37" t="s">
        <v>131</v>
      </c>
      <c r="G27" s="1">
        <f>E27*D27</f>
        <v>153</v>
      </c>
      <c r="H27" s="1"/>
    </row>
    <row r="28" spans="1:8" x14ac:dyDescent="0.25">
      <c r="A28" s="59"/>
      <c r="B28" s="1" t="s">
        <v>91</v>
      </c>
      <c r="C28" s="1" t="s">
        <v>51</v>
      </c>
      <c r="D28" s="1">
        <v>63</v>
      </c>
      <c r="E28" s="37">
        <v>5</v>
      </c>
      <c r="F28" s="37" t="s">
        <v>131</v>
      </c>
      <c r="G28" s="37">
        <f>E28*D28</f>
        <v>315</v>
      </c>
      <c r="H28" s="1"/>
    </row>
    <row r="29" spans="1:8" x14ac:dyDescent="0.25">
      <c r="A29" s="59"/>
      <c r="B29" s="60" t="s">
        <v>6</v>
      </c>
      <c r="C29" s="51"/>
      <c r="D29" s="52"/>
      <c r="E29" s="36"/>
      <c r="F29" s="36"/>
      <c r="G29" s="25">
        <f>SUM(G27:G28)</f>
        <v>468</v>
      </c>
      <c r="H29" s="1"/>
    </row>
    <row r="30" spans="1:8" x14ac:dyDescent="0.25">
      <c r="A30" s="1" t="s">
        <v>30</v>
      </c>
      <c r="B30" s="1" t="s">
        <v>1</v>
      </c>
      <c r="C30" s="1" t="s">
        <v>2</v>
      </c>
      <c r="D30" s="1" t="s">
        <v>3</v>
      </c>
      <c r="E30" s="36" t="s">
        <v>130</v>
      </c>
      <c r="F30" s="36"/>
      <c r="G30" s="3" t="s">
        <v>4</v>
      </c>
      <c r="H30" s="1" t="s">
        <v>5</v>
      </c>
    </row>
    <row r="31" spans="1:8" x14ac:dyDescent="0.25">
      <c r="A31" s="56"/>
      <c r="B31" s="1" t="s">
        <v>163</v>
      </c>
      <c r="C31" s="1"/>
      <c r="D31" s="1">
        <v>12.24</v>
      </c>
      <c r="E31" s="37">
        <v>65</v>
      </c>
      <c r="F31" s="37" t="s">
        <v>131</v>
      </c>
      <c r="G31" s="42">
        <f>E31*D31</f>
        <v>795.6</v>
      </c>
      <c r="H31" s="1"/>
    </row>
    <row r="32" spans="1:8" x14ac:dyDescent="0.25">
      <c r="A32" s="57"/>
      <c r="B32" s="1" t="s">
        <v>187</v>
      </c>
      <c r="C32" s="1"/>
      <c r="D32" s="1">
        <v>31.68</v>
      </c>
      <c r="E32" s="37">
        <v>50</v>
      </c>
      <c r="F32" s="37" t="s">
        <v>131</v>
      </c>
      <c r="G32" s="42">
        <f>E32*D32</f>
        <v>1584</v>
      </c>
      <c r="H32" s="1"/>
    </row>
    <row r="33" spans="1:8" x14ac:dyDescent="0.25">
      <c r="A33" s="58"/>
      <c r="B33" s="60" t="s">
        <v>6</v>
      </c>
      <c r="C33" s="51"/>
      <c r="D33" s="52"/>
      <c r="E33" s="36"/>
      <c r="F33" s="36"/>
      <c r="G33" s="27">
        <f>SUM(G31:G32)</f>
        <v>2379.6</v>
      </c>
      <c r="H33" s="16"/>
    </row>
    <row r="34" spans="1:8" x14ac:dyDescent="0.25">
      <c r="A34" s="17" t="s">
        <v>188</v>
      </c>
      <c r="B34" s="1" t="s">
        <v>1</v>
      </c>
      <c r="C34" s="1" t="s">
        <v>2</v>
      </c>
      <c r="D34" s="1" t="s">
        <v>3</v>
      </c>
      <c r="E34" s="37" t="s">
        <v>130</v>
      </c>
      <c r="F34" s="37"/>
      <c r="G34" s="1" t="s">
        <v>4</v>
      </c>
      <c r="H34" s="1"/>
    </row>
    <row r="35" spans="1:8" x14ac:dyDescent="0.25">
      <c r="A35" s="59"/>
      <c r="B35" s="1" t="s">
        <v>159</v>
      </c>
      <c r="C35" s="1"/>
      <c r="D35" s="1">
        <v>50</v>
      </c>
      <c r="E35" s="37">
        <v>1</v>
      </c>
      <c r="F35" s="37" t="s">
        <v>142</v>
      </c>
      <c r="G35" s="1">
        <f>E35*D35</f>
        <v>50</v>
      </c>
      <c r="H35" s="47" t="s">
        <v>156</v>
      </c>
    </row>
    <row r="36" spans="1:8" x14ac:dyDescent="0.25">
      <c r="A36" s="59"/>
      <c r="B36" s="1"/>
      <c r="C36" s="1"/>
      <c r="D36" s="1"/>
      <c r="E36" s="37"/>
      <c r="F36" s="37"/>
      <c r="G36" s="1"/>
      <c r="H36" s="1"/>
    </row>
    <row r="37" spans="1:8" x14ac:dyDescent="0.25">
      <c r="A37" s="59"/>
      <c r="B37" s="1"/>
      <c r="C37" s="1"/>
      <c r="D37" s="1"/>
      <c r="E37" s="37"/>
      <c r="F37" s="37"/>
      <c r="G37" s="1"/>
      <c r="H37" s="1"/>
    </row>
    <row r="38" spans="1:8" x14ac:dyDescent="0.25">
      <c r="A38" s="59"/>
      <c r="B38" s="1"/>
      <c r="C38" s="1"/>
      <c r="D38" s="1"/>
      <c r="E38" s="37"/>
      <c r="F38" s="37"/>
      <c r="G38" s="1"/>
      <c r="H38" s="1"/>
    </row>
    <row r="39" spans="1:8" x14ac:dyDescent="0.25">
      <c r="A39" s="59"/>
      <c r="B39" s="60" t="s">
        <v>6</v>
      </c>
      <c r="C39" s="51"/>
      <c r="D39" s="52"/>
      <c r="E39" s="36"/>
      <c r="F39" s="36"/>
      <c r="G39" s="25">
        <f>G35</f>
        <v>50</v>
      </c>
      <c r="H39" s="1"/>
    </row>
    <row r="40" spans="1:8" x14ac:dyDescent="0.25">
      <c r="A40" s="1"/>
      <c r="B40" s="64" t="s">
        <v>21</v>
      </c>
      <c r="C40" s="65"/>
      <c r="D40" s="66"/>
      <c r="E40" s="41"/>
      <c r="F40" s="41"/>
      <c r="G40" s="34">
        <f>G39+G33+G29+G19+G7+G13</f>
        <v>13389.74</v>
      </c>
      <c r="H40" s="1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5:A19"/>
    <mergeCell ref="B19:D19"/>
    <mergeCell ref="A1:H1"/>
    <mergeCell ref="A3:A7"/>
    <mergeCell ref="B7:D7"/>
    <mergeCell ref="A9:A13"/>
    <mergeCell ref="B13:D13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9"/>
  <sheetViews>
    <sheetView topLeftCell="A22" workbookViewId="0">
      <selection activeCell="B22" sqref="B22:B2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2" x14ac:dyDescent="0.25">
      <c r="A1" s="61" t="s">
        <v>37</v>
      </c>
      <c r="B1" s="62"/>
      <c r="C1" s="62"/>
      <c r="D1" s="62"/>
      <c r="E1" s="62"/>
      <c r="F1" s="62"/>
      <c r="G1" s="62"/>
      <c r="H1" s="63"/>
    </row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37" t="s">
        <v>130</v>
      </c>
      <c r="F2" s="37"/>
      <c r="G2" s="1" t="s">
        <v>4</v>
      </c>
      <c r="H2" s="1" t="s">
        <v>5</v>
      </c>
    </row>
    <row r="3" spans="1:12" x14ac:dyDescent="0.25">
      <c r="A3" s="59" t="s">
        <v>99</v>
      </c>
      <c r="B3" s="1" t="s">
        <v>100</v>
      </c>
      <c r="C3" s="1" t="s">
        <v>101</v>
      </c>
      <c r="D3" s="1">
        <v>78</v>
      </c>
      <c r="E3" s="37">
        <v>43.28</v>
      </c>
      <c r="F3" s="37" t="s">
        <v>131</v>
      </c>
      <c r="G3" s="42">
        <f>E3*D3</f>
        <v>3375.84</v>
      </c>
      <c r="H3" s="1"/>
    </row>
    <row r="4" spans="1:12" x14ac:dyDescent="0.25">
      <c r="A4" s="59"/>
      <c r="B4" s="1"/>
      <c r="C4" s="1"/>
      <c r="D4" s="1"/>
      <c r="E4" s="37"/>
      <c r="F4" s="37"/>
      <c r="G4" s="1"/>
      <c r="H4" s="1"/>
    </row>
    <row r="5" spans="1:12" x14ac:dyDescent="0.25">
      <c r="A5" s="59"/>
      <c r="B5" s="1"/>
      <c r="C5" s="1"/>
      <c r="D5" s="1"/>
      <c r="E5" s="37"/>
      <c r="F5" s="37"/>
      <c r="G5" s="1"/>
      <c r="H5" s="1"/>
    </row>
    <row r="6" spans="1:12" x14ac:dyDescent="0.25">
      <c r="A6" s="59"/>
      <c r="B6" s="1"/>
      <c r="C6" s="1"/>
      <c r="D6" s="1"/>
      <c r="E6" s="36"/>
      <c r="F6" s="36"/>
      <c r="G6" s="3"/>
      <c r="H6" s="1"/>
      <c r="J6" s="4"/>
    </row>
    <row r="7" spans="1:12" x14ac:dyDescent="0.25">
      <c r="A7" s="59"/>
      <c r="B7" s="60" t="s">
        <v>6</v>
      </c>
      <c r="C7" s="51"/>
      <c r="D7" s="52"/>
      <c r="E7" s="36"/>
      <c r="F7" s="36"/>
      <c r="G7" s="25">
        <v>3376</v>
      </c>
      <c r="H7" s="1"/>
      <c r="J7" s="8"/>
    </row>
    <row r="8" spans="1:12" x14ac:dyDescent="0.25">
      <c r="A8" s="1" t="s">
        <v>31</v>
      </c>
      <c r="B8" s="1" t="s">
        <v>1</v>
      </c>
      <c r="C8" s="1" t="s">
        <v>2</v>
      </c>
      <c r="D8" s="1" t="s">
        <v>3</v>
      </c>
      <c r="E8" s="37"/>
      <c r="F8" s="37"/>
      <c r="G8" s="1" t="s">
        <v>4</v>
      </c>
      <c r="H8" s="1" t="s">
        <v>5</v>
      </c>
      <c r="J8" s="8"/>
    </row>
    <row r="9" spans="1:12" x14ac:dyDescent="0.25">
      <c r="A9" s="59" t="s">
        <v>102</v>
      </c>
      <c r="B9" s="1" t="s">
        <v>110</v>
      </c>
      <c r="C9" s="1" t="s">
        <v>11</v>
      </c>
      <c r="D9" s="1">
        <v>16.2</v>
      </c>
      <c r="E9" s="37">
        <v>15</v>
      </c>
      <c r="F9" s="37" t="s">
        <v>131</v>
      </c>
      <c r="G9" s="1">
        <f>E9*D9</f>
        <v>243</v>
      </c>
      <c r="H9" s="1"/>
      <c r="J9" s="8"/>
      <c r="K9" s="9"/>
      <c r="L9" s="9"/>
    </row>
    <row r="10" spans="1:12" x14ac:dyDescent="0.25">
      <c r="A10" s="59"/>
      <c r="B10" s="10" t="s">
        <v>45</v>
      </c>
      <c r="C10" s="1" t="s">
        <v>11</v>
      </c>
      <c r="D10" s="1">
        <v>30.6</v>
      </c>
      <c r="E10" s="37">
        <v>15</v>
      </c>
      <c r="F10" s="37" t="s">
        <v>131</v>
      </c>
      <c r="G10" s="1">
        <f>E10*D10</f>
        <v>459</v>
      </c>
      <c r="H10" s="1"/>
      <c r="J10" s="8"/>
      <c r="K10" s="11"/>
      <c r="L10" s="9"/>
    </row>
    <row r="11" spans="1:12" x14ac:dyDescent="0.25">
      <c r="A11" s="59"/>
      <c r="B11" s="1" t="s">
        <v>111</v>
      </c>
      <c r="C11" s="1" t="s">
        <v>112</v>
      </c>
      <c r="D11" s="1">
        <v>55.2</v>
      </c>
      <c r="E11" s="37">
        <v>20</v>
      </c>
      <c r="F11" s="37" t="s">
        <v>131</v>
      </c>
      <c r="G11" s="37">
        <f>E11*D11</f>
        <v>1104</v>
      </c>
      <c r="H11" s="1"/>
      <c r="K11" s="11"/>
      <c r="L11" s="9"/>
    </row>
    <row r="12" spans="1:12" x14ac:dyDescent="0.25">
      <c r="A12" s="59"/>
      <c r="B12" s="1"/>
      <c r="C12" s="1"/>
      <c r="D12" s="1"/>
      <c r="E12" s="37"/>
      <c r="F12" s="37"/>
      <c r="G12" s="1"/>
      <c r="H12" s="1"/>
      <c r="K12" s="11"/>
      <c r="L12" s="9"/>
    </row>
    <row r="13" spans="1:12" x14ac:dyDescent="0.25">
      <c r="A13" s="59"/>
      <c r="B13" s="60" t="s">
        <v>6</v>
      </c>
      <c r="C13" s="51"/>
      <c r="D13" s="52"/>
      <c r="E13" s="36"/>
      <c r="F13" s="36"/>
      <c r="G13" s="25">
        <f>SUM(G9:G12)</f>
        <v>1806</v>
      </c>
      <c r="H13" s="1"/>
      <c r="K13" s="9"/>
      <c r="L13" s="9"/>
    </row>
    <row r="14" spans="1:12" x14ac:dyDescent="0.25">
      <c r="A14" s="1" t="s">
        <v>13</v>
      </c>
      <c r="B14" s="1" t="s">
        <v>1</v>
      </c>
      <c r="C14" s="1" t="s">
        <v>2</v>
      </c>
      <c r="D14" s="1" t="s">
        <v>3</v>
      </c>
      <c r="E14" s="37"/>
      <c r="F14" s="37"/>
      <c r="G14" s="1" t="s">
        <v>4</v>
      </c>
      <c r="H14" s="1" t="s">
        <v>5</v>
      </c>
      <c r="K14" s="9"/>
      <c r="L14" s="9"/>
    </row>
    <row r="15" spans="1:12" x14ac:dyDescent="0.25">
      <c r="A15" s="59" t="s">
        <v>103</v>
      </c>
      <c r="B15" s="1" t="s">
        <v>107</v>
      </c>
      <c r="C15" s="1" t="s">
        <v>108</v>
      </c>
      <c r="D15" s="1">
        <v>57</v>
      </c>
      <c r="E15" s="37">
        <v>20</v>
      </c>
      <c r="F15" s="37" t="s">
        <v>131</v>
      </c>
      <c r="G15" s="1">
        <f>D15*E15</f>
        <v>1140</v>
      </c>
      <c r="H15" s="24" t="s">
        <v>132</v>
      </c>
      <c r="K15" s="9"/>
      <c r="L15" s="9"/>
    </row>
    <row r="16" spans="1:12" x14ac:dyDescent="0.25">
      <c r="A16" s="59"/>
      <c r="B16" s="1" t="s">
        <v>66</v>
      </c>
      <c r="C16" s="1" t="s">
        <v>109</v>
      </c>
      <c r="D16" s="1">
        <v>45</v>
      </c>
      <c r="E16" s="37">
        <v>8</v>
      </c>
      <c r="F16" s="37" t="s">
        <v>131</v>
      </c>
      <c r="G16" s="37">
        <f t="shared" ref="G16:G17" si="0">D16*E16</f>
        <v>360</v>
      </c>
      <c r="H16" s="24" t="s">
        <v>133</v>
      </c>
    </row>
    <row r="17" spans="1:8" x14ac:dyDescent="0.25">
      <c r="A17" s="59"/>
      <c r="B17" s="1" t="s">
        <v>32</v>
      </c>
      <c r="C17" s="1" t="s">
        <v>11</v>
      </c>
      <c r="D17" s="1">
        <v>99</v>
      </c>
      <c r="E17" s="37">
        <v>15</v>
      </c>
      <c r="F17" s="37" t="s">
        <v>131</v>
      </c>
      <c r="G17" s="37">
        <f t="shared" si="0"/>
        <v>1485</v>
      </c>
      <c r="H17" s="24" t="s">
        <v>134</v>
      </c>
    </row>
    <row r="18" spans="1:8" x14ac:dyDescent="0.25">
      <c r="A18" s="59"/>
      <c r="B18" s="1"/>
      <c r="C18" s="1"/>
      <c r="D18" s="1"/>
      <c r="E18" s="36"/>
      <c r="F18" s="36"/>
      <c r="G18" s="3"/>
      <c r="H18" s="1"/>
    </row>
    <row r="19" spans="1:8" x14ac:dyDescent="0.25">
      <c r="A19" s="59"/>
      <c r="B19" s="60" t="s">
        <v>6</v>
      </c>
      <c r="C19" s="51"/>
      <c r="D19" s="52"/>
      <c r="E19" s="36"/>
      <c r="F19" s="36"/>
      <c r="G19" s="25">
        <f>G15+G16+G17</f>
        <v>2985</v>
      </c>
      <c r="H19" s="1"/>
    </row>
    <row r="20" spans="1:8" x14ac:dyDescent="0.25">
      <c r="A20" s="12" t="s">
        <v>152</v>
      </c>
      <c r="B20" s="1" t="s">
        <v>1</v>
      </c>
      <c r="C20" s="1" t="s">
        <v>2</v>
      </c>
      <c r="D20" s="1" t="s">
        <v>3</v>
      </c>
      <c r="E20" s="37"/>
      <c r="F20" s="37"/>
      <c r="G20" s="1" t="s">
        <v>4</v>
      </c>
      <c r="H20" s="1" t="s">
        <v>5</v>
      </c>
    </row>
    <row r="21" spans="1:8" x14ac:dyDescent="0.25">
      <c r="A21" s="59"/>
      <c r="B21" s="1" t="s">
        <v>145</v>
      </c>
      <c r="C21" s="1">
        <v>20</v>
      </c>
      <c r="D21" s="1">
        <v>37</v>
      </c>
      <c r="E21" s="37"/>
      <c r="F21" s="37" t="s">
        <v>143</v>
      </c>
      <c r="G21" s="37">
        <f t="shared" ref="G21:G27" si="1">C21*D21</f>
        <v>740</v>
      </c>
      <c r="H21" s="1"/>
    </row>
    <row r="22" spans="1:8" x14ac:dyDescent="0.25">
      <c r="A22" s="59"/>
      <c r="B22" s="1" t="s">
        <v>144</v>
      </c>
      <c r="C22" s="1">
        <v>1</v>
      </c>
      <c r="D22" s="1">
        <v>225</v>
      </c>
      <c r="E22" s="37"/>
      <c r="F22" s="37" t="s">
        <v>146</v>
      </c>
      <c r="G22" s="37">
        <f t="shared" si="1"/>
        <v>225</v>
      </c>
      <c r="H22" s="1"/>
    </row>
    <row r="23" spans="1:8" x14ac:dyDescent="0.25">
      <c r="A23" s="59"/>
      <c r="B23" s="1" t="s">
        <v>147</v>
      </c>
      <c r="C23" s="1">
        <v>1</v>
      </c>
      <c r="D23" s="1">
        <v>235</v>
      </c>
      <c r="E23" s="37"/>
      <c r="F23" s="37" t="s">
        <v>146</v>
      </c>
      <c r="G23" s="37">
        <f t="shared" si="1"/>
        <v>235</v>
      </c>
      <c r="H23" s="1"/>
    </row>
    <row r="24" spans="1:8" x14ac:dyDescent="0.25">
      <c r="A24" s="59"/>
      <c r="B24" s="38" t="s">
        <v>148</v>
      </c>
      <c r="C24" s="37">
        <v>1</v>
      </c>
      <c r="D24" s="36">
        <v>219</v>
      </c>
      <c r="E24" s="36"/>
      <c r="F24" s="37" t="s">
        <v>146</v>
      </c>
      <c r="G24" s="36">
        <f t="shared" si="1"/>
        <v>219</v>
      </c>
      <c r="H24" s="1"/>
    </row>
    <row r="25" spans="1:8" x14ac:dyDescent="0.25">
      <c r="A25" s="59"/>
      <c r="B25" s="38" t="s">
        <v>149</v>
      </c>
      <c r="C25" s="37">
        <v>1</v>
      </c>
      <c r="D25" s="36">
        <v>613</v>
      </c>
      <c r="E25" s="36"/>
      <c r="F25" s="37" t="s">
        <v>146</v>
      </c>
      <c r="G25" s="36">
        <f t="shared" si="1"/>
        <v>613</v>
      </c>
      <c r="H25" s="37"/>
    </row>
    <row r="26" spans="1:8" x14ac:dyDescent="0.25">
      <c r="A26" s="59"/>
      <c r="B26" s="37" t="s">
        <v>150</v>
      </c>
      <c r="C26" s="37">
        <v>1</v>
      </c>
      <c r="D26" s="37">
        <v>844</v>
      </c>
      <c r="E26" s="37"/>
      <c r="F26" s="36" t="s">
        <v>151</v>
      </c>
      <c r="G26" s="36">
        <f t="shared" si="1"/>
        <v>844</v>
      </c>
      <c r="H26" s="37"/>
    </row>
    <row r="27" spans="1:8" x14ac:dyDescent="0.25">
      <c r="A27" s="59"/>
      <c r="B27" s="37" t="s">
        <v>154</v>
      </c>
      <c r="C27" s="37">
        <v>1</v>
      </c>
      <c r="D27" s="37">
        <v>235</v>
      </c>
      <c r="E27" s="44"/>
      <c r="F27" s="36" t="s">
        <v>155</v>
      </c>
      <c r="G27" s="36">
        <f t="shared" si="1"/>
        <v>235</v>
      </c>
      <c r="H27" s="47" t="s">
        <v>156</v>
      </c>
    </row>
    <row r="28" spans="1:8" x14ac:dyDescent="0.25">
      <c r="A28" s="59"/>
      <c r="B28" s="60" t="s">
        <v>6</v>
      </c>
      <c r="C28" s="51"/>
      <c r="D28" s="52"/>
      <c r="E28" s="36"/>
      <c r="F28" s="36"/>
      <c r="G28" s="25">
        <f>SUM(G21:G27)</f>
        <v>3111</v>
      </c>
      <c r="H28" s="1"/>
    </row>
    <row r="29" spans="1:8" x14ac:dyDescent="0.25">
      <c r="A29" s="1" t="s">
        <v>16</v>
      </c>
      <c r="B29" s="1" t="s">
        <v>1</v>
      </c>
      <c r="C29" s="1" t="s">
        <v>2</v>
      </c>
      <c r="D29" s="1" t="s">
        <v>3</v>
      </c>
      <c r="E29" s="37"/>
      <c r="F29" s="37"/>
      <c r="G29" s="1" t="s">
        <v>4</v>
      </c>
      <c r="H29" s="1" t="s">
        <v>5</v>
      </c>
    </row>
    <row r="30" spans="1:8" x14ac:dyDescent="0.25">
      <c r="A30" s="59" t="s">
        <v>104</v>
      </c>
      <c r="B30" s="1" t="s">
        <v>105</v>
      </c>
      <c r="C30" s="1"/>
      <c r="D30" s="1"/>
      <c r="E30" s="37"/>
      <c r="F30" s="37"/>
      <c r="G30" s="1"/>
      <c r="H30" s="1" t="s">
        <v>106</v>
      </c>
    </row>
    <row r="31" spans="1:8" x14ac:dyDescent="0.25">
      <c r="A31" s="59"/>
      <c r="B31" s="1"/>
      <c r="C31" s="1"/>
      <c r="D31" s="1"/>
      <c r="E31" s="37"/>
      <c r="F31" s="37"/>
      <c r="G31" s="1"/>
      <c r="H31" s="1"/>
    </row>
    <row r="32" spans="1:8" x14ac:dyDescent="0.25">
      <c r="A32" s="59"/>
      <c r="B32" s="60" t="s">
        <v>6</v>
      </c>
      <c r="C32" s="51"/>
      <c r="D32" s="52"/>
      <c r="E32" s="36"/>
      <c r="F32" s="36"/>
      <c r="G32" s="3"/>
      <c r="H32" s="1"/>
    </row>
    <row r="33" spans="1:8" x14ac:dyDescent="0.25">
      <c r="A33" s="1" t="s">
        <v>30</v>
      </c>
      <c r="B33" s="1" t="s">
        <v>1</v>
      </c>
      <c r="C33" s="1" t="s">
        <v>2</v>
      </c>
      <c r="D33" s="1" t="s">
        <v>3</v>
      </c>
      <c r="E33" s="36"/>
      <c r="F33" s="36"/>
      <c r="G33" s="3" t="s">
        <v>4</v>
      </c>
      <c r="H33" s="1" t="s">
        <v>5</v>
      </c>
    </row>
    <row r="34" spans="1:8" x14ac:dyDescent="0.25">
      <c r="A34" s="56"/>
      <c r="B34" s="1" t="s">
        <v>135</v>
      </c>
      <c r="C34" s="1"/>
      <c r="D34" s="1">
        <v>24</v>
      </c>
      <c r="E34" s="37">
        <v>55</v>
      </c>
      <c r="F34" s="37" t="s">
        <v>131</v>
      </c>
      <c r="G34" s="1">
        <f>E34*D34</f>
        <v>1320</v>
      </c>
      <c r="H34" s="1"/>
    </row>
    <row r="35" spans="1:8" x14ac:dyDescent="0.25">
      <c r="A35" s="57"/>
      <c r="B35" s="1" t="s">
        <v>163</v>
      </c>
      <c r="C35" s="1"/>
      <c r="D35" s="1">
        <v>15.3</v>
      </c>
      <c r="E35" s="37">
        <v>65</v>
      </c>
      <c r="F35" s="37" t="s">
        <v>131</v>
      </c>
      <c r="G35" s="42">
        <f>E35*D35</f>
        <v>994.5</v>
      </c>
      <c r="H35" s="1"/>
    </row>
    <row r="36" spans="1:8" x14ac:dyDescent="0.25">
      <c r="A36" s="58"/>
      <c r="B36" s="60" t="s">
        <v>6</v>
      </c>
      <c r="C36" s="51"/>
      <c r="D36" s="52"/>
      <c r="E36" s="36"/>
      <c r="F36" s="36"/>
      <c r="G36" s="27">
        <f>SUM(G34:G35)</f>
        <v>2314.5</v>
      </c>
      <c r="H36" s="16"/>
    </row>
    <row r="37" spans="1:8" x14ac:dyDescent="0.25">
      <c r="A37" s="17" t="s">
        <v>136</v>
      </c>
      <c r="B37" s="1" t="s">
        <v>1</v>
      </c>
      <c r="C37" s="1" t="s">
        <v>2</v>
      </c>
      <c r="D37" s="1" t="s">
        <v>3</v>
      </c>
      <c r="E37" s="37"/>
      <c r="F37" s="37"/>
      <c r="G37" s="1" t="s">
        <v>4</v>
      </c>
      <c r="H37" s="1"/>
    </row>
    <row r="38" spans="1:8" x14ac:dyDescent="0.25">
      <c r="A38" s="59" t="s">
        <v>137</v>
      </c>
      <c r="B38" s="1" t="s">
        <v>138</v>
      </c>
      <c r="C38" s="1"/>
      <c r="D38" s="1">
        <v>19.8</v>
      </c>
      <c r="E38" s="37">
        <v>15</v>
      </c>
      <c r="F38" s="37" t="s">
        <v>131</v>
      </c>
      <c r="G38" s="1">
        <f>E38*D38</f>
        <v>297</v>
      </c>
      <c r="H38" s="1"/>
    </row>
    <row r="39" spans="1:8" x14ac:dyDescent="0.25">
      <c r="A39" s="59"/>
      <c r="B39" s="1" t="s">
        <v>139</v>
      </c>
      <c r="C39" s="1"/>
      <c r="D39" s="1">
        <v>30</v>
      </c>
      <c r="E39" s="37">
        <v>5</v>
      </c>
      <c r="F39" s="37" t="s">
        <v>131</v>
      </c>
      <c r="G39" s="37">
        <f t="shared" ref="G39:G40" si="2">E39*D39</f>
        <v>150</v>
      </c>
      <c r="H39" s="1"/>
    </row>
    <row r="40" spans="1:8" x14ac:dyDescent="0.25">
      <c r="A40" s="59"/>
      <c r="B40" s="1" t="s">
        <v>140</v>
      </c>
      <c r="C40" s="1"/>
      <c r="D40" s="1">
        <v>7.98</v>
      </c>
      <c r="E40" s="37">
        <v>3</v>
      </c>
      <c r="F40" s="37" t="s">
        <v>131</v>
      </c>
      <c r="G40" s="42">
        <f t="shared" si="2"/>
        <v>23.94</v>
      </c>
      <c r="H40" s="1"/>
    </row>
    <row r="41" spans="1:8" x14ac:dyDescent="0.25">
      <c r="A41" s="59"/>
      <c r="B41" s="1"/>
      <c r="C41" s="1"/>
      <c r="D41" s="1"/>
      <c r="E41" s="37"/>
      <c r="F41" s="37"/>
      <c r="G41" s="1"/>
      <c r="H41" s="1"/>
    </row>
    <row r="42" spans="1:8" x14ac:dyDescent="0.25">
      <c r="A42" s="59"/>
      <c r="B42" s="60" t="s">
        <v>6</v>
      </c>
      <c r="C42" s="51"/>
      <c r="D42" s="52"/>
      <c r="E42" s="36"/>
      <c r="F42" s="36"/>
      <c r="G42" s="46">
        <f>G38+G39+G40</f>
        <v>470.94</v>
      </c>
      <c r="H42" s="1"/>
    </row>
    <row r="43" spans="1:8" x14ac:dyDescent="0.25">
      <c r="A43" s="16" t="s">
        <v>153</v>
      </c>
      <c r="B43" s="37" t="s">
        <v>1</v>
      </c>
      <c r="C43" s="37" t="s">
        <v>2</v>
      </c>
      <c r="D43" s="37" t="s">
        <v>3</v>
      </c>
      <c r="E43" s="36"/>
      <c r="F43" s="36"/>
      <c r="G43" s="43"/>
      <c r="H43" s="37"/>
    </row>
    <row r="44" spans="1:8" x14ac:dyDescent="0.25">
      <c r="A44" s="56"/>
      <c r="B44" s="1" t="s">
        <v>141</v>
      </c>
      <c r="C44" s="1">
        <v>2</v>
      </c>
      <c r="D44" s="1">
        <v>50</v>
      </c>
      <c r="E44" s="36"/>
      <c r="F44" s="37" t="s">
        <v>142</v>
      </c>
      <c r="G44" s="1">
        <f>C44*D44</f>
        <v>100</v>
      </c>
      <c r="H44" s="37"/>
    </row>
    <row r="45" spans="1:8" x14ac:dyDescent="0.25">
      <c r="A45" s="57"/>
      <c r="B45" s="37" t="s">
        <v>157</v>
      </c>
      <c r="C45" s="37">
        <v>100</v>
      </c>
      <c r="D45" s="37">
        <v>4.5</v>
      </c>
      <c r="E45" s="36"/>
      <c r="F45" s="36" t="s">
        <v>158</v>
      </c>
      <c r="G45" s="45">
        <f>C45*D45</f>
        <v>450</v>
      </c>
      <c r="H45" s="47" t="s">
        <v>156</v>
      </c>
    </row>
    <row r="46" spans="1:8" x14ac:dyDescent="0.25">
      <c r="A46" s="57"/>
      <c r="B46" s="37" t="s">
        <v>159</v>
      </c>
      <c r="C46" s="37">
        <v>2</v>
      </c>
      <c r="D46" s="37">
        <v>50</v>
      </c>
      <c r="E46" s="36"/>
      <c r="F46" s="36" t="s">
        <v>142</v>
      </c>
      <c r="G46" s="45">
        <f t="shared" ref="G46:G47" si="3">C46*D46</f>
        <v>100</v>
      </c>
      <c r="H46" s="47" t="s">
        <v>156</v>
      </c>
    </row>
    <row r="47" spans="1:8" x14ac:dyDescent="0.25">
      <c r="A47" s="58"/>
      <c r="B47" s="37" t="s">
        <v>162</v>
      </c>
      <c r="C47" s="37">
        <v>1</v>
      </c>
      <c r="D47" s="37">
        <v>270</v>
      </c>
      <c r="E47" s="36"/>
      <c r="F47" s="36" t="s">
        <v>160</v>
      </c>
      <c r="G47" s="45">
        <f t="shared" si="3"/>
        <v>270</v>
      </c>
      <c r="H47" s="47" t="s">
        <v>156</v>
      </c>
    </row>
    <row r="48" spans="1:8" x14ac:dyDescent="0.25">
      <c r="A48" s="37"/>
      <c r="B48" s="60" t="s">
        <v>161</v>
      </c>
      <c r="C48" s="51"/>
      <c r="D48" s="52"/>
      <c r="E48" s="36"/>
      <c r="F48" s="36"/>
      <c r="G48" s="46">
        <f>SUM(G44:G47)</f>
        <v>920</v>
      </c>
      <c r="H48" s="37"/>
    </row>
    <row r="49" spans="1:8" x14ac:dyDescent="0.25">
      <c r="A49" s="1"/>
      <c r="B49" s="64" t="s">
        <v>21</v>
      </c>
      <c r="C49" s="65"/>
      <c r="D49" s="66"/>
      <c r="E49" s="41"/>
      <c r="F49" s="41"/>
      <c r="G49" s="34">
        <f>G7+G13+G19+G28+G36+G42+G48</f>
        <v>14983.44</v>
      </c>
      <c r="H49" s="1"/>
    </row>
  </sheetData>
  <mergeCells count="18">
    <mergeCell ref="B49:D49"/>
    <mergeCell ref="A21:A28"/>
    <mergeCell ref="B28:D28"/>
    <mergeCell ref="A30:A32"/>
    <mergeCell ref="B32:D32"/>
    <mergeCell ref="A34:A36"/>
    <mergeCell ref="B36:D36"/>
    <mergeCell ref="B48:D48"/>
    <mergeCell ref="A44:A47"/>
    <mergeCell ref="A15:A19"/>
    <mergeCell ref="B19:D19"/>
    <mergeCell ref="A1:H1"/>
    <mergeCell ref="A3:A7"/>
    <mergeCell ref="B7:D7"/>
    <mergeCell ref="A9:A13"/>
    <mergeCell ref="B13:D13"/>
    <mergeCell ref="A38:A42"/>
    <mergeCell ref="B42:D42"/>
  </mergeCells>
  <phoneticPr fontId="2" type="noConversion"/>
  <pageMargins left="0.7" right="0.7" top="0.75" bottom="0.75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0318(+)</vt:lpstr>
      <vt:lpstr>0319(+)</vt:lpstr>
      <vt:lpstr>0320(+)</vt:lpstr>
      <vt:lpstr>0321(+)</vt:lpstr>
      <vt:lpstr>0322(+)</vt:lpstr>
      <vt:lpstr>'0318(+)'!Print_Area</vt:lpstr>
      <vt:lpstr>'0319(+)'!Print_Area</vt:lpstr>
      <vt:lpstr>'0320(+)'!Print_Area</vt:lpstr>
      <vt:lpstr>'0321(+)'!Print_Area</vt:lpstr>
      <vt:lpstr>'0322(+)'!Print_Area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2024-03-25T03:44:56Z</cp:lastPrinted>
  <dcterms:created xsi:type="dcterms:W3CDTF">2024-03-07T07:49:37Z</dcterms:created>
  <dcterms:modified xsi:type="dcterms:W3CDTF">2024-03-25T05:40:02Z</dcterms:modified>
</cp:coreProperties>
</file>