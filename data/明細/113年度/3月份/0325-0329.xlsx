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3月份\"/>
    </mc:Choice>
  </mc:AlternateContent>
  <bookViews>
    <workbookView xWindow="0" yWindow="0" windowWidth="28800" windowHeight="12255" activeTab="4"/>
  </bookViews>
  <sheets>
    <sheet name="0325" sheetId="1" r:id="rId1"/>
    <sheet name="0326" sheetId="2" r:id="rId2"/>
    <sheet name="0327" sheetId="3" r:id="rId3"/>
    <sheet name="0328" sheetId="4" r:id="rId4"/>
    <sheet name="0329" sheetId="5" r:id="rId5"/>
  </sheets>
  <definedNames>
    <definedName name="_xlnm.Print_Area" localSheetId="0">'0325'!$A$1:$H$40</definedName>
    <definedName name="_xlnm.Print_Area" localSheetId="1">'0326'!$A$1:$H$41</definedName>
    <definedName name="_xlnm.Print_Area" localSheetId="2">'0327'!$A$1:$H$42</definedName>
    <definedName name="_xlnm.Print_Area" localSheetId="3">'0328'!$A$1:$H$40</definedName>
    <definedName name="_xlnm.Print_Area" localSheetId="4">'0329'!$A$1:$H$46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5" l="1"/>
  <c r="G25" i="5"/>
  <c r="G30" i="5"/>
  <c r="G23" i="5"/>
  <c r="G31" i="5" s="1"/>
  <c r="G46" i="5" s="1"/>
  <c r="G24" i="5"/>
  <c r="G27" i="5"/>
  <c r="G28" i="5"/>
  <c r="G29" i="5"/>
  <c r="G22" i="5"/>
  <c r="G21" i="5"/>
  <c r="G38" i="5"/>
  <c r="G37" i="5"/>
  <c r="G45" i="5"/>
  <c r="G42" i="5"/>
  <c r="G43" i="5"/>
  <c r="G41" i="5"/>
  <c r="G39" i="5"/>
  <c r="G19" i="5"/>
  <c r="G16" i="5"/>
  <c r="G17" i="5"/>
  <c r="G15" i="5"/>
  <c r="G13" i="5"/>
  <c r="G9" i="5"/>
  <c r="G7" i="5"/>
  <c r="G3" i="5"/>
  <c r="G32" i="4"/>
  <c r="G33" i="4" s="1"/>
  <c r="G40" i="4" s="1"/>
  <c r="G39" i="4"/>
  <c r="G35" i="4"/>
  <c r="G31" i="4"/>
  <c r="G29" i="4"/>
  <c r="G28" i="4"/>
  <c r="G27" i="4"/>
  <c r="G19" i="4"/>
  <c r="G16" i="4"/>
  <c r="G15" i="4"/>
  <c r="G13" i="4"/>
  <c r="G10" i="4"/>
  <c r="G11" i="4"/>
  <c r="G9" i="4"/>
  <c r="G7" i="4"/>
  <c r="G4" i="4"/>
  <c r="G3" i="4"/>
  <c r="G42" i="3" l="1"/>
  <c r="G30" i="3"/>
  <c r="G19" i="3"/>
  <c r="G15" i="3"/>
  <c r="G26" i="3"/>
  <c r="G25" i="3"/>
  <c r="G28" i="3"/>
  <c r="G13" i="3"/>
  <c r="G9" i="3"/>
  <c r="G34" i="3"/>
  <c r="G33" i="3"/>
  <c r="G24" i="3"/>
  <c r="G22" i="3"/>
  <c r="G23" i="3"/>
  <c r="G21" i="3" l="1"/>
  <c r="G32" i="3"/>
  <c r="G7" i="3"/>
  <c r="G3" i="3"/>
  <c r="G41" i="3"/>
  <c r="G37" i="3"/>
  <c r="G38" i="3"/>
  <c r="G39" i="3"/>
  <c r="G40" i="3"/>
  <c r="G36" i="3"/>
  <c r="G34" i="2" l="1"/>
  <c r="G25" i="2"/>
  <c r="G7" i="2"/>
  <c r="G13" i="2"/>
  <c r="G10" i="2"/>
  <c r="G40" i="2"/>
  <c r="G37" i="2"/>
  <c r="G38" i="2"/>
  <c r="G32" i="2"/>
  <c r="G33" i="2"/>
  <c r="G36" i="2"/>
  <c r="G31" i="2"/>
  <c r="G29" i="2"/>
  <c r="G28" i="2"/>
  <c r="G19" i="2"/>
  <c r="G15" i="2"/>
  <c r="G9" i="2"/>
  <c r="G4" i="2"/>
  <c r="G3" i="2"/>
  <c r="G22" i="2"/>
  <c r="G23" i="2"/>
  <c r="G24" i="2"/>
  <c r="G21" i="2"/>
  <c r="G41" i="2" l="1"/>
  <c r="G40" i="1"/>
  <c r="G19" i="1"/>
  <c r="G16" i="1"/>
  <c r="G15" i="1"/>
  <c r="G38" i="1"/>
  <c r="G7" i="1"/>
  <c r="G3" i="1"/>
  <c r="G33" i="1"/>
  <c r="G32" i="1"/>
  <c r="G31" i="1"/>
  <c r="G25" i="1"/>
  <c r="G13" i="1"/>
  <c r="G10" i="1"/>
  <c r="G11" i="1"/>
  <c r="G9" i="1"/>
  <c r="G36" i="1"/>
  <c r="G37" i="1"/>
  <c r="G39" i="1" s="1"/>
  <c r="G35" i="1"/>
  <c r="G22" i="1"/>
  <c r="G23" i="1"/>
  <c r="G24" i="1"/>
  <c r="G21" i="1"/>
</calcChain>
</file>

<file path=xl/sharedStrings.xml><?xml version="1.0" encoding="utf-8"?>
<sst xmlns="http://schemas.openxmlformats.org/spreadsheetml/2006/main" count="525" uniqueCount="179">
  <si>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</si>
  <si>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</si>
  <si>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</si>
  <si>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</si>
  <si>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</si>
  <si>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</si>
  <si>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烤腿排</t>
    <phoneticPr fontId="2" type="noConversion"/>
  </si>
  <si>
    <t>腿排</t>
    <phoneticPr fontId="2" type="noConversion"/>
  </si>
  <si>
    <t>240個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</si>
  <si>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</si>
  <si>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</si>
  <si>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去皮洋蔥</t>
    <phoneticPr fontId="2" type="noConversion"/>
  </si>
  <si>
    <t>5斤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</si>
  <si>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</si>
  <si>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清炒胡瓜</t>
    <phoneticPr fontId="2" type="noConversion"/>
  </si>
  <si>
    <t>胡瓜絲</t>
    <phoneticPr fontId="2" type="noConversion"/>
  </si>
  <si>
    <t>35斤</t>
    <phoneticPr fontId="2" type="noConversion"/>
  </si>
  <si>
    <t>木耳絲</t>
    <phoneticPr fontId="2" type="noConversion"/>
  </si>
  <si>
    <t>半斤</t>
    <phoneticPr fontId="2" type="noConversion"/>
  </si>
  <si>
    <t>雜貨</t>
    <phoneticPr fontId="2" type="noConversion"/>
  </si>
  <si>
    <t>湯品</t>
    <phoneticPr fontId="2" type="noConversion"/>
  </si>
  <si>
    <t>庫存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</si>
  <si>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</si>
  <si>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</si>
  <si>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</si>
  <si>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113年      3月   25 日      午餐明細表</t>
    <phoneticPr fontId="2" type="noConversion"/>
  </si>
  <si>
    <t>電訊科技中心(安康營區)     113年      3月   26 日      午餐明細表</t>
    <phoneticPr fontId="2" type="noConversion"/>
  </si>
  <si>
    <t>電訊科技中心(安康營區)     113年      3月   27 日      午餐明細表</t>
    <phoneticPr fontId="2" type="noConversion"/>
  </si>
  <si>
    <t>電訊科技中心(安康營區)     113年      3月   28 日      午餐明細表</t>
    <phoneticPr fontId="2" type="noConversion"/>
  </si>
  <si>
    <t>電訊科技中心(安康營區)     113年      3月   29 日      午餐明細表</t>
    <phoneticPr fontId="2" type="noConversion"/>
  </si>
  <si>
    <t>鐵路豬排</t>
    <phoneticPr fontId="2" type="noConversion"/>
  </si>
  <si>
    <t>4件</t>
    <phoneticPr fontId="2" type="noConversion"/>
  </si>
  <si>
    <t>青椒豆干</t>
    <phoneticPr fontId="2" type="noConversion"/>
  </si>
  <si>
    <t>青椒切絲</t>
    <phoneticPr fontId="2" type="noConversion"/>
  </si>
  <si>
    <t>豆干切片</t>
    <phoneticPr fontId="2" type="noConversion"/>
  </si>
  <si>
    <t>30斤</t>
    <phoneticPr fontId="2" type="noConversion"/>
  </si>
  <si>
    <t>10斤</t>
    <phoneticPr fontId="2" type="noConversion"/>
  </si>
  <si>
    <t>玉米炒蛋</t>
    <phoneticPr fontId="2" type="noConversion"/>
  </si>
  <si>
    <t>冷凍玉米粒</t>
    <phoneticPr fontId="2" type="noConversion"/>
  </si>
  <si>
    <t>蛋</t>
    <phoneticPr fontId="2" type="noConversion"/>
  </si>
  <si>
    <t>1件</t>
    <phoneticPr fontId="2" type="noConversion"/>
  </si>
  <si>
    <t>海帶芽蛋花湯</t>
    <phoneticPr fontId="2" type="noConversion"/>
  </si>
  <si>
    <t>海帶芽</t>
    <phoneticPr fontId="2" type="noConversion"/>
  </si>
  <si>
    <t>醬燒雞丁</t>
    <phoneticPr fontId="2" type="noConversion"/>
  </si>
  <si>
    <t>骨腿丁</t>
    <phoneticPr fontId="2" type="noConversion"/>
  </si>
  <si>
    <t>70斤</t>
    <phoneticPr fontId="2" type="noConversion"/>
  </si>
  <si>
    <t>8斤</t>
    <phoneticPr fontId="2" type="noConversion"/>
  </si>
  <si>
    <t>冬瓜麵輪</t>
    <phoneticPr fontId="2" type="noConversion"/>
  </si>
  <si>
    <t>去皮冬瓜</t>
    <phoneticPr fontId="2" type="noConversion"/>
  </si>
  <si>
    <t>麵輪</t>
    <phoneticPr fontId="2" type="noConversion"/>
  </si>
  <si>
    <t>50斤</t>
    <phoneticPr fontId="2" type="noConversion"/>
  </si>
  <si>
    <t>6斤</t>
    <phoneticPr fontId="2" type="noConversion"/>
  </si>
  <si>
    <t>茄汁甜不辣條</t>
    <phoneticPr fontId="2" type="noConversion"/>
  </si>
  <si>
    <t>甜不辣條</t>
    <phoneticPr fontId="2" type="noConversion"/>
  </si>
  <si>
    <t>味增貢丸湯</t>
    <phoneticPr fontId="2" type="noConversion"/>
  </si>
  <si>
    <t>味增</t>
    <phoneticPr fontId="2" type="noConversion"/>
  </si>
  <si>
    <t>小貢丸</t>
    <phoneticPr fontId="2" type="noConversion"/>
  </si>
  <si>
    <t>2包</t>
    <phoneticPr fontId="2" type="noConversion"/>
  </si>
  <si>
    <t>榨菜肉絲麵</t>
    <phoneticPr fontId="2" type="noConversion"/>
  </si>
  <si>
    <t>熟拉麵</t>
    <phoneticPr fontId="2" type="noConversion"/>
  </si>
  <si>
    <t>榨菜絲</t>
    <phoneticPr fontId="2" type="noConversion"/>
  </si>
  <si>
    <t>豬肉絲</t>
    <phoneticPr fontId="2" type="noConversion"/>
  </si>
  <si>
    <t>紅蘿蔔絲</t>
    <phoneticPr fontId="2" type="noConversion"/>
  </si>
  <si>
    <t>60斤</t>
    <phoneticPr fontId="2" type="noConversion"/>
  </si>
  <si>
    <t>20斤</t>
    <phoneticPr fontId="2" type="noConversion"/>
  </si>
  <si>
    <t>3斤</t>
    <phoneticPr fontId="2" type="noConversion"/>
  </si>
  <si>
    <t>橙汁魚片</t>
    <phoneticPr fontId="2" type="noConversion"/>
  </si>
  <si>
    <t>豬肉餡餅</t>
    <phoneticPr fontId="2" type="noConversion"/>
  </si>
  <si>
    <t>280個</t>
    <phoneticPr fontId="2" type="noConversion"/>
  </si>
  <si>
    <t>鯛魚片</t>
    <phoneticPr fontId="2" type="noConversion"/>
  </si>
  <si>
    <t>140片</t>
    <phoneticPr fontId="2" type="noConversion"/>
  </si>
  <si>
    <t>蠔油肉片</t>
    <phoneticPr fontId="2" type="noConversion"/>
  </si>
  <si>
    <t>豬肉片</t>
    <phoneticPr fontId="2" type="noConversion"/>
  </si>
  <si>
    <t>45斤</t>
    <phoneticPr fontId="2" type="noConversion"/>
  </si>
  <si>
    <t>紅燒豆腐</t>
    <phoneticPr fontId="2" type="noConversion"/>
  </si>
  <si>
    <t>4.3豆腐</t>
    <phoneticPr fontId="2" type="noConversion"/>
  </si>
  <si>
    <t>川耳</t>
    <phoneticPr fontId="2" type="noConversion"/>
  </si>
  <si>
    <t>紅蘿蔔片</t>
    <phoneticPr fontId="2" type="noConversion"/>
  </si>
  <si>
    <t>6板</t>
    <phoneticPr fontId="2" type="noConversion"/>
  </si>
  <si>
    <t>4斤</t>
    <phoneticPr fontId="2" type="noConversion"/>
  </si>
  <si>
    <t>2斤</t>
    <phoneticPr fontId="2" type="noConversion"/>
  </si>
  <si>
    <t>白蘿蔔海帶結湯</t>
    <phoneticPr fontId="2" type="noConversion"/>
  </si>
  <si>
    <t>去皮白蘿蔔</t>
    <phoneticPr fontId="2" type="noConversion"/>
  </si>
  <si>
    <t>海帶結</t>
    <phoneticPr fontId="2" type="noConversion"/>
  </si>
  <si>
    <t>15斤</t>
    <phoneticPr fontId="2" type="noConversion"/>
  </si>
  <si>
    <t>紅燒馬鈴薯</t>
    <phoneticPr fontId="2" type="noConversion"/>
  </si>
  <si>
    <t>去皮馬鈴薯</t>
    <phoneticPr fontId="2" type="noConversion"/>
  </si>
  <si>
    <t>40斤</t>
    <phoneticPr fontId="2" type="noConversion"/>
  </si>
  <si>
    <t>清炒絲瓜</t>
    <phoneticPr fontId="2" type="noConversion"/>
  </si>
  <si>
    <t>去皮絲瓜</t>
    <phoneticPr fontId="2" type="noConversion"/>
  </si>
  <si>
    <t>薑絲</t>
    <phoneticPr fontId="2" type="noConversion"/>
  </si>
  <si>
    <t>綠豆湯</t>
    <phoneticPr fontId="2" type="noConversion"/>
  </si>
  <si>
    <t>綠豆</t>
    <phoneticPr fontId="2" type="noConversion"/>
  </si>
  <si>
    <t>訂貨數量</t>
    <phoneticPr fontId="2" type="noConversion"/>
  </si>
  <si>
    <t>斤</t>
    <phoneticPr fontId="2" type="noConversion"/>
  </si>
  <si>
    <t>辣椒</t>
    <phoneticPr fontId="2" type="noConversion"/>
  </si>
  <si>
    <t>斤</t>
    <phoneticPr fontId="2" type="noConversion"/>
  </si>
  <si>
    <t>老薑</t>
    <phoneticPr fontId="2" type="noConversion"/>
  </si>
  <si>
    <t>蒜仁</t>
    <phoneticPr fontId="2" type="noConversion"/>
  </si>
  <si>
    <t>青蔥</t>
    <phoneticPr fontId="2" type="noConversion"/>
  </si>
  <si>
    <t>杏鮑菇</t>
    <phoneticPr fontId="2" type="noConversion"/>
  </si>
  <si>
    <t>洗選蛋</t>
    <phoneticPr fontId="2" type="noConversion"/>
  </si>
  <si>
    <t>高麗菜</t>
    <phoneticPr fontId="2" type="noConversion"/>
  </si>
  <si>
    <t>調理米酒</t>
    <phoneticPr fontId="2" type="noConversion"/>
  </si>
  <si>
    <t>瓶</t>
    <phoneticPr fontId="2" type="noConversion"/>
  </si>
  <si>
    <t>桶柑</t>
    <phoneticPr fontId="2" type="noConversion"/>
  </si>
  <si>
    <t>非合約項目</t>
    <phoneticPr fontId="2" type="noConversion"/>
  </si>
  <si>
    <t>件</t>
    <phoneticPr fontId="2" type="noConversion"/>
  </si>
  <si>
    <t>其他/素食/早餐</t>
    <phoneticPr fontId="2" type="noConversion"/>
  </si>
  <si>
    <t>蔥抓餅</t>
    <phoneticPr fontId="2" type="noConversion"/>
  </si>
  <si>
    <t>包</t>
    <phoneticPr fontId="2" type="noConversion"/>
  </si>
  <si>
    <t>三好米</t>
    <phoneticPr fontId="2" type="noConversion"/>
  </si>
  <si>
    <t>斤</t>
    <phoneticPr fontId="2" type="noConversion"/>
  </si>
  <si>
    <t>五穀米</t>
    <phoneticPr fontId="2" type="noConversion"/>
  </si>
  <si>
    <t>沙拉油</t>
    <phoneticPr fontId="2" type="noConversion"/>
  </si>
  <si>
    <t>桶</t>
    <phoneticPr fontId="2" type="noConversion"/>
  </si>
  <si>
    <t>骨腿塊</t>
    <phoneticPr fontId="2" type="noConversion"/>
  </si>
  <si>
    <t>高麗菜</t>
    <phoneticPr fontId="2" type="noConversion"/>
  </si>
  <si>
    <t>早餐</t>
    <phoneticPr fontId="2" type="noConversion"/>
  </si>
  <si>
    <t>吐司(26片/條)</t>
    <phoneticPr fontId="2" type="noConversion"/>
  </si>
  <si>
    <t>條</t>
    <phoneticPr fontId="2" type="noConversion"/>
  </si>
  <si>
    <t>芭樂</t>
    <phoneticPr fontId="2" type="noConversion"/>
  </si>
  <si>
    <t>桶柑</t>
    <phoneticPr fontId="2" type="noConversion"/>
  </si>
  <si>
    <t>吐司火腿片</t>
    <phoneticPr fontId="2" type="noConversion"/>
  </si>
  <si>
    <t>起司片</t>
    <phoneticPr fontId="2" type="noConversion"/>
  </si>
  <si>
    <t>非合約項目</t>
    <phoneticPr fontId="2" type="noConversion"/>
  </si>
  <si>
    <t>包</t>
    <phoneticPr fontId="2" type="noConversion"/>
  </si>
  <si>
    <t>斤</t>
    <phoneticPr fontId="2" type="noConversion"/>
  </si>
  <si>
    <t>立大前腿肉絲</t>
    <phoneticPr fontId="2" type="noConversion"/>
  </si>
  <si>
    <t>濕木耳絲</t>
    <phoneticPr fontId="2" type="noConversion"/>
  </si>
  <si>
    <t>包</t>
    <phoneticPr fontId="2" type="noConversion"/>
  </si>
  <si>
    <t>高麗菜</t>
    <phoneticPr fontId="2" type="noConversion"/>
  </si>
  <si>
    <t>件</t>
    <phoneticPr fontId="2" type="noConversion"/>
  </si>
  <si>
    <t>香菇素蠔油(6K)</t>
    <phoneticPr fontId="2" type="noConversion"/>
  </si>
  <si>
    <t>桶</t>
    <phoneticPr fontId="2" type="noConversion"/>
  </si>
  <si>
    <t>非基改味噌(3K)</t>
    <phoneticPr fontId="2" type="noConversion"/>
  </si>
  <si>
    <t>金蘭醬油(5L)</t>
    <phoneticPr fontId="2" type="noConversion"/>
  </si>
  <si>
    <t>可果美番茄醬</t>
    <phoneticPr fontId="2" type="noConversion"/>
  </si>
  <si>
    <t>桶柑</t>
    <phoneticPr fontId="2" type="noConversion"/>
  </si>
  <si>
    <t>個</t>
    <phoneticPr fontId="2" type="noConversion"/>
  </si>
  <si>
    <t>乾海芽</t>
    <phoneticPr fontId="2" type="noConversion"/>
  </si>
  <si>
    <t>非合約品項</t>
    <phoneticPr fontId="2" type="noConversion"/>
  </si>
  <si>
    <t>高鮮味素</t>
    <phoneticPr fontId="2" type="noConversion"/>
  </si>
  <si>
    <t>盒</t>
    <phoneticPr fontId="2" type="noConversion"/>
  </si>
  <si>
    <t>熟鍋貼</t>
    <phoneticPr fontId="2" type="noConversion"/>
  </si>
  <si>
    <t>立大前腿肉片</t>
    <phoneticPr fontId="2" type="noConversion"/>
  </si>
  <si>
    <t>斤</t>
  </si>
  <si>
    <t>斤</t>
    <phoneticPr fontId="2" type="noConversion"/>
  </si>
  <si>
    <t>盤</t>
    <phoneticPr fontId="2" type="noConversion"/>
  </si>
  <si>
    <t>菠菜</t>
    <phoneticPr fontId="2" type="noConversion"/>
  </si>
  <si>
    <t>晚餐</t>
    <phoneticPr fontId="2" type="noConversion"/>
  </si>
  <si>
    <t>阿在伯水餃</t>
    <phoneticPr fontId="2" type="noConversion"/>
  </si>
  <si>
    <t>包</t>
    <phoneticPr fontId="2" type="noConversion"/>
  </si>
  <si>
    <t>芭樂</t>
    <phoneticPr fontId="2" type="noConversion"/>
  </si>
  <si>
    <t>超秦雞排</t>
    <phoneticPr fontId="2" type="noConversion"/>
  </si>
  <si>
    <t>高麗菜</t>
    <phoneticPr fontId="2" type="noConversion"/>
  </si>
  <si>
    <t>油麵</t>
    <phoneticPr fontId="2" type="noConversion"/>
  </si>
  <si>
    <t>滷蛋</t>
    <phoneticPr fontId="2" type="noConversion"/>
  </si>
  <si>
    <t>油豆腐</t>
    <phoneticPr fontId="2" type="noConversion"/>
  </si>
  <si>
    <t>個</t>
    <phoneticPr fontId="2" type="noConversion"/>
  </si>
  <si>
    <t>木瓜</t>
    <phoneticPr fontId="2" type="noConversion"/>
  </si>
  <si>
    <t>23個</t>
    <phoneticPr fontId="2" type="noConversion"/>
  </si>
  <si>
    <t>地瓜粉</t>
    <phoneticPr fontId="2" type="noConversion"/>
  </si>
  <si>
    <t>袋</t>
    <phoneticPr fontId="2" type="noConversion"/>
  </si>
  <si>
    <t>蘋果</t>
    <phoneticPr fontId="2" type="noConversion"/>
  </si>
  <si>
    <t>12個</t>
    <phoneticPr fontId="2" type="noConversion"/>
  </si>
  <si>
    <t>吐司</t>
    <phoneticPr fontId="2" type="noConversion"/>
  </si>
  <si>
    <t>條</t>
    <phoneticPr fontId="2" type="noConversion"/>
  </si>
  <si>
    <t>烏龍茶</t>
    <phoneticPr fontId="2" type="noConversion"/>
  </si>
  <si>
    <t>件</t>
    <phoneticPr fontId="2" type="noConversion"/>
  </si>
  <si>
    <t>鍋貼</t>
    <phoneticPr fontId="2" type="noConversion"/>
  </si>
  <si>
    <t>金鳳醬油王</t>
    <phoneticPr fontId="2" type="noConversion"/>
  </si>
  <si>
    <t>桶</t>
    <phoneticPr fontId="2" type="noConversion"/>
  </si>
  <si>
    <t>素肉排</t>
    <phoneticPr fontId="2" type="noConversion"/>
  </si>
  <si>
    <t>高鮮味素</t>
    <phoneticPr fontId="2" type="noConversion"/>
  </si>
  <si>
    <t>盒</t>
    <phoneticPr fontId="2" type="noConversion"/>
  </si>
  <si>
    <t>金蘭烤肉醬</t>
    <phoneticPr fontId="2" type="noConversion"/>
  </si>
  <si>
    <t>厚片土司</t>
    <phoneticPr fontId="2" type="noConversion"/>
  </si>
  <si>
    <t>非合約項目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</si>
</sst>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sz val="12"/>
      <color theme="1"/>
      <name val="新細明體"/>
      <family val="1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color rgb="FF00B050"/>
      <name val="標楷體"/>
      <family val="4"/>
      <charset val="136"/>
    </font>
    <font>
      <b/>
      <sz val="12"/>
      <color theme="5" tint="-0.499984740745262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1" fontId="3" fillId="0" borderId="3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workbookViewId="0">
      <selection activeCell="E2" sqref="E2:F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2" x14ac:dyDescent="0.25">
      <c r="A1" s="35" t="s">
        <v>25</v>
      </c>
      <c r="B1" s="36"/>
      <c r="C1" s="36"/>
      <c r="D1" s="36"/>
      <c r="E1" s="36"/>
      <c r="F1" s="36"/>
      <c r="G1" s="36"/>
      <c r="H1" s="37"/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93</v>
      </c>
      <c r="F2" s="2"/>
      <c r="G2" s="1" t="s">
        <v>4</v>
      </c>
      <c r="H2" s="1" t="s">
        <v>5</v>
      </c>
    </row>
    <row r="3" spans="1:12" x14ac:dyDescent="0.25">
      <c r="A3" s="31" t="s">
        <v>30</v>
      </c>
      <c r="B3" s="1" t="s">
        <v>30</v>
      </c>
      <c r="C3" s="1" t="s">
        <v>31</v>
      </c>
      <c r="D3" s="1">
        <v>1300</v>
      </c>
      <c r="E3" s="2">
        <v>4</v>
      </c>
      <c r="F3" s="2" t="s">
        <v>107</v>
      </c>
      <c r="G3" s="1">
        <f>D3*E3</f>
        <v>5200</v>
      </c>
      <c r="H3" s="21" t="s">
        <v>106</v>
      </c>
    </row>
    <row r="4" spans="1:12" x14ac:dyDescent="0.25">
      <c r="A4" s="31"/>
      <c r="B4" s="1"/>
      <c r="C4" s="1"/>
      <c r="D4" s="1"/>
      <c r="E4" s="2"/>
      <c r="F4" s="2"/>
      <c r="G4" s="1"/>
      <c r="H4" s="1"/>
    </row>
    <row r="5" spans="1:12" x14ac:dyDescent="0.25">
      <c r="A5" s="31"/>
      <c r="B5" s="1"/>
      <c r="C5" s="1"/>
      <c r="D5" s="1"/>
      <c r="E5" s="2"/>
      <c r="F5" s="2"/>
      <c r="G5" s="1"/>
      <c r="H5" s="1"/>
    </row>
    <row r="6" spans="1:12" x14ac:dyDescent="0.25">
      <c r="A6" s="31"/>
      <c r="B6" s="1"/>
      <c r="C6" s="1"/>
      <c r="D6" s="1"/>
      <c r="E6" s="5"/>
      <c r="F6" s="5"/>
      <c r="G6" s="3"/>
      <c r="H6" s="1"/>
      <c r="J6" s="4"/>
    </row>
    <row r="7" spans="1:12" x14ac:dyDescent="0.25">
      <c r="A7" s="31"/>
      <c r="B7" s="32" t="s">
        <v>9</v>
      </c>
      <c r="C7" s="33"/>
      <c r="D7" s="34"/>
      <c r="E7" s="5"/>
      <c r="F7" s="5"/>
      <c r="G7" s="20">
        <f>G3</f>
        <v>5200</v>
      </c>
      <c r="H7" s="1"/>
      <c r="J7" s="6"/>
    </row>
    <row r="8" spans="1:12" x14ac:dyDescent="0.25">
      <c r="A8" s="1" t="s">
        <v>10</v>
      </c>
      <c r="B8" s="1" t="s">
        <v>1</v>
      </c>
      <c r="C8" s="1" t="s">
        <v>2</v>
      </c>
      <c r="D8" s="1" t="s">
        <v>3</v>
      </c>
      <c r="E8" s="2" t="s">
        <v>93</v>
      </c>
      <c r="F8" s="2" t="s">
        <v>94</v>
      </c>
      <c r="G8" s="1" t="s">
        <v>4</v>
      </c>
      <c r="H8" s="1" t="s">
        <v>5</v>
      </c>
      <c r="J8" s="6"/>
    </row>
    <row r="9" spans="1:12" x14ac:dyDescent="0.25">
      <c r="A9" s="31" t="s">
        <v>32</v>
      </c>
      <c r="B9" s="1" t="s">
        <v>33</v>
      </c>
      <c r="C9" s="1" t="s">
        <v>35</v>
      </c>
      <c r="D9" s="1">
        <v>27.36</v>
      </c>
      <c r="E9" s="2">
        <v>30</v>
      </c>
      <c r="F9" s="2" t="s">
        <v>94</v>
      </c>
      <c r="G9" s="18">
        <f>D9*E9</f>
        <v>820.8</v>
      </c>
      <c r="H9" s="1"/>
      <c r="J9" s="6"/>
      <c r="K9" s="7"/>
      <c r="L9" s="7"/>
    </row>
    <row r="10" spans="1:12" x14ac:dyDescent="0.25">
      <c r="A10" s="31"/>
      <c r="B10" s="8" t="s">
        <v>34</v>
      </c>
      <c r="C10" s="1" t="s">
        <v>36</v>
      </c>
      <c r="D10" s="1">
        <v>43.8</v>
      </c>
      <c r="E10" s="2">
        <v>10</v>
      </c>
      <c r="F10" s="2" t="s">
        <v>94</v>
      </c>
      <c r="G10" s="18">
        <f t="shared" ref="G10:G11" si="0">D10*E10</f>
        <v>438</v>
      </c>
      <c r="H10" s="1"/>
      <c r="J10" s="6"/>
      <c r="K10" s="9"/>
      <c r="L10" s="7"/>
    </row>
    <row r="11" spans="1:12" x14ac:dyDescent="0.25">
      <c r="A11" s="31"/>
      <c r="B11" s="1"/>
      <c r="C11" s="1"/>
      <c r="D11" s="1"/>
      <c r="E11" s="2"/>
      <c r="F11" s="2"/>
      <c r="G11" s="18">
        <f t="shared" si="0"/>
        <v>0</v>
      </c>
      <c r="H11" s="1"/>
      <c r="K11" s="9"/>
      <c r="L11" s="7"/>
    </row>
    <row r="12" spans="1:12" x14ac:dyDescent="0.25">
      <c r="A12" s="31"/>
      <c r="B12" s="1"/>
      <c r="C12" s="1"/>
      <c r="D12" s="1"/>
      <c r="E12" s="2"/>
      <c r="F12" s="2"/>
      <c r="G12" s="1"/>
      <c r="H12" s="1"/>
      <c r="K12" s="9"/>
      <c r="L12" s="7"/>
    </row>
    <row r="13" spans="1:12" x14ac:dyDescent="0.25">
      <c r="A13" s="31"/>
      <c r="B13" s="32" t="s">
        <v>9</v>
      </c>
      <c r="C13" s="33"/>
      <c r="D13" s="34"/>
      <c r="E13" s="5"/>
      <c r="F13" s="5"/>
      <c r="G13" s="19">
        <f>SUM(G9:G12)</f>
        <v>1258.8</v>
      </c>
      <c r="H13" s="1"/>
      <c r="K13" s="7"/>
      <c r="L13" s="7"/>
    </row>
    <row r="14" spans="1:12" x14ac:dyDescent="0.25">
      <c r="A14" s="1" t="s">
        <v>13</v>
      </c>
      <c r="B14" s="1" t="s">
        <v>1</v>
      </c>
      <c r="C14" s="1" t="s">
        <v>2</v>
      </c>
      <c r="D14" s="1" t="s">
        <v>3</v>
      </c>
      <c r="E14" s="2" t="s">
        <v>93</v>
      </c>
      <c r="F14" s="2" t="s">
        <v>94</v>
      </c>
      <c r="G14" s="1" t="s">
        <v>4</v>
      </c>
      <c r="H14" s="1" t="s">
        <v>5</v>
      </c>
      <c r="K14" s="7"/>
      <c r="L14" s="7"/>
    </row>
    <row r="15" spans="1:12" x14ac:dyDescent="0.25">
      <c r="A15" s="31" t="s">
        <v>37</v>
      </c>
      <c r="B15" s="1" t="s">
        <v>38</v>
      </c>
      <c r="C15" s="1" t="s">
        <v>40</v>
      </c>
      <c r="D15" s="1">
        <v>75</v>
      </c>
      <c r="E15" s="2">
        <v>15</v>
      </c>
      <c r="F15" s="2" t="s">
        <v>110</v>
      </c>
      <c r="G15" s="1">
        <f>E15*D15</f>
        <v>1125</v>
      </c>
      <c r="H15" s="1"/>
      <c r="K15" s="7"/>
      <c r="L15" s="7"/>
    </row>
    <row r="16" spans="1:12" x14ac:dyDescent="0.25">
      <c r="A16" s="31"/>
      <c r="B16" s="1" t="s">
        <v>39</v>
      </c>
      <c r="C16" s="1" t="s">
        <v>40</v>
      </c>
      <c r="D16" s="1">
        <v>55.2</v>
      </c>
      <c r="E16" s="2">
        <v>20</v>
      </c>
      <c r="F16" s="2" t="s">
        <v>94</v>
      </c>
      <c r="G16" s="2">
        <f>E16*D16</f>
        <v>1104</v>
      </c>
      <c r="H16" s="1"/>
    </row>
    <row r="17" spans="1:8" x14ac:dyDescent="0.25">
      <c r="A17" s="31"/>
      <c r="B17" s="1"/>
      <c r="C17" s="1"/>
      <c r="D17" s="1"/>
      <c r="E17" s="2"/>
      <c r="F17" s="2"/>
      <c r="G17" s="1"/>
      <c r="H17" s="1"/>
    </row>
    <row r="18" spans="1:8" x14ac:dyDescent="0.25">
      <c r="A18" s="31"/>
      <c r="B18" s="1"/>
      <c r="C18" s="1"/>
      <c r="D18" s="1"/>
      <c r="E18" s="5"/>
      <c r="F18" s="5"/>
      <c r="G18" s="3"/>
      <c r="H18" s="1"/>
    </row>
    <row r="19" spans="1:8" x14ac:dyDescent="0.25">
      <c r="A19" s="31"/>
      <c r="B19" s="32" t="s">
        <v>9</v>
      </c>
      <c r="C19" s="33"/>
      <c r="D19" s="34"/>
      <c r="E19" s="5"/>
      <c r="F19" s="5"/>
      <c r="G19" s="20">
        <f>SUM(G15:G18)</f>
        <v>2229</v>
      </c>
      <c r="H19" s="1"/>
    </row>
    <row r="20" spans="1:8" x14ac:dyDescent="0.25">
      <c r="A20" s="10" t="s">
        <v>19</v>
      </c>
      <c r="B20" s="1" t="s">
        <v>1</v>
      </c>
      <c r="C20" s="1" t="s">
        <v>2</v>
      </c>
      <c r="D20" s="1" t="s">
        <v>3</v>
      </c>
      <c r="E20" s="2" t="s">
        <v>93</v>
      </c>
      <c r="F20" s="2" t="s">
        <v>94</v>
      </c>
      <c r="G20" s="1" t="s">
        <v>4</v>
      </c>
      <c r="H20" s="1" t="s">
        <v>5</v>
      </c>
    </row>
    <row r="21" spans="1:8" x14ac:dyDescent="0.25">
      <c r="A21" s="31"/>
      <c r="B21" s="2" t="s">
        <v>95</v>
      </c>
      <c r="C21" s="2"/>
      <c r="D21" s="2">
        <v>150</v>
      </c>
      <c r="E21" s="17">
        <v>2</v>
      </c>
      <c r="F21" s="2" t="s">
        <v>96</v>
      </c>
      <c r="G21" s="1">
        <f>D21*E21</f>
        <v>300</v>
      </c>
      <c r="H21" s="1"/>
    </row>
    <row r="22" spans="1:8" x14ac:dyDescent="0.25">
      <c r="A22" s="31"/>
      <c r="B22" s="2" t="s">
        <v>97</v>
      </c>
      <c r="C22" s="2"/>
      <c r="D22" s="2">
        <v>49.5</v>
      </c>
      <c r="E22" s="17">
        <v>0.5</v>
      </c>
      <c r="F22" s="2" t="s">
        <v>96</v>
      </c>
      <c r="G22" s="18">
        <f t="shared" ref="G22:G24" si="1">D22*E22</f>
        <v>24.75</v>
      </c>
      <c r="H22" s="1"/>
    </row>
    <row r="23" spans="1:8" x14ac:dyDescent="0.25">
      <c r="A23" s="31"/>
      <c r="B23" s="2" t="s">
        <v>98</v>
      </c>
      <c r="C23" s="2"/>
      <c r="D23" s="2">
        <v>122.4</v>
      </c>
      <c r="E23" s="17">
        <v>8</v>
      </c>
      <c r="F23" s="2" t="s">
        <v>96</v>
      </c>
      <c r="G23" s="18">
        <f t="shared" si="1"/>
        <v>979.2</v>
      </c>
      <c r="H23" s="1"/>
    </row>
    <row r="24" spans="1:8" x14ac:dyDescent="0.25">
      <c r="A24" s="31"/>
      <c r="B24" s="2" t="s">
        <v>99</v>
      </c>
      <c r="C24" s="2"/>
      <c r="D24" s="2">
        <v>36</v>
      </c>
      <c r="E24" s="17">
        <v>5</v>
      </c>
      <c r="F24" s="2" t="s">
        <v>96</v>
      </c>
      <c r="G24" s="2">
        <f t="shared" si="1"/>
        <v>180</v>
      </c>
      <c r="H24" s="1"/>
    </row>
    <row r="25" spans="1:8" x14ac:dyDescent="0.25">
      <c r="A25" s="31"/>
      <c r="B25" s="32" t="s">
        <v>9</v>
      </c>
      <c r="C25" s="33"/>
      <c r="D25" s="34"/>
      <c r="E25" s="5"/>
      <c r="F25" s="5"/>
      <c r="G25" s="19">
        <f>SUM(G21:G24)</f>
        <v>1483.95</v>
      </c>
      <c r="H25" s="1"/>
    </row>
    <row r="26" spans="1:8" x14ac:dyDescent="0.25">
      <c r="A26" s="1" t="s">
        <v>20</v>
      </c>
      <c r="B26" s="1" t="s">
        <v>1</v>
      </c>
      <c r="C26" s="1" t="s">
        <v>2</v>
      </c>
      <c r="D26" s="1" t="s">
        <v>3</v>
      </c>
      <c r="E26" s="2" t="s">
        <v>93</v>
      </c>
      <c r="F26" s="2" t="s">
        <v>94</v>
      </c>
      <c r="G26" s="1" t="s">
        <v>4</v>
      </c>
      <c r="H26" s="1" t="s">
        <v>5</v>
      </c>
    </row>
    <row r="27" spans="1:8" x14ac:dyDescent="0.25">
      <c r="A27" s="31" t="s">
        <v>41</v>
      </c>
      <c r="B27" s="1" t="s">
        <v>42</v>
      </c>
      <c r="C27" s="1"/>
      <c r="D27" s="1"/>
      <c r="E27" s="2"/>
      <c r="F27" s="2"/>
      <c r="G27" s="1"/>
      <c r="H27" s="1" t="s">
        <v>21</v>
      </c>
    </row>
    <row r="28" spans="1:8" x14ac:dyDescent="0.25">
      <c r="A28" s="31"/>
      <c r="B28" s="1" t="s">
        <v>39</v>
      </c>
      <c r="C28" s="1"/>
      <c r="D28" s="1"/>
      <c r="E28" s="2"/>
      <c r="F28" s="2"/>
      <c r="G28" s="1"/>
      <c r="H28" s="1" t="s">
        <v>21</v>
      </c>
    </row>
    <row r="29" spans="1:8" x14ac:dyDescent="0.25">
      <c r="A29" s="31"/>
      <c r="B29" s="32" t="s">
        <v>9</v>
      </c>
      <c r="C29" s="33"/>
      <c r="D29" s="34"/>
      <c r="E29" s="5"/>
      <c r="F29" s="5"/>
      <c r="G29" s="3"/>
      <c r="H29" s="1"/>
    </row>
    <row r="30" spans="1:8" x14ac:dyDescent="0.25">
      <c r="A30" s="1" t="s">
        <v>22</v>
      </c>
      <c r="B30" s="1" t="s">
        <v>1</v>
      </c>
      <c r="C30" s="1" t="s">
        <v>2</v>
      </c>
      <c r="D30" s="1" t="s">
        <v>3</v>
      </c>
      <c r="E30" s="2" t="s">
        <v>93</v>
      </c>
      <c r="F30" s="2" t="s">
        <v>94</v>
      </c>
      <c r="G30" s="3" t="s">
        <v>4</v>
      </c>
      <c r="H30" s="1" t="s">
        <v>5</v>
      </c>
    </row>
    <row r="31" spans="1:8" x14ac:dyDescent="0.25">
      <c r="A31" s="41"/>
      <c r="B31" s="1" t="s">
        <v>102</v>
      </c>
      <c r="C31" s="1"/>
      <c r="D31" s="1">
        <v>16.32</v>
      </c>
      <c r="E31" s="2">
        <v>65</v>
      </c>
      <c r="F31" s="2" t="s">
        <v>94</v>
      </c>
      <c r="G31" s="18">
        <f>D31*E31</f>
        <v>1060.8</v>
      </c>
      <c r="H31" s="1"/>
    </row>
    <row r="32" spans="1:8" x14ac:dyDescent="0.25">
      <c r="A32" s="42"/>
      <c r="B32" s="1" t="s">
        <v>105</v>
      </c>
      <c r="C32" s="1"/>
      <c r="D32" s="1">
        <v>27.84</v>
      </c>
      <c r="E32" s="2">
        <v>56.67</v>
      </c>
      <c r="F32" s="2" t="s">
        <v>94</v>
      </c>
      <c r="G32" s="18">
        <f>D32*E32</f>
        <v>1577.6928</v>
      </c>
      <c r="H32" s="1"/>
    </row>
    <row r="33" spans="1:8" x14ac:dyDescent="0.25">
      <c r="A33" s="43"/>
      <c r="B33" s="32" t="s">
        <v>9</v>
      </c>
      <c r="C33" s="33"/>
      <c r="D33" s="34"/>
      <c r="E33" s="5"/>
      <c r="F33" s="5"/>
      <c r="G33" s="19">
        <f>SUM(G31:G32)</f>
        <v>2638.4928</v>
      </c>
      <c r="H33" s="11"/>
    </row>
    <row r="34" spans="1:8" x14ac:dyDescent="0.25">
      <c r="A34" s="12" t="s">
        <v>108</v>
      </c>
      <c r="B34" s="1" t="s">
        <v>1</v>
      </c>
      <c r="C34" s="1" t="s">
        <v>2</v>
      </c>
      <c r="D34" s="1" t="s">
        <v>3</v>
      </c>
      <c r="E34" s="2" t="s">
        <v>93</v>
      </c>
      <c r="F34" s="2" t="s">
        <v>94</v>
      </c>
      <c r="G34" s="1" t="s">
        <v>4</v>
      </c>
      <c r="H34" s="1"/>
    </row>
    <row r="35" spans="1:8" x14ac:dyDescent="0.25">
      <c r="A35" s="31"/>
      <c r="B35" s="1" t="s">
        <v>100</v>
      </c>
      <c r="C35" s="1"/>
      <c r="D35" s="1">
        <v>82.5</v>
      </c>
      <c r="E35" s="2">
        <v>8</v>
      </c>
      <c r="F35" s="2" t="s">
        <v>94</v>
      </c>
      <c r="G35" s="1">
        <f>D35*E35</f>
        <v>660</v>
      </c>
      <c r="H35" s="1"/>
    </row>
    <row r="36" spans="1:8" x14ac:dyDescent="0.25">
      <c r="A36" s="31"/>
      <c r="B36" s="1" t="s">
        <v>101</v>
      </c>
      <c r="C36" s="1"/>
      <c r="D36" s="1">
        <v>55.2</v>
      </c>
      <c r="E36" s="2">
        <v>40</v>
      </c>
      <c r="F36" s="2" t="s">
        <v>94</v>
      </c>
      <c r="G36" s="2">
        <f t="shared" ref="G36:G38" si="2">D36*E36</f>
        <v>2208</v>
      </c>
      <c r="H36" s="1"/>
    </row>
    <row r="37" spans="1:8" x14ac:dyDescent="0.25">
      <c r="A37" s="31"/>
      <c r="B37" s="1" t="s">
        <v>103</v>
      </c>
      <c r="C37" s="1"/>
      <c r="D37" s="1">
        <v>37</v>
      </c>
      <c r="E37" s="2">
        <v>4</v>
      </c>
      <c r="F37" s="2" t="s">
        <v>104</v>
      </c>
      <c r="G37" s="2">
        <f t="shared" si="2"/>
        <v>148</v>
      </c>
      <c r="H37" s="1"/>
    </row>
    <row r="38" spans="1:8" x14ac:dyDescent="0.25">
      <c r="A38" s="31"/>
      <c r="B38" s="1" t="s">
        <v>109</v>
      </c>
      <c r="C38" s="1"/>
      <c r="D38" s="1">
        <v>130</v>
      </c>
      <c r="E38" s="2">
        <v>1</v>
      </c>
      <c r="F38" s="2" t="s">
        <v>110</v>
      </c>
      <c r="G38" s="2">
        <f t="shared" si="2"/>
        <v>130</v>
      </c>
      <c r="H38" s="21" t="s">
        <v>106</v>
      </c>
    </row>
    <row r="39" spans="1:8" x14ac:dyDescent="0.25">
      <c r="A39" s="31"/>
      <c r="B39" s="32" t="s">
        <v>9</v>
      </c>
      <c r="C39" s="33"/>
      <c r="D39" s="34"/>
      <c r="E39" s="5"/>
      <c r="F39" s="5"/>
      <c r="G39" s="20">
        <f>SUM(G35:G38)</f>
        <v>3146</v>
      </c>
      <c r="H39" s="1"/>
    </row>
    <row r="40" spans="1:8" x14ac:dyDescent="0.25">
      <c r="A40" s="1"/>
      <c r="B40" s="38" t="s">
        <v>24</v>
      </c>
      <c r="C40" s="39"/>
      <c r="D40" s="40"/>
      <c r="E40" s="13"/>
      <c r="F40" s="13"/>
      <c r="G40" s="22">
        <f>G39+G33+G25+G13+G7+G19</f>
        <v>15956.2428</v>
      </c>
      <c r="H40" s="1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H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topLeftCell="A18" workbookViewId="0">
      <selection activeCell="E35" sqref="E35:F3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2" x14ac:dyDescent="0.25">
      <c r="A1" s="35" t="s">
        <v>26</v>
      </c>
      <c r="B1" s="36"/>
      <c r="C1" s="36"/>
      <c r="D1" s="36"/>
      <c r="E1" s="36"/>
      <c r="F1" s="36"/>
      <c r="G1" s="36"/>
      <c r="H1" s="37"/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4" t="s">
        <v>93</v>
      </c>
      <c r="F2" s="14"/>
      <c r="G2" s="1" t="s">
        <v>4</v>
      </c>
      <c r="H2" s="1" t="s">
        <v>5</v>
      </c>
    </row>
    <row r="3" spans="1:12" x14ac:dyDescent="0.25">
      <c r="A3" s="31" t="s">
        <v>43</v>
      </c>
      <c r="B3" s="1" t="s">
        <v>44</v>
      </c>
      <c r="C3" s="1" t="s">
        <v>45</v>
      </c>
      <c r="D3" s="1">
        <v>75</v>
      </c>
      <c r="E3" s="14">
        <v>70</v>
      </c>
      <c r="F3" s="14" t="s">
        <v>112</v>
      </c>
      <c r="G3" s="1">
        <f>D3*E3</f>
        <v>5250</v>
      </c>
      <c r="H3" s="1" t="s">
        <v>116</v>
      </c>
    </row>
    <row r="4" spans="1:12" x14ac:dyDescent="0.25">
      <c r="A4" s="31"/>
      <c r="B4" s="1" t="s">
        <v>11</v>
      </c>
      <c r="C4" s="1" t="s">
        <v>46</v>
      </c>
      <c r="D4" s="1">
        <v>30.6</v>
      </c>
      <c r="E4" s="14">
        <v>8</v>
      </c>
      <c r="F4" s="14" t="s">
        <v>112</v>
      </c>
      <c r="G4" s="18">
        <f>D4*E4</f>
        <v>244.8</v>
      </c>
      <c r="H4" s="1"/>
    </row>
    <row r="5" spans="1:12" x14ac:dyDescent="0.25">
      <c r="A5" s="31"/>
      <c r="B5" s="1"/>
      <c r="C5" s="1"/>
      <c r="D5" s="1"/>
      <c r="E5" s="14"/>
      <c r="F5" s="14"/>
      <c r="G5" s="1"/>
      <c r="H5" s="1"/>
    </row>
    <row r="6" spans="1:12" x14ac:dyDescent="0.25">
      <c r="A6" s="31"/>
      <c r="B6" s="1"/>
      <c r="C6" s="1"/>
      <c r="D6" s="1"/>
      <c r="E6" s="15"/>
      <c r="F6" s="15"/>
      <c r="G6" s="3"/>
      <c r="H6" s="1"/>
      <c r="J6" s="4"/>
    </row>
    <row r="7" spans="1:12" x14ac:dyDescent="0.25">
      <c r="A7" s="31"/>
      <c r="B7" s="32" t="s">
        <v>9</v>
      </c>
      <c r="C7" s="33"/>
      <c r="D7" s="34"/>
      <c r="E7" s="15"/>
      <c r="F7" s="15"/>
      <c r="G7" s="19">
        <f>SUM(G3:G6)</f>
        <v>5494.8</v>
      </c>
      <c r="H7" s="1"/>
      <c r="J7" s="6"/>
    </row>
    <row r="8" spans="1:12" x14ac:dyDescent="0.25">
      <c r="A8" s="1" t="s">
        <v>10</v>
      </c>
      <c r="B8" s="1" t="s">
        <v>1</v>
      </c>
      <c r="C8" s="1" t="s">
        <v>2</v>
      </c>
      <c r="D8" s="1" t="s">
        <v>3</v>
      </c>
      <c r="E8" s="14" t="s">
        <v>93</v>
      </c>
      <c r="F8" s="14"/>
      <c r="G8" s="1" t="s">
        <v>4</v>
      </c>
      <c r="H8" s="1" t="s">
        <v>5</v>
      </c>
      <c r="J8" s="6"/>
    </row>
    <row r="9" spans="1:12" x14ac:dyDescent="0.25">
      <c r="A9" s="31" t="s">
        <v>47</v>
      </c>
      <c r="B9" s="1" t="s">
        <v>48</v>
      </c>
      <c r="C9" s="1" t="s">
        <v>50</v>
      </c>
      <c r="D9" s="1">
        <v>23.46</v>
      </c>
      <c r="E9" s="14">
        <v>50</v>
      </c>
      <c r="F9" s="14" t="s">
        <v>112</v>
      </c>
      <c r="G9" s="1">
        <f>D9*E9</f>
        <v>1173</v>
      </c>
      <c r="H9" s="1"/>
      <c r="J9" s="6"/>
      <c r="K9" s="7"/>
      <c r="L9" s="7"/>
    </row>
    <row r="10" spans="1:12" x14ac:dyDescent="0.25">
      <c r="A10" s="31"/>
      <c r="B10" s="8" t="s">
        <v>49</v>
      </c>
      <c r="C10" s="1" t="s">
        <v>51</v>
      </c>
      <c r="D10" s="1">
        <v>159.6</v>
      </c>
      <c r="E10" s="14">
        <v>6</v>
      </c>
      <c r="F10" s="14" t="s">
        <v>112</v>
      </c>
      <c r="G10" s="18">
        <f>D10*E10</f>
        <v>957.59999999999991</v>
      </c>
      <c r="H10" s="1"/>
      <c r="J10" s="6"/>
      <c r="K10" s="9"/>
      <c r="L10" s="7"/>
    </row>
    <row r="11" spans="1:12" x14ac:dyDescent="0.25">
      <c r="A11" s="31"/>
      <c r="B11" s="1"/>
      <c r="C11" s="1"/>
      <c r="D11" s="1"/>
      <c r="E11" s="14"/>
      <c r="F11" s="14"/>
      <c r="G11" s="1"/>
      <c r="H11" s="1"/>
      <c r="K11" s="9"/>
      <c r="L11" s="7"/>
    </row>
    <row r="12" spans="1:12" x14ac:dyDescent="0.25">
      <c r="A12" s="31"/>
      <c r="B12" s="1"/>
      <c r="C12" s="1"/>
      <c r="D12" s="1"/>
      <c r="E12" s="14"/>
      <c r="F12" s="14"/>
      <c r="G12" s="1"/>
      <c r="H12" s="1"/>
      <c r="K12" s="9"/>
      <c r="L12" s="7"/>
    </row>
    <row r="13" spans="1:12" x14ac:dyDescent="0.25">
      <c r="A13" s="31"/>
      <c r="B13" s="32" t="s">
        <v>9</v>
      </c>
      <c r="C13" s="33"/>
      <c r="D13" s="34"/>
      <c r="E13" s="15"/>
      <c r="F13" s="15"/>
      <c r="G13" s="19">
        <f>SUM(G9:G12)</f>
        <v>2130.6</v>
      </c>
      <c r="H13" s="1"/>
      <c r="K13" s="7"/>
      <c r="L13" s="7"/>
    </row>
    <row r="14" spans="1:12" x14ac:dyDescent="0.25">
      <c r="A14" s="1" t="s">
        <v>13</v>
      </c>
      <c r="B14" s="1" t="s">
        <v>1</v>
      </c>
      <c r="C14" s="1" t="s">
        <v>2</v>
      </c>
      <c r="D14" s="1" t="s">
        <v>3</v>
      </c>
      <c r="E14" s="14" t="s">
        <v>93</v>
      </c>
      <c r="F14" s="14"/>
      <c r="G14" s="1" t="s">
        <v>4</v>
      </c>
      <c r="H14" s="1" t="s">
        <v>5</v>
      </c>
      <c r="K14" s="7"/>
      <c r="L14" s="7"/>
    </row>
    <row r="15" spans="1:12" x14ac:dyDescent="0.25">
      <c r="A15" s="31" t="s">
        <v>52</v>
      </c>
      <c r="B15" s="1" t="s">
        <v>53</v>
      </c>
      <c r="C15" s="1" t="s">
        <v>16</v>
      </c>
      <c r="D15" s="1">
        <v>48</v>
      </c>
      <c r="E15" s="14">
        <v>35</v>
      </c>
      <c r="F15" s="14" t="s">
        <v>112</v>
      </c>
      <c r="G15" s="1">
        <f>D15*E15</f>
        <v>1680</v>
      </c>
      <c r="H15" s="1"/>
      <c r="K15" s="7"/>
      <c r="L15" s="7"/>
    </row>
    <row r="16" spans="1:12" x14ac:dyDescent="0.25">
      <c r="A16" s="31"/>
      <c r="B16" s="1"/>
      <c r="C16" s="1"/>
      <c r="D16" s="1"/>
      <c r="E16" s="14"/>
      <c r="F16" s="14"/>
      <c r="G16" s="1"/>
      <c r="H16" s="1"/>
    </row>
    <row r="17" spans="1:8" x14ac:dyDescent="0.25">
      <c r="A17" s="31"/>
      <c r="B17" s="1"/>
      <c r="C17" s="1"/>
      <c r="D17" s="1"/>
      <c r="E17" s="14"/>
      <c r="F17" s="14"/>
      <c r="G17" s="1"/>
      <c r="H17" s="1"/>
    </row>
    <row r="18" spans="1:8" x14ac:dyDescent="0.25">
      <c r="A18" s="31"/>
      <c r="B18" s="1"/>
      <c r="C18" s="1"/>
      <c r="D18" s="1"/>
      <c r="E18" s="15"/>
      <c r="F18" s="15"/>
      <c r="G18" s="3"/>
      <c r="H18" s="1"/>
    </row>
    <row r="19" spans="1:8" x14ac:dyDescent="0.25">
      <c r="A19" s="31"/>
      <c r="B19" s="32" t="s">
        <v>9</v>
      </c>
      <c r="C19" s="33"/>
      <c r="D19" s="34"/>
      <c r="E19" s="15"/>
      <c r="F19" s="15"/>
      <c r="G19" s="20">
        <f>SUM(G15:G18)</f>
        <v>1680</v>
      </c>
      <c r="H19" s="1"/>
    </row>
    <row r="20" spans="1:8" x14ac:dyDescent="0.25">
      <c r="A20" s="10" t="s">
        <v>19</v>
      </c>
      <c r="B20" s="1" t="s">
        <v>1</v>
      </c>
      <c r="C20" s="1" t="s">
        <v>2</v>
      </c>
      <c r="D20" s="1" t="s">
        <v>3</v>
      </c>
      <c r="E20" s="14" t="s">
        <v>93</v>
      </c>
      <c r="F20" s="14"/>
      <c r="G20" s="1" t="s">
        <v>4</v>
      </c>
      <c r="H20" s="1" t="s">
        <v>5</v>
      </c>
    </row>
    <row r="21" spans="1:8" x14ac:dyDescent="0.25">
      <c r="A21" s="31"/>
      <c r="B21" s="1" t="s">
        <v>111</v>
      </c>
      <c r="C21" s="1"/>
      <c r="D21" s="1">
        <v>29.38</v>
      </c>
      <c r="E21" s="14">
        <v>100</v>
      </c>
      <c r="F21" s="14" t="s">
        <v>112</v>
      </c>
      <c r="G21" s="1">
        <f>D21*E21</f>
        <v>2938</v>
      </c>
      <c r="H21" s="1"/>
    </row>
    <row r="22" spans="1:8" x14ac:dyDescent="0.25">
      <c r="A22" s="31"/>
      <c r="B22" s="1" t="s">
        <v>113</v>
      </c>
      <c r="C22" s="1"/>
      <c r="D22" s="1">
        <v>55</v>
      </c>
      <c r="E22" s="14">
        <v>20</v>
      </c>
      <c r="F22" s="14" t="s">
        <v>112</v>
      </c>
      <c r="G22" s="14">
        <f t="shared" ref="G22:G24" si="0">D22*E22</f>
        <v>1100</v>
      </c>
      <c r="H22" s="1"/>
    </row>
    <row r="23" spans="1:8" x14ac:dyDescent="0.25">
      <c r="A23" s="31"/>
      <c r="B23" s="1" t="s">
        <v>114</v>
      </c>
      <c r="C23" s="1"/>
      <c r="D23" s="1">
        <v>1188</v>
      </c>
      <c r="E23" s="14">
        <v>3</v>
      </c>
      <c r="F23" s="14" t="s">
        <v>115</v>
      </c>
      <c r="G23" s="14">
        <f t="shared" si="0"/>
        <v>3564</v>
      </c>
      <c r="H23" s="1"/>
    </row>
    <row r="24" spans="1:8" x14ac:dyDescent="0.25">
      <c r="A24" s="31"/>
      <c r="B24" s="1"/>
      <c r="C24" s="1"/>
      <c r="D24" s="1"/>
      <c r="E24" s="14"/>
      <c r="F24" s="14"/>
      <c r="G24" s="14">
        <f t="shared" si="0"/>
        <v>0</v>
      </c>
      <c r="H24" s="1"/>
    </row>
    <row r="25" spans="1:8" x14ac:dyDescent="0.25">
      <c r="A25" s="31"/>
      <c r="B25" s="32" t="s">
        <v>9</v>
      </c>
      <c r="C25" s="33"/>
      <c r="D25" s="34"/>
      <c r="E25" s="15"/>
      <c r="F25" s="15"/>
      <c r="G25" s="20">
        <f>SUM(G21:G24)</f>
        <v>7602</v>
      </c>
      <c r="H25" s="1"/>
    </row>
    <row r="26" spans="1:8" x14ac:dyDescent="0.25">
      <c r="A26" s="1" t="s">
        <v>20</v>
      </c>
      <c r="B26" s="1" t="s">
        <v>1</v>
      </c>
      <c r="C26" s="1" t="s">
        <v>2</v>
      </c>
      <c r="D26" s="1" t="s">
        <v>3</v>
      </c>
      <c r="E26" s="14" t="s">
        <v>93</v>
      </c>
      <c r="F26" s="14"/>
      <c r="G26" s="1" t="s">
        <v>4</v>
      </c>
      <c r="H26" s="1" t="s">
        <v>5</v>
      </c>
    </row>
    <row r="27" spans="1:8" x14ac:dyDescent="0.25">
      <c r="A27" s="31" t="s">
        <v>54</v>
      </c>
      <c r="B27" s="1" t="s">
        <v>55</v>
      </c>
      <c r="C27" s="1"/>
      <c r="D27" s="1"/>
      <c r="E27" s="14"/>
      <c r="F27" s="14"/>
      <c r="G27" s="1"/>
      <c r="H27" s="1" t="s">
        <v>21</v>
      </c>
    </row>
    <row r="28" spans="1:8" x14ac:dyDescent="0.25">
      <c r="A28" s="31"/>
      <c r="B28" s="1" t="s">
        <v>56</v>
      </c>
      <c r="C28" s="1" t="s">
        <v>57</v>
      </c>
      <c r="D28" s="1">
        <v>98.4</v>
      </c>
      <c r="E28" s="14">
        <v>10</v>
      </c>
      <c r="F28" s="14" t="s">
        <v>112</v>
      </c>
      <c r="G28" s="1">
        <f>D28*E28</f>
        <v>984</v>
      </c>
      <c r="H28" s="1"/>
    </row>
    <row r="29" spans="1:8" x14ac:dyDescent="0.25">
      <c r="A29" s="31"/>
      <c r="B29" s="32" t="s">
        <v>9</v>
      </c>
      <c r="C29" s="33"/>
      <c r="D29" s="34"/>
      <c r="E29" s="15"/>
      <c r="F29" s="15"/>
      <c r="G29" s="20">
        <f>G28</f>
        <v>984</v>
      </c>
      <c r="H29" s="1"/>
    </row>
    <row r="30" spans="1:8" x14ac:dyDescent="0.25">
      <c r="A30" s="1" t="s">
        <v>22</v>
      </c>
      <c r="B30" s="1" t="s">
        <v>1</v>
      </c>
      <c r="C30" s="1" t="s">
        <v>2</v>
      </c>
      <c r="D30" s="1" t="s">
        <v>3</v>
      </c>
      <c r="E30" s="14" t="s">
        <v>93</v>
      </c>
      <c r="F30" s="14"/>
      <c r="G30" s="3" t="s">
        <v>4</v>
      </c>
      <c r="H30" s="1" t="s">
        <v>5</v>
      </c>
    </row>
    <row r="31" spans="1:8" x14ac:dyDescent="0.25">
      <c r="A31" s="41"/>
      <c r="B31" s="1" t="s">
        <v>117</v>
      </c>
      <c r="C31" s="1"/>
      <c r="D31" s="1">
        <v>16.32</v>
      </c>
      <c r="E31" s="14">
        <v>65</v>
      </c>
      <c r="F31" s="14" t="s">
        <v>112</v>
      </c>
      <c r="G31" s="18">
        <f>D31*E31</f>
        <v>1060.8</v>
      </c>
      <c r="H31" s="1"/>
    </row>
    <row r="32" spans="1:8" x14ac:dyDescent="0.25">
      <c r="A32" s="42"/>
      <c r="B32" s="1" t="s">
        <v>121</v>
      </c>
      <c r="C32" s="1"/>
      <c r="D32" s="1">
        <v>22.08</v>
      </c>
      <c r="E32" s="14">
        <v>75</v>
      </c>
      <c r="F32" s="14" t="s">
        <v>112</v>
      </c>
      <c r="G32" s="18">
        <f t="shared" ref="G32:G33" si="1">D32*E32</f>
        <v>1655.9999999999998</v>
      </c>
      <c r="H32" s="1"/>
    </row>
    <row r="33" spans="1:8" x14ac:dyDescent="0.25">
      <c r="A33" s="42"/>
      <c r="B33" s="14" t="s">
        <v>122</v>
      </c>
      <c r="C33" s="14"/>
      <c r="D33" s="14">
        <v>28.8</v>
      </c>
      <c r="E33" s="14">
        <v>21.67</v>
      </c>
      <c r="F33" s="14" t="s">
        <v>112</v>
      </c>
      <c r="G33" s="18">
        <f t="shared" si="1"/>
        <v>624.09600000000012</v>
      </c>
      <c r="H33" s="14"/>
    </row>
    <row r="34" spans="1:8" x14ac:dyDescent="0.25">
      <c r="A34" s="43"/>
      <c r="B34" s="32" t="s">
        <v>9</v>
      </c>
      <c r="C34" s="33"/>
      <c r="D34" s="34"/>
      <c r="E34" s="15"/>
      <c r="F34" s="15"/>
      <c r="G34" s="19">
        <f>G31+G32+G33</f>
        <v>3340.8959999999997</v>
      </c>
      <c r="H34" s="11"/>
    </row>
    <row r="35" spans="1:8" x14ac:dyDescent="0.25">
      <c r="A35" s="12" t="s">
        <v>118</v>
      </c>
      <c r="B35" s="1" t="s">
        <v>1</v>
      </c>
      <c r="C35" s="1" t="s">
        <v>2</v>
      </c>
      <c r="D35" s="1" t="s">
        <v>3</v>
      </c>
      <c r="E35" s="14" t="s">
        <v>93</v>
      </c>
      <c r="F35" s="14"/>
      <c r="G35" s="1" t="s">
        <v>4</v>
      </c>
      <c r="H35" s="1"/>
    </row>
    <row r="36" spans="1:8" x14ac:dyDescent="0.25">
      <c r="A36" s="31"/>
      <c r="B36" s="1" t="s">
        <v>119</v>
      </c>
      <c r="C36" s="1"/>
      <c r="D36" s="1">
        <v>50</v>
      </c>
      <c r="E36" s="14">
        <v>1</v>
      </c>
      <c r="F36" s="14" t="s">
        <v>120</v>
      </c>
      <c r="G36" s="1">
        <f>D36*E36</f>
        <v>50</v>
      </c>
      <c r="H36" s="1"/>
    </row>
    <row r="37" spans="1:8" x14ac:dyDescent="0.25">
      <c r="A37" s="31"/>
      <c r="B37" s="1" t="s">
        <v>123</v>
      </c>
      <c r="C37" s="1"/>
      <c r="D37" s="1">
        <v>540</v>
      </c>
      <c r="E37" s="14">
        <v>1</v>
      </c>
      <c r="F37" s="14" t="s">
        <v>126</v>
      </c>
      <c r="G37" s="14">
        <f t="shared" ref="G37:G38" si="2">D37*E37</f>
        <v>540</v>
      </c>
      <c r="H37" s="21" t="s">
        <v>125</v>
      </c>
    </row>
    <row r="38" spans="1:8" x14ac:dyDescent="0.25">
      <c r="A38" s="31"/>
      <c r="B38" s="1" t="s">
        <v>124</v>
      </c>
      <c r="C38" s="1"/>
      <c r="D38" s="1">
        <v>378</v>
      </c>
      <c r="E38" s="14">
        <v>1</v>
      </c>
      <c r="F38" s="14" t="s">
        <v>126</v>
      </c>
      <c r="G38" s="14">
        <f t="shared" si="2"/>
        <v>378</v>
      </c>
      <c r="H38" s="21" t="s">
        <v>125</v>
      </c>
    </row>
    <row r="39" spans="1:8" x14ac:dyDescent="0.25">
      <c r="A39" s="31"/>
      <c r="B39" s="1"/>
      <c r="C39" s="1"/>
      <c r="D39" s="1"/>
      <c r="E39" s="14"/>
      <c r="F39" s="14"/>
      <c r="G39" s="1"/>
      <c r="H39" s="1"/>
    </row>
    <row r="40" spans="1:8" x14ac:dyDescent="0.25">
      <c r="A40" s="31"/>
      <c r="B40" s="32" t="s">
        <v>9</v>
      </c>
      <c r="C40" s="33"/>
      <c r="D40" s="34"/>
      <c r="E40" s="15"/>
      <c r="F40" s="15"/>
      <c r="G40" s="20">
        <f>SUM(G36:G39)</f>
        <v>968</v>
      </c>
      <c r="H40" s="1"/>
    </row>
    <row r="41" spans="1:8" x14ac:dyDescent="0.25">
      <c r="A41" s="1"/>
      <c r="B41" s="38" t="s">
        <v>24</v>
      </c>
      <c r="C41" s="39"/>
      <c r="D41" s="40"/>
      <c r="E41" s="16"/>
      <c r="F41" s="16"/>
      <c r="G41" s="22">
        <f>G40+G29+G19+G13+G7+G25+G34</f>
        <v>22200.296000000002</v>
      </c>
      <c r="H41" s="1"/>
    </row>
  </sheetData>
  <mergeCells count="16">
    <mergeCell ref="A36:A40"/>
    <mergeCell ref="B40:D40"/>
    <mergeCell ref="B41:D41"/>
    <mergeCell ref="A21:A25"/>
    <mergeCell ref="B25:D25"/>
    <mergeCell ref="A27:A29"/>
    <mergeCell ref="B29:D29"/>
    <mergeCell ref="A31:A34"/>
    <mergeCell ref="B34:D34"/>
    <mergeCell ref="A15:A19"/>
    <mergeCell ref="B19:D19"/>
    <mergeCell ref="A1:H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2"/>
  <sheetViews>
    <sheetView workbookViewId="0">
      <selection activeCell="E2" sqref="E2:F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2" x14ac:dyDescent="0.25">
      <c r="A1" s="35" t="s">
        <v>27</v>
      </c>
      <c r="B1" s="36"/>
      <c r="C1" s="36"/>
      <c r="D1" s="36"/>
      <c r="E1" s="36"/>
      <c r="F1" s="36"/>
      <c r="G1" s="36"/>
      <c r="H1" s="37"/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23" t="s">
        <v>93</v>
      </c>
      <c r="F2" s="23"/>
      <c r="G2" s="1" t="s">
        <v>4</v>
      </c>
      <c r="H2" s="1" t="s">
        <v>5</v>
      </c>
    </row>
    <row r="3" spans="1:12" x14ac:dyDescent="0.25">
      <c r="A3" s="31" t="s">
        <v>66</v>
      </c>
      <c r="B3" s="1" t="s">
        <v>69</v>
      </c>
      <c r="C3" s="1" t="s">
        <v>70</v>
      </c>
      <c r="D3" s="1">
        <v>195</v>
      </c>
      <c r="E3" s="23">
        <v>28</v>
      </c>
      <c r="F3" s="23" t="s">
        <v>130</v>
      </c>
      <c r="G3" s="1">
        <f>E3*D3</f>
        <v>5460</v>
      </c>
      <c r="H3" s="1"/>
    </row>
    <row r="4" spans="1:12" x14ac:dyDescent="0.25">
      <c r="A4" s="31"/>
      <c r="B4" s="1"/>
      <c r="C4" s="1"/>
      <c r="D4" s="1"/>
      <c r="E4" s="23"/>
      <c r="F4" s="23"/>
      <c r="G4" s="1"/>
      <c r="H4" s="1"/>
    </row>
    <row r="5" spans="1:12" x14ac:dyDescent="0.25">
      <c r="A5" s="31"/>
      <c r="B5" s="1"/>
      <c r="C5" s="1"/>
      <c r="D5" s="1"/>
      <c r="E5" s="23"/>
      <c r="F5" s="23"/>
      <c r="G5" s="1"/>
      <c r="H5" s="1"/>
    </row>
    <row r="6" spans="1:12" x14ac:dyDescent="0.25">
      <c r="A6" s="31"/>
      <c r="B6" s="1"/>
      <c r="C6" s="1"/>
      <c r="D6" s="1"/>
      <c r="E6" s="24"/>
      <c r="F6" s="24"/>
      <c r="G6" s="3"/>
      <c r="H6" s="1"/>
      <c r="J6" s="4"/>
    </row>
    <row r="7" spans="1:12" x14ac:dyDescent="0.25">
      <c r="A7" s="31"/>
      <c r="B7" s="32" t="s">
        <v>9</v>
      </c>
      <c r="C7" s="33"/>
      <c r="D7" s="34"/>
      <c r="E7" s="24"/>
      <c r="F7" s="24"/>
      <c r="G7" s="20">
        <f>G3</f>
        <v>5460</v>
      </c>
      <c r="H7" s="1"/>
      <c r="J7" s="6"/>
    </row>
    <row r="8" spans="1:12" x14ac:dyDescent="0.25">
      <c r="A8" s="1" t="s">
        <v>10</v>
      </c>
      <c r="B8" s="1" t="s">
        <v>1</v>
      </c>
      <c r="C8" s="1" t="s">
        <v>2</v>
      </c>
      <c r="D8" s="1" t="s">
        <v>3</v>
      </c>
      <c r="E8" s="23" t="s">
        <v>93</v>
      </c>
      <c r="F8" s="23"/>
      <c r="G8" s="1" t="s">
        <v>4</v>
      </c>
      <c r="H8" s="1" t="s">
        <v>5</v>
      </c>
      <c r="J8" s="6"/>
    </row>
    <row r="9" spans="1:12" x14ac:dyDescent="0.25">
      <c r="A9" s="31" t="s">
        <v>67</v>
      </c>
      <c r="B9" s="1" t="s">
        <v>67</v>
      </c>
      <c r="C9" s="1" t="s">
        <v>68</v>
      </c>
      <c r="D9" s="1">
        <v>9.5</v>
      </c>
      <c r="E9" s="23">
        <v>280</v>
      </c>
      <c r="F9" s="23" t="s">
        <v>139</v>
      </c>
      <c r="G9" s="1">
        <f>E9*D9</f>
        <v>2660</v>
      </c>
      <c r="H9" s="1"/>
      <c r="J9" s="6"/>
      <c r="K9" s="7"/>
      <c r="L9" s="7"/>
    </row>
    <row r="10" spans="1:12" x14ac:dyDescent="0.25">
      <c r="A10" s="31"/>
      <c r="B10" s="8"/>
      <c r="C10" s="1"/>
      <c r="D10" s="1"/>
      <c r="E10" s="23"/>
      <c r="F10" s="23"/>
      <c r="G10" s="1"/>
      <c r="H10" s="1"/>
      <c r="J10" s="6"/>
      <c r="K10" s="9"/>
      <c r="L10" s="7"/>
    </row>
    <row r="11" spans="1:12" x14ac:dyDescent="0.25">
      <c r="A11" s="31"/>
      <c r="B11" s="1"/>
      <c r="C11" s="1"/>
      <c r="D11" s="1"/>
      <c r="E11" s="23"/>
      <c r="F11" s="23"/>
      <c r="G11" s="1"/>
      <c r="H11" s="1"/>
      <c r="K11" s="9"/>
      <c r="L11" s="7"/>
    </row>
    <row r="12" spans="1:12" x14ac:dyDescent="0.25">
      <c r="A12" s="31"/>
      <c r="B12" s="1"/>
      <c r="C12" s="1"/>
      <c r="D12" s="1"/>
      <c r="E12" s="23"/>
      <c r="F12" s="23"/>
      <c r="G12" s="1"/>
      <c r="H12" s="1"/>
      <c r="K12" s="9"/>
      <c r="L12" s="7"/>
    </row>
    <row r="13" spans="1:12" x14ac:dyDescent="0.25">
      <c r="A13" s="31"/>
      <c r="B13" s="32" t="s">
        <v>9</v>
      </c>
      <c r="C13" s="33"/>
      <c r="D13" s="34"/>
      <c r="E13" s="24"/>
      <c r="F13" s="24"/>
      <c r="G13" s="20">
        <f>G9</f>
        <v>2660</v>
      </c>
      <c r="H13" s="1"/>
      <c r="K13" s="7"/>
      <c r="L13" s="7"/>
    </row>
    <row r="14" spans="1:12" x14ac:dyDescent="0.25">
      <c r="A14" s="30" t="s">
        <v>118</v>
      </c>
      <c r="B14" s="1" t="s">
        <v>1</v>
      </c>
      <c r="C14" s="1" t="s">
        <v>2</v>
      </c>
      <c r="D14" s="1" t="s">
        <v>3</v>
      </c>
      <c r="E14" s="23" t="s">
        <v>93</v>
      </c>
      <c r="F14" s="23"/>
      <c r="G14" s="1" t="s">
        <v>4</v>
      </c>
      <c r="H14" s="1" t="s">
        <v>5</v>
      </c>
      <c r="K14" s="7"/>
      <c r="L14" s="7"/>
    </row>
    <row r="15" spans="1:12" x14ac:dyDescent="0.25">
      <c r="A15" s="31"/>
      <c r="B15" s="1" t="s">
        <v>144</v>
      </c>
      <c r="C15" s="1"/>
      <c r="D15" s="1">
        <v>4.5</v>
      </c>
      <c r="E15" s="23">
        <v>50</v>
      </c>
      <c r="F15" s="23" t="s">
        <v>139</v>
      </c>
      <c r="G15" s="1">
        <f>E15*D15</f>
        <v>225</v>
      </c>
      <c r="H15" s="1"/>
      <c r="K15" s="7"/>
      <c r="L15" s="7"/>
    </row>
    <row r="16" spans="1:12" x14ac:dyDescent="0.25">
      <c r="A16" s="31"/>
      <c r="B16" s="1"/>
      <c r="C16" s="1"/>
      <c r="D16" s="1"/>
      <c r="E16" s="23"/>
      <c r="F16" s="23"/>
      <c r="G16" s="1"/>
      <c r="H16" s="1"/>
    </row>
    <row r="17" spans="1:8" x14ac:dyDescent="0.25">
      <c r="A17" s="31"/>
      <c r="B17" s="1"/>
      <c r="C17" s="1"/>
      <c r="D17" s="1"/>
      <c r="E17" s="23"/>
      <c r="F17" s="23"/>
      <c r="G17" s="1"/>
      <c r="H17" s="1"/>
    </row>
    <row r="18" spans="1:8" x14ac:dyDescent="0.25">
      <c r="A18" s="31"/>
      <c r="B18" s="1"/>
      <c r="C18" s="1"/>
      <c r="D18" s="1"/>
      <c r="E18" s="24"/>
      <c r="F18" s="24"/>
      <c r="G18" s="3"/>
      <c r="H18" s="1"/>
    </row>
    <row r="19" spans="1:8" x14ac:dyDescent="0.25">
      <c r="A19" s="31"/>
      <c r="B19" s="32" t="s">
        <v>9</v>
      </c>
      <c r="C19" s="33"/>
      <c r="D19" s="34"/>
      <c r="E19" s="24"/>
      <c r="F19" s="24"/>
      <c r="G19" s="20">
        <f>G15</f>
        <v>225</v>
      </c>
      <c r="H19" s="21" t="s">
        <v>141</v>
      </c>
    </row>
    <row r="20" spans="1:8" x14ac:dyDescent="0.25">
      <c r="A20" s="10" t="s">
        <v>19</v>
      </c>
      <c r="B20" s="1" t="s">
        <v>1</v>
      </c>
      <c r="C20" s="1" t="s">
        <v>2</v>
      </c>
      <c r="D20" s="1" t="s">
        <v>3</v>
      </c>
      <c r="E20" s="23" t="s">
        <v>93</v>
      </c>
      <c r="F20" s="23"/>
      <c r="G20" s="1" t="s">
        <v>4</v>
      </c>
      <c r="H20" s="1" t="s">
        <v>5</v>
      </c>
    </row>
    <row r="21" spans="1:8" x14ac:dyDescent="0.25">
      <c r="A21" s="31"/>
      <c r="B21" s="1" t="s">
        <v>135</v>
      </c>
      <c r="C21" s="1"/>
      <c r="D21" s="1">
        <v>175</v>
      </c>
      <c r="E21" s="23">
        <v>1</v>
      </c>
      <c r="F21" s="23" t="s">
        <v>132</v>
      </c>
      <c r="G21" s="1">
        <f>E21*D21</f>
        <v>175</v>
      </c>
      <c r="H21" s="1"/>
    </row>
    <row r="22" spans="1:8" x14ac:dyDescent="0.25">
      <c r="A22" s="31"/>
      <c r="B22" s="23" t="s">
        <v>133</v>
      </c>
      <c r="C22" s="1"/>
      <c r="D22" s="1">
        <v>291</v>
      </c>
      <c r="E22" s="23">
        <v>2</v>
      </c>
      <c r="F22" s="23" t="s">
        <v>134</v>
      </c>
      <c r="G22" s="23">
        <f t="shared" ref="G22:G25" si="0">E22*D22</f>
        <v>582</v>
      </c>
      <c r="H22" s="1"/>
    </row>
    <row r="23" spans="1:8" x14ac:dyDescent="0.25">
      <c r="A23" s="31"/>
      <c r="B23" s="23" t="s">
        <v>136</v>
      </c>
      <c r="C23" s="1"/>
      <c r="D23" s="1">
        <v>225</v>
      </c>
      <c r="E23" s="23">
        <v>2</v>
      </c>
      <c r="F23" s="23" t="s">
        <v>134</v>
      </c>
      <c r="G23" s="23">
        <f t="shared" si="0"/>
        <v>450</v>
      </c>
      <c r="H23" s="1"/>
    </row>
    <row r="24" spans="1:8" x14ac:dyDescent="0.25">
      <c r="A24" s="31"/>
      <c r="B24" s="23" t="s">
        <v>137</v>
      </c>
      <c r="C24" s="1"/>
      <c r="D24" s="1">
        <v>219</v>
      </c>
      <c r="E24" s="23">
        <v>3</v>
      </c>
      <c r="F24" s="23" t="s">
        <v>134</v>
      </c>
      <c r="G24" s="23">
        <f t="shared" si="0"/>
        <v>657</v>
      </c>
      <c r="H24" s="1"/>
    </row>
    <row r="25" spans="1:8" x14ac:dyDescent="0.25">
      <c r="A25" s="31"/>
      <c r="B25" s="23" t="s">
        <v>142</v>
      </c>
      <c r="C25" s="23"/>
      <c r="D25" s="23">
        <v>235</v>
      </c>
      <c r="E25" s="23">
        <v>2</v>
      </c>
      <c r="F25" s="24" t="s">
        <v>143</v>
      </c>
      <c r="G25" s="24">
        <f t="shared" si="0"/>
        <v>470</v>
      </c>
      <c r="H25" s="21" t="s">
        <v>141</v>
      </c>
    </row>
    <row r="26" spans="1:8" x14ac:dyDescent="0.25">
      <c r="A26" s="31"/>
      <c r="B26" s="32" t="s">
        <v>9</v>
      </c>
      <c r="C26" s="33"/>
      <c r="D26" s="34"/>
      <c r="E26" s="24"/>
      <c r="F26" s="24"/>
      <c r="G26" s="20">
        <f>SUM(G21:G25)</f>
        <v>2334</v>
      </c>
      <c r="H26" s="1"/>
    </row>
    <row r="27" spans="1:8" x14ac:dyDescent="0.25">
      <c r="A27" s="1" t="s">
        <v>20</v>
      </c>
      <c r="B27" s="1" t="s">
        <v>1</v>
      </c>
      <c r="C27" s="1" t="s">
        <v>2</v>
      </c>
      <c r="D27" s="1" t="s">
        <v>3</v>
      </c>
      <c r="E27" s="23" t="s">
        <v>93</v>
      </c>
      <c r="F27" s="23"/>
      <c r="G27" s="1" t="s">
        <v>4</v>
      </c>
      <c r="H27" s="1" t="s">
        <v>5</v>
      </c>
    </row>
    <row r="28" spans="1:8" x14ac:dyDescent="0.25">
      <c r="A28" s="31"/>
      <c r="B28" s="1" t="s">
        <v>140</v>
      </c>
      <c r="C28" s="1"/>
      <c r="D28" s="1">
        <v>265</v>
      </c>
      <c r="E28" s="23">
        <v>2</v>
      </c>
      <c r="F28" s="23" t="s">
        <v>127</v>
      </c>
      <c r="G28" s="1">
        <f>D28*E28</f>
        <v>530</v>
      </c>
      <c r="H28" s="21" t="s">
        <v>141</v>
      </c>
    </row>
    <row r="29" spans="1:8" x14ac:dyDescent="0.25">
      <c r="A29" s="31"/>
      <c r="B29" s="1"/>
      <c r="C29" s="1"/>
      <c r="D29" s="1"/>
      <c r="E29" s="23"/>
      <c r="F29" s="23"/>
      <c r="G29" s="1"/>
      <c r="H29" s="1"/>
    </row>
    <row r="30" spans="1:8" x14ac:dyDescent="0.25">
      <c r="A30" s="31"/>
      <c r="B30" s="32" t="s">
        <v>9</v>
      </c>
      <c r="C30" s="33"/>
      <c r="D30" s="34"/>
      <c r="E30" s="24"/>
      <c r="F30" s="24"/>
      <c r="G30" s="20">
        <f>G28</f>
        <v>530</v>
      </c>
      <c r="H30" s="1"/>
    </row>
    <row r="31" spans="1:8" x14ac:dyDescent="0.25">
      <c r="A31" s="1" t="s">
        <v>22</v>
      </c>
      <c r="B31" s="1" t="s">
        <v>1</v>
      </c>
      <c r="C31" s="1" t="s">
        <v>2</v>
      </c>
      <c r="D31" s="1" t="s">
        <v>3</v>
      </c>
      <c r="E31" s="23" t="s">
        <v>93</v>
      </c>
      <c r="F31" s="23"/>
      <c r="G31" s="3" t="s">
        <v>4</v>
      </c>
      <c r="H31" s="1" t="s">
        <v>5</v>
      </c>
    </row>
    <row r="32" spans="1:8" x14ac:dyDescent="0.25">
      <c r="A32" s="41"/>
      <c r="B32" s="1" t="s">
        <v>131</v>
      </c>
      <c r="C32" s="1"/>
      <c r="D32" s="1">
        <v>13.26</v>
      </c>
      <c r="E32" s="23">
        <v>65</v>
      </c>
      <c r="F32" s="23" t="s">
        <v>127</v>
      </c>
      <c r="G32" s="18">
        <f>E32*D32</f>
        <v>861.9</v>
      </c>
      <c r="H32" s="1"/>
    </row>
    <row r="33" spans="1:8" x14ac:dyDescent="0.25">
      <c r="A33" s="42"/>
      <c r="B33" s="1" t="s">
        <v>138</v>
      </c>
      <c r="C33" s="1"/>
      <c r="D33" s="1">
        <v>24.96</v>
      </c>
      <c r="E33" s="23">
        <v>75</v>
      </c>
      <c r="F33" s="23" t="s">
        <v>127</v>
      </c>
      <c r="G33" s="18">
        <f>E33*D33</f>
        <v>1872</v>
      </c>
      <c r="H33" s="1"/>
    </row>
    <row r="34" spans="1:8" x14ac:dyDescent="0.25">
      <c r="A34" s="43"/>
      <c r="B34" s="32" t="s">
        <v>9</v>
      </c>
      <c r="C34" s="33"/>
      <c r="D34" s="34"/>
      <c r="E34" s="24"/>
      <c r="F34" s="24"/>
      <c r="G34" s="19">
        <f>G32+G33</f>
        <v>2733.9</v>
      </c>
      <c r="H34" s="11"/>
    </row>
    <row r="35" spans="1:8" x14ac:dyDescent="0.25">
      <c r="A35" s="12" t="s">
        <v>23</v>
      </c>
      <c r="B35" s="1" t="s">
        <v>1</v>
      </c>
      <c r="C35" s="1" t="s">
        <v>2</v>
      </c>
      <c r="D35" s="1" t="s">
        <v>3</v>
      </c>
      <c r="E35" s="23" t="s">
        <v>93</v>
      </c>
      <c r="F35" s="23"/>
      <c r="G35" s="1" t="s">
        <v>4</v>
      </c>
      <c r="H35" s="1"/>
    </row>
    <row r="36" spans="1:8" x14ac:dyDescent="0.25">
      <c r="A36" s="31" t="s">
        <v>58</v>
      </c>
      <c r="B36" s="1" t="s">
        <v>59</v>
      </c>
      <c r="C36" s="1" t="s">
        <v>63</v>
      </c>
      <c r="D36" s="1">
        <v>30</v>
      </c>
      <c r="E36" s="23">
        <v>60</v>
      </c>
      <c r="F36" s="23" t="s">
        <v>127</v>
      </c>
      <c r="G36" s="1">
        <f>E36*D36</f>
        <v>1800</v>
      </c>
      <c r="H36" s="1"/>
    </row>
    <row r="37" spans="1:8" x14ac:dyDescent="0.25">
      <c r="A37" s="31"/>
      <c r="B37" s="1" t="s">
        <v>60</v>
      </c>
      <c r="C37" s="1" t="s">
        <v>36</v>
      </c>
      <c r="D37" s="1">
        <v>21</v>
      </c>
      <c r="E37" s="23">
        <v>10</v>
      </c>
      <c r="F37" s="23" t="s">
        <v>127</v>
      </c>
      <c r="G37" s="23">
        <f t="shared" ref="G37:G40" si="1">E37*D37</f>
        <v>210</v>
      </c>
      <c r="H37" s="1"/>
    </row>
    <row r="38" spans="1:8" x14ac:dyDescent="0.25">
      <c r="A38" s="31"/>
      <c r="B38" s="1" t="s">
        <v>61</v>
      </c>
      <c r="C38" s="1" t="s">
        <v>64</v>
      </c>
      <c r="D38" s="1">
        <v>99</v>
      </c>
      <c r="E38" s="23">
        <v>20</v>
      </c>
      <c r="F38" s="23" t="s">
        <v>127</v>
      </c>
      <c r="G38" s="23">
        <f t="shared" si="1"/>
        <v>1980</v>
      </c>
      <c r="H38" s="1" t="s">
        <v>128</v>
      </c>
    </row>
    <row r="39" spans="1:8" x14ac:dyDescent="0.25">
      <c r="A39" s="31"/>
      <c r="B39" s="1" t="s">
        <v>17</v>
      </c>
      <c r="C39" s="1" t="s">
        <v>12</v>
      </c>
      <c r="D39" s="1">
        <v>45</v>
      </c>
      <c r="E39" s="23">
        <v>5</v>
      </c>
      <c r="F39" s="23" t="s">
        <v>127</v>
      </c>
      <c r="G39" s="23">
        <f t="shared" si="1"/>
        <v>225</v>
      </c>
      <c r="H39" s="1" t="s">
        <v>129</v>
      </c>
    </row>
    <row r="40" spans="1:8" x14ac:dyDescent="0.25">
      <c r="A40" s="31"/>
      <c r="B40" s="1" t="s">
        <v>62</v>
      </c>
      <c r="C40" s="1" t="s">
        <v>65</v>
      </c>
      <c r="D40" s="1">
        <v>7.98</v>
      </c>
      <c r="E40" s="23">
        <v>3</v>
      </c>
      <c r="F40" s="23" t="s">
        <v>127</v>
      </c>
      <c r="G40" s="18">
        <f t="shared" si="1"/>
        <v>23.94</v>
      </c>
      <c r="H40" s="1"/>
    </row>
    <row r="41" spans="1:8" x14ac:dyDescent="0.25">
      <c r="A41" s="31"/>
      <c r="B41" s="32" t="s">
        <v>9</v>
      </c>
      <c r="C41" s="33"/>
      <c r="D41" s="34"/>
      <c r="E41" s="24"/>
      <c r="F41" s="24"/>
      <c r="G41" s="19">
        <f>SUM(G36:G40)</f>
        <v>4238.9399999999996</v>
      </c>
      <c r="H41" s="1"/>
    </row>
    <row r="42" spans="1:8" x14ac:dyDescent="0.25">
      <c r="A42" s="1"/>
      <c r="B42" s="38" t="s">
        <v>24</v>
      </c>
      <c r="C42" s="39"/>
      <c r="D42" s="40"/>
      <c r="E42" s="25"/>
      <c r="F42" s="25"/>
      <c r="G42" s="22">
        <f>G41+G34+G26+G19+G13+G7+G30</f>
        <v>18181.84</v>
      </c>
      <c r="H42" s="1"/>
    </row>
  </sheetData>
  <mergeCells count="16">
    <mergeCell ref="A36:A41"/>
    <mergeCell ref="B41:D41"/>
    <mergeCell ref="B42:D42"/>
    <mergeCell ref="A21:A26"/>
    <mergeCell ref="B26:D26"/>
    <mergeCell ref="A28:A30"/>
    <mergeCell ref="B30:D30"/>
    <mergeCell ref="A32:A34"/>
    <mergeCell ref="B34:D34"/>
    <mergeCell ref="A15:A19"/>
    <mergeCell ref="B19:D19"/>
    <mergeCell ref="A1:H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workbookViewId="0">
      <selection activeCell="E8" sqref="E8:F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2" x14ac:dyDescent="0.25">
      <c r="A1" s="35" t="s">
        <v>28</v>
      </c>
      <c r="B1" s="36"/>
      <c r="C1" s="36"/>
      <c r="D1" s="36"/>
      <c r="E1" s="36"/>
      <c r="F1" s="36"/>
      <c r="G1" s="36"/>
      <c r="H1" s="37"/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26" t="s">
        <v>93</v>
      </c>
      <c r="F2" s="26"/>
      <c r="G2" s="1" t="s">
        <v>4</v>
      </c>
      <c r="H2" s="1" t="s">
        <v>5</v>
      </c>
    </row>
    <row r="3" spans="1:12" x14ac:dyDescent="0.25">
      <c r="A3" s="31" t="s">
        <v>71</v>
      </c>
      <c r="B3" s="1" t="s">
        <v>72</v>
      </c>
      <c r="C3" s="1" t="s">
        <v>73</v>
      </c>
      <c r="D3" s="1">
        <v>99</v>
      </c>
      <c r="E3" s="26">
        <v>45</v>
      </c>
      <c r="F3" s="26" t="s">
        <v>147</v>
      </c>
      <c r="G3" s="1">
        <f>E3*D3</f>
        <v>4455</v>
      </c>
      <c r="H3" s="1" t="s">
        <v>145</v>
      </c>
    </row>
    <row r="4" spans="1:12" x14ac:dyDescent="0.25">
      <c r="A4" s="31"/>
      <c r="B4" s="1" t="s">
        <v>11</v>
      </c>
      <c r="C4" s="1" t="s">
        <v>36</v>
      </c>
      <c r="D4" s="1">
        <v>30.6</v>
      </c>
      <c r="E4" s="26">
        <v>10</v>
      </c>
      <c r="F4" s="26" t="s">
        <v>147</v>
      </c>
      <c r="G4" s="26">
        <f>E4*D4</f>
        <v>306</v>
      </c>
      <c r="H4" s="1"/>
    </row>
    <row r="5" spans="1:12" x14ac:dyDescent="0.25">
      <c r="A5" s="31"/>
      <c r="B5" s="1"/>
      <c r="C5" s="1"/>
      <c r="D5" s="1"/>
      <c r="E5" s="26"/>
      <c r="F5" s="26"/>
      <c r="G5" s="1"/>
      <c r="H5" s="1"/>
    </row>
    <row r="6" spans="1:12" x14ac:dyDescent="0.25">
      <c r="A6" s="31"/>
      <c r="B6" s="1"/>
      <c r="C6" s="1"/>
      <c r="D6" s="1"/>
      <c r="E6" s="28"/>
      <c r="F6" s="28"/>
      <c r="G6" s="3"/>
      <c r="H6" s="1"/>
      <c r="J6" s="4"/>
    </row>
    <row r="7" spans="1:12" x14ac:dyDescent="0.25">
      <c r="A7" s="31"/>
      <c r="B7" s="32" t="s">
        <v>9</v>
      </c>
      <c r="C7" s="33"/>
      <c r="D7" s="34"/>
      <c r="E7" s="28"/>
      <c r="F7" s="28"/>
      <c r="G7" s="20">
        <f>SUM(G3:G6)</f>
        <v>4761</v>
      </c>
      <c r="H7" s="1"/>
      <c r="J7" s="6"/>
    </row>
    <row r="8" spans="1:12" x14ac:dyDescent="0.25">
      <c r="A8" s="1" t="s">
        <v>10</v>
      </c>
      <c r="B8" s="1" t="s">
        <v>1</v>
      </c>
      <c r="C8" s="1" t="s">
        <v>2</v>
      </c>
      <c r="D8" s="1" t="s">
        <v>3</v>
      </c>
      <c r="E8" s="26" t="s">
        <v>93</v>
      </c>
      <c r="F8" s="26"/>
      <c r="G8" s="1" t="s">
        <v>4</v>
      </c>
      <c r="H8" s="1" t="s">
        <v>5</v>
      </c>
      <c r="J8" s="6"/>
    </row>
    <row r="9" spans="1:12" x14ac:dyDescent="0.25">
      <c r="A9" s="31" t="s">
        <v>74</v>
      </c>
      <c r="B9" s="1" t="s">
        <v>75</v>
      </c>
      <c r="C9" s="1" t="s">
        <v>78</v>
      </c>
      <c r="D9" s="1">
        <v>150</v>
      </c>
      <c r="E9" s="26">
        <v>6</v>
      </c>
      <c r="F9" s="26" t="s">
        <v>148</v>
      </c>
      <c r="G9" s="1">
        <f>D9*E9</f>
        <v>900</v>
      </c>
      <c r="H9" s="1"/>
      <c r="J9" s="6"/>
      <c r="K9" s="7"/>
      <c r="L9" s="7"/>
    </row>
    <row r="10" spans="1:12" x14ac:dyDescent="0.25">
      <c r="A10" s="31"/>
      <c r="B10" s="8" t="s">
        <v>76</v>
      </c>
      <c r="C10" s="1" t="s">
        <v>79</v>
      </c>
      <c r="D10" s="1">
        <v>85</v>
      </c>
      <c r="E10" s="26">
        <v>4</v>
      </c>
      <c r="F10" s="26" t="s">
        <v>147</v>
      </c>
      <c r="G10" s="26">
        <f t="shared" ref="G10:G11" si="0">D10*E10</f>
        <v>340</v>
      </c>
      <c r="H10" s="1"/>
      <c r="J10" s="6"/>
      <c r="K10" s="9"/>
      <c r="L10" s="7"/>
    </row>
    <row r="11" spans="1:12" x14ac:dyDescent="0.25">
      <c r="A11" s="31"/>
      <c r="B11" s="1" t="s">
        <v>77</v>
      </c>
      <c r="C11" s="1" t="s">
        <v>80</v>
      </c>
      <c r="D11" s="1">
        <v>7.98</v>
      </c>
      <c r="E11" s="26">
        <v>2</v>
      </c>
      <c r="F11" s="26"/>
      <c r="G11" s="18">
        <f t="shared" si="0"/>
        <v>15.96</v>
      </c>
      <c r="H11" s="1"/>
      <c r="K11" s="9"/>
      <c r="L11" s="7"/>
    </row>
    <row r="12" spans="1:12" x14ac:dyDescent="0.25">
      <c r="A12" s="31"/>
      <c r="B12" s="1"/>
      <c r="C12" s="1"/>
      <c r="D12" s="1"/>
      <c r="E12" s="26"/>
      <c r="F12" s="26"/>
      <c r="G12" s="1"/>
      <c r="H12" s="1"/>
      <c r="K12" s="9"/>
      <c r="L12" s="7"/>
    </row>
    <row r="13" spans="1:12" x14ac:dyDescent="0.25">
      <c r="A13" s="31"/>
      <c r="B13" s="32" t="s">
        <v>9</v>
      </c>
      <c r="C13" s="33"/>
      <c r="D13" s="34"/>
      <c r="E13" s="28"/>
      <c r="F13" s="28"/>
      <c r="G13" s="19">
        <f>SUM(G9:G12)</f>
        <v>1255.96</v>
      </c>
      <c r="H13" s="1"/>
      <c r="K13" s="7"/>
      <c r="L13" s="7"/>
    </row>
    <row r="14" spans="1:12" x14ac:dyDescent="0.25">
      <c r="A14" s="1" t="s">
        <v>13</v>
      </c>
      <c r="B14" s="1" t="s">
        <v>1</v>
      </c>
      <c r="C14" s="1" t="s">
        <v>2</v>
      </c>
      <c r="D14" s="1" t="s">
        <v>3</v>
      </c>
      <c r="E14" s="26" t="s">
        <v>93</v>
      </c>
      <c r="F14" s="26"/>
      <c r="G14" s="1" t="s">
        <v>4</v>
      </c>
      <c r="H14" s="1" t="s">
        <v>5</v>
      </c>
      <c r="K14" s="7"/>
      <c r="L14" s="7"/>
    </row>
    <row r="15" spans="1:12" x14ac:dyDescent="0.25">
      <c r="A15" s="31" t="s">
        <v>14</v>
      </c>
      <c r="B15" s="1" t="s">
        <v>15</v>
      </c>
      <c r="C15" s="1" t="s">
        <v>16</v>
      </c>
      <c r="D15" s="1">
        <v>25.08</v>
      </c>
      <c r="E15" s="26">
        <v>35</v>
      </c>
      <c r="F15" s="26" t="s">
        <v>147</v>
      </c>
      <c r="G15" s="18">
        <f>E15*D15</f>
        <v>877.8</v>
      </c>
      <c r="H15" s="1"/>
      <c r="K15" s="7"/>
      <c r="L15" s="7"/>
    </row>
    <row r="16" spans="1:12" x14ac:dyDescent="0.25">
      <c r="A16" s="31"/>
      <c r="B16" s="1" t="s">
        <v>17</v>
      </c>
      <c r="C16" s="1" t="s">
        <v>79</v>
      </c>
      <c r="D16" s="1">
        <v>45</v>
      </c>
      <c r="E16" s="26">
        <v>4</v>
      </c>
      <c r="F16" s="26" t="s">
        <v>147</v>
      </c>
      <c r="G16" s="18">
        <f>E16*D16</f>
        <v>180</v>
      </c>
      <c r="H16" s="1"/>
    </row>
    <row r="17" spans="1:8" x14ac:dyDescent="0.25">
      <c r="A17" s="31"/>
      <c r="B17" s="1"/>
      <c r="C17" s="1"/>
      <c r="D17" s="1"/>
      <c r="E17" s="26"/>
      <c r="F17" s="26"/>
      <c r="G17" s="1"/>
      <c r="H17" s="1"/>
    </row>
    <row r="18" spans="1:8" x14ac:dyDescent="0.25">
      <c r="A18" s="31"/>
      <c r="B18" s="1"/>
      <c r="C18" s="1"/>
      <c r="D18" s="1"/>
      <c r="E18" s="28"/>
      <c r="F18" s="28"/>
      <c r="G18" s="3"/>
      <c r="H18" s="1"/>
    </row>
    <row r="19" spans="1:8" x14ac:dyDescent="0.25">
      <c r="A19" s="31"/>
      <c r="B19" s="32" t="s">
        <v>9</v>
      </c>
      <c r="C19" s="33"/>
      <c r="D19" s="34"/>
      <c r="E19" s="28"/>
      <c r="F19" s="28"/>
      <c r="G19" s="19">
        <f>SUM(G15:G18)</f>
        <v>1057.8</v>
      </c>
      <c r="H19" s="1"/>
    </row>
    <row r="20" spans="1:8" x14ac:dyDescent="0.25">
      <c r="A20" s="10" t="s">
        <v>19</v>
      </c>
      <c r="B20" s="1" t="s">
        <v>1</v>
      </c>
      <c r="C20" s="1" t="s">
        <v>2</v>
      </c>
      <c r="D20" s="1" t="s">
        <v>3</v>
      </c>
      <c r="E20" s="26" t="s">
        <v>93</v>
      </c>
      <c r="F20" s="26"/>
      <c r="G20" s="1" t="s">
        <v>4</v>
      </c>
      <c r="H20" s="1" t="s">
        <v>5</v>
      </c>
    </row>
    <row r="21" spans="1:8" x14ac:dyDescent="0.25">
      <c r="A21" s="31"/>
      <c r="B21" s="1"/>
      <c r="C21" s="1"/>
      <c r="D21" s="1"/>
      <c r="E21" s="26"/>
      <c r="F21" s="26"/>
      <c r="G21" s="1"/>
      <c r="H21" s="1"/>
    </row>
    <row r="22" spans="1:8" x14ac:dyDescent="0.25">
      <c r="A22" s="31"/>
      <c r="B22" s="1"/>
      <c r="C22" s="1"/>
      <c r="D22" s="1"/>
      <c r="E22" s="26"/>
      <c r="F22" s="26"/>
      <c r="G22" s="1"/>
      <c r="H22" s="1"/>
    </row>
    <row r="23" spans="1:8" x14ac:dyDescent="0.25">
      <c r="A23" s="31"/>
      <c r="B23" s="1"/>
      <c r="C23" s="1"/>
      <c r="D23" s="1"/>
      <c r="E23" s="26"/>
      <c r="F23" s="26"/>
      <c r="G23" s="1"/>
      <c r="H23" s="1"/>
    </row>
    <row r="24" spans="1:8" x14ac:dyDescent="0.25">
      <c r="A24" s="31"/>
      <c r="B24" s="1"/>
      <c r="C24" s="1"/>
      <c r="D24" s="1"/>
      <c r="E24" s="26"/>
      <c r="F24" s="26"/>
      <c r="G24" s="1"/>
      <c r="H24" s="1"/>
    </row>
    <row r="25" spans="1:8" x14ac:dyDescent="0.25">
      <c r="A25" s="31"/>
      <c r="B25" s="32" t="s">
        <v>9</v>
      </c>
      <c r="C25" s="33"/>
      <c r="D25" s="34"/>
      <c r="E25" s="28"/>
      <c r="F25" s="28"/>
      <c r="G25" s="3"/>
      <c r="H25" s="1"/>
    </row>
    <row r="26" spans="1:8" x14ac:dyDescent="0.25">
      <c r="A26" s="1" t="s">
        <v>20</v>
      </c>
      <c r="B26" s="1" t="s">
        <v>1</v>
      </c>
      <c r="C26" s="1" t="s">
        <v>2</v>
      </c>
      <c r="D26" s="1" t="s">
        <v>3</v>
      </c>
      <c r="E26" s="26" t="s">
        <v>93</v>
      </c>
      <c r="F26" s="26"/>
      <c r="G26" s="1" t="s">
        <v>4</v>
      </c>
      <c r="H26" s="1" t="s">
        <v>5</v>
      </c>
    </row>
    <row r="27" spans="1:8" x14ac:dyDescent="0.25">
      <c r="A27" s="31" t="s">
        <v>81</v>
      </c>
      <c r="B27" s="1" t="s">
        <v>82</v>
      </c>
      <c r="C27" s="1" t="s">
        <v>84</v>
      </c>
      <c r="D27" s="1">
        <v>8.16</v>
      </c>
      <c r="E27" s="26">
        <v>15</v>
      </c>
      <c r="F27" s="26" t="s">
        <v>147</v>
      </c>
      <c r="G27" s="18">
        <f>D27*E27</f>
        <v>122.4</v>
      </c>
      <c r="H27" s="1"/>
    </row>
    <row r="28" spans="1:8" x14ac:dyDescent="0.25">
      <c r="A28" s="31"/>
      <c r="B28" s="1" t="s">
        <v>83</v>
      </c>
      <c r="C28" s="1" t="s">
        <v>12</v>
      </c>
      <c r="D28" s="1">
        <v>63</v>
      </c>
      <c r="E28" s="26">
        <v>5</v>
      </c>
      <c r="F28" s="26" t="s">
        <v>147</v>
      </c>
      <c r="G28" s="18">
        <f>D28*E28</f>
        <v>315</v>
      </c>
      <c r="H28" s="1"/>
    </row>
    <row r="29" spans="1:8" x14ac:dyDescent="0.25">
      <c r="A29" s="31"/>
      <c r="B29" s="32"/>
      <c r="C29" s="33"/>
      <c r="D29" s="34"/>
      <c r="E29" s="28"/>
      <c r="F29" s="28"/>
      <c r="G29" s="19">
        <f>SUM(G27:G28)</f>
        <v>437.4</v>
      </c>
      <c r="H29" s="1"/>
    </row>
    <row r="30" spans="1:8" x14ac:dyDescent="0.25">
      <c r="A30" s="1" t="s">
        <v>22</v>
      </c>
      <c r="B30" s="1" t="s">
        <v>1</v>
      </c>
      <c r="C30" s="1" t="s">
        <v>2</v>
      </c>
      <c r="D30" s="1" t="s">
        <v>3</v>
      </c>
      <c r="E30" s="26" t="s">
        <v>93</v>
      </c>
      <c r="F30" s="26"/>
      <c r="G30" s="3" t="s">
        <v>4</v>
      </c>
      <c r="H30" s="1" t="s">
        <v>5</v>
      </c>
    </row>
    <row r="31" spans="1:8" x14ac:dyDescent="0.25">
      <c r="A31" s="41"/>
      <c r="B31" s="1" t="s">
        <v>149</v>
      </c>
      <c r="C31" s="1">
        <v>65</v>
      </c>
      <c r="D31" s="1">
        <v>27</v>
      </c>
      <c r="E31" s="26"/>
      <c r="F31" s="26" t="s">
        <v>147</v>
      </c>
      <c r="G31" s="1">
        <f>C31*D31</f>
        <v>1755</v>
      </c>
      <c r="H31" s="1"/>
    </row>
    <row r="32" spans="1:8" x14ac:dyDescent="0.25">
      <c r="A32" s="42"/>
      <c r="B32" s="1" t="s">
        <v>153</v>
      </c>
      <c r="C32" s="1">
        <v>70</v>
      </c>
      <c r="D32" s="1">
        <v>18.239999999999998</v>
      </c>
      <c r="E32" s="26"/>
      <c r="F32" s="26" t="s">
        <v>147</v>
      </c>
      <c r="G32" s="26">
        <f>C32*D32</f>
        <v>1276.8</v>
      </c>
      <c r="H32" s="1"/>
    </row>
    <row r="33" spans="1:8" x14ac:dyDescent="0.25">
      <c r="A33" s="43"/>
      <c r="B33" s="32" t="s">
        <v>9</v>
      </c>
      <c r="C33" s="33"/>
      <c r="D33" s="34"/>
      <c r="E33" s="28"/>
      <c r="F33" s="28"/>
      <c r="G33" s="19">
        <f>SUM(G31:G32)</f>
        <v>3031.8</v>
      </c>
      <c r="H33" s="11"/>
    </row>
    <row r="34" spans="1:8" x14ac:dyDescent="0.25">
      <c r="A34" s="12" t="s">
        <v>150</v>
      </c>
      <c r="B34" s="1" t="s">
        <v>1</v>
      </c>
      <c r="C34" s="1" t="s">
        <v>2</v>
      </c>
      <c r="D34" s="1" t="s">
        <v>3</v>
      </c>
      <c r="E34" s="26" t="s">
        <v>93</v>
      </c>
      <c r="F34" s="26"/>
      <c r="G34" s="1" t="s">
        <v>4</v>
      </c>
      <c r="H34" s="1"/>
    </row>
    <row r="35" spans="1:8" x14ac:dyDescent="0.25">
      <c r="A35" s="31"/>
      <c r="B35" s="1" t="s">
        <v>151</v>
      </c>
      <c r="C35" s="1">
        <v>12</v>
      </c>
      <c r="D35" s="1">
        <v>125</v>
      </c>
      <c r="E35" s="26"/>
      <c r="F35" s="26" t="s">
        <v>152</v>
      </c>
      <c r="G35" s="1">
        <f>C35*D35</f>
        <v>1500</v>
      </c>
      <c r="H35" s="1"/>
    </row>
    <row r="36" spans="1:8" x14ac:dyDescent="0.25">
      <c r="A36" s="31"/>
      <c r="B36" s="1"/>
      <c r="C36" s="1"/>
      <c r="D36" s="1"/>
      <c r="E36" s="26"/>
      <c r="F36" s="26"/>
      <c r="G36" s="1"/>
      <c r="H36" s="1"/>
    </row>
    <row r="37" spans="1:8" x14ac:dyDescent="0.25">
      <c r="A37" s="31"/>
      <c r="B37" s="1"/>
      <c r="C37" s="1"/>
      <c r="D37" s="1"/>
      <c r="E37" s="26"/>
      <c r="F37" s="26"/>
      <c r="G37" s="1"/>
      <c r="H37" s="1"/>
    </row>
    <row r="38" spans="1:8" x14ac:dyDescent="0.25">
      <c r="A38" s="31"/>
      <c r="B38" s="1"/>
      <c r="C38" s="1"/>
      <c r="D38" s="1"/>
      <c r="E38" s="26"/>
      <c r="F38" s="26"/>
      <c r="G38" s="1"/>
      <c r="H38" s="1"/>
    </row>
    <row r="39" spans="1:8" x14ac:dyDescent="0.25">
      <c r="A39" s="31"/>
      <c r="B39" s="32" t="s">
        <v>9</v>
      </c>
      <c r="C39" s="33"/>
      <c r="D39" s="34"/>
      <c r="E39" s="28"/>
      <c r="F39" s="28"/>
      <c r="G39" s="20">
        <f>SUM(G35:G38)</f>
        <v>1500</v>
      </c>
      <c r="H39" s="1"/>
    </row>
    <row r="40" spans="1:8" x14ac:dyDescent="0.25">
      <c r="A40" s="1"/>
      <c r="B40" s="38" t="s">
        <v>24</v>
      </c>
      <c r="C40" s="39"/>
      <c r="D40" s="40"/>
      <c r="E40" s="29"/>
      <c r="F40" s="29"/>
      <c r="G40" s="22">
        <f>G39+G33+G29+G19+G13+G7</f>
        <v>12043.96</v>
      </c>
      <c r="H40" s="1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H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tabSelected="1" topLeftCell="A29" workbookViewId="0">
      <selection activeCell="H46" sqref="A1:H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2" x14ac:dyDescent="0.25">
      <c r="A1" s="35" t="s">
        <v>29</v>
      </c>
      <c r="B1" s="36"/>
      <c r="C1" s="36"/>
      <c r="D1" s="36"/>
      <c r="E1" s="36"/>
      <c r="F1" s="36"/>
      <c r="G1" s="36"/>
      <c r="H1" s="37"/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26" t="s">
        <v>93</v>
      </c>
      <c r="F2" s="26"/>
      <c r="G2" s="1" t="s">
        <v>4</v>
      </c>
      <c r="H2" s="1" t="s">
        <v>5</v>
      </c>
    </row>
    <row r="3" spans="1:12" x14ac:dyDescent="0.25">
      <c r="A3" s="31" t="s">
        <v>6</v>
      </c>
      <c r="B3" s="1" t="s">
        <v>7</v>
      </c>
      <c r="C3" s="1" t="s">
        <v>8</v>
      </c>
      <c r="D3" s="1">
        <v>66</v>
      </c>
      <c r="E3" s="26">
        <v>60.23</v>
      </c>
      <c r="F3" s="26" t="s">
        <v>146</v>
      </c>
      <c r="G3" s="18">
        <f>D3*E3</f>
        <v>3975.18</v>
      </c>
      <c r="H3" s="1" t="s">
        <v>154</v>
      </c>
    </row>
    <row r="4" spans="1:12" x14ac:dyDescent="0.25">
      <c r="A4" s="31"/>
      <c r="B4" s="1"/>
      <c r="C4" s="1"/>
      <c r="D4" s="1"/>
      <c r="E4" s="26"/>
      <c r="F4" s="26"/>
      <c r="G4" s="1"/>
      <c r="H4" s="1"/>
    </row>
    <row r="5" spans="1:12" x14ac:dyDescent="0.25">
      <c r="A5" s="31"/>
      <c r="B5" s="1"/>
      <c r="C5" s="1"/>
      <c r="D5" s="1"/>
      <c r="E5" s="26"/>
      <c r="F5" s="26"/>
      <c r="G5" s="1"/>
      <c r="H5" s="1"/>
    </row>
    <row r="6" spans="1:12" x14ac:dyDescent="0.25">
      <c r="A6" s="31"/>
      <c r="B6" s="1"/>
      <c r="C6" s="1"/>
      <c r="D6" s="1"/>
      <c r="E6" s="28"/>
      <c r="F6" s="28"/>
      <c r="G6" s="3"/>
      <c r="H6" s="1"/>
      <c r="J6" s="4"/>
    </row>
    <row r="7" spans="1:12" x14ac:dyDescent="0.25">
      <c r="A7" s="31"/>
      <c r="B7" s="32" t="s">
        <v>9</v>
      </c>
      <c r="C7" s="33"/>
      <c r="D7" s="34"/>
      <c r="E7" s="28"/>
      <c r="F7" s="28"/>
      <c r="G7" s="19">
        <f>SUM(G3:G6)</f>
        <v>3975.18</v>
      </c>
      <c r="H7" s="1"/>
      <c r="J7" s="6"/>
    </row>
    <row r="8" spans="1:12" x14ac:dyDescent="0.25">
      <c r="A8" s="1" t="s">
        <v>10</v>
      </c>
      <c r="B8" s="1" t="s">
        <v>1</v>
      </c>
      <c r="C8" s="1" t="s">
        <v>2</v>
      </c>
      <c r="D8" s="1" t="s">
        <v>3</v>
      </c>
      <c r="E8" s="26" t="s">
        <v>93</v>
      </c>
      <c r="F8" s="26"/>
      <c r="G8" s="1" t="s">
        <v>4</v>
      </c>
      <c r="H8" s="1" t="s">
        <v>5</v>
      </c>
      <c r="J8" s="6"/>
    </row>
    <row r="9" spans="1:12" x14ac:dyDescent="0.25">
      <c r="A9" s="31" t="s">
        <v>85</v>
      </c>
      <c r="B9" s="1" t="s">
        <v>86</v>
      </c>
      <c r="C9" s="1" t="s">
        <v>87</v>
      </c>
      <c r="D9" s="1">
        <v>25.5</v>
      </c>
      <c r="E9" s="26">
        <v>40</v>
      </c>
      <c r="F9" s="26" t="s">
        <v>146</v>
      </c>
      <c r="G9" s="1">
        <f>E9*D9</f>
        <v>1020</v>
      </c>
      <c r="H9" s="1"/>
      <c r="J9" s="6"/>
      <c r="K9" s="7"/>
      <c r="L9" s="7"/>
    </row>
    <row r="10" spans="1:12" x14ac:dyDescent="0.25">
      <c r="A10" s="31"/>
      <c r="B10" s="8"/>
      <c r="C10" s="1"/>
      <c r="D10" s="1"/>
      <c r="E10" s="26"/>
      <c r="F10" s="26"/>
      <c r="G10" s="1"/>
      <c r="H10" s="1"/>
      <c r="J10" s="6"/>
      <c r="K10" s="9"/>
      <c r="L10" s="7"/>
    </row>
    <row r="11" spans="1:12" x14ac:dyDescent="0.25">
      <c r="A11" s="31"/>
      <c r="B11" s="1"/>
      <c r="C11" s="1"/>
      <c r="D11" s="1"/>
      <c r="E11" s="26"/>
      <c r="F11" s="26"/>
      <c r="G11" s="1"/>
      <c r="H11" s="1"/>
      <c r="K11" s="9"/>
      <c r="L11" s="7"/>
    </row>
    <row r="12" spans="1:12" x14ac:dyDescent="0.25">
      <c r="A12" s="31"/>
      <c r="B12" s="1"/>
      <c r="C12" s="1"/>
      <c r="D12" s="1"/>
      <c r="E12" s="26"/>
      <c r="F12" s="26"/>
      <c r="G12" s="1"/>
      <c r="H12" s="1"/>
      <c r="K12" s="9"/>
      <c r="L12" s="7"/>
    </row>
    <row r="13" spans="1:12" x14ac:dyDescent="0.25">
      <c r="A13" s="31"/>
      <c r="B13" s="32" t="s">
        <v>9</v>
      </c>
      <c r="C13" s="33"/>
      <c r="D13" s="34"/>
      <c r="E13" s="28"/>
      <c r="F13" s="28"/>
      <c r="G13" s="20">
        <f>SUM(G9:G12)</f>
        <v>1020</v>
      </c>
      <c r="H13" s="1"/>
      <c r="K13" s="7"/>
      <c r="L13" s="7"/>
    </row>
    <row r="14" spans="1:12" x14ac:dyDescent="0.25">
      <c r="A14" s="1" t="s">
        <v>13</v>
      </c>
      <c r="B14" s="1" t="s">
        <v>1</v>
      </c>
      <c r="C14" s="1" t="s">
        <v>2</v>
      </c>
      <c r="D14" s="1" t="s">
        <v>3</v>
      </c>
      <c r="E14" s="26" t="s">
        <v>93</v>
      </c>
      <c r="F14" s="26"/>
      <c r="G14" s="44" t="s">
        <v>4</v>
      </c>
      <c r="H14" s="1" t="s">
        <v>5</v>
      </c>
      <c r="K14" s="7"/>
      <c r="L14" s="7"/>
    </row>
    <row r="15" spans="1:12" x14ac:dyDescent="0.25">
      <c r="A15" s="31" t="s">
        <v>88</v>
      </c>
      <c r="B15" s="1" t="s">
        <v>89</v>
      </c>
      <c r="C15" s="1" t="s">
        <v>63</v>
      </c>
      <c r="D15" s="1">
        <v>28.56</v>
      </c>
      <c r="E15" s="26">
        <v>60</v>
      </c>
      <c r="F15" s="26" t="s">
        <v>146</v>
      </c>
      <c r="G15" s="18">
        <f>E15*D15</f>
        <v>1713.6</v>
      </c>
      <c r="H15" s="1"/>
      <c r="K15" s="7"/>
      <c r="L15" s="7"/>
    </row>
    <row r="16" spans="1:12" x14ac:dyDescent="0.25">
      <c r="A16" s="31"/>
      <c r="B16" s="1" t="s">
        <v>90</v>
      </c>
      <c r="C16" s="1" t="s">
        <v>18</v>
      </c>
      <c r="D16" s="1">
        <v>62.7</v>
      </c>
      <c r="E16" s="26">
        <v>0.5</v>
      </c>
      <c r="F16" s="26" t="s">
        <v>146</v>
      </c>
      <c r="G16" s="18">
        <f t="shared" ref="G16:G17" si="0">E16*D16</f>
        <v>31.35</v>
      </c>
      <c r="H16" s="1"/>
    </row>
    <row r="17" spans="1:8" x14ac:dyDescent="0.25">
      <c r="A17" s="31"/>
      <c r="B17" s="1" t="s">
        <v>76</v>
      </c>
      <c r="C17" s="1" t="s">
        <v>12</v>
      </c>
      <c r="D17" s="1">
        <v>85</v>
      </c>
      <c r="E17" s="26">
        <v>5</v>
      </c>
      <c r="F17" s="26" t="s">
        <v>146</v>
      </c>
      <c r="G17" s="18">
        <f t="shared" si="0"/>
        <v>425</v>
      </c>
      <c r="H17" s="1"/>
    </row>
    <row r="18" spans="1:8" x14ac:dyDescent="0.25">
      <c r="A18" s="31"/>
      <c r="B18" s="1"/>
      <c r="C18" s="1"/>
      <c r="D18" s="1"/>
      <c r="E18" s="28"/>
      <c r="F18" s="28"/>
      <c r="G18" s="3"/>
      <c r="H18" s="1"/>
    </row>
    <row r="19" spans="1:8" x14ac:dyDescent="0.25">
      <c r="A19" s="31"/>
      <c r="B19" s="32" t="s">
        <v>9</v>
      </c>
      <c r="C19" s="33"/>
      <c r="D19" s="34"/>
      <c r="E19" s="28"/>
      <c r="F19" s="28"/>
      <c r="G19" s="19">
        <f>SUM(G15:G18)</f>
        <v>2169.9499999999998</v>
      </c>
      <c r="H19" s="1"/>
    </row>
    <row r="20" spans="1:8" x14ac:dyDescent="0.25">
      <c r="A20" s="10" t="s">
        <v>19</v>
      </c>
      <c r="B20" s="1" t="s">
        <v>1</v>
      </c>
      <c r="C20" s="1" t="s">
        <v>2</v>
      </c>
      <c r="D20" s="1" t="s">
        <v>3</v>
      </c>
      <c r="E20" s="26" t="s">
        <v>93</v>
      </c>
      <c r="F20" s="26"/>
      <c r="G20" s="1" t="s">
        <v>4</v>
      </c>
      <c r="H20" s="1" t="s">
        <v>5</v>
      </c>
    </row>
    <row r="21" spans="1:8" x14ac:dyDescent="0.25">
      <c r="A21" s="31"/>
      <c r="B21" s="1" t="s">
        <v>162</v>
      </c>
      <c r="C21" s="1"/>
      <c r="D21" s="1">
        <v>688</v>
      </c>
      <c r="E21" s="26">
        <v>1</v>
      </c>
      <c r="F21" s="26" t="s">
        <v>163</v>
      </c>
      <c r="G21" s="1">
        <f>E21*D21</f>
        <v>688</v>
      </c>
      <c r="H21" s="1"/>
    </row>
    <row r="22" spans="1:8" x14ac:dyDescent="0.25">
      <c r="A22" s="31"/>
      <c r="B22" s="1" t="s">
        <v>164</v>
      </c>
      <c r="C22" s="1" t="s">
        <v>165</v>
      </c>
      <c r="D22" s="1">
        <v>15.5</v>
      </c>
      <c r="E22" s="26">
        <v>12</v>
      </c>
      <c r="F22" s="26" t="s">
        <v>159</v>
      </c>
      <c r="G22" s="26">
        <f>E22*D22</f>
        <v>186</v>
      </c>
      <c r="H22" s="1"/>
    </row>
    <row r="23" spans="1:8" x14ac:dyDescent="0.25">
      <c r="A23" s="31"/>
      <c r="B23" s="1" t="s">
        <v>166</v>
      </c>
      <c r="C23" s="1"/>
      <c r="D23" s="1">
        <v>50</v>
      </c>
      <c r="E23" s="26">
        <v>1</v>
      </c>
      <c r="F23" s="26" t="s">
        <v>167</v>
      </c>
      <c r="G23" s="26">
        <f t="shared" ref="G23:G30" si="1">E23*D23</f>
        <v>50</v>
      </c>
      <c r="H23" s="1"/>
    </row>
    <row r="24" spans="1:8" x14ac:dyDescent="0.25">
      <c r="A24" s="31"/>
      <c r="B24" s="26" t="s">
        <v>168</v>
      </c>
      <c r="C24" s="26"/>
      <c r="D24" s="26">
        <v>240</v>
      </c>
      <c r="E24" s="26">
        <v>1</v>
      </c>
      <c r="F24" s="26" t="s">
        <v>169</v>
      </c>
      <c r="G24" s="26">
        <f t="shared" si="1"/>
        <v>240</v>
      </c>
      <c r="H24" s="21" t="s">
        <v>178</v>
      </c>
    </row>
    <row r="25" spans="1:8" x14ac:dyDescent="0.25">
      <c r="A25" s="31"/>
      <c r="B25" s="26" t="s">
        <v>170</v>
      </c>
      <c r="C25" s="26"/>
      <c r="D25" s="26">
        <v>4.5</v>
      </c>
      <c r="E25" s="26">
        <v>50</v>
      </c>
      <c r="F25" s="26" t="s">
        <v>159</v>
      </c>
      <c r="G25" s="26">
        <f>E25*D25</f>
        <v>225</v>
      </c>
      <c r="H25" s="21" t="s">
        <v>178</v>
      </c>
    </row>
    <row r="26" spans="1:8" x14ac:dyDescent="0.25">
      <c r="A26" s="31"/>
      <c r="B26" s="26" t="s">
        <v>177</v>
      </c>
      <c r="C26" s="26"/>
      <c r="D26" s="26">
        <v>50</v>
      </c>
      <c r="E26" s="26">
        <v>1</v>
      </c>
      <c r="F26" s="26" t="s">
        <v>167</v>
      </c>
      <c r="G26" s="26">
        <f>E26*D26</f>
        <v>50</v>
      </c>
      <c r="H26" s="21" t="s">
        <v>178</v>
      </c>
    </row>
    <row r="27" spans="1:8" x14ac:dyDescent="0.25">
      <c r="A27" s="31"/>
      <c r="B27" s="26" t="s">
        <v>171</v>
      </c>
      <c r="C27" s="26"/>
      <c r="D27" s="26">
        <v>670</v>
      </c>
      <c r="E27" s="26">
        <v>1</v>
      </c>
      <c r="F27" s="26" t="s">
        <v>172</v>
      </c>
      <c r="G27" s="26">
        <f t="shared" si="1"/>
        <v>670</v>
      </c>
      <c r="H27" s="21" t="s">
        <v>178</v>
      </c>
    </row>
    <row r="28" spans="1:8" x14ac:dyDescent="0.25">
      <c r="A28" s="31"/>
      <c r="B28" s="26" t="s">
        <v>173</v>
      </c>
      <c r="C28" s="26"/>
      <c r="D28" s="26">
        <v>140</v>
      </c>
      <c r="E28" s="26">
        <v>5</v>
      </c>
      <c r="F28" s="26" t="s">
        <v>147</v>
      </c>
      <c r="G28" s="26">
        <f t="shared" si="1"/>
        <v>700</v>
      </c>
      <c r="H28" s="21" t="s">
        <v>178</v>
      </c>
    </row>
    <row r="29" spans="1:8" x14ac:dyDescent="0.25">
      <c r="A29" s="31"/>
      <c r="B29" s="26" t="s">
        <v>174</v>
      </c>
      <c r="C29" s="26"/>
      <c r="D29" s="26">
        <v>235</v>
      </c>
      <c r="E29" s="26">
        <v>2</v>
      </c>
      <c r="F29" s="26" t="s">
        <v>175</v>
      </c>
      <c r="G29" s="26">
        <f t="shared" si="1"/>
        <v>470</v>
      </c>
      <c r="H29" s="21" t="s">
        <v>178</v>
      </c>
    </row>
    <row r="30" spans="1:8" x14ac:dyDescent="0.25">
      <c r="A30" s="31"/>
      <c r="B30" s="27" t="s">
        <v>176</v>
      </c>
      <c r="C30" s="26"/>
      <c r="D30" s="26">
        <v>480</v>
      </c>
      <c r="E30" s="26">
        <v>1</v>
      </c>
      <c r="F30" s="26" t="s">
        <v>172</v>
      </c>
      <c r="G30" s="26">
        <f t="shared" si="1"/>
        <v>480</v>
      </c>
      <c r="H30" s="21" t="s">
        <v>178</v>
      </c>
    </row>
    <row r="31" spans="1:8" x14ac:dyDescent="0.25">
      <c r="A31" s="31"/>
      <c r="B31" s="32" t="s">
        <v>9</v>
      </c>
      <c r="C31" s="33"/>
      <c r="D31" s="34"/>
      <c r="E31" s="28"/>
      <c r="F31" s="28"/>
      <c r="G31" s="20">
        <f>SUM(G21:G30)</f>
        <v>3759</v>
      </c>
      <c r="H31" s="1"/>
    </row>
    <row r="32" spans="1:8" x14ac:dyDescent="0.25">
      <c r="A32" s="1" t="s">
        <v>20</v>
      </c>
      <c r="B32" s="1" t="s">
        <v>1</v>
      </c>
      <c r="C32" s="1" t="s">
        <v>2</v>
      </c>
      <c r="D32" s="1" t="s">
        <v>3</v>
      </c>
      <c r="E32" s="26" t="s">
        <v>93</v>
      </c>
      <c r="F32" s="26"/>
      <c r="G32" s="1" t="s">
        <v>4</v>
      </c>
      <c r="H32" s="1" t="s">
        <v>5</v>
      </c>
    </row>
    <row r="33" spans="1:8" x14ac:dyDescent="0.25">
      <c r="A33" s="31" t="s">
        <v>91</v>
      </c>
      <c r="B33" s="1" t="s">
        <v>92</v>
      </c>
      <c r="C33" s="1"/>
      <c r="D33" s="1"/>
      <c r="E33" s="26"/>
      <c r="F33" s="26"/>
      <c r="G33" s="1"/>
      <c r="H33" s="1" t="s">
        <v>21</v>
      </c>
    </row>
    <row r="34" spans="1:8" x14ac:dyDescent="0.25">
      <c r="A34" s="31"/>
      <c r="B34" s="1"/>
      <c r="C34" s="1"/>
      <c r="D34" s="1"/>
      <c r="E34" s="26"/>
      <c r="F34" s="26"/>
      <c r="G34" s="1"/>
      <c r="H34" s="1"/>
    </row>
    <row r="35" spans="1:8" x14ac:dyDescent="0.25">
      <c r="A35" s="31"/>
      <c r="B35" s="32" t="s">
        <v>9</v>
      </c>
      <c r="C35" s="33"/>
      <c r="D35" s="34"/>
      <c r="E35" s="28"/>
      <c r="F35" s="28"/>
      <c r="G35" s="3"/>
      <c r="H35" s="1"/>
    </row>
    <row r="36" spans="1:8" x14ac:dyDescent="0.25">
      <c r="A36" s="1" t="s">
        <v>22</v>
      </c>
      <c r="B36" s="1" t="s">
        <v>1</v>
      </c>
      <c r="C36" s="1" t="s">
        <v>2</v>
      </c>
      <c r="D36" s="1" t="s">
        <v>3</v>
      </c>
      <c r="E36" s="26" t="s">
        <v>93</v>
      </c>
      <c r="F36" s="28"/>
      <c r="G36" s="3" t="s">
        <v>4</v>
      </c>
      <c r="H36" s="1" t="s">
        <v>5</v>
      </c>
    </row>
    <row r="37" spans="1:8" x14ac:dyDescent="0.25">
      <c r="A37" s="41"/>
      <c r="B37" s="1" t="s">
        <v>155</v>
      </c>
      <c r="C37" s="1"/>
      <c r="D37" s="1">
        <v>13.26</v>
      </c>
      <c r="E37" s="26">
        <v>65</v>
      </c>
      <c r="F37" s="26" t="s">
        <v>147</v>
      </c>
      <c r="G37" s="18">
        <f>E37*D37</f>
        <v>861.9</v>
      </c>
      <c r="H37" s="1"/>
    </row>
    <row r="38" spans="1:8" x14ac:dyDescent="0.25">
      <c r="A38" s="42"/>
      <c r="B38" s="1" t="s">
        <v>160</v>
      </c>
      <c r="C38" s="1" t="s">
        <v>161</v>
      </c>
      <c r="D38" s="1">
        <v>38.6</v>
      </c>
      <c r="E38" s="26">
        <v>48.17</v>
      </c>
      <c r="F38" s="26" t="s">
        <v>147</v>
      </c>
      <c r="G38" s="18">
        <f>E38*D38</f>
        <v>1859.3620000000001</v>
      </c>
      <c r="H38" s="1"/>
    </row>
    <row r="39" spans="1:8" x14ac:dyDescent="0.25">
      <c r="A39" s="43"/>
      <c r="B39" s="32" t="s">
        <v>9</v>
      </c>
      <c r="C39" s="33"/>
      <c r="D39" s="34"/>
      <c r="E39" s="28"/>
      <c r="F39" s="28"/>
      <c r="G39" s="19">
        <f>SUM(G37:G38)</f>
        <v>2721.2620000000002</v>
      </c>
      <c r="H39" s="11"/>
    </row>
    <row r="40" spans="1:8" x14ac:dyDescent="0.25">
      <c r="A40" s="12" t="s">
        <v>150</v>
      </c>
      <c r="B40" s="1" t="s">
        <v>1</v>
      </c>
      <c r="C40" s="1" t="s">
        <v>2</v>
      </c>
      <c r="D40" s="1" t="s">
        <v>3</v>
      </c>
      <c r="E40" s="26" t="s">
        <v>93</v>
      </c>
      <c r="F40" s="26"/>
      <c r="G40" s="44" t="s">
        <v>4</v>
      </c>
      <c r="H40" s="1"/>
    </row>
    <row r="41" spans="1:8" x14ac:dyDescent="0.25">
      <c r="A41" s="31"/>
      <c r="B41" s="1" t="s">
        <v>156</v>
      </c>
      <c r="C41" s="1"/>
      <c r="D41" s="1">
        <v>19.8</v>
      </c>
      <c r="E41" s="26">
        <v>10</v>
      </c>
      <c r="F41" s="26" t="s">
        <v>146</v>
      </c>
      <c r="G41" s="1">
        <f>E41*D41</f>
        <v>198</v>
      </c>
      <c r="H41" s="1"/>
    </row>
    <row r="42" spans="1:8" x14ac:dyDescent="0.25">
      <c r="A42" s="31"/>
      <c r="B42" s="1" t="s">
        <v>157</v>
      </c>
      <c r="C42" s="1"/>
      <c r="D42" s="1">
        <v>10</v>
      </c>
      <c r="E42" s="26">
        <v>30</v>
      </c>
      <c r="F42" s="26" t="s">
        <v>159</v>
      </c>
      <c r="G42" s="26">
        <f t="shared" ref="G42:G43" si="2">E42*D42</f>
        <v>300</v>
      </c>
      <c r="H42" s="1"/>
    </row>
    <row r="43" spans="1:8" x14ac:dyDescent="0.25">
      <c r="A43" s="31"/>
      <c r="B43" s="1" t="s">
        <v>158</v>
      </c>
      <c r="C43" s="1"/>
      <c r="D43" s="1">
        <v>52.8</v>
      </c>
      <c r="E43" s="26">
        <v>2.84</v>
      </c>
      <c r="F43" s="26" t="s">
        <v>146</v>
      </c>
      <c r="G43" s="18">
        <f t="shared" si="2"/>
        <v>149.952</v>
      </c>
      <c r="H43" s="1"/>
    </row>
    <row r="44" spans="1:8" x14ac:dyDescent="0.25">
      <c r="A44" s="31"/>
      <c r="B44" s="1"/>
      <c r="C44" s="1"/>
      <c r="D44" s="1"/>
      <c r="E44" s="26"/>
      <c r="F44" s="26"/>
      <c r="G44" s="1"/>
      <c r="H44" s="1"/>
    </row>
    <row r="45" spans="1:8" x14ac:dyDescent="0.25">
      <c r="A45" s="31"/>
      <c r="B45" s="32" t="s">
        <v>9</v>
      </c>
      <c r="C45" s="33"/>
      <c r="D45" s="34"/>
      <c r="E45" s="28"/>
      <c r="F45" s="28"/>
      <c r="G45" s="19">
        <f>SUM(G41:G44)</f>
        <v>647.952</v>
      </c>
      <c r="H45" s="1"/>
    </row>
    <row r="46" spans="1:8" x14ac:dyDescent="0.25">
      <c r="A46" s="1"/>
      <c r="B46" s="38" t="s">
        <v>24</v>
      </c>
      <c r="C46" s="39"/>
      <c r="D46" s="40"/>
      <c r="E46" s="29"/>
      <c r="F46" s="29"/>
      <c r="G46" s="22">
        <f>G45+G39+G31+G19+G13+G7</f>
        <v>14293.344000000001</v>
      </c>
      <c r="H46" s="1"/>
    </row>
  </sheetData>
  <mergeCells count="16">
    <mergeCell ref="A41:A45"/>
    <mergeCell ref="B45:D45"/>
    <mergeCell ref="B46:D46"/>
    <mergeCell ref="A21:A31"/>
    <mergeCell ref="B31:D31"/>
    <mergeCell ref="A33:A35"/>
    <mergeCell ref="B35:D35"/>
    <mergeCell ref="A37:A39"/>
    <mergeCell ref="B39:D39"/>
    <mergeCell ref="A15:A19"/>
    <mergeCell ref="B19:D19"/>
    <mergeCell ref="A1:H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0325</vt:lpstr>
      <vt:lpstr>0326</vt:lpstr>
      <vt:lpstr>0327</vt:lpstr>
      <vt:lpstr>0328</vt:lpstr>
      <vt:lpstr>0329</vt:lpstr>
      <vt:lpstr>'0325'!Print_Area</vt:lpstr>
      <vt:lpstr>'0326'!Print_Area</vt:lpstr>
      <vt:lpstr>'0327'!Print_Area</vt:lpstr>
      <vt:lpstr>'0328'!Print_Area</vt:lpstr>
      <vt:lpstr>'0329'!Print_Area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2024-04-01T05:05:27Z</cp:lastPrinted>
  <dcterms:created xsi:type="dcterms:W3CDTF">2024-03-18T07:27:20Z</dcterms:created>
  <dcterms:modified xsi:type="dcterms:W3CDTF">2024-04-01T05:05:29Z</dcterms:modified>
</cp:coreProperties>
</file>