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4月份\"/>
    </mc:Choice>
  </mc:AlternateContent>
  <bookViews>
    <workbookView xWindow="0" yWindow="0" windowWidth="28800" windowHeight="12255"/>
  </bookViews>
  <sheets>
    <sheet name="0401" sheetId="1" r:id="rId1"/>
    <sheet name="0402" sheetId="2" r:id="rId2"/>
    <sheet name="0403" sheetId="3" r:id="rId3"/>
  </sheets>
  <definedNames>
    <definedName name="_xlnm.Print_Area" localSheetId="0">'0401'!$A$1:$H$40</definedName>
    <definedName name="_xlnm.Print_Area" localSheetId="1">'0402'!$A$1:$H$40</definedName>
    <definedName name="_xlnm.Print_Area" localSheetId="2">'0403'!$A$1:$H$41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0" i="3" l="1"/>
  <c r="G38" i="3"/>
  <c r="G41" i="3" s="1"/>
  <c r="G39" i="3"/>
  <c r="G33" i="3"/>
  <c r="G32" i="3"/>
  <c r="G31" i="3"/>
  <c r="G37" i="3"/>
  <c r="G36" i="3"/>
  <c r="G35" i="3"/>
  <c r="G19" i="3"/>
  <c r="G17" i="3"/>
  <c r="G16" i="3"/>
  <c r="G15" i="3"/>
  <c r="G13" i="3"/>
  <c r="G10" i="3"/>
  <c r="G9" i="3"/>
  <c r="G7" i="3"/>
  <c r="G4" i="3"/>
  <c r="G3" i="3"/>
  <c r="G40" i="2"/>
  <c r="G29" i="2"/>
  <c r="G25" i="2"/>
  <c r="G33" i="2"/>
  <c r="G32" i="2"/>
  <c r="G31" i="2"/>
  <c r="G28" i="2"/>
  <c r="G16" i="2"/>
  <c r="G17" i="2"/>
  <c r="G19" i="2" s="1"/>
  <c r="G15" i="2"/>
  <c r="G13" i="2"/>
  <c r="G10" i="2"/>
  <c r="G9" i="2"/>
  <c r="G7" i="2"/>
  <c r="G3" i="2"/>
  <c r="G22" i="2"/>
  <c r="G23" i="2"/>
  <c r="G21" i="2"/>
  <c r="G24" i="1" l="1"/>
  <c r="G25" i="1" s="1"/>
  <c r="G40" i="1" s="1"/>
  <c r="G32" i="1"/>
  <c r="G33" i="1" s="1"/>
  <c r="G39" i="1"/>
  <c r="G31" i="1"/>
  <c r="G28" i="1"/>
  <c r="G29" i="1"/>
  <c r="G27" i="1"/>
  <c r="G19" i="1"/>
  <c r="G16" i="1"/>
  <c r="G17" i="1"/>
  <c r="G15" i="1"/>
  <c r="G36" i="1"/>
  <c r="G13" i="1"/>
  <c r="G9" i="1"/>
  <c r="G10" i="1"/>
  <c r="G35" i="1"/>
  <c r="G22" i="1"/>
  <c r="G23" i="1"/>
  <c r="G21" i="1"/>
  <c r="G7" i="1"/>
  <c r="G3" i="1"/>
</calcChain>
</file>

<file path=xl/sharedStrings.xml><?xml version="1.0" encoding="utf-8"?>
<sst xmlns="http://schemas.openxmlformats.org/spreadsheetml/2006/main" count="297" uniqueCount="107">
  <si>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</si>
  <si>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</si>
  <si>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</si>
  <si>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</si>
  <si>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</si>
  <si>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</si>
  <si>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</si>
  <si>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</si>
  <si>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去皮洋蔥</t>
    <phoneticPr fontId="2" type="noConversion"/>
  </si>
  <si>
    <t>5斤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</si>
  <si>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</si>
  <si>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胡瓜絲</t>
    <phoneticPr fontId="2" type="noConversion"/>
  </si>
  <si>
    <t>木耳絲</t>
    <phoneticPr fontId="2" type="noConversion"/>
  </si>
  <si>
    <t>半斤</t>
    <phoneticPr fontId="2" type="noConversion"/>
  </si>
  <si>
    <t>雜貨</t>
    <phoneticPr fontId="2" type="noConversion"/>
  </si>
  <si>
    <t>湯品</t>
    <phoneticPr fontId="2" type="noConversion"/>
  </si>
  <si>
    <t>庫存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</si>
  <si>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</si>
  <si>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</si>
  <si>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</si>
  <si>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t>電訊科技中心(安康營區)     113年      4月   1 日      午餐明細表</t>
    <phoneticPr fontId="2" type="noConversion"/>
  </si>
  <si>
    <t>電訊科技中心(安康營區)     113年      4月   2日      午餐明細表</t>
    <phoneticPr fontId="2" type="noConversion"/>
  </si>
  <si>
    <t>電訊科技中心(安康營區)     113年      4月   3 日      午餐明細表</t>
    <phoneticPr fontId="2" type="noConversion"/>
  </si>
  <si>
    <t>椒鹽花枝排</t>
    <phoneticPr fontId="2" type="noConversion"/>
  </si>
  <si>
    <t>水信花枝排</t>
    <phoneticPr fontId="2" type="noConversion"/>
  </si>
  <si>
    <t>4件</t>
    <phoneticPr fontId="2" type="noConversion"/>
  </si>
  <si>
    <t>紅蘿蔔炒蛋</t>
    <phoneticPr fontId="2" type="noConversion"/>
  </si>
  <si>
    <t>紅蘿蔔絲</t>
    <phoneticPr fontId="2" type="noConversion"/>
  </si>
  <si>
    <t>蛋</t>
    <phoneticPr fontId="2" type="noConversion"/>
  </si>
  <si>
    <t>15斤</t>
    <phoneticPr fontId="2" type="noConversion"/>
  </si>
  <si>
    <t>1件</t>
    <phoneticPr fontId="2" type="noConversion"/>
  </si>
  <si>
    <t>胡瓜菇菇</t>
    <phoneticPr fontId="2" type="noConversion"/>
  </si>
  <si>
    <t>雪白菇</t>
    <phoneticPr fontId="2" type="noConversion"/>
  </si>
  <si>
    <t>30斤</t>
    <phoneticPr fontId="2" type="noConversion"/>
  </si>
  <si>
    <t>4斤</t>
    <phoneticPr fontId="2" type="noConversion"/>
  </si>
  <si>
    <t>6斤</t>
    <phoneticPr fontId="2" type="noConversion"/>
  </si>
  <si>
    <t>白蘿蔔貢丸湯</t>
    <phoneticPr fontId="2" type="noConversion"/>
  </si>
  <si>
    <t>小貢丸</t>
    <phoneticPr fontId="2" type="noConversion"/>
  </si>
  <si>
    <t>去皮白蘿蔔</t>
    <phoneticPr fontId="2" type="noConversion"/>
  </si>
  <si>
    <t>2包</t>
    <phoneticPr fontId="2" type="noConversion"/>
  </si>
  <si>
    <t>烤雞腿</t>
    <phoneticPr fontId="2" type="noConversion"/>
  </si>
  <si>
    <t>三杯百頁</t>
    <phoneticPr fontId="2" type="noConversion"/>
  </si>
  <si>
    <t>薑燒南瓜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</si>
  <si>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</si>
  <si>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</si>
  <si>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</si>
  <si>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2板</t>
    <phoneticPr fontId="2" type="noConversion"/>
  </si>
  <si>
    <t>南瓜切塊</t>
    <phoneticPr fontId="2" type="noConversion"/>
  </si>
  <si>
    <t>薑</t>
    <phoneticPr fontId="2" type="noConversion"/>
  </si>
  <si>
    <t>薑絲</t>
    <phoneticPr fontId="2" type="noConversion"/>
  </si>
  <si>
    <t>40斤</t>
    <phoneticPr fontId="2" type="noConversion"/>
  </si>
  <si>
    <t>1斤</t>
    <phoneticPr fontId="2" type="noConversion"/>
  </si>
  <si>
    <t>百頁豆腐</t>
    <phoneticPr fontId="2" type="noConversion"/>
  </si>
  <si>
    <t>110個</t>
    <phoneticPr fontId="2" type="noConversion"/>
  </si>
  <si>
    <t>棒腿</t>
    <phoneticPr fontId="2" type="noConversion"/>
  </si>
  <si>
    <t>270支</t>
    <phoneticPr fontId="2" type="noConversion"/>
  </si>
  <si>
    <t>樹子魚片</t>
    <phoneticPr fontId="2" type="noConversion"/>
  </si>
  <si>
    <t>鯛魚片</t>
    <phoneticPr fontId="2" type="noConversion"/>
  </si>
  <si>
    <t>樹子</t>
    <phoneticPr fontId="2" type="noConversion"/>
  </si>
  <si>
    <t>130片</t>
    <phoneticPr fontId="2" type="noConversion"/>
  </si>
  <si>
    <t>1桶</t>
    <phoneticPr fontId="2" type="noConversion"/>
  </si>
  <si>
    <t>青椒肉絲</t>
    <phoneticPr fontId="2" type="noConversion"/>
  </si>
  <si>
    <t>青椒切絲</t>
    <phoneticPr fontId="2" type="noConversion"/>
  </si>
  <si>
    <t>豬肉絲</t>
    <phoneticPr fontId="2" type="noConversion"/>
  </si>
  <si>
    <t>25斤</t>
    <phoneticPr fontId="2" type="noConversion"/>
  </si>
  <si>
    <t>10斤</t>
    <phoneticPr fontId="2" type="noConversion"/>
  </si>
  <si>
    <t>滷味拼盤</t>
    <phoneticPr fontId="2" type="noConversion"/>
  </si>
  <si>
    <t>鳥蛋</t>
    <phoneticPr fontId="2" type="noConversion"/>
  </si>
  <si>
    <t>油豆腐丁</t>
    <phoneticPr fontId="2" type="noConversion"/>
  </si>
  <si>
    <t>米血丁</t>
    <phoneticPr fontId="2" type="noConversion"/>
  </si>
  <si>
    <t>700粒</t>
    <phoneticPr fontId="2" type="noConversion"/>
  </si>
  <si>
    <t>訂貨數量</t>
    <phoneticPr fontId="2" type="noConversion"/>
  </si>
  <si>
    <t>件</t>
    <phoneticPr fontId="2" type="noConversion"/>
  </si>
  <si>
    <t>辣椒</t>
    <phoneticPr fontId="2" type="noConversion"/>
  </si>
  <si>
    <t>斤</t>
    <phoneticPr fontId="2" type="noConversion"/>
  </si>
  <si>
    <t>老薑</t>
    <phoneticPr fontId="2" type="noConversion"/>
  </si>
  <si>
    <t>青蔥</t>
    <phoneticPr fontId="2" type="noConversion"/>
  </si>
  <si>
    <t>杏鮑菇</t>
    <phoneticPr fontId="2" type="noConversion"/>
  </si>
  <si>
    <t>素食/其他</t>
    <phoneticPr fontId="2" type="noConversion"/>
  </si>
  <si>
    <t>斤</t>
    <phoneticPr fontId="2" type="noConversion"/>
  </si>
  <si>
    <t>洗選蛋</t>
    <phoneticPr fontId="2" type="noConversion"/>
  </si>
  <si>
    <t>高麗菜</t>
    <phoneticPr fontId="2" type="noConversion"/>
  </si>
  <si>
    <t>桶柑</t>
    <phoneticPr fontId="2" type="noConversion"/>
  </si>
  <si>
    <t>非合約項目</t>
    <phoneticPr fontId="2" type="noConversion"/>
  </si>
  <si>
    <t>蒜仁</t>
    <phoneticPr fontId="2" type="noConversion"/>
  </si>
  <si>
    <t>三好米</t>
    <phoneticPr fontId="2" type="noConversion"/>
  </si>
  <si>
    <t>五穀米</t>
    <phoneticPr fontId="2" type="noConversion"/>
  </si>
  <si>
    <t>沙拉油</t>
    <phoneticPr fontId="2" type="noConversion"/>
  </si>
  <si>
    <t>桶</t>
    <phoneticPr fontId="2" type="noConversion"/>
  </si>
  <si>
    <t>斤</t>
    <phoneticPr fontId="2" type="noConversion"/>
  </si>
  <si>
    <t>盤</t>
    <phoneticPr fontId="2" type="noConversion"/>
  </si>
  <si>
    <t>菠菜</t>
    <phoneticPr fontId="2" type="noConversion"/>
  </si>
  <si>
    <t>芭樂</t>
    <phoneticPr fontId="2" type="noConversion"/>
  </si>
  <si>
    <t>包</t>
    <phoneticPr fontId="2" type="noConversion"/>
  </si>
  <si>
    <t>桶</t>
    <phoneticPr fontId="2" type="noConversion"/>
  </si>
  <si>
    <t>非合約項目</t>
    <phoneticPr fontId="2" type="noConversion"/>
  </si>
  <si>
    <t>早餐</t>
    <phoneticPr fontId="2" type="noConversion"/>
  </si>
  <si>
    <t>厚片土司</t>
    <phoneticPr fontId="2" type="noConversion"/>
  </si>
  <si>
    <t>條</t>
    <phoneticPr fontId="2" type="noConversion"/>
  </si>
  <si>
    <t>麥茶鋁箔包</t>
    <phoneticPr fontId="2" type="noConversion"/>
  </si>
  <si>
    <t>件</t>
    <phoneticPr fontId="2" type="noConversion"/>
  </si>
  <si>
    <t>鍋貼</t>
    <phoneticPr fontId="2" type="noConversion"/>
  </si>
  <si>
    <t>個</t>
    <phoneticPr fontId="2" type="noConversion"/>
  </si>
  <si>
    <t>高麗菜</t>
    <phoneticPr fontId="2" type="noConversion"/>
  </si>
  <si>
    <t>桶柑</t>
    <phoneticPr fontId="2" type="noConversion"/>
  </si>
  <si>
    <t>香腸</t>
    <phoneticPr fontId="2" type="noConversion"/>
  </si>
  <si>
    <t>吐司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</si>
</sst>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sz val="12"/>
      <color theme="1"/>
      <name val="新細明體"/>
      <family val="1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2"/>
      <color rgb="FF00B050"/>
      <name val="標楷體"/>
      <family val="4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6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Border="1">
      <alignment vertical="center"/>
    </xf>
    <xf numFmtId="0" fontId="3" fillId="0" borderId="0" xfId="0" applyFont="1" applyAlignment="1">
      <alignment horizontal="center" vertical="center"/>
    </xf>
    <xf numFmtId="0" fontId="8" fillId="0" borderId="0" xfId="0" applyFont="1" applyBorder="1" applyAlignment="1">
      <alignment vertical="center" wrapText="1"/>
    </xf>
    <xf numFmtId="0" fontId="7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0" borderId="3" xfId="0" applyFont="1" applyBorder="1">
      <alignment vertical="center"/>
    </xf>
    <xf numFmtId="1" fontId="3" fillId="0" borderId="3" xfId="0" applyNumberFormat="1" applyFont="1" applyBorder="1" applyAlignment="1">
      <alignment horizontal="center" vertical="center"/>
    </xf>
    <xf numFmtId="1" fontId="3" fillId="2" borderId="4" xfId="0" applyNumberFormat="1" applyFont="1" applyFill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abSelected="1" topLeftCell="A10" workbookViewId="0">
      <selection activeCell="I10" sqref="I1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3" t="s">
        <v>20</v>
      </c>
      <c r="B1" s="34"/>
      <c r="C1" s="34"/>
      <c r="D1" s="34"/>
      <c r="E1" s="34"/>
      <c r="F1" s="34"/>
      <c r="G1" s="34"/>
      <c r="H1" s="35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2" t="s">
        <v>71</v>
      </c>
      <c r="F2" s="2"/>
      <c r="G2" s="1" t="s">
        <v>4</v>
      </c>
      <c r="H2" s="1" t="s">
        <v>5</v>
      </c>
    </row>
    <row r="3" spans="1:12" x14ac:dyDescent="0.25">
      <c r="A3" s="23" t="s">
        <v>23</v>
      </c>
      <c r="B3" s="1" t="s">
        <v>24</v>
      </c>
      <c r="C3" s="1" t="s">
        <v>25</v>
      </c>
      <c r="D3" s="2">
        <v>650</v>
      </c>
      <c r="E3" s="2">
        <v>4</v>
      </c>
      <c r="F3" s="2" t="s">
        <v>72</v>
      </c>
      <c r="G3" s="1">
        <f>E3*D3</f>
        <v>2600</v>
      </c>
      <c r="H3" s="22" t="s">
        <v>83</v>
      </c>
    </row>
    <row r="4" spans="1:12" x14ac:dyDescent="0.25">
      <c r="A4" s="23"/>
      <c r="B4" s="1"/>
      <c r="C4" s="1"/>
      <c r="D4" s="1"/>
      <c r="E4" s="2"/>
      <c r="F4" s="2"/>
      <c r="G4" s="1"/>
      <c r="H4" s="1"/>
    </row>
    <row r="5" spans="1:12" x14ac:dyDescent="0.25">
      <c r="A5" s="23"/>
      <c r="B5" s="1"/>
      <c r="C5" s="1"/>
      <c r="D5" s="1"/>
      <c r="E5" s="2"/>
      <c r="F5" s="2"/>
      <c r="G5" s="1"/>
      <c r="H5" s="1"/>
    </row>
    <row r="6" spans="1:12" x14ac:dyDescent="0.25">
      <c r="A6" s="23"/>
      <c r="B6" s="1"/>
      <c r="C6" s="1"/>
      <c r="D6" s="1"/>
      <c r="E6" s="5"/>
      <c r="F6" s="5"/>
      <c r="G6" s="3"/>
      <c r="H6" s="1"/>
      <c r="J6" s="4"/>
    </row>
    <row r="7" spans="1:12" x14ac:dyDescent="0.25">
      <c r="A7" s="23"/>
      <c r="B7" s="24" t="s">
        <v>6</v>
      </c>
      <c r="C7" s="25"/>
      <c r="D7" s="26"/>
      <c r="E7" s="5"/>
      <c r="F7" s="5"/>
      <c r="G7" s="17">
        <f>G3</f>
        <v>2600</v>
      </c>
      <c r="H7" s="1"/>
      <c r="J7" s="6"/>
    </row>
    <row r="8" spans="1:12" x14ac:dyDescent="0.25">
      <c r="A8" s="1" t="s">
        <v>7</v>
      </c>
      <c r="B8" s="1" t="s">
        <v>1</v>
      </c>
      <c r="C8" s="1" t="s">
        <v>2</v>
      </c>
      <c r="D8" s="1" t="s">
        <v>3</v>
      </c>
      <c r="E8" s="2" t="s">
        <v>71</v>
      </c>
      <c r="F8" s="2"/>
      <c r="G8" s="1" t="s">
        <v>4</v>
      </c>
      <c r="H8" s="1" t="s">
        <v>5</v>
      </c>
      <c r="J8" s="6"/>
    </row>
    <row r="9" spans="1:12" x14ac:dyDescent="0.25">
      <c r="A9" s="23" t="s">
        <v>26</v>
      </c>
      <c r="B9" s="1" t="s">
        <v>27</v>
      </c>
      <c r="C9" s="1" t="s">
        <v>29</v>
      </c>
      <c r="D9" s="1">
        <v>5.7</v>
      </c>
      <c r="E9" s="2">
        <v>15</v>
      </c>
      <c r="F9" s="2" t="s">
        <v>79</v>
      </c>
      <c r="G9" s="2">
        <f>E9*D9</f>
        <v>85.5</v>
      </c>
      <c r="H9" s="1"/>
      <c r="J9" s="6"/>
      <c r="K9" s="7"/>
      <c r="L9" s="7"/>
    </row>
    <row r="10" spans="1:12" x14ac:dyDescent="0.25">
      <c r="A10" s="23"/>
      <c r="B10" s="8" t="s">
        <v>28</v>
      </c>
      <c r="C10" s="1" t="s">
        <v>30</v>
      </c>
      <c r="D10" s="1">
        <v>58.8</v>
      </c>
      <c r="E10" s="2">
        <v>40</v>
      </c>
      <c r="F10" s="2" t="s">
        <v>79</v>
      </c>
      <c r="G10" s="1">
        <f>E10*D10</f>
        <v>2352</v>
      </c>
      <c r="H10" s="1"/>
      <c r="J10" s="6"/>
      <c r="K10" s="9"/>
      <c r="L10" s="7"/>
    </row>
    <row r="11" spans="1:12" x14ac:dyDescent="0.25">
      <c r="A11" s="23"/>
      <c r="B11" s="1"/>
      <c r="C11" s="1"/>
      <c r="D11" s="1"/>
      <c r="E11" s="2"/>
      <c r="F11" s="2"/>
      <c r="G11" s="1"/>
      <c r="H11" s="1"/>
      <c r="K11" s="9"/>
      <c r="L11" s="7"/>
    </row>
    <row r="12" spans="1:12" x14ac:dyDescent="0.25">
      <c r="A12" s="23"/>
      <c r="B12" s="1"/>
      <c r="C12" s="1"/>
      <c r="D12" s="1"/>
      <c r="E12" s="2"/>
      <c r="F12" s="2"/>
      <c r="G12" s="1"/>
      <c r="H12" s="1"/>
      <c r="K12" s="9"/>
      <c r="L12" s="7"/>
    </row>
    <row r="13" spans="1:12" x14ac:dyDescent="0.25">
      <c r="A13" s="23"/>
      <c r="B13" s="24" t="s">
        <v>6</v>
      </c>
      <c r="C13" s="25"/>
      <c r="D13" s="26"/>
      <c r="E13" s="5"/>
      <c r="F13" s="5"/>
      <c r="G13" s="20">
        <f>SUM(G9:G12)</f>
        <v>2437.5</v>
      </c>
      <c r="H13" s="1"/>
      <c r="K13" s="7"/>
      <c r="L13" s="7"/>
    </row>
    <row r="14" spans="1:12" x14ac:dyDescent="0.25">
      <c r="A14" s="1" t="s">
        <v>10</v>
      </c>
      <c r="B14" s="1" t="s">
        <v>1</v>
      </c>
      <c r="C14" s="1" t="s">
        <v>2</v>
      </c>
      <c r="D14" s="1" t="s">
        <v>3</v>
      </c>
      <c r="E14" s="2" t="s">
        <v>71</v>
      </c>
      <c r="F14" s="2"/>
      <c r="G14" s="1" t="s">
        <v>4</v>
      </c>
      <c r="H14" s="1" t="s">
        <v>5</v>
      </c>
      <c r="K14" s="7"/>
      <c r="L14" s="7"/>
    </row>
    <row r="15" spans="1:12" x14ac:dyDescent="0.25">
      <c r="A15" s="23" t="s">
        <v>31</v>
      </c>
      <c r="B15" s="1" t="s">
        <v>11</v>
      </c>
      <c r="C15" s="1" t="s">
        <v>33</v>
      </c>
      <c r="D15" s="1">
        <v>20.52</v>
      </c>
      <c r="E15" s="2">
        <v>30</v>
      </c>
      <c r="F15" s="2" t="s">
        <v>74</v>
      </c>
      <c r="G15" s="19">
        <f>E15*D15</f>
        <v>615.6</v>
      </c>
      <c r="H15" s="1"/>
      <c r="K15" s="7"/>
      <c r="L15" s="7"/>
    </row>
    <row r="16" spans="1:12" x14ac:dyDescent="0.25">
      <c r="A16" s="23"/>
      <c r="B16" s="1" t="s">
        <v>12</v>
      </c>
      <c r="C16" s="1" t="s">
        <v>34</v>
      </c>
      <c r="D16" s="1">
        <v>45</v>
      </c>
      <c r="E16" s="2">
        <v>4</v>
      </c>
      <c r="F16" s="2" t="s">
        <v>74</v>
      </c>
      <c r="G16" s="19">
        <f t="shared" ref="G16:G17" si="0">E16*D16</f>
        <v>180</v>
      </c>
      <c r="H16" s="1"/>
    </row>
    <row r="17" spans="1:8" x14ac:dyDescent="0.25">
      <c r="A17" s="23"/>
      <c r="B17" s="1" t="s">
        <v>32</v>
      </c>
      <c r="C17" s="1" t="s">
        <v>35</v>
      </c>
      <c r="D17" s="1">
        <v>90</v>
      </c>
      <c r="E17" s="2">
        <v>6</v>
      </c>
      <c r="F17" s="2" t="s">
        <v>74</v>
      </c>
      <c r="G17" s="19">
        <f t="shared" si="0"/>
        <v>540</v>
      </c>
      <c r="H17" s="1"/>
    </row>
    <row r="18" spans="1:8" x14ac:dyDescent="0.25">
      <c r="A18" s="23"/>
      <c r="B18" s="1"/>
      <c r="C18" s="1"/>
      <c r="D18" s="1"/>
      <c r="E18" s="5"/>
      <c r="F18" s="5"/>
      <c r="G18" s="3"/>
      <c r="H18" s="1"/>
    </row>
    <row r="19" spans="1:8" x14ac:dyDescent="0.25">
      <c r="A19" s="23"/>
      <c r="B19" s="24" t="s">
        <v>6</v>
      </c>
      <c r="C19" s="25"/>
      <c r="D19" s="26"/>
      <c r="E19" s="5"/>
      <c r="F19" s="5"/>
      <c r="G19" s="20">
        <f>SUM(G15:G18)</f>
        <v>1335.6</v>
      </c>
      <c r="H19" s="1"/>
    </row>
    <row r="20" spans="1:8" x14ac:dyDescent="0.25">
      <c r="A20" s="10" t="s">
        <v>14</v>
      </c>
      <c r="B20" s="1" t="s">
        <v>1</v>
      </c>
      <c r="C20" s="1" t="s">
        <v>2</v>
      </c>
      <c r="D20" s="1" t="s">
        <v>3</v>
      </c>
      <c r="E20" s="2" t="s">
        <v>71</v>
      </c>
      <c r="F20" s="2"/>
      <c r="G20" s="1" t="s">
        <v>4</v>
      </c>
      <c r="H20" s="1" t="s">
        <v>5</v>
      </c>
    </row>
    <row r="21" spans="1:8" x14ac:dyDescent="0.25">
      <c r="A21" s="23"/>
      <c r="B21" s="2" t="s">
        <v>73</v>
      </c>
      <c r="C21" s="2"/>
      <c r="D21" s="2">
        <v>150</v>
      </c>
      <c r="E21" s="18">
        <v>2</v>
      </c>
      <c r="F21" s="2" t="s">
        <v>74</v>
      </c>
      <c r="G21" s="1">
        <f>E21*D21</f>
        <v>300</v>
      </c>
      <c r="H21" s="1"/>
    </row>
    <row r="22" spans="1:8" x14ac:dyDescent="0.25">
      <c r="A22" s="23"/>
      <c r="B22" s="2" t="s">
        <v>75</v>
      </c>
      <c r="C22" s="2"/>
      <c r="D22" s="2">
        <v>49.5</v>
      </c>
      <c r="E22" s="18">
        <v>0.5</v>
      </c>
      <c r="F22" s="2" t="s">
        <v>74</v>
      </c>
      <c r="G22" s="19">
        <f t="shared" ref="G22:G23" si="1">E22*D22</f>
        <v>24.75</v>
      </c>
      <c r="H22" s="1"/>
    </row>
    <row r="23" spans="1:8" x14ac:dyDescent="0.25">
      <c r="A23" s="23"/>
      <c r="B23" s="2" t="s">
        <v>76</v>
      </c>
      <c r="C23" s="2"/>
      <c r="D23" s="2">
        <v>26.1</v>
      </c>
      <c r="E23" s="18">
        <v>5</v>
      </c>
      <c r="F23" s="2" t="s">
        <v>74</v>
      </c>
      <c r="G23" s="19">
        <f t="shared" si="1"/>
        <v>130.5</v>
      </c>
      <c r="H23" s="1"/>
    </row>
    <row r="24" spans="1:8" x14ac:dyDescent="0.25">
      <c r="A24" s="23"/>
      <c r="B24" s="2" t="s">
        <v>84</v>
      </c>
      <c r="C24" s="2"/>
      <c r="D24" s="2">
        <v>132.6</v>
      </c>
      <c r="E24" s="18">
        <v>8</v>
      </c>
      <c r="F24" s="2" t="s">
        <v>74</v>
      </c>
      <c r="G24" s="2">
        <f>E24*D24</f>
        <v>1060.8</v>
      </c>
      <c r="H24" s="1"/>
    </row>
    <row r="25" spans="1:8" x14ac:dyDescent="0.25">
      <c r="A25" s="23"/>
      <c r="B25" s="24" t="s">
        <v>6</v>
      </c>
      <c r="C25" s="25"/>
      <c r="D25" s="26"/>
      <c r="E25" s="5"/>
      <c r="F25" s="5"/>
      <c r="G25" s="20">
        <f>SUM(G21:G24)</f>
        <v>1516.05</v>
      </c>
      <c r="H25" s="1"/>
    </row>
    <row r="26" spans="1:8" x14ac:dyDescent="0.25">
      <c r="A26" s="1" t="s">
        <v>15</v>
      </c>
      <c r="B26" s="1" t="s">
        <v>1</v>
      </c>
      <c r="C26" s="1" t="s">
        <v>2</v>
      </c>
      <c r="D26" s="1" t="s">
        <v>3</v>
      </c>
      <c r="E26" s="2" t="s">
        <v>71</v>
      </c>
      <c r="F26" s="2"/>
      <c r="G26" s="1" t="s">
        <v>4</v>
      </c>
      <c r="H26" s="1" t="s">
        <v>5</v>
      </c>
    </row>
    <row r="27" spans="1:8" x14ac:dyDescent="0.25">
      <c r="A27" s="23" t="s">
        <v>36</v>
      </c>
      <c r="B27" s="1" t="s">
        <v>38</v>
      </c>
      <c r="C27" s="1" t="s">
        <v>29</v>
      </c>
      <c r="D27" s="1">
        <v>9.18</v>
      </c>
      <c r="E27" s="2">
        <v>15</v>
      </c>
      <c r="F27" s="2" t="s">
        <v>79</v>
      </c>
      <c r="G27" s="19">
        <f>E27*D27</f>
        <v>137.69999999999999</v>
      </c>
      <c r="H27" s="1"/>
    </row>
    <row r="28" spans="1:8" x14ac:dyDescent="0.25">
      <c r="A28" s="23"/>
      <c r="B28" s="1" t="s">
        <v>37</v>
      </c>
      <c r="C28" s="1" t="s">
        <v>39</v>
      </c>
      <c r="D28" s="1">
        <v>98.4</v>
      </c>
      <c r="E28" s="2">
        <v>10</v>
      </c>
      <c r="F28" s="2" t="s">
        <v>79</v>
      </c>
      <c r="G28" s="19">
        <f>E28*D28</f>
        <v>984</v>
      </c>
      <c r="H28" s="1"/>
    </row>
    <row r="29" spans="1:8" x14ac:dyDescent="0.25">
      <c r="A29" s="23"/>
      <c r="B29" s="24" t="s">
        <v>6</v>
      </c>
      <c r="C29" s="25"/>
      <c r="D29" s="26"/>
      <c r="E29" s="5"/>
      <c r="F29" s="5"/>
      <c r="G29" s="20">
        <f>SUM(G27:G28)</f>
        <v>1121.7</v>
      </c>
      <c r="H29" s="1"/>
    </row>
    <row r="30" spans="1:8" x14ac:dyDescent="0.25">
      <c r="A30" s="1" t="s">
        <v>17</v>
      </c>
      <c r="B30" s="1" t="s">
        <v>1</v>
      </c>
      <c r="C30" s="1" t="s">
        <v>2</v>
      </c>
      <c r="D30" s="1" t="s">
        <v>3</v>
      </c>
      <c r="E30" s="2" t="s">
        <v>71</v>
      </c>
      <c r="F30" s="2"/>
      <c r="G30" s="3" t="s">
        <v>4</v>
      </c>
      <c r="H30" s="1" t="s">
        <v>5</v>
      </c>
    </row>
    <row r="31" spans="1:8" x14ac:dyDescent="0.25">
      <c r="A31" s="30"/>
      <c r="B31" s="1" t="s">
        <v>81</v>
      </c>
      <c r="C31" s="1"/>
      <c r="D31" s="1">
        <v>15.3</v>
      </c>
      <c r="E31" s="2">
        <v>65</v>
      </c>
      <c r="F31" s="2" t="s">
        <v>79</v>
      </c>
      <c r="G31" s="19">
        <f>E31*D31</f>
        <v>994.5</v>
      </c>
      <c r="H31" s="1"/>
    </row>
    <row r="32" spans="1:8" x14ac:dyDescent="0.25">
      <c r="A32" s="31"/>
      <c r="B32" s="1" t="s">
        <v>82</v>
      </c>
      <c r="C32" s="1"/>
      <c r="D32" s="1">
        <v>20.16</v>
      </c>
      <c r="E32" s="2">
        <v>70</v>
      </c>
      <c r="F32" s="2" t="s">
        <v>79</v>
      </c>
      <c r="G32" s="19">
        <f>E32*D32</f>
        <v>1411.2</v>
      </c>
      <c r="H32" s="1"/>
    </row>
    <row r="33" spans="1:8" x14ac:dyDescent="0.25">
      <c r="A33" s="32"/>
      <c r="B33" s="24" t="s">
        <v>6</v>
      </c>
      <c r="C33" s="25"/>
      <c r="D33" s="26"/>
      <c r="E33" s="5"/>
      <c r="F33" s="5"/>
      <c r="G33" s="20">
        <f>SUM(G31:G32)</f>
        <v>2405.6999999999998</v>
      </c>
      <c r="H33" s="11"/>
    </row>
    <row r="34" spans="1:8" x14ac:dyDescent="0.25">
      <c r="A34" s="12" t="s">
        <v>78</v>
      </c>
      <c r="B34" s="1" t="s">
        <v>1</v>
      </c>
      <c r="C34" s="1" t="s">
        <v>2</v>
      </c>
      <c r="D34" s="1" t="s">
        <v>3</v>
      </c>
      <c r="E34" s="2" t="s">
        <v>71</v>
      </c>
      <c r="F34" s="2"/>
      <c r="G34" s="1" t="s">
        <v>4</v>
      </c>
      <c r="H34" s="1"/>
    </row>
    <row r="35" spans="1:8" x14ac:dyDescent="0.25">
      <c r="A35" s="23"/>
      <c r="B35" s="1" t="s">
        <v>77</v>
      </c>
      <c r="C35" s="1"/>
      <c r="D35" s="1">
        <v>82.5</v>
      </c>
      <c r="E35" s="2">
        <v>8</v>
      </c>
      <c r="F35" s="2" t="s">
        <v>79</v>
      </c>
      <c r="G35" s="1">
        <f>E35*D35</f>
        <v>660</v>
      </c>
      <c r="H35" s="1"/>
    </row>
    <row r="36" spans="1:8" x14ac:dyDescent="0.25">
      <c r="A36" s="23"/>
      <c r="B36" s="1" t="s">
        <v>80</v>
      </c>
      <c r="C36" s="1"/>
      <c r="D36" s="1">
        <v>58.8</v>
      </c>
      <c r="E36" s="2">
        <v>20</v>
      </c>
      <c r="F36" s="2" t="s">
        <v>79</v>
      </c>
      <c r="G36" s="2">
        <f>E36*D36</f>
        <v>1176</v>
      </c>
      <c r="H36" s="1"/>
    </row>
    <row r="37" spans="1:8" x14ac:dyDescent="0.25">
      <c r="A37" s="23"/>
      <c r="B37" s="1"/>
      <c r="C37" s="1"/>
      <c r="D37" s="1"/>
      <c r="E37" s="2"/>
      <c r="F37" s="2"/>
      <c r="G37" s="1"/>
      <c r="H37" s="1"/>
    </row>
    <row r="38" spans="1:8" x14ac:dyDescent="0.25">
      <c r="A38" s="23"/>
      <c r="B38" s="1"/>
      <c r="C38" s="1"/>
      <c r="D38" s="1"/>
      <c r="E38" s="2"/>
      <c r="F38" s="2"/>
      <c r="G38" s="1"/>
      <c r="H38" s="1"/>
    </row>
    <row r="39" spans="1:8" x14ac:dyDescent="0.25">
      <c r="A39" s="23"/>
      <c r="B39" s="24" t="s">
        <v>6</v>
      </c>
      <c r="C39" s="25"/>
      <c r="D39" s="26"/>
      <c r="E39" s="5"/>
      <c r="F39" s="5"/>
      <c r="G39" s="17">
        <f>SUM(G35:G38)</f>
        <v>1836</v>
      </c>
      <c r="H39" s="1"/>
    </row>
    <row r="40" spans="1:8" x14ac:dyDescent="0.25">
      <c r="A40" s="1"/>
      <c r="B40" s="27" t="s">
        <v>19</v>
      </c>
      <c r="C40" s="28"/>
      <c r="D40" s="29"/>
      <c r="E40" s="13"/>
      <c r="F40" s="13"/>
      <c r="G40" s="21">
        <f>G39+G33+G29+G19+G13+G7+G25</f>
        <v>13252.55</v>
      </c>
      <c r="H40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0"/>
  <sheetViews>
    <sheetView topLeftCell="A7" workbookViewId="0">
      <selection activeCell="D30" sqref="D30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3" t="s">
        <v>21</v>
      </c>
      <c r="B1" s="34"/>
      <c r="C1" s="34"/>
      <c r="D1" s="34"/>
      <c r="E1" s="34"/>
      <c r="F1" s="34"/>
      <c r="G1" s="34"/>
      <c r="H1" s="35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4" t="s">
        <v>71</v>
      </c>
      <c r="F2" s="14"/>
      <c r="G2" s="1" t="s">
        <v>4</v>
      </c>
      <c r="H2" s="1" t="s">
        <v>5</v>
      </c>
    </row>
    <row r="3" spans="1:12" x14ac:dyDescent="0.25">
      <c r="A3" s="23" t="s">
        <v>40</v>
      </c>
      <c r="B3" s="1" t="s">
        <v>54</v>
      </c>
      <c r="C3" s="1" t="s">
        <v>55</v>
      </c>
      <c r="D3" s="1">
        <v>99</v>
      </c>
      <c r="E3" s="14">
        <v>65.45</v>
      </c>
      <c r="F3" s="14" t="s">
        <v>89</v>
      </c>
      <c r="G3" s="19">
        <f>E3*D3</f>
        <v>6479.55</v>
      </c>
      <c r="H3" s="1"/>
    </row>
    <row r="4" spans="1:12" x14ac:dyDescent="0.25">
      <c r="A4" s="23"/>
      <c r="B4" s="1"/>
      <c r="C4" s="1"/>
      <c r="D4" s="1"/>
      <c r="E4" s="14"/>
      <c r="F4" s="14"/>
      <c r="G4" s="1"/>
      <c r="H4" s="1"/>
    </row>
    <row r="5" spans="1:12" x14ac:dyDescent="0.25">
      <c r="A5" s="23"/>
      <c r="B5" s="1"/>
      <c r="C5" s="1"/>
      <c r="D5" s="1"/>
      <c r="E5" s="14"/>
      <c r="F5" s="14"/>
      <c r="G5" s="1"/>
      <c r="H5" s="1"/>
    </row>
    <row r="6" spans="1:12" x14ac:dyDescent="0.25">
      <c r="A6" s="23"/>
      <c r="B6" s="1"/>
      <c r="C6" s="1"/>
      <c r="D6" s="1"/>
      <c r="E6" s="15"/>
      <c r="F6" s="15"/>
      <c r="G6" s="3"/>
      <c r="H6" s="1"/>
      <c r="J6" s="4"/>
    </row>
    <row r="7" spans="1:12" x14ac:dyDescent="0.25">
      <c r="A7" s="23"/>
      <c r="B7" s="24" t="s">
        <v>6</v>
      </c>
      <c r="C7" s="25"/>
      <c r="D7" s="26"/>
      <c r="E7" s="15"/>
      <c r="F7" s="15"/>
      <c r="G7" s="20">
        <f>G3</f>
        <v>6479.55</v>
      </c>
      <c r="H7" s="1"/>
      <c r="J7" s="6"/>
    </row>
    <row r="8" spans="1:12" x14ac:dyDescent="0.25">
      <c r="A8" s="1" t="s">
        <v>7</v>
      </c>
      <c r="B8" s="1" t="s">
        <v>1</v>
      </c>
      <c r="C8" s="1" t="s">
        <v>2</v>
      </c>
      <c r="D8" s="1" t="s">
        <v>3</v>
      </c>
      <c r="E8" s="14" t="s">
        <v>71</v>
      </c>
      <c r="F8" s="14"/>
      <c r="G8" s="1" t="s">
        <v>4</v>
      </c>
      <c r="H8" s="1" t="s">
        <v>5</v>
      </c>
      <c r="J8" s="6"/>
    </row>
    <row r="9" spans="1:12" x14ac:dyDescent="0.25">
      <c r="A9" s="23" t="s">
        <v>41</v>
      </c>
      <c r="B9" s="1" t="s">
        <v>52</v>
      </c>
      <c r="C9" s="1" t="s">
        <v>53</v>
      </c>
      <c r="D9" s="1">
        <v>46.8</v>
      </c>
      <c r="E9" s="14">
        <v>36.67</v>
      </c>
      <c r="F9" s="14" t="s">
        <v>89</v>
      </c>
      <c r="G9" s="19">
        <f>E9*D9</f>
        <v>1716.1559999999999</v>
      </c>
      <c r="H9" s="1"/>
      <c r="J9" s="6"/>
      <c r="K9" s="7"/>
      <c r="L9" s="7"/>
    </row>
    <row r="10" spans="1:12" x14ac:dyDescent="0.25">
      <c r="A10" s="23"/>
      <c r="B10" s="8" t="s">
        <v>8</v>
      </c>
      <c r="C10" s="1" t="s">
        <v>9</v>
      </c>
      <c r="D10" s="1">
        <v>30.6</v>
      </c>
      <c r="E10" s="14">
        <v>5</v>
      </c>
      <c r="F10" s="14" t="s">
        <v>89</v>
      </c>
      <c r="G10" s="19">
        <f>E10*D10</f>
        <v>153</v>
      </c>
      <c r="H10" s="1"/>
      <c r="J10" s="6"/>
      <c r="K10" s="9"/>
      <c r="L10" s="7"/>
    </row>
    <row r="11" spans="1:12" x14ac:dyDescent="0.25">
      <c r="A11" s="23"/>
      <c r="B11" s="1"/>
      <c r="C11" s="1"/>
      <c r="D11" s="1"/>
      <c r="E11" s="14"/>
      <c r="F11" s="14"/>
      <c r="G11" s="1"/>
      <c r="H11" s="1"/>
      <c r="K11" s="9"/>
      <c r="L11" s="7"/>
    </row>
    <row r="12" spans="1:12" x14ac:dyDescent="0.25">
      <c r="A12" s="23"/>
      <c r="B12" s="1"/>
      <c r="C12" s="1"/>
      <c r="D12" s="1"/>
      <c r="E12" s="14"/>
      <c r="F12" s="14"/>
      <c r="G12" s="1"/>
      <c r="H12" s="1"/>
      <c r="K12" s="9"/>
      <c r="L12" s="7"/>
    </row>
    <row r="13" spans="1:12" x14ac:dyDescent="0.25">
      <c r="A13" s="23"/>
      <c r="B13" s="24" t="s">
        <v>6</v>
      </c>
      <c r="C13" s="25"/>
      <c r="D13" s="26"/>
      <c r="E13" s="15"/>
      <c r="F13" s="15"/>
      <c r="G13" s="20">
        <f>SUM(G9:G12)</f>
        <v>1869.1559999999999</v>
      </c>
      <c r="H13" s="1"/>
      <c r="K13" s="7"/>
      <c r="L13" s="7"/>
    </row>
    <row r="14" spans="1:12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4" t="s">
        <v>71</v>
      </c>
      <c r="F14" s="14"/>
      <c r="G14" s="1" t="s">
        <v>4</v>
      </c>
      <c r="H14" s="1" t="s">
        <v>5</v>
      </c>
      <c r="K14" s="7"/>
      <c r="L14" s="7"/>
    </row>
    <row r="15" spans="1:12" x14ac:dyDescent="0.25">
      <c r="A15" s="23" t="s">
        <v>42</v>
      </c>
      <c r="B15" s="1" t="s">
        <v>47</v>
      </c>
      <c r="C15" s="1" t="s">
        <v>50</v>
      </c>
      <c r="D15" s="1">
        <v>22.8</v>
      </c>
      <c r="E15" s="14">
        <v>40</v>
      </c>
      <c r="F15" s="14" t="s">
        <v>89</v>
      </c>
      <c r="G15" s="1">
        <f>E15*D15</f>
        <v>912</v>
      </c>
      <c r="H15" s="1"/>
      <c r="K15" s="7"/>
      <c r="L15" s="7"/>
    </row>
    <row r="16" spans="1:12" x14ac:dyDescent="0.25">
      <c r="A16" s="23"/>
      <c r="B16" s="1" t="s">
        <v>48</v>
      </c>
      <c r="C16" s="1" t="s">
        <v>51</v>
      </c>
      <c r="D16" s="1">
        <v>49.5</v>
      </c>
      <c r="E16" s="14">
        <v>1</v>
      </c>
      <c r="F16" s="14" t="s">
        <v>89</v>
      </c>
      <c r="G16" s="19">
        <f t="shared" ref="G16:G17" si="0">E16*D16</f>
        <v>49.5</v>
      </c>
      <c r="H16" s="1"/>
    </row>
    <row r="17" spans="1:8" x14ac:dyDescent="0.25">
      <c r="A17" s="23"/>
      <c r="B17" s="1" t="s">
        <v>49</v>
      </c>
      <c r="C17" s="1" t="s">
        <v>13</v>
      </c>
      <c r="D17" s="1">
        <v>62.7</v>
      </c>
      <c r="E17" s="14">
        <v>0.5</v>
      </c>
      <c r="F17" s="14" t="s">
        <v>89</v>
      </c>
      <c r="G17" s="19">
        <f t="shared" si="0"/>
        <v>31.35</v>
      </c>
      <c r="H17" s="1"/>
    </row>
    <row r="18" spans="1:8" x14ac:dyDescent="0.25">
      <c r="A18" s="23"/>
      <c r="B18" s="1"/>
      <c r="C18" s="1"/>
      <c r="D18" s="1"/>
      <c r="E18" s="15"/>
      <c r="F18" s="15"/>
      <c r="G18" s="3"/>
      <c r="H18" s="1"/>
    </row>
    <row r="19" spans="1:8" x14ac:dyDescent="0.25">
      <c r="A19" s="23"/>
      <c r="B19" s="24" t="s">
        <v>6</v>
      </c>
      <c r="C19" s="25"/>
      <c r="D19" s="26"/>
      <c r="E19" s="15"/>
      <c r="F19" s="15"/>
      <c r="G19" s="20">
        <f>SUM(G15:G18)</f>
        <v>992.85</v>
      </c>
      <c r="H19" s="1"/>
    </row>
    <row r="20" spans="1:8" x14ac:dyDescent="0.25">
      <c r="A20" s="10" t="s">
        <v>14</v>
      </c>
      <c r="B20" s="1" t="s">
        <v>1</v>
      </c>
      <c r="C20" s="1" t="s">
        <v>2</v>
      </c>
      <c r="D20" s="1" t="s">
        <v>3</v>
      </c>
      <c r="E20" s="14" t="s">
        <v>71</v>
      </c>
      <c r="F20" s="14"/>
      <c r="G20" s="1" t="s">
        <v>4</v>
      </c>
      <c r="H20" s="1" t="s">
        <v>5</v>
      </c>
    </row>
    <row r="21" spans="1:8" x14ac:dyDescent="0.25">
      <c r="A21" s="23"/>
      <c r="B21" s="14" t="s">
        <v>85</v>
      </c>
      <c r="C21" s="14"/>
      <c r="D21" s="14">
        <v>29.38</v>
      </c>
      <c r="E21" s="14">
        <v>100</v>
      </c>
      <c r="F21" s="14" t="s">
        <v>74</v>
      </c>
      <c r="G21" s="1">
        <f>E21*D21</f>
        <v>2938</v>
      </c>
      <c r="H21" s="1"/>
    </row>
    <row r="22" spans="1:8" x14ac:dyDescent="0.25">
      <c r="A22" s="23"/>
      <c r="B22" s="14" t="s">
        <v>86</v>
      </c>
      <c r="C22" s="14"/>
      <c r="D22" s="14">
        <v>55</v>
      </c>
      <c r="E22" s="14">
        <v>20</v>
      </c>
      <c r="F22" s="14" t="s">
        <v>74</v>
      </c>
      <c r="G22" s="14">
        <f t="shared" ref="G22:G23" si="1">E22*D22</f>
        <v>1100</v>
      </c>
      <c r="H22" s="1"/>
    </row>
    <row r="23" spans="1:8" x14ac:dyDescent="0.25">
      <c r="A23" s="23"/>
      <c r="B23" s="14" t="s">
        <v>87</v>
      </c>
      <c r="C23" s="14"/>
      <c r="D23" s="14">
        <v>1188</v>
      </c>
      <c r="E23" s="14">
        <v>3</v>
      </c>
      <c r="F23" s="14" t="s">
        <v>88</v>
      </c>
      <c r="G23" s="14">
        <f t="shared" si="1"/>
        <v>3564</v>
      </c>
      <c r="H23" s="1"/>
    </row>
    <row r="24" spans="1:8" x14ac:dyDescent="0.25">
      <c r="A24" s="23"/>
      <c r="B24" s="1"/>
      <c r="C24" s="1"/>
      <c r="D24" s="1"/>
      <c r="E24" s="14"/>
      <c r="F24" s="14"/>
      <c r="G24" s="1"/>
      <c r="H24" s="1"/>
    </row>
    <row r="25" spans="1:8" x14ac:dyDescent="0.25">
      <c r="A25" s="23"/>
      <c r="B25" s="24" t="s">
        <v>6</v>
      </c>
      <c r="C25" s="25"/>
      <c r="D25" s="26"/>
      <c r="E25" s="15"/>
      <c r="F25" s="15"/>
      <c r="G25" s="17">
        <f>SUM(G21:G24)</f>
        <v>7602</v>
      </c>
      <c r="H25" s="1"/>
    </row>
    <row r="26" spans="1:8" x14ac:dyDescent="0.25">
      <c r="A26" s="1" t="s">
        <v>15</v>
      </c>
      <c r="B26" s="1" t="s">
        <v>1</v>
      </c>
      <c r="C26" s="1" t="s">
        <v>2</v>
      </c>
      <c r="D26" s="1" t="s">
        <v>3</v>
      </c>
      <c r="E26" s="14" t="s">
        <v>71</v>
      </c>
      <c r="F26" s="14"/>
      <c r="G26" s="1" t="s">
        <v>4</v>
      </c>
      <c r="H26" s="1" t="s">
        <v>5</v>
      </c>
    </row>
    <row r="27" spans="1:8" x14ac:dyDescent="0.25">
      <c r="A27" s="23" t="s">
        <v>43</v>
      </c>
      <c r="B27" s="1" t="s">
        <v>44</v>
      </c>
      <c r="C27" s="1"/>
      <c r="D27" s="1"/>
      <c r="E27" s="14"/>
      <c r="F27" s="14"/>
      <c r="G27" s="1"/>
      <c r="H27" s="1" t="s">
        <v>16</v>
      </c>
    </row>
    <row r="28" spans="1:8" x14ac:dyDescent="0.25">
      <c r="A28" s="23"/>
      <c r="B28" s="1" t="s">
        <v>45</v>
      </c>
      <c r="C28" s="1" t="s">
        <v>46</v>
      </c>
      <c r="D28" s="1">
        <v>150</v>
      </c>
      <c r="E28" s="14">
        <v>2</v>
      </c>
      <c r="F28" s="14" t="s">
        <v>90</v>
      </c>
      <c r="G28" s="1">
        <f>E28*D28</f>
        <v>300</v>
      </c>
      <c r="H28" s="1"/>
    </row>
    <row r="29" spans="1:8" x14ac:dyDescent="0.25">
      <c r="A29" s="23"/>
      <c r="B29" s="24" t="s">
        <v>6</v>
      </c>
      <c r="C29" s="25"/>
      <c r="D29" s="26"/>
      <c r="E29" s="15"/>
      <c r="F29" s="15"/>
      <c r="G29" s="17">
        <f>SUM(G28)</f>
        <v>300</v>
      </c>
      <c r="H29" s="1"/>
    </row>
    <row r="30" spans="1:8" x14ac:dyDescent="0.25">
      <c r="A30" s="1" t="s">
        <v>17</v>
      </c>
      <c r="B30" s="1" t="s">
        <v>1</v>
      </c>
      <c r="C30" s="1" t="s">
        <v>2</v>
      </c>
      <c r="D30" s="1" t="s">
        <v>3</v>
      </c>
      <c r="E30" s="14" t="s">
        <v>71</v>
      </c>
      <c r="F30" s="14"/>
      <c r="G30" s="3" t="s">
        <v>4</v>
      </c>
      <c r="H30" s="1" t="s">
        <v>5</v>
      </c>
    </row>
    <row r="31" spans="1:8" x14ac:dyDescent="0.25">
      <c r="A31" s="30"/>
      <c r="B31" s="1" t="s">
        <v>91</v>
      </c>
      <c r="C31" s="1">
        <v>65</v>
      </c>
      <c r="D31" s="1">
        <v>14.4</v>
      </c>
      <c r="E31" s="14"/>
      <c r="F31" s="14" t="s">
        <v>89</v>
      </c>
      <c r="G31" s="1">
        <f>D31*C31</f>
        <v>936</v>
      </c>
      <c r="H31" s="1"/>
    </row>
    <row r="32" spans="1:8" x14ac:dyDescent="0.25">
      <c r="A32" s="31"/>
      <c r="B32" s="1" t="s">
        <v>92</v>
      </c>
      <c r="C32" s="1">
        <v>70</v>
      </c>
      <c r="D32" s="1">
        <v>17.28</v>
      </c>
      <c r="E32" s="14"/>
      <c r="F32" s="14" t="s">
        <v>89</v>
      </c>
      <c r="G32" s="14">
        <f>D32*C32</f>
        <v>1209.6000000000001</v>
      </c>
      <c r="H32" s="1"/>
    </row>
    <row r="33" spans="1:8" x14ac:dyDescent="0.25">
      <c r="A33" s="32"/>
      <c r="B33" s="24" t="s">
        <v>6</v>
      </c>
      <c r="C33" s="25"/>
      <c r="D33" s="26"/>
      <c r="E33" s="15"/>
      <c r="F33" s="15"/>
      <c r="G33" s="20">
        <f>SUM(G31:G32)</f>
        <v>2145.6000000000004</v>
      </c>
      <c r="H33" s="11"/>
    </row>
    <row r="34" spans="1:8" x14ac:dyDescent="0.25">
      <c r="A34" s="12" t="s">
        <v>18</v>
      </c>
      <c r="B34" s="1" t="s">
        <v>1</v>
      </c>
      <c r="C34" s="1" t="s">
        <v>2</v>
      </c>
      <c r="D34" s="1" t="s">
        <v>3</v>
      </c>
      <c r="E34" s="14" t="s">
        <v>71</v>
      </c>
      <c r="F34" s="14"/>
      <c r="G34" s="1" t="s">
        <v>4</v>
      </c>
      <c r="H34" s="1"/>
    </row>
    <row r="35" spans="1:8" x14ac:dyDescent="0.25">
      <c r="A35" s="23"/>
      <c r="B35" s="1"/>
      <c r="C35" s="1"/>
      <c r="D35" s="1"/>
      <c r="E35" s="14"/>
      <c r="F35" s="14"/>
      <c r="G35" s="1"/>
      <c r="H35" s="1"/>
    </row>
    <row r="36" spans="1:8" x14ac:dyDescent="0.25">
      <c r="A36" s="23"/>
      <c r="B36" s="1"/>
      <c r="C36" s="1"/>
      <c r="D36" s="1"/>
      <c r="E36" s="14"/>
      <c r="F36" s="14"/>
      <c r="G36" s="1"/>
      <c r="H36" s="1"/>
    </row>
    <row r="37" spans="1:8" x14ac:dyDescent="0.25">
      <c r="A37" s="23"/>
      <c r="B37" s="1"/>
      <c r="C37" s="1"/>
      <c r="D37" s="1"/>
      <c r="E37" s="14"/>
      <c r="F37" s="14"/>
      <c r="G37" s="1"/>
      <c r="H37" s="1"/>
    </row>
    <row r="38" spans="1:8" x14ac:dyDescent="0.25">
      <c r="A38" s="23"/>
      <c r="B38" s="1"/>
      <c r="C38" s="1"/>
      <c r="D38" s="1"/>
      <c r="E38" s="14"/>
      <c r="F38" s="14"/>
      <c r="G38" s="1"/>
      <c r="H38" s="1"/>
    </row>
    <row r="39" spans="1:8" x14ac:dyDescent="0.25">
      <c r="A39" s="23"/>
      <c r="B39" s="24" t="s">
        <v>6</v>
      </c>
      <c r="C39" s="25"/>
      <c r="D39" s="26"/>
      <c r="E39" s="15"/>
      <c r="F39" s="15"/>
      <c r="G39" s="3"/>
      <c r="H39" s="1"/>
    </row>
    <row r="40" spans="1:8" x14ac:dyDescent="0.25">
      <c r="A40" s="1"/>
      <c r="B40" s="27" t="s">
        <v>19</v>
      </c>
      <c r="C40" s="28"/>
      <c r="D40" s="29"/>
      <c r="E40" s="16"/>
      <c r="F40" s="16"/>
      <c r="G40" s="21">
        <f>G33+G19+G13+G7+G25+G29</f>
        <v>19389.155999999999</v>
      </c>
      <c r="H40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1"/>
  <sheetViews>
    <sheetView topLeftCell="A16" workbookViewId="0">
      <selection activeCell="H41" sqref="H41"/>
    </sheetView>
  </sheetViews>
  <sheetFormatPr defaultRowHeight="16.5" x14ac:dyDescent="0.25"/>
  <cols>
    <col min="1" max="2" width="15.625" customWidth="1"/>
    <col min="5" max="5" width="8.625" customWidth="1"/>
    <col min="6" max="6" width="3.625" customWidth="1"/>
    <col min="7" max="8" width="13.625" customWidth="1"/>
    <col min="9" max="9" width="13.5" customWidth="1"/>
  </cols>
  <sheetData>
    <row r="1" spans="1:12" x14ac:dyDescent="0.25">
      <c r="A1" s="33" t="s">
        <v>22</v>
      </c>
      <c r="B1" s="34"/>
      <c r="C1" s="34"/>
      <c r="D1" s="34"/>
      <c r="E1" s="34"/>
      <c r="F1" s="34"/>
      <c r="G1" s="34"/>
      <c r="H1" s="35"/>
    </row>
    <row r="2" spans="1:12" x14ac:dyDescent="0.25">
      <c r="A2" s="1" t="s">
        <v>0</v>
      </c>
      <c r="B2" s="1" t="s">
        <v>1</v>
      </c>
      <c r="C2" s="1" t="s">
        <v>2</v>
      </c>
      <c r="D2" s="1" t="s">
        <v>3</v>
      </c>
      <c r="E2" s="14" t="s">
        <v>71</v>
      </c>
      <c r="F2" s="14"/>
      <c r="G2" s="1" t="s">
        <v>4</v>
      </c>
      <c r="H2" s="1" t="s">
        <v>5</v>
      </c>
    </row>
    <row r="3" spans="1:12" x14ac:dyDescent="0.25">
      <c r="A3" s="23" t="s">
        <v>56</v>
      </c>
      <c r="B3" s="1" t="s">
        <v>57</v>
      </c>
      <c r="C3" s="1" t="s">
        <v>59</v>
      </c>
      <c r="D3" s="1">
        <v>195</v>
      </c>
      <c r="E3" s="14">
        <v>26</v>
      </c>
      <c r="F3" s="14" t="s">
        <v>93</v>
      </c>
      <c r="G3" s="1">
        <f>E3*D3</f>
        <v>5070</v>
      </c>
      <c r="H3" s="1"/>
    </row>
    <row r="4" spans="1:12" x14ac:dyDescent="0.25">
      <c r="A4" s="23"/>
      <c r="B4" s="1" t="s">
        <v>58</v>
      </c>
      <c r="C4" s="1" t="s">
        <v>60</v>
      </c>
      <c r="D4" s="1">
        <v>540</v>
      </c>
      <c r="E4" s="14">
        <v>1</v>
      </c>
      <c r="F4" s="14" t="s">
        <v>94</v>
      </c>
      <c r="G4" s="1">
        <f>E4*D4</f>
        <v>540</v>
      </c>
      <c r="H4" s="22" t="s">
        <v>95</v>
      </c>
    </row>
    <row r="5" spans="1:12" x14ac:dyDescent="0.25">
      <c r="A5" s="23"/>
      <c r="B5" s="1"/>
      <c r="C5" s="1"/>
      <c r="D5" s="1"/>
      <c r="E5" s="14"/>
      <c r="F5" s="14"/>
      <c r="G5" s="1"/>
      <c r="H5" s="1"/>
    </row>
    <row r="6" spans="1:12" x14ac:dyDescent="0.25">
      <c r="A6" s="23"/>
      <c r="B6" s="1"/>
      <c r="C6" s="1"/>
      <c r="D6" s="1"/>
      <c r="E6" s="15"/>
      <c r="F6" s="15"/>
      <c r="G6" s="3"/>
      <c r="H6" s="1"/>
      <c r="J6" s="4"/>
    </row>
    <row r="7" spans="1:12" x14ac:dyDescent="0.25">
      <c r="A7" s="23"/>
      <c r="B7" s="24" t="s">
        <v>6</v>
      </c>
      <c r="C7" s="25"/>
      <c r="D7" s="26"/>
      <c r="E7" s="15"/>
      <c r="F7" s="15"/>
      <c r="G7" s="17">
        <f>SUM(G3:G6)</f>
        <v>5610</v>
      </c>
      <c r="H7" s="1"/>
      <c r="J7" s="6"/>
    </row>
    <row r="8" spans="1:12" x14ac:dyDescent="0.25">
      <c r="A8" s="1" t="s">
        <v>7</v>
      </c>
      <c r="B8" s="1" t="s">
        <v>1</v>
      </c>
      <c r="C8" s="1" t="s">
        <v>2</v>
      </c>
      <c r="D8" s="1" t="s">
        <v>3</v>
      </c>
      <c r="E8" s="14" t="s">
        <v>71</v>
      </c>
      <c r="F8" s="14"/>
      <c r="G8" s="1" t="s">
        <v>4</v>
      </c>
      <c r="H8" s="1" t="s">
        <v>5</v>
      </c>
      <c r="J8" s="6"/>
    </row>
    <row r="9" spans="1:12" x14ac:dyDescent="0.25">
      <c r="A9" s="23" t="s">
        <v>61</v>
      </c>
      <c r="B9" s="1" t="s">
        <v>62</v>
      </c>
      <c r="C9" s="1" t="s">
        <v>64</v>
      </c>
      <c r="D9" s="1">
        <v>17.100000000000001</v>
      </c>
      <c r="E9" s="14">
        <v>25</v>
      </c>
      <c r="F9" s="14" t="s">
        <v>89</v>
      </c>
      <c r="G9" s="19">
        <f>E9*D9</f>
        <v>427.50000000000006</v>
      </c>
      <c r="H9" s="1"/>
      <c r="J9" s="6"/>
      <c r="K9" s="7"/>
      <c r="L9" s="7"/>
    </row>
    <row r="10" spans="1:12" x14ac:dyDescent="0.25">
      <c r="A10" s="23"/>
      <c r="B10" s="8" t="s">
        <v>63</v>
      </c>
      <c r="C10" s="1" t="s">
        <v>65</v>
      </c>
      <c r="D10" s="1">
        <v>99</v>
      </c>
      <c r="E10" s="14">
        <v>10</v>
      </c>
      <c r="F10" s="14" t="s">
        <v>89</v>
      </c>
      <c r="G10" s="19">
        <f>E10*D10</f>
        <v>990</v>
      </c>
      <c r="H10" s="1"/>
      <c r="J10" s="6"/>
      <c r="K10" s="9"/>
      <c r="L10" s="7"/>
    </row>
    <row r="11" spans="1:12" x14ac:dyDescent="0.25">
      <c r="A11" s="23"/>
      <c r="B11" s="1"/>
      <c r="C11" s="1"/>
      <c r="D11" s="1"/>
      <c r="E11" s="14"/>
      <c r="F11" s="14"/>
      <c r="G11" s="1"/>
      <c r="H11" s="1"/>
      <c r="K11" s="9"/>
      <c r="L11" s="7"/>
    </row>
    <row r="12" spans="1:12" x14ac:dyDescent="0.25">
      <c r="A12" s="23"/>
      <c r="B12" s="1"/>
      <c r="C12" s="1"/>
      <c r="D12" s="1"/>
      <c r="E12" s="14"/>
      <c r="F12" s="14"/>
      <c r="G12" s="1"/>
      <c r="H12" s="1"/>
      <c r="K12" s="9"/>
      <c r="L12" s="7"/>
    </row>
    <row r="13" spans="1:12" x14ac:dyDescent="0.25">
      <c r="A13" s="23"/>
      <c r="B13" s="24" t="s">
        <v>6</v>
      </c>
      <c r="C13" s="25"/>
      <c r="D13" s="26"/>
      <c r="E13" s="15"/>
      <c r="F13" s="15"/>
      <c r="G13" s="20">
        <f>SUM(G9:G12)</f>
        <v>1417.5</v>
      </c>
      <c r="H13" s="1"/>
      <c r="K13" s="7"/>
      <c r="L13" s="7"/>
    </row>
    <row r="14" spans="1:12" x14ac:dyDescent="0.25">
      <c r="A14" s="1" t="s">
        <v>10</v>
      </c>
      <c r="B14" s="1" t="s">
        <v>1</v>
      </c>
      <c r="C14" s="1" t="s">
        <v>2</v>
      </c>
      <c r="D14" s="1" t="s">
        <v>3</v>
      </c>
      <c r="E14" s="14" t="s">
        <v>71</v>
      </c>
      <c r="F14" s="14"/>
      <c r="G14" s="1" t="s">
        <v>4</v>
      </c>
      <c r="H14" s="1" t="s">
        <v>5</v>
      </c>
      <c r="K14" s="7"/>
      <c r="L14" s="7"/>
    </row>
    <row r="15" spans="1:12" x14ac:dyDescent="0.25">
      <c r="A15" s="23" t="s">
        <v>66</v>
      </c>
      <c r="B15" s="1" t="s">
        <v>67</v>
      </c>
      <c r="C15" s="1" t="s">
        <v>70</v>
      </c>
      <c r="D15" s="1">
        <v>108</v>
      </c>
      <c r="E15" s="14">
        <v>14</v>
      </c>
      <c r="F15" s="14" t="s">
        <v>89</v>
      </c>
      <c r="G15" s="1">
        <f>E15*D15</f>
        <v>1512</v>
      </c>
      <c r="H15" s="1"/>
      <c r="K15" s="7"/>
      <c r="L15" s="7"/>
    </row>
    <row r="16" spans="1:12" x14ac:dyDescent="0.25">
      <c r="A16" s="23"/>
      <c r="B16" s="1" t="s">
        <v>68</v>
      </c>
      <c r="C16" s="1" t="s">
        <v>29</v>
      </c>
      <c r="D16" s="1">
        <v>60</v>
      </c>
      <c r="E16" s="14">
        <v>15</v>
      </c>
      <c r="F16" s="14" t="s">
        <v>89</v>
      </c>
      <c r="G16" s="14">
        <f>E16*D16</f>
        <v>900</v>
      </c>
      <c r="H16" s="22" t="s">
        <v>95</v>
      </c>
    </row>
    <row r="17" spans="1:8" x14ac:dyDescent="0.25">
      <c r="A17" s="23"/>
      <c r="B17" s="1" t="s">
        <v>69</v>
      </c>
      <c r="C17" s="1" t="s">
        <v>29</v>
      </c>
      <c r="D17" s="1">
        <v>42</v>
      </c>
      <c r="E17" s="14">
        <v>15</v>
      </c>
      <c r="F17" s="14" t="s">
        <v>89</v>
      </c>
      <c r="G17" s="14">
        <f>E17*D17</f>
        <v>630</v>
      </c>
      <c r="H17" s="22" t="s">
        <v>95</v>
      </c>
    </row>
    <row r="18" spans="1:8" x14ac:dyDescent="0.25">
      <c r="A18" s="23"/>
      <c r="B18" s="1"/>
      <c r="C18" s="1"/>
      <c r="D18" s="1"/>
      <c r="E18" s="15"/>
      <c r="F18" s="15"/>
      <c r="G18" s="3"/>
      <c r="H18" s="1"/>
    </row>
    <row r="19" spans="1:8" x14ac:dyDescent="0.25">
      <c r="A19" s="23"/>
      <c r="B19" s="24" t="s">
        <v>6</v>
      </c>
      <c r="C19" s="25"/>
      <c r="D19" s="26"/>
      <c r="E19" s="15"/>
      <c r="F19" s="15"/>
      <c r="G19" s="17">
        <f>SUM(G15:G18)</f>
        <v>3042</v>
      </c>
      <c r="H19" s="1"/>
    </row>
    <row r="20" spans="1:8" x14ac:dyDescent="0.25">
      <c r="A20" s="10" t="s">
        <v>14</v>
      </c>
      <c r="B20" s="1" t="s">
        <v>1</v>
      </c>
      <c r="C20" s="1" t="s">
        <v>2</v>
      </c>
      <c r="D20" s="1" t="s">
        <v>3</v>
      </c>
      <c r="E20" s="14" t="s">
        <v>71</v>
      </c>
      <c r="F20" s="14"/>
      <c r="G20" s="1" t="s">
        <v>4</v>
      </c>
      <c r="H20" s="1" t="s">
        <v>5</v>
      </c>
    </row>
    <row r="21" spans="1:8" x14ac:dyDescent="0.25">
      <c r="A21" s="23"/>
      <c r="B21" s="1"/>
      <c r="C21" s="1"/>
      <c r="D21" s="1"/>
      <c r="E21" s="14"/>
      <c r="F21" s="14"/>
      <c r="G21" s="1"/>
      <c r="H21" s="1"/>
    </row>
    <row r="22" spans="1:8" x14ac:dyDescent="0.25">
      <c r="A22" s="23"/>
      <c r="B22" s="1"/>
      <c r="C22" s="1"/>
      <c r="D22" s="1"/>
      <c r="E22" s="14"/>
      <c r="F22" s="14"/>
      <c r="G22" s="1"/>
      <c r="H22" s="1"/>
    </row>
    <row r="23" spans="1:8" x14ac:dyDescent="0.25">
      <c r="A23" s="23"/>
      <c r="B23" s="1"/>
      <c r="C23" s="1"/>
      <c r="D23" s="1"/>
      <c r="E23" s="14"/>
      <c r="F23" s="14"/>
      <c r="G23" s="1"/>
      <c r="H23" s="1"/>
    </row>
    <row r="24" spans="1:8" x14ac:dyDescent="0.25">
      <c r="A24" s="23"/>
      <c r="B24" s="1"/>
      <c r="C24" s="1"/>
      <c r="D24" s="1"/>
      <c r="E24" s="14"/>
      <c r="F24" s="14"/>
      <c r="G24" s="1"/>
      <c r="H24" s="1"/>
    </row>
    <row r="25" spans="1:8" x14ac:dyDescent="0.25">
      <c r="A25" s="23"/>
      <c r="B25" s="24" t="s">
        <v>6</v>
      </c>
      <c r="C25" s="25"/>
      <c r="D25" s="26"/>
      <c r="E25" s="15"/>
      <c r="F25" s="15"/>
      <c r="G25" s="3"/>
      <c r="H25" s="1"/>
    </row>
    <row r="26" spans="1:8" x14ac:dyDescent="0.25">
      <c r="A26" s="1" t="s">
        <v>15</v>
      </c>
      <c r="B26" s="1" t="s">
        <v>1</v>
      </c>
      <c r="C26" s="1" t="s">
        <v>2</v>
      </c>
      <c r="D26" s="1" t="s">
        <v>3</v>
      </c>
      <c r="E26" s="14" t="s">
        <v>71</v>
      </c>
      <c r="F26" s="14"/>
      <c r="G26" s="1" t="s">
        <v>4</v>
      </c>
      <c r="H26" s="1" t="s">
        <v>5</v>
      </c>
    </row>
    <row r="27" spans="1:8" x14ac:dyDescent="0.25">
      <c r="A27" s="23"/>
      <c r="B27" s="1"/>
      <c r="C27" s="1"/>
      <c r="D27" s="1"/>
      <c r="E27" s="14"/>
      <c r="F27" s="14"/>
      <c r="G27" s="1"/>
      <c r="H27" s="1"/>
    </row>
    <row r="28" spans="1:8" x14ac:dyDescent="0.25">
      <c r="A28" s="23"/>
      <c r="B28" s="1"/>
      <c r="C28" s="1"/>
      <c r="D28" s="1"/>
      <c r="E28" s="14"/>
      <c r="F28" s="14"/>
      <c r="G28" s="1"/>
      <c r="H28" s="1"/>
    </row>
    <row r="29" spans="1:8" x14ac:dyDescent="0.25">
      <c r="A29" s="23"/>
      <c r="B29" s="24" t="s">
        <v>6</v>
      </c>
      <c r="C29" s="25"/>
      <c r="D29" s="26"/>
      <c r="E29" s="15"/>
      <c r="F29" s="15"/>
      <c r="G29" s="3"/>
      <c r="H29" s="1"/>
    </row>
    <row r="30" spans="1:8" x14ac:dyDescent="0.25">
      <c r="A30" s="1" t="s">
        <v>17</v>
      </c>
      <c r="B30" s="1" t="s">
        <v>1</v>
      </c>
      <c r="C30" s="1" t="s">
        <v>2</v>
      </c>
      <c r="D30" s="1" t="s">
        <v>3</v>
      </c>
      <c r="E30" s="14" t="s">
        <v>71</v>
      </c>
      <c r="F30" s="14"/>
      <c r="G30" s="3" t="s">
        <v>4</v>
      </c>
      <c r="H30" s="1" t="s">
        <v>5</v>
      </c>
    </row>
    <row r="31" spans="1:8" x14ac:dyDescent="0.25">
      <c r="A31" s="30"/>
      <c r="B31" s="1" t="s">
        <v>103</v>
      </c>
      <c r="C31" s="1">
        <v>65</v>
      </c>
      <c r="D31" s="1">
        <v>15.3</v>
      </c>
      <c r="E31" s="14"/>
      <c r="F31" s="14" t="s">
        <v>89</v>
      </c>
      <c r="G31" s="19">
        <f>D31*C31</f>
        <v>994.5</v>
      </c>
      <c r="H31" s="1"/>
    </row>
    <row r="32" spans="1:8" x14ac:dyDescent="0.25">
      <c r="A32" s="31"/>
      <c r="B32" s="1" t="s">
        <v>104</v>
      </c>
      <c r="C32" s="1">
        <v>53.34</v>
      </c>
      <c r="D32" s="1">
        <v>20.16</v>
      </c>
      <c r="E32" s="14"/>
      <c r="F32" s="14" t="s">
        <v>89</v>
      </c>
      <c r="G32" s="19">
        <f>D32*C32</f>
        <v>1075.3344000000002</v>
      </c>
      <c r="H32" s="1"/>
    </row>
    <row r="33" spans="1:8" x14ac:dyDescent="0.25">
      <c r="A33" s="32"/>
      <c r="B33" s="24" t="s">
        <v>6</v>
      </c>
      <c r="C33" s="25"/>
      <c r="D33" s="26"/>
      <c r="E33" s="15"/>
      <c r="F33" s="15"/>
      <c r="G33" s="20">
        <f>SUM(G31:G32)</f>
        <v>2069.8344000000002</v>
      </c>
      <c r="H33" s="11"/>
    </row>
    <row r="34" spans="1:8" x14ac:dyDescent="0.25">
      <c r="A34" s="12" t="s">
        <v>96</v>
      </c>
      <c r="B34" s="1" t="s">
        <v>1</v>
      </c>
      <c r="C34" s="1" t="s">
        <v>2</v>
      </c>
      <c r="D34" s="1" t="s">
        <v>3</v>
      </c>
      <c r="E34" s="14" t="s">
        <v>71</v>
      </c>
      <c r="F34" s="14"/>
      <c r="G34" s="1" t="s">
        <v>4</v>
      </c>
      <c r="H34" s="1"/>
    </row>
    <row r="35" spans="1:8" x14ac:dyDescent="0.25">
      <c r="A35" s="23"/>
      <c r="B35" s="1" t="s">
        <v>97</v>
      </c>
      <c r="C35" s="1">
        <v>1</v>
      </c>
      <c r="D35" s="1">
        <v>55</v>
      </c>
      <c r="E35" s="14"/>
      <c r="F35" s="14" t="s">
        <v>98</v>
      </c>
      <c r="G35" s="1">
        <f>C35*D35</f>
        <v>55</v>
      </c>
      <c r="H35" s="22" t="s">
        <v>95</v>
      </c>
    </row>
    <row r="36" spans="1:8" x14ac:dyDescent="0.25">
      <c r="A36" s="23"/>
      <c r="B36" s="1" t="s">
        <v>99</v>
      </c>
      <c r="C36" s="1">
        <v>1</v>
      </c>
      <c r="D36" s="1">
        <v>240</v>
      </c>
      <c r="E36" s="14"/>
      <c r="F36" s="14" t="s">
        <v>100</v>
      </c>
      <c r="G36" s="14">
        <f>C36*D36</f>
        <v>240</v>
      </c>
      <c r="H36" s="22" t="s">
        <v>95</v>
      </c>
    </row>
    <row r="37" spans="1:8" x14ac:dyDescent="0.25">
      <c r="A37" s="23"/>
      <c r="B37" s="1" t="s">
        <v>101</v>
      </c>
      <c r="C37" s="1">
        <v>50</v>
      </c>
      <c r="D37" s="1">
        <v>4.5</v>
      </c>
      <c r="E37" s="14"/>
      <c r="F37" s="14" t="s">
        <v>102</v>
      </c>
      <c r="G37" s="14">
        <f>C37*D37</f>
        <v>225</v>
      </c>
      <c r="H37" s="22" t="s">
        <v>95</v>
      </c>
    </row>
    <row r="38" spans="1:8" x14ac:dyDescent="0.25">
      <c r="A38" s="23"/>
      <c r="B38" s="1" t="s">
        <v>105</v>
      </c>
      <c r="C38" s="1">
        <v>2</v>
      </c>
      <c r="D38" s="1">
        <v>108</v>
      </c>
      <c r="E38" s="14"/>
      <c r="F38" s="14" t="s">
        <v>89</v>
      </c>
      <c r="G38" s="14">
        <f t="shared" ref="G38:G39" si="0">C38*D38</f>
        <v>216</v>
      </c>
      <c r="H38" s="1"/>
    </row>
    <row r="39" spans="1:8" x14ac:dyDescent="0.25">
      <c r="A39" s="23"/>
      <c r="B39" s="14" t="s">
        <v>106</v>
      </c>
      <c r="C39" s="14">
        <v>1</v>
      </c>
      <c r="D39" s="14">
        <v>50</v>
      </c>
      <c r="E39" s="14"/>
      <c r="F39" s="14" t="s">
        <v>98</v>
      </c>
      <c r="G39" s="14">
        <f t="shared" si="0"/>
        <v>50</v>
      </c>
      <c r="H39" s="14"/>
    </row>
    <row r="40" spans="1:8" x14ac:dyDescent="0.25">
      <c r="A40" s="23"/>
      <c r="B40" s="24" t="s">
        <v>6</v>
      </c>
      <c r="C40" s="25"/>
      <c r="D40" s="26"/>
      <c r="E40" s="15"/>
      <c r="F40" s="15"/>
      <c r="G40" s="17">
        <f>SUM(G35:G39)</f>
        <v>786</v>
      </c>
      <c r="H40" s="1"/>
    </row>
    <row r="41" spans="1:8" x14ac:dyDescent="0.25">
      <c r="A41" s="1"/>
      <c r="B41" s="27" t="s">
        <v>19</v>
      </c>
      <c r="C41" s="28"/>
      <c r="D41" s="29"/>
      <c r="E41" s="16"/>
      <c r="F41" s="16"/>
      <c r="G41" s="21">
        <f>G40+G33+G19+G13+G7</f>
        <v>12925.3344</v>
      </c>
      <c r="H41" s="1"/>
    </row>
  </sheetData>
  <mergeCells count="16">
    <mergeCell ref="A15:A19"/>
    <mergeCell ref="B19:D19"/>
    <mergeCell ref="A1:H1"/>
    <mergeCell ref="A3:A7"/>
    <mergeCell ref="B7:D7"/>
    <mergeCell ref="A9:A13"/>
    <mergeCell ref="B13:D13"/>
    <mergeCell ref="A35:A40"/>
    <mergeCell ref="B40:D40"/>
    <mergeCell ref="B41:D41"/>
    <mergeCell ref="A21:A25"/>
    <mergeCell ref="B25:D25"/>
    <mergeCell ref="A27:A29"/>
    <mergeCell ref="B29:D29"/>
    <mergeCell ref="A31:A33"/>
    <mergeCell ref="B33:D33"/>
  </mergeCells>
  <phoneticPr fontId="2" type="noConversion"/>
  <pageMargins left="0.7" right="0.7" top="0.75" bottom="0.75" header="0.3" footer="0.3"/>
  <pageSetup paperSize="9" scale="98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已命名的範圍</vt:lpstr>
      </vt:variant>
      <vt:variant>
        <vt:i4>3</vt:i4>
      </vt:variant>
    </vt:vector>
  </HeadingPairs>
  <TitlesOfParts>
    <vt:vector size="6" baseType="lpstr">
      <vt:lpstr>0401</vt:lpstr>
      <vt:lpstr>0402</vt:lpstr>
      <vt:lpstr>0403</vt:lpstr>
      <vt:lpstr>'0401'!Print_Area</vt:lpstr>
      <vt:lpstr>'0402'!Print_Area</vt:lpstr>
      <vt:lpstr>'0403'!Print_Area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賴姿云</cp:lastModifiedBy>
  <cp:lastPrinted>2024-04-23T01:39:25Z</cp:lastPrinted>
  <dcterms:created xsi:type="dcterms:W3CDTF">2024-03-18T07:40:38Z</dcterms:created>
  <dcterms:modified xsi:type="dcterms:W3CDTF">2024-04-25T07:18:42Z</dcterms:modified>
</cp:coreProperties>
</file>