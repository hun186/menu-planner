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4月份\"/>
    </mc:Choice>
  </mc:AlternateContent>
  <bookViews>
    <workbookView xWindow="0" yWindow="0" windowWidth="28800" windowHeight="12255" activeTab="4"/>
  </bookViews>
  <sheets>
    <sheet name="0415" sheetId="1" r:id="rId1"/>
    <sheet name="0416" sheetId="2" r:id="rId2"/>
    <sheet name="0417" sheetId="3" r:id="rId3"/>
    <sheet name="0418" sheetId="4" r:id="rId4"/>
    <sheet name="0419" sheetId="5" r:id="rId5"/>
  </sheets>
  <definedNames>
    <definedName name="_xlnm.Print_Area" localSheetId="0">'0415'!$A$1:$H$43</definedName>
    <definedName name="_xlnm.Print_Area" localSheetId="1">'0416'!$A$1:$H$41</definedName>
    <definedName name="_xlnm.Print_Area" localSheetId="2">'0417'!$A$1:$H$45</definedName>
    <definedName name="_xlnm.Print_Area" localSheetId="3">'0418'!$A$1:$H$41</definedName>
    <definedName name="_xlnm.Print_Area" localSheetId="4">'0419'!$A$1:$H$47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5" l="1"/>
  <c r="G38" i="5"/>
  <c r="G37" i="5"/>
  <c r="G36" i="5"/>
  <c r="G46" i="5"/>
  <c r="G43" i="5"/>
  <c r="G44" i="5"/>
  <c r="G45" i="5"/>
  <c r="G28" i="5"/>
  <c r="G29" i="5"/>
  <c r="G25" i="5"/>
  <c r="G26" i="5"/>
  <c r="G27" i="5"/>
  <c r="G24" i="5"/>
  <c r="G23" i="5"/>
  <c r="G22" i="5"/>
  <c r="G32" i="5"/>
  <c r="G42" i="5"/>
  <c r="G41" i="5"/>
  <c r="G40" i="5"/>
  <c r="G30" i="5" l="1"/>
  <c r="G34" i="5" l="1"/>
  <c r="G33" i="5"/>
  <c r="G20" i="5"/>
  <c r="G17" i="5"/>
  <c r="G16" i="5"/>
  <c r="G14" i="5"/>
  <c r="G9" i="5"/>
  <c r="G7" i="5"/>
  <c r="G3" i="5"/>
  <c r="G41" i="4"/>
  <c r="G40" i="4"/>
  <c r="G37" i="4"/>
  <c r="G34" i="4"/>
  <c r="G33" i="4"/>
  <c r="G36" i="4"/>
  <c r="G32" i="4"/>
  <c r="G20" i="4"/>
  <c r="G16" i="4"/>
  <c r="G10" i="4"/>
  <c r="G11" i="4"/>
  <c r="G9" i="4"/>
  <c r="G14" i="4" s="1"/>
  <c r="G7" i="4"/>
  <c r="G3" i="4"/>
  <c r="G20" i="3" l="1"/>
  <c r="G45" i="3" s="1"/>
  <c r="G16" i="3"/>
  <c r="G30" i="3"/>
  <c r="G29" i="3"/>
  <c r="G28" i="3"/>
  <c r="G27" i="3"/>
  <c r="G26" i="3"/>
  <c r="G14" i="3"/>
  <c r="G9" i="3"/>
  <c r="G38" i="3"/>
  <c r="G37" i="3"/>
  <c r="G23" i="3"/>
  <c r="G24" i="3"/>
  <c r="G25" i="3"/>
  <c r="G22" i="3"/>
  <c r="G36" i="3"/>
  <c r="G34" i="3"/>
  <c r="G33" i="3"/>
  <c r="G32" i="3"/>
  <c r="G7" i="3"/>
  <c r="G3" i="3"/>
  <c r="G44" i="3"/>
  <c r="G41" i="3"/>
  <c r="G42" i="3"/>
  <c r="G43" i="3"/>
  <c r="G40" i="3"/>
  <c r="G41" i="2"/>
  <c r="G40" i="2"/>
  <c r="G37" i="2"/>
  <c r="G30" i="2"/>
  <c r="G26" i="2"/>
  <c r="G20" i="2"/>
  <c r="G17" i="2"/>
  <c r="G16" i="2"/>
  <c r="G14" i="2"/>
  <c r="G10" i="2"/>
  <c r="G11" i="2"/>
  <c r="G9" i="2"/>
  <c r="G34" i="2"/>
  <c r="G33" i="2"/>
  <c r="G32" i="2"/>
  <c r="G36" i="2"/>
  <c r="G29" i="2"/>
  <c r="G7" i="2"/>
  <c r="G4" i="2"/>
  <c r="G3" i="2"/>
  <c r="G22" i="2"/>
  <c r="G23" i="2"/>
  <c r="G24" i="2"/>
  <c r="G43" i="1" l="1"/>
  <c r="G38" i="1"/>
  <c r="G36" i="1"/>
  <c r="G35" i="1"/>
  <c r="G34" i="1"/>
  <c r="G20" i="1"/>
  <c r="G17" i="1"/>
  <c r="G16" i="1"/>
  <c r="G14" i="1"/>
  <c r="G10" i="1"/>
  <c r="G11" i="1"/>
  <c r="G9" i="1"/>
  <c r="G28" i="1"/>
  <c r="G7" i="1"/>
  <c r="G3" i="1"/>
  <c r="G27" i="1"/>
  <c r="G23" i="1"/>
  <c r="G24" i="1"/>
  <c r="G25" i="1"/>
  <c r="G26" i="1"/>
  <c r="G22" i="1"/>
</calcChain>
</file>

<file path=xl/sharedStrings.xml><?xml version="1.0" encoding="utf-8"?>
<sst xmlns="http://schemas.openxmlformats.org/spreadsheetml/2006/main" count="516" uniqueCount="164">
  <si>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</si>
  <si>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</si>
  <si>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</si>
  <si>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</si>
  <si>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</si>
  <si>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</si>
  <si>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</si>
  <si>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</si>
  <si>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</si>
  <si>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</si>
  <si>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</si>
  <si>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</si>
  <si>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</si>
  <si>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</si>
  <si>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4月   15日      午餐明細表</t>
    <phoneticPr fontId="2" type="noConversion"/>
  </si>
  <si>
    <t>電訊科技中心(安康營區)     113 年      4月   16日      午餐明細表</t>
    <phoneticPr fontId="2" type="noConversion"/>
  </si>
  <si>
    <t>電訊科技中心(安康營區)     113 年      4月   17日      午餐明細表</t>
    <phoneticPr fontId="2" type="noConversion"/>
  </si>
  <si>
    <t>電訊科技中心(安康營區)     113 年      4月  18日      午餐明細表</t>
    <phoneticPr fontId="2" type="noConversion"/>
  </si>
  <si>
    <t>電訊科技中心(安康營區)     113 年      4月   19日      午餐明細表</t>
    <phoneticPr fontId="2" type="noConversion"/>
  </si>
  <si>
    <t>椒鹽雞排</t>
    <phoneticPr fontId="2" type="noConversion"/>
  </si>
  <si>
    <t>調理雞排</t>
    <phoneticPr fontId="2" type="noConversion"/>
  </si>
  <si>
    <t>螞蟻上樹</t>
    <phoneticPr fontId="2" type="noConversion"/>
  </si>
  <si>
    <t>冬粉</t>
    <phoneticPr fontId="2" type="noConversion"/>
  </si>
  <si>
    <t>絞肉</t>
    <phoneticPr fontId="2" type="noConversion"/>
  </si>
  <si>
    <t>木耳絲</t>
    <phoneticPr fontId="2" type="noConversion"/>
  </si>
  <si>
    <t>胡瓜炒菇菇</t>
    <phoneticPr fontId="2" type="noConversion"/>
  </si>
  <si>
    <t>胡瓜絲</t>
    <phoneticPr fontId="2" type="noConversion"/>
  </si>
  <si>
    <t>雪白菇</t>
    <phoneticPr fontId="2" type="noConversion"/>
  </si>
  <si>
    <t>海帶芽蛋花湯</t>
    <phoneticPr fontId="2" type="noConversion"/>
  </si>
  <si>
    <t>海帶芽</t>
    <phoneticPr fontId="2" type="noConversion"/>
  </si>
  <si>
    <t>蛋</t>
    <phoneticPr fontId="2" type="noConversion"/>
  </si>
  <si>
    <t>庫存</t>
    <phoneticPr fontId="2" type="noConversion"/>
  </si>
  <si>
    <t>4件</t>
    <phoneticPr fontId="2" type="noConversion"/>
  </si>
  <si>
    <t>10斤</t>
    <phoneticPr fontId="2" type="noConversion"/>
  </si>
  <si>
    <t>5斤</t>
    <phoneticPr fontId="2" type="noConversion"/>
  </si>
  <si>
    <t>30斤</t>
    <phoneticPr fontId="2" type="noConversion"/>
  </si>
  <si>
    <t>8斤</t>
    <phoneticPr fontId="2" type="noConversion"/>
  </si>
  <si>
    <t>黑胡椒肉片</t>
    <phoneticPr fontId="2" type="noConversion"/>
  </si>
  <si>
    <t>小黃瓜炒竹輪</t>
    <phoneticPr fontId="2" type="noConversion"/>
  </si>
  <si>
    <t>魚板蒸蛋</t>
    <phoneticPr fontId="2" type="noConversion"/>
  </si>
  <si>
    <t>味增貢丸湯</t>
    <phoneticPr fontId="2" type="noConversion"/>
  </si>
  <si>
    <t>味增</t>
    <phoneticPr fontId="2" type="noConversion"/>
  </si>
  <si>
    <t>小貢丸</t>
    <phoneticPr fontId="2" type="noConversion"/>
  </si>
  <si>
    <t>2包</t>
    <phoneticPr fontId="2" type="noConversion"/>
  </si>
  <si>
    <t>火鍋魚板</t>
    <phoneticPr fontId="2" type="noConversion"/>
  </si>
  <si>
    <t>6斤</t>
    <phoneticPr fontId="2" type="noConversion"/>
  </si>
  <si>
    <t>1件</t>
    <phoneticPr fontId="2" type="noConversion"/>
  </si>
  <si>
    <t>小黃瓜</t>
    <phoneticPr fontId="2" type="noConversion"/>
  </si>
  <si>
    <t>竹輪</t>
    <phoneticPr fontId="2" type="noConversion"/>
  </si>
  <si>
    <t>川耳</t>
    <phoneticPr fontId="2" type="noConversion"/>
  </si>
  <si>
    <t>25斤</t>
    <phoneticPr fontId="2" type="noConversion"/>
  </si>
  <si>
    <t>8包</t>
    <phoneticPr fontId="2" type="noConversion"/>
  </si>
  <si>
    <t>4斤</t>
    <phoneticPr fontId="2" type="noConversion"/>
  </si>
  <si>
    <t>豬肉片</t>
    <phoneticPr fontId="2" type="noConversion"/>
  </si>
  <si>
    <t>去皮洋蔥</t>
    <phoneticPr fontId="2" type="noConversion"/>
  </si>
  <si>
    <t>45斤</t>
    <phoneticPr fontId="2" type="noConversion"/>
  </si>
  <si>
    <t>烤腿排</t>
    <phoneticPr fontId="2" type="noConversion"/>
  </si>
  <si>
    <t>蒜炒青花菜</t>
    <phoneticPr fontId="2" type="noConversion"/>
  </si>
  <si>
    <t>腿排</t>
    <phoneticPr fontId="2" type="noConversion"/>
  </si>
  <si>
    <t>270個</t>
    <phoneticPr fontId="2" type="noConversion"/>
  </si>
  <si>
    <t>冷凍青花菜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</si>
  <si>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</si>
  <si>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</si>
  <si>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</si>
  <si>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20斤</t>
    <phoneticPr fontId="2" type="noConversion"/>
  </si>
  <si>
    <t>沙茶燴飯</t>
    <phoneticPr fontId="2" type="noConversion"/>
  </si>
  <si>
    <t>桶筍片</t>
    <phoneticPr fontId="2" type="noConversion"/>
  </si>
  <si>
    <t>紅蘿蔔</t>
    <phoneticPr fontId="2" type="noConversion"/>
  </si>
  <si>
    <t>15斤</t>
    <phoneticPr fontId="2" type="noConversion"/>
  </si>
  <si>
    <t>3斤</t>
    <phoneticPr fontId="2" type="noConversion"/>
  </si>
  <si>
    <t>烤香腸</t>
    <phoneticPr fontId="2" type="noConversion"/>
  </si>
  <si>
    <t>立大香腸</t>
    <phoneticPr fontId="2" type="noConversion"/>
  </si>
  <si>
    <t>560支</t>
    <phoneticPr fontId="2" type="noConversion"/>
  </si>
  <si>
    <t>四季豆炒豆干肉片</t>
    <phoneticPr fontId="2" type="noConversion"/>
  </si>
  <si>
    <t>冷凍四季豆</t>
    <phoneticPr fontId="2" type="noConversion"/>
  </si>
  <si>
    <t>豆干4X4</t>
    <phoneticPr fontId="2" type="noConversion"/>
  </si>
  <si>
    <t>紅燒茄子</t>
    <phoneticPr fontId="2" type="noConversion"/>
  </si>
  <si>
    <t>茄子</t>
    <phoneticPr fontId="2" type="noConversion"/>
  </si>
  <si>
    <t>50斤</t>
    <phoneticPr fontId="2" type="noConversion"/>
  </si>
  <si>
    <t>綠豆湯</t>
    <phoneticPr fontId="2" type="noConversion"/>
  </si>
  <si>
    <t>綠豆</t>
    <phoneticPr fontId="2" type="noConversion"/>
  </si>
  <si>
    <t>炸雞翅</t>
    <phoneticPr fontId="2" type="noConversion"/>
  </si>
  <si>
    <t>雞翅</t>
    <phoneticPr fontId="2" type="noConversion"/>
  </si>
  <si>
    <t>230支</t>
    <phoneticPr fontId="2" type="noConversion"/>
  </si>
  <si>
    <t>紅燒馬鈴薯</t>
    <phoneticPr fontId="2" type="noConversion"/>
  </si>
  <si>
    <t>去皮馬鈴薯</t>
    <phoneticPr fontId="2" type="noConversion"/>
  </si>
  <si>
    <t>35斤</t>
    <phoneticPr fontId="2" type="noConversion"/>
  </si>
  <si>
    <t>糖醋豆腐</t>
    <phoneticPr fontId="2" type="noConversion"/>
  </si>
  <si>
    <t>4.3豆腐</t>
    <phoneticPr fontId="2" type="noConversion"/>
  </si>
  <si>
    <t>5板</t>
    <phoneticPr fontId="2" type="noConversion"/>
  </si>
  <si>
    <t>榨菜筍片湯</t>
    <phoneticPr fontId="2" type="noConversion"/>
  </si>
  <si>
    <t>榨菜絲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</si>
  <si>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</si>
  <si>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</si>
  <si>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</si>
  <si>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青蔥</t>
    <phoneticPr fontId="2" type="noConversion"/>
  </si>
  <si>
    <t>蒜仁</t>
    <phoneticPr fontId="2" type="noConversion"/>
  </si>
  <si>
    <t>洗選蛋</t>
    <phoneticPr fontId="2" type="noConversion"/>
  </si>
  <si>
    <t>食材</t>
  </si>
  <si>
    <t>數量</t>
  </si>
  <si>
    <t>單價</t>
  </si>
  <si>
    <t>訂貨數量</t>
  </si>
  <si>
    <t>杏鮑菇</t>
    <phoneticPr fontId="2" type="noConversion"/>
  </si>
  <si>
    <t>無骨香雞排</t>
    <phoneticPr fontId="2" type="noConversion"/>
  </si>
  <si>
    <t>件</t>
    <phoneticPr fontId="2" type="noConversion"/>
  </si>
  <si>
    <t>合      計</t>
    <phoneticPr fontId="2" type="noConversion"/>
  </si>
  <si>
    <t>斤</t>
    <phoneticPr fontId="2" type="noConversion"/>
  </si>
  <si>
    <t>高麗菜</t>
    <phoneticPr fontId="2" type="noConversion"/>
  </si>
  <si>
    <t>桶柑</t>
    <phoneticPr fontId="2" type="noConversion"/>
  </si>
  <si>
    <t>早餐</t>
    <phoneticPr fontId="2" type="noConversion"/>
  </si>
  <si>
    <t>冷凍蔥油餅</t>
    <phoneticPr fontId="2" type="noConversion"/>
  </si>
  <si>
    <t>包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</si>
  <si>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</si>
  <si>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</si>
  <si>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</si>
  <si>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三好米</t>
    <phoneticPr fontId="2" type="noConversion"/>
  </si>
  <si>
    <t>油菜</t>
    <phoneticPr fontId="2" type="noConversion"/>
  </si>
  <si>
    <t>烏龍麵</t>
    <phoneticPr fontId="2" type="noConversion"/>
  </si>
  <si>
    <t>晚餐</t>
    <phoneticPr fontId="2" type="noConversion"/>
  </si>
  <si>
    <t>芭樂</t>
    <phoneticPr fontId="2" type="noConversion"/>
  </si>
  <si>
    <t>吐司</t>
    <phoneticPr fontId="2" type="noConversion"/>
  </si>
  <si>
    <t>條</t>
    <phoneticPr fontId="2" type="noConversion"/>
  </si>
  <si>
    <t>酥炸粉</t>
    <phoneticPr fontId="2" type="noConversion"/>
  </si>
  <si>
    <t>黑胡椒醬</t>
    <phoneticPr fontId="2" type="noConversion"/>
  </si>
  <si>
    <t>桶</t>
    <phoneticPr fontId="2" type="noConversion"/>
  </si>
  <si>
    <t>調理米酒</t>
    <phoneticPr fontId="2" type="noConversion"/>
  </si>
  <si>
    <t>瓶</t>
    <phoneticPr fontId="2" type="noConversion"/>
  </si>
  <si>
    <t>滷包</t>
    <phoneticPr fontId="2" type="noConversion"/>
  </si>
  <si>
    <t>非合約項目</t>
    <phoneticPr fontId="2" type="noConversion"/>
  </si>
  <si>
    <t>港式蘿蔔糕</t>
    <phoneticPr fontId="2" type="noConversion"/>
  </si>
  <si>
    <t>辣豆瓣</t>
    <phoneticPr fontId="2" type="noConversion"/>
  </si>
  <si>
    <t>高鮮味素</t>
    <phoneticPr fontId="2" type="noConversion"/>
  </si>
  <si>
    <t>盒</t>
    <phoneticPr fontId="2" type="noConversion"/>
  </si>
  <si>
    <t>烹大師</t>
    <phoneticPr fontId="2" type="noConversion"/>
  </si>
  <si>
    <t>空酒瓶(減項)</t>
    <phoneticPr fontId="2" type="noConversion"/>
  </si>
  <si>
    <t>斤</t>
    <phoneticPr fontId="2" type="noConversion"/>
  </si>
  <si>
    <t>鵝白菜</t>
    <phoneticPr fontId="2" type="noConversion"/>
  </si>
  <si>
    <t>水餃</t>
    <phoneticPr fontId="2" type="noConversion"/>
  </si>
  <si>
    <t>包</t>
    <phoneticPr fontId="2" type="noConversion"/>
  </si>
  <si>
    <t>芭樂</t>
    <phoneticPr fontId="2" type="noConversion"/>
  </si>
  <si>
    <t>非合約項目</t>
    <phoneticPr fontId="2" type="noConversion"/>
  </si>
  <si>
    <t>早餐/晚餐</t>
    <phoneticPr fontId="2" type="noConversion"/>
  </si>
  <si>
    <t>厚片土司</t>
    <phoneticPr fontId="2" type="noConversion"/>
  </si>
  <si>
    <t>條</t>
    <phoneticPr fontId="2" type="noConversion"/>
  </si>
  <si>
    <t>盤</t>
    <phoneticPr fontId="2" type="noConversion"/>
  </si>
  <si>
    <t>油麵</t>
    <phoneticPr fontId="2" type="noConversion"/>
  </si>
  <si>
    <t>滷蛋</t>
    <phoneticPr fontId="2" type="noConversion"/>
  </si>
  <si>
    <t>個</t>
    <phoneticPr fontId="2" type="noConversion"/>
  </si>
  <si>
    <t>四角油豆腐</t>
    <phoneticPr fontId="2" type="noConversion"/>
  </si>
  <si>
    <t>香菇素蠔油(6K)</t>
    <phoneticPr fontId="2" type="noConversion"/>
  </si>
  <si>
    <t>金蘭醬油(5L)</t>
    <phoneticPr fontId="2" type="noConversion"/>
  </si>
  <si>
    <t>金蘭甘醇油膏</t>
    <phoneticPr fontId="2" type="noConversion"/>
  </si>
  <si>
    <t>味霖</t>
    <phoneticPr fontId="2" type="noConversion"/>
  </si>
  <si>
    <t>工研烏醋</t>
    <phoneticPr fontId="2" type="noConversion"/>
  </si>
  <si>
    <t>工研白醋</t>
    <phoneticPr fontId="2" type="noConversion"/>
  </si>
  <si>
    <t>黑麻油</t>
    <phoneticPr fontId="2" type="noConversion"/>
  </si>
  <si>
    <t>非基改味噌</t>
    <phoneticPr fontId="2" type="noConversion"/>
  </si>
  <si>
    <t>慶豐貢丸</t>
    <phoneticPr fontId="2" type="noConversion"/>
  </si>
  <si>
    <t>鍋貼</t>
    <phoneticPr fontId="2" type="noConversion"/>
  </si>
  <si>
    <t>芭芒柳</t>
    <phoneticPr fontId="2" type="noConversion"/>
  </si>
  <si>
    <t>瓶</t>
    <phoneticPr fontId="2" type="noConversion"/>
  </si>
  <si>
    <t>高麗菜</t>
    <phoneticPr fontId="2" type="noConversion"/>
  </si>
  <si>
    <t>木瓜</t>
    <phoneticPr fontId="2" type="noConversion"/>
  </si>
  <si>
    <t>25個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</si>
</sst>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00_ "/>
  </numFmts>
  <fonts count="11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color rgb="FF00B05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topLeftCell="A5" workbookViewId="0">
      <selection activeCell="E29" sqref="E29:F2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3" t="s">
        <v>14</v>
      </c>
      <c r="B1" s="34"/>
      <c r="C1" s="34"/>
      <c r="D1" s="34"/>
      <c r="E1" s="34"/>
      <c r="F1" s="34"/>
      <c r="G1" s="34"/>
      <c r="H1" s="35"/>
    </row>
    <row r="2" spans="1:11" x14ac:dyDescent="0.25">
      <c r="A2" s="1" t="s">
        <v>0</v>
      </c>
      <c r="B2" s="9" t="s">
        <v>98</v>
      </c>
      <c r="C2" s="9" t="s">
        <v>99</v>
      </c>
      <c r="D2" s="9" t="s">
        <v>100</v>
      </c>
      <c r="E2" s="9" t="s">
        <v>101</v>
      </c>
      <c r="F2" s="9"/>
      <c r="G2" s="1" t="s">
        <v>4</v>
      </c>
      <c r="H2" s="1" t="s">
        <v>5</v>
      </c>
    </row>
    <row r="3" spans="1:11" x14ac:dyDescent="0.25">
      <c r="A3" s="23" t="s">
        <v>19</v>
      </c>
      <c r="B3" s="1" t="s">
        <v>20</v>
      </c>
      <c r="C3" s="1" t="s">
        <v>32</v>
      </c>
      <c r="D3" s="1">
        <v>1164</v>
      </c>
      <c r="E3" s="9">
        <v>4</v>
      </c>
      <c r="F3" s="9" t="s">
        <v>104</v>
      </c>
      <c r="G3" s="1">
        <f>E3*D3</f>
        <v>4656</v>
      </c>
      <c r="H3" s="1" t="s">
        <v>103</v>
      </c>
    </row>
    <row r="4" spans="1:11" x14ac:dyDescent="0.25">
      <c r="A4" s="23"/>
      <c r="B4" s="1"/>
      <c r="C4" s="1"/>
      <c r="D4" s="1"/>
      <c r="E4" s="9"/>
      <c r="F4" s="9"/>
      <c r="G4" s="1"/>
      <c r="H4" s="1"/>
    </row>
    <row r="5" spans="1:11" x14ac:dyDescent="0.25">
      <c r="A5" s="23"/>
      <c r="B5" s="1"/>
      <c r="C5" s="1"/>
      <c r="D5" s="1"/>
      <c r="E5" s="9"/>
      <c r="F5" s="9"/>
      <c r="G5" s="1"/>
      <c r="H5" s="1"/>
    </row>
    <row r="6" spans="1:11" x14ac:dyDescent="0.25">
      <c r="A6" s="23"/>
      <c r="B6" s="1"/>
      <c r="C6" s="1"/>
      <c r="D6" s="1"/>
      <c r="E6" s="10"/>
      <c r="F6" s="10"/>
      <c r="G6" s="2"/>
      <c r="H6" s="1"/>
    </row>
    <row r="7" spans="1:11" x14ac:dyDescent="0.25">
      <c r="A7" s="23"/>
      <c r="B7" s="24" t="s">
        <v>6</v>
      </c>
      <c r="C7" s="25"/>
      <c r="D7" s="26"/>
      <c r="E7" s="10"/>
      <c r="F7" s="10"/>
      <c r="G7" s="18">
        <f>G3</f>
        <v>4656</v>
      </c>
      <c r="H7" s="1"/>
    </row>
    <row r="8" spans="1:11" x14ac:dyDescent="0.25">
      <c r="A8" s="1" t="s">
        <v>7</v>
      </c>
      <c r="B8" s="9" t="s">
        <v>98</v>
      </c>
      <c r="C8" s="9" t="s">
        <v>99</v>
      </c>
      <c r="D8" s="9" t="s">
        <v>100</v>
      </c>
      <c r="E8" s="9" t="s">
        <v>101</v>
      </c>
      <c r="F8" s="9"/>
      <c r="G8" s="1" t="s">
        <v>4</v>
      </c>
      <c r="H8" s="1" t="s">
        <v>5</v>
      </c>
      <c r="K8" s="3"/>
    </row>
    <row r="9" spans="1:11" x14ac:dyDescent="0.25">
      <c r="A9" s="23" t="s">
        <v>21</v>
      </c>
      <c r="B9" s="1" t="s">
        <v>22</v>
      </c>
      <c r="C9" s="1" t="s">
        <v>33</v>
      </c>
      <c r="D9" s="1">
        <v>93</v>
      </c>
      <c r="E9" s="9">
        <v>10</v>
      </c>
      <c r="F9" s="9" t="s">
        <v>106</v>
      </c>
      <c r="G9" s="1">
        <f>E9*D9</f>
        <v>930</v>
      </c>
      <c r="H9" s="1"/>
      <c r="K9" s="4"/>
    </row>
    <row r="10" spans="1:11" x14ac:dyDescent="0.25">
      <c r="A10" s="23"/>
      <c r="B10" s="1" t="s">
        <v>23</v>
      </c>
      <c r="C10" s="1" t="s">
        <v>34</v>
      </c>
      <c r="D10" s="1">
        <v>93</v>
      </c>
      <c r="E10" s="9">
        <v>5</v>
      </c>
      <c r="F10" s="9" t="s">
        <v>106</v>
      </c>
      <c r="G10" s="9">
        <f t="shared" ref="G10:G11" si="0">E10*D10</f>
        <v>465</v>
      </c>
      <c r="H10" s="1"/>
      <c r="K10" s="4"/>
    </row>
    <row r="11" spans="1:11" x14ac:dyDescent="0.25">
      <c r="A11" s="23"/>
      <c r="B11" s="1" t="s">
        <v>24</v>
      </c>
      <c r="C11" s="1" t="s">
        <v>34</v>
      </c>
      <c r="D11" s="1">
        <v>45</v>
      </c>
      <c r="E11" s="9">
        <v>5</v>
      </c>
      <c r="F11" s="9" t="s">
        <v>106</v>
      </c>
      <c r="G11" s="9">
        <f t="shared" si="0"/>
        <v>225</v>
      </c>
      <c r="H11" s="1"/>
      <c r="K11" s="4"/>
    </row>
    <row r="12" spans="1:11" x14ac:dyDescent="0.25">
      <c r="A12" s="23"/>
      <c r="B12" s="1"/>
      <c r="C12" s="1"/>
      <c r="D12" s="1"/>
      <c r="E12" s="9"/>
      <c r="F12" s="9"/>
      <c r="G12" s="1"/>
      <c r="H12" s="1"/>
      <c r="K12" s="4"/>
    </row>
    <row r="13" spans="1:11" x14ac:dyDescent="0.25">
      <c r="A13" s="23"/>
      <c r="B13" s="1"/>
      <c r="C13" s="1"/>
      <c r="D13" s="1"/>
      <c r="E13" s="9"/>
      <c r="F13" s="9"/>
      <c r="G13" s="1"/>
      <c r="H13" s="1"/>
      <c r="K13" s="5"/>
    </row>
    <row r="14" spans="1:11" x14ac:dyDescent="0.25">
      <c r="A14" s="23"/>
      <c r="B14" s="24" t="s">
        <v>6</v>
      </c>
      <c r="C14" s="25"/>
      <c r="D14" s="26"/>
      <c r="E14" s="10"/>
      <c r="F14" s="10"/>
      <c r="G14" s="18">
        <f>SUM(G9:G13)</f>
        <v>1620</v>
      </c>
      <c r="H14" s="1"/>
    </row>
    <row r="15" spans="1:11" x14ac:dyDescent="0.25">
      <c r="A15" s="1" t="s">
        <v>8</v>
      </c>
      <c r="B15" s="9" t="s">
        <v>98</v>
      </c>
      <c r="C15" s="9" t="s">
        <v>99</v>
      </c>
      <c r="D15" s="9" t="s">
        <v>100</v>
      </c>
      <c r="E15" s="9" t="s">
        <v>101</v>
      </c>
      <c r="F15" s="9"/>
      <c r="G15" s="1" t="s">
        <v>4</v>
      </c>
      <c r="H15" s="1" t="s">
        <v>5</v>
      </c>
    </row>
    <row r="16" spans="1:11" x14ac:dyDescent="0.25">
      <c r="A16" s="23" t="s">
        <v>25</v>
      </c>
      <c r="B16" s="1" t="s">
        <v>26</v>
      </c>
      <c r="C16" s="1" t="s">
        <v>35</v>
      </c>
      <c r="D16" s="1">
        <v>22.8</v>
      </c>
      <c r="E16" s="9">
        <v>30</v>
      </c>
      <c r="F16" s="9" t="s">
        <v>106</v>
      </c>
      <c r="G16" s="1">
        <f>E16*D16</f>
        <v>684</v>
      </c>
      <c r="H16" s="1"/>
    </row>
    <row r="17" spans="1:8" x14ac:dyDescent="0.25">
      <c r="A17" s="23"/>
      <c r="B17" s="1" t="s">
        <v>27</v>
      </c>
      <c r="C17" s="1" t="s">
        <v>36</v>
      </c>
      <c r="D17" s="1">
        <v>90</v>
      </c>
      <c r="E17" s="9">
        <v>8</v>
      </c>
      <c r="F17" s="9" t="s">
        <v>106</v>
      </c>
      <c r="G17" s="9">
        <f>E17*D17</f>
        <v>720</v>
      </c>
      <c r="H17" s="1"/>
    </row>
    <row r="18" spans="1:8" x14ac:dyDescent="0.25">
      <c r="A18" s="23"/>
      <c r="B18" s="1"/>
      <c r="C18" s="1"/>
      <c r="D18" s="1"/>
      <c r="E18" s="9"/>
      <c r="F18" s="9"/>
      <c r="G18" s="1"/>
      <c r="H18" s="1"/>
    </row>
    <row r="19" spans="1:8" x14ac:dyDescent="0.25">
      <c r="A19" s="23"/>
      <c r="B19" s="1"/>
      <c r="C19" s="1"/>
      <c r="D19" s="1"/>
      <c r="E19" s="10"/>
      <c r="F19" s="10"/>
      <c r="G19" s="2"/>
      <c r="H19" s="1"/>
    </row>
    <row r="20" spans="1:8" x14ac:dyDescent="0.25">
      <c r="A20" s="23"/>
      <c r="B20" s="24" t="s">
        <v>6</v>
      </c>
      <c r="C20" s="25"/>
      <c r="D20" s="26"/>
      <c r="E20" s="10"/>
      <c r="F20" s="10"/>
      <c r="G20" s="18">
        <f>SUM(G16:G19)</f>
        <v>1404</v>
      </c>
      <c r="H20" s="1"/>
    </row>
    <row r="21" spans="1:8" x14ac:dyDescent="0.25">
      <c r="A21" s="6" t="s">
        <v>9</v>
      </c>
      <c r="B21" s="9" t="s">
        <v>98</v>
      </c>
      <c r="C21" s="9" t="s">
        <v>99</v>
      </c>
      <c r="D21" s="9" t="s">
        <v>100</v>
      </c>
      <c r="E21" s="9" t="s">
        <v>101</v>
      </c>
      <c r="F21" s="9"/>
      <c r="G21" s="1" t="s">
        <v>4</v>
      </c>
      <c r="H21" s="1" t="s">
        <v>5</v>
      </c>
    </row>
    <row r="22" spans="1:8" x14ac:dyDescent="0.25">
      <c r="A22" s="30"/>
      <c r="B22" s="9" t="s">
        <v>92</v>
      </c>
      <c r="C22" s="9"/>
      <c r="D22" s="9">
        <v>150</v>
      </c>
      <c r="E22" s="15">
        <v>2</v>
      </c>
      <c r="F22" s="9" t="s">
        <v>93</v>
      </c>
      <c r="G22" s="1">
        <f>E22*D22</f>
        <v>300</v>
      </c>
      <c r="H22" s="1"/>
    </row>
    <row r="23" spans="1:8" x14ac:dyDescent="0.25">
      <c r="A23" s="31"/>
      <c r="B23" s="9" t="s">
        <v>94</v>
      </c>
      <c r="C23" s="9"/>
      <c r="D23" s="9">
        <v>49.5</v>
      </c>
      <c r="E23" s="15">
        <v>0.5</v>
      </c>
      <c r="F23" s="9" t="s">
        <v>93</v>
      </c>
      <c r="G23" s="17">
        <f t="shared" ref="G23:G27" si="1">E23*D23</f>
        <v>24.75</v>
      </c>
      <c r="H23" s="1"/>
    </row>
    <row r="24" spans="1:8" x14ac:dyDescent="0.25">
      <c r="A24" s="31"/>
      <c r="B24" s="9" t="s">
        <v>95</v>
      </c>
      <c r="C24" s="9"/>
      <c r="D24" s="9">
        <v>27.9</v>
      </c>
      <c r="E24" s="15">
        <v>5</v>
      </c>
      <c r="F24" s="9" t="s">
        <v>93</v>
      </c>
      <c r="G24" s="17">
        <f t="shared" si="1"/>
        <v>139.5</v>
      </c>
      <c r="H24" s="1"/>
    </row>
    <row r="25" spans="1:8" x14ac:dyDescent="0.25">
      <c r="A25" s="31"/>
      <c r="B25" s="9" t="s">
        <v>96</v>
      </c>
      <c r="C25" s="9"/>
      <c r="D25" s="9">
        <v>132.6</v>
      </c>
      <c r="E25" s="15">
        <v>8</v>
      </c>
      <c r="F25" s="9" t="s">
        <v>93</v>
      </c>
      <c r="G25" s="17">
        <f t="shared" si="1"/>
        <v>1060.8</v>
      </c>
      <c r="H25" s="1"/>
    </row>
    <row r="26" spans="1:8" x14ac:dyDescent="0.25">
      <c r="A26" s="31"/>
      <c r="B26" s="9" t="s">
        <v>97</v>
      </c>
      <c r="C26" s="9"/>
      <c r="D26" s="9">
        <v>58.8</v>
      </c>
      <c r="E26" s="15">
        <v>40</v>
      </c>
      <c r="F26" s="9" t="s">
        <v>93</v>
      </c>
      <c r="G26" s="9">
        <f t="shared" si="1"/>
        <v>2352</v>
      </c>
      <c r="H26" s="1"/>
    </row>
    <row r="27" spans="1:8" x14ac:dyDescent="0.25">
      <c r="A27" s="31"/>
      <c r="B27" s="9" t="s">
        <v>102</v>
      </c>
      <c r="C27" s="9"/>
      <c r="D27" s="9">
        <v>82.5</v>
      </c>
      <c r="E27" s="15">
        <v>4</v>
      </c>
      <c r="F27" s="9" t="s">
        <v>93</v>
      </c>
      <c r="G27" s="9">
        <f t="shared" si="1"/>
        <v>330</v>
      </c>
      <c r="H27" s="9"/>
    </row>
    <row r="28" spans="1:8" x14ac:dyDescent="0.25">
      <c r="A28" s="32"/>
      <c r="B28" s="24" t="s">
        <v>105</v>
      </c>
      <c r="C28" s="25"/>
      <c r="D28" s="26"/>
      <c r="E28" s="15"/>
      <c r="F28" s="9"/>
      <c r="G28" s="19">
        <f>SUM(G22:G27)</f>
        <v>4207.05</v>
      </c>
      <c r="H28" s="9"/>
    </row>
    <row r="29" spans="1:8" x14ac:dyDescent="0.25">
      <c r="A29" s="1" t="s">
        <v>10</v>
      </c>
      <c r="B29" s="9" t="s">
        <v>98</v>
      </c>
      <c r="C29" s="9" t="s">
        <v>99</v>
      </c>
      <c r="D29" s="9" t="s">
        <v>100</v>
      </c>
      <c r="E29" s="9" t="s">
        <v>101</v>
      </c>
      <c r="F29" s="9"/>
      <c r="G29" s="1" t="s">
        <v>4</v>
      </c>
      <c r="H29" s="1" t="s">
        <v>5</v>
      </c>
    </row>
    <row r="30" spans="1:8" x14ac:dyDescent="0.25">
      <c r="A30" s="23" t="s">
        <v>28</v>
      </c>
      <c r="B30" s="1" t="s">
        <v>29</v>
      </c>
      <c r="C30" s="1"/>
      <c r="D30" s="1"/>
      <c r="E30" s="9"/>
      <c r="F30" s="9"/>
      <c r="G30" s="1"/>
      <c r="H30" s="1" t="s">
        <v>31</v>
      </c>
    </row>
    <row r="31" spans="1:8" x14ac:dyDescent="0.25">
      <c r="A31" s="23"/>
      <c r="B31" s="1" t="s">
        <v>30</v>
      </c>
      <c r="C31" s="1"/>
      <c r="D31" s="1"/>
      <c r="E31" s="9"/>
      <c r="F31" s="9"/>
      <c r="G31" s="1"/>
      <c r="H31" s="1" t="s">
        <v>31</v>
      </c>
    </row>
    <row r="32" spans="1:8" x14ac:dyDescent="0.25">
      <c r="A32" s="23"/>
      <c r="B32" s="24" t="s">
        <v>6</v>
      </c>
      <c r="C32" s="25"/>
      <c r="D32" s="26"/>
      <c r="E32" s="10"/>
      <c r="F32" s="10"/>
      <c r="G32" s="2"/>
      <c r="H32" s="1"/>
    </row>
    <row r="33" spans="1:8" x14ac:dyDescent="0.25">
      <c r="A33" s="1" t="s">
        <v>11</v>
      </c>
      <c r="B33" s="9" t="s">
        <v>98</v>
      </c>
      <c r="C33" s="9" t="s">
        <v>99</v>
      </c>
      <c r="D33" s="9" t="s">
        <v>100</v>
      </c>
      <c r="E33" s="10" t="s">
        <v>101</v>
      </c>
      <c r="F33" s="10"/>
      <c r="G33" s="2" t="s">
        <v>4</v>
      </c>
      <c r="H33" s="1" t="s">
        <v>5</v>
      </c>
    </row>
    <row r="34" spans="1:8" x14ac:dyDescent="0.25">
      <c r="A34" s="30"/>
      <c r="B34" s="1" t="s">
        <v>107</v>
      </c>
      <c r="C34" s="1">
        <v>65</v>
      </c>
      <c r="D34" s="1">
        <v>15.3</v>
      </c>
      <c r="E34" s="9"/>
      <c r="F34" s="9" t="s">
        <v>106</v>
      </c>
      <c r="G34" s="17">
        <f>D34*C34</f>
        <v>994.5</v>
      </c>
      <c r="H34" s="1"/>
    </row>
    <row r="35" spans="1:8" x14ac:dyDescent="0.25">
      <c r="A35" s="31"/>
      <c r="B35" s="1" t="s">
        <v>108</v>
      </c>
      <c r="C35" s="1">
        <v>66.67</v>
      </c>
      <c r="D35" s="1">
        <v>19.2</v>
      </c>
      <c r="E35" s="9"/>
      <c r="F35" s="9" t="s">
        <v>106</v>
      </c>
      <c r="G35" s="17">
        <f>D35*C35</f>
        <v>1280.0640000000001</v>
      </c>
      <c r="H35" s="1"/>
    </row>
    <row r="36" spans="1:8" x14ac:dyDescent="0.25">
      <c r="A36" s="32"/>
      <c r="B36" s="24" t="s">
        <v>6</v>
      </c>
      <c r="C36" s="25"/>
      <c r="D36" s="26"/>
      <c r="E36" s="10"/>
      <c r="F36" s="10"/>
      <c r="G36" s="20">
        <f>SUM(G34:G35)</f>
        <v>2274.5640000000003</v>
      </c>
      <c r="H36" s="7"/>
    </row>
    <row r="37" spans="1:8" x14ac:dyDescent="0.25">
      <c r="A37" s="8" t="s">
        <v>109</v>
      </c>
      <c r="B37" s="9" t="s">
        <v>98</v>
      </c>
      <c r="C37" s="9" t="s">
        <v>99</v>
      </c>
      <c r="D37" s="9" t="s">
        <v>100</v>
      </c>
      <c r="E37" s="9" t="s">
        <v>101</v>
      </c>
      <c r="F37" s="9"/>
      <c r="G37" s="1" t="s">
        <v>4</v>
      </c>
      <c r="H37" s="1"/>
    </row>
    <row r="38" spans="1:8" x14ac:dyDescent="0.25">
      <c r="A38" s="23"/>
      <c r="B38" s="1" t="s">
        <v>110</v>
      </c>
      <c r="C38" s="1">
        <v>1</v>
      </c>
      <c r="D38" s="1">
        <v>110</v>
      </c>
      <c r="E38" s="9"/>
      <c r="F38" s="9" t="s">
        <v>111</v>
      </c>
      <c r="G38" s="1">
        <f>D38*C38</f>
        <v>110</v>
      </c>
      <c r="H38" s="1"/>
    </row>
    <row r="39" spans="1:8" x14ac:dyDescent="0.25">
      <c r="A39" s="23"/>
      <c r="B39" s="1"/>
      <c r="C39" s="1"/>
      <c r="D39" s="1"/>
      <c r="E39" s="9"/>
      <c r="F39" s="9"/>
      <c r="G39" s="1"/>
      <c r="H39" s="1"/>
    </row>
    <row r="40" spans="1:8" x14ac:dyDescent="0.25">
      <c r="A40" s="23"/>
      <c r="B40" s="1"/>
      <c r="C40" s="1"/>
      <c r="D40" s="1"/>
      <c r="E40" s="9"/>
      <c r="F40" s="9"/>
      <c r="G40" s="1"/>
      <c r="H40" s="1"/>
    </row>
    <row r="41" spans="1:8" x14ac:dyDescent="0.25">
      <c r="A41" s="23"/>
      <c r="B41" s="1"/>
      <c r="C41" s="1"/>
      <c r="D41" s="1"/>
      <c r="E41" s="9"/>
      <c r="F41" s="9"/>
      <c r="G41" s="1"/>
      <c r="H41" s="1"/>
    </row>
    <row r="42" spans="1:8" x14ac:dyDescent="0.25">
      <c r="A42" s="23"/>
      <c r="B42" s="24" t="s">
        <v>6</v>
      </c>
      <c r="C42" s="25"/>
      <c r="D42" s="26"/>
      <c r="E42" s="10"/>
      <c r="F42" s="10"/>
      <c r="G42" s="18">
        <v>110</v>
      </c>
      <c r="H42" s="1"/>
    </row>
    <row r="43" spans="1:8" x14ac:dyDescent="0.25">
      <c r="A43" s="1"/>
      <c r="B43" s="27" t="s">
        <v>13</v>
      </c>
      <c r="C43" s="28"/>
      <c r="D43" s="29"/>
      <c r="E43" s="11"/>
      <c r="F43" s="11"/>
      <c r="G43" s="21">
        <f>G42+G36+G28+G20+G14+G7</f>
        <v>14271.614000000001</v>
      </c>
      <c r="H43" s="1"/>
    </row>
  </sheetData>
  <mergeCells count="16">
    <mergeCell ref="A22:A28"/>
    <mergeCell ref="B28:D28"/>
    <mergeCell ref="A16:A20"/>
    <mergeCell ref="B20:D20"/>
    <mergeCell ref="A1:H1"/>
    <mergeCell ref="A3:A7"/>
    <mergeCell ref="B7:D7"/>
    <mergeCell ref="A9:A14"/>
    <mergeCell ref="B14:D14"/>
    <mergeCell ref="A38:A42"/>
    <mergeCell ref="B42:D42"/>
    <mergeCell ref="B43:D43"/>
    <mergeCell ref="A30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opLeftCell="A24" workbookViewId="0">
      <selection activeCell="E27" sqref="E27:F2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3" t="s">
        <v>15</v>
      </c>
      <c r="B1" s="34"/>
      <c r="C1" s="34"/>
      <c r="D1" s="34"/>
      <c r="E1" s="34"/>
      <c r="F1" s="34"/>
      <c r="G1" s="34"/>
      <c r="H1" s="3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101</v>
      </c>
      <c r="F2" s="9"/>
      <c r="G2" s="1" t="s">
        <v>4</v>
      </c>
      <c r="H2" s="1" t="s">
        <v>5</v>
      </c>
    </row>
    <row r="3" spans="1:11" x14ac:dyDescent="0.25">
      <c r="A3" s="23" t="s">
        <v>37</v>
      </c>
      <c r="B3" s="1" t="s">
        <v>53</v>
      </c>
      <c r="C3" s="1" t="s">
        <v>55</v>
      </c>
      <c r="D3" s="1">
        <v>99</v>
      </c>
      <c r="E3" s="9">
        <v>45</v>
      </c>
      <c r="F3" s="9" t="s">
        <v>106</v>
      </c>
      <c r="G3" s="1">
        <f>E3*D3</f>
        <v>4455</v>
      </c>
      <c r="H3" s="1"/>
    </row>
    <row r="4" spans="1:11" x14ac:dyDescent="0.25">
      <c r="A4" s="23"/>
      <c r="B4" s="1" t="s">
        <v>54</v>
      </c>
      <c r="C4" s="1" t="s">
        <v>36</v>
      </c>
      <c r="D4" s="1">
        <v>30.6</v>
      </c>
      <c r="E4" s="9">
        <v>8</v>
      </c>
      <c r="F4" s="9" t="s">
        <v>106</v>
      </c>
      <c r="G4" s="9">
        <f>E4*D4</f>
        <v>244.8</v>
      </c>
      <c r="H4" s="1"/>
    </row>
    <row r="5" spans="1:11" x14ac:dyDescent="0.25">
      <c r="A5" s="23"/>
      <c r="B5" s="1"/>
      <c r="C5" s="1"/>
      <c r="D5" s="1"/>
      <c r="E5" s="9"/>
      <c r="F5" s="9"/>
      <c r="G5" s="1"/>
      <c r="H5" s="1"/>
    </row>
    <row r="6" spans="1:11" x14ac:dyDescent="0.25">
      <c r="A6" s="23"/>
      <c r="B6" s="1"/>
      <c r="C6" s="1"/>
      <c r="D6" s="1"/>
      <c r="E6" s="10"/>
      <c r="F6" s="10"/>
      <c r="G6" s="2"/>
      <c r="H6" s="1"/>
    </row>
    <row r="7" spans="1:11" x14ac:dyDescent="0.25">
      <c r="A7" s="23"/>
      <c r="B7" s="24" t="s">
        <v>6</v>
      </c>
      <c r="C7" s="25"/>
      <c r="D7" s="26"/>
      <c r="E7" s="10"/>
      <c r="F7" s="10"/>
      <c r="G7" s="20">
        <f>SUM(G3:G6)</f>
        <v>4699.8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9" t="s">
        <v>101</v>
      </c>
      <c r="F8" s="9"/>
      <c r="G8" s="1" t="s">
        <v>4</v>
      </c>
      <c r="H8" s="1" t="s">
        <v>5</v>
      </c>
      <c r="K8" s="3"/>
    </row>
    <row r="9" spans="1:11" x14ac:dyDescent="0.25">
      <c r="A9" s="23" t="s">
        <v>38</v>
      </c>
      <c r="B9" s="1" t="s">
        <v>47</v>
      </c>
      <c r="C9" s="1" t="s">
        <v>50</v>
      </c>
      <c r="D9" s="1">
        <v>30.6</v>
      </c>
      <c r="E9" s="9">
        <v>25</v>
      </c>
      <c r="F9" s="9" t="s">
        <v>106</v>
      </c>
      <c r="G9" s="1">
        <f>E9*D9</f>
        <v>765</v>
      </c>
      <c r="H9" s="1"/>
      <c r="K9" s="4"/>
    </row>
    <row r="10" spans="1:11" x14ac:dyDescent="0.25">
      <c r="A10" s="23"/>
      <c r="B10" s="1" t="s">
        <v>48</v>
      </c>
      <c r="C10" s="1" t="s">
        <v>51</v>
      </c>
      <c r="D10" s="1">
        <v>85</v>
      </c>
      <c r="E10" s="9">
        <v>8</v>
      </c>
      <c r="F10" s="9" t="s">
        <v>111</v>
      </c>
      <c r="G10" s="9">
        <f t="shared" ref="G10:G11" si="0">E10*D10</f>
        <v>680</v>
      </c>
      <c r="H10" s="1"/>
      <c r="K10" s="4"/>
    </row>
    <row r="11" spans="1:11" x14ac:dyDescent="0.25">
      <c r="A11" s="23"/>
      <c r="B11" s="1" t="s">
        <v>49</v>
      </c>
      <c r="C11" s="1" t="s">
        <v>52</v>
      </c>
      <c r="D11" s="1">
        <v>85</v>
      </c>
      <c r="E11" s="9">
        <v>4</v>
      </c>
      <c r="F11" s="9" t="s">
        <v>106</v>
      </c>
      <c r="G11" s="9">
        <f t="shared" si="0"/>
        <v>340</v>
      </c>
      <c r="H11" s="1"/>
      <c r="K11" s="4"/>
    </row>
    <row r="12" spans="1:11" x14ac:dyDescent="0.25">
      <c r="A12" s="23"/>
      <c r="B12" s="1"/>
      <c r="C12" s="1"/>
      <c r="D12" s="1"/>
      <c r="E12" s="9"/>
      <c r="F12" s="9"/>
      <c r="G12" s="1"/>
      <c r="H12" s="1"/>
      <c r="K12" s="4"/>
    </row>
    <row r="13" spans="1:11" x14ac:dyDescent="0.25">
      <c r="A13" s="23"/>
      <c r="B13" s="1"/>
      <c r="C13" s="1"/>
      <c r="D13" s="1"/>
      <c r="E13" s="9"/>
      <c r="F13" s="9"/>
      <c r="G13" s="1"/>
      <c r="H13" s="1"/>
      <c r="K13" s="5"/>
    </row>
    <row r="14" spans="1:11" x14ac:dyDescent="0.25">
      <c r="A14" s="23"/>
      <c r="B14" s="24" t="s">
        <v>6</v>
      </c>
      <c r="C14" s="25"/>
      <c r="D14" s="26"/>
      <c r="E14" s="10"/>
      <c r="F14" s="10"/>
      <c r="G14" s="18">
        <f>SUM(G9:G13)</f>
        <v>1785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9" t="s">
        <v>101</v>
      </c>
      <c r="F15" s="9"/>
      <c r="G15" s="1" t="s">
        <v>4</v>
      </c>
      <c r="H15" s="1" t="s">
        <v>5</v>
      </c>
    </row>
    <row r="16" spans="1:11" x14ac:dyDescent="0.25">
      <c r="A16" s="23" t="s">
        <v>39</v>
      </c>
      <c r="B16" s="1" t="s">
        <v>44</v>
      </c>
      <c r="C16" s="1" t="s">
        <v>45</v>
      </c>
      <c r="D16" s="1">
        <v>120</v>
      </c>
      <c r="E16" s="9">
        <v>6</v>
      </c>
      <c r="F16" s="9" t="s">
        <v>106</v>
      </c>
      <c r="G16" s="1">
        <f>E16*D16</f>
        <v>720</v>
      </c>
      <c r="H16" s="1"/>
    </row>
    <row r="17" spans="1:8" x14ac:dyDescent="0.25">
      <c r="A17" s="23"/>
      <c r="B17" s="1" t="s">
        <v>30</v>
      </c>
      <c r="C17" s="1" t="s">
        <v>46</v>
      </c>
      <c r="D17" s="1">
        <v>58.8</v>
      </c>
      <c r="E17" s="9">
        <v>20</v>
      </c>
      <c r="F17" s="9" t="s">
        <v>106</v>
      </c>
      <c r="G17" s="9">
        <f>E17*D17</f>
        <v>1176</v>
      </c>
      <c r="H17" s="1"/>
    </row>
    <row r="18" spans="1:8" x14ac:dyDescent="0.25">
      <c r="A18" s="23"/>
      <c r="B18" s="1"/>
      <c r="C18" s="1"/>
      <c r="D18" s="1"/>
      <c r="E18" s="9"/>
      <c r="F18" s="9"/>
      <c r="G18" s="1"/>
      <c r="H18" s="1"/>
    </row>
    <row r="19" spans="1:8" x14ac:dyDescent="0.25">
      <c r="A19" s="23"/>
      <c r="B19" s="1"/>
      <c r="C19" s="1"/>
      <c r="D19" s="1"/>
      <c r="E19" s="10"/>
      <c r="F19" s="10"/>
      <c r="G19" s="2"/>
      <c r="H19" s="1"/>
    </row>
    <row r="20" spans="1:8" x14ac:dyDescent="0.25">
      <c r="A20" s="23"/>
      <c r="B20" s="24" t="s">
        <v>6</v>
      </c>
      <c r="C20" s="25"/>
      <c r="D20" s="26"/>
      <c r="E20" s="10"/>
      <c r="F20" s="10"/>
      <c r="G20" s="18">
        <f>SUM(G16:G19)</f>
        <v>1896</v>
      </c>
      <c r="H20" s="1"/>
    </row>
    <row r="21" spans="1:8" x14ac:dyDescent="0.25">
      <c r="A21" s="6" t="s">
        <v>9</v>
      </c>
      <c r="B21" s="1" t="s">
        <v>1</v>
      </c>
      <c r="C21" s="1" t="s">
        <v>2</v>
      </c>
      <c r="D21" s="1" t="s">
        <v>3</v>
      </c>
      <c r="E21" s="9" t="s">
        <v>101</v>
      </c>
      <c r="F21" s="9"/>
      <c r="G21" s="1" t="s">
        <v>4</v>
      </c>
      <c r="H21" s="1" t="s">
        <v>5</v>
      </c>
    </row>
    <row r="22" spans="1:8" x14ac:dyDescent="0.25">
      <c r="A22" s="23"/>
      <c r="B22" s="9" t="s">
        <v>112</v>
      </c>
      <c r="C22" s="9"/>
      <c r="D22" s="9">
        <v>55</v>
      </c>
      <c r="E22" s="9">
        <v>20</v>
      </c>
      <c r="F22" s="9" t="s">
        <v>93</v>
      </c>
      <c r="G22" s="9">
        <f>E22*D22</f>
        <v>1100</v>
      </c>
      <c r="H22" s="1"/>
    </row>
    <row r="23" spans="1:8" x14ac:dyDescent="0.25">
      <c r="A23" s="23"/>
      <c r="B23" s="9" t="s">
        <v>113</v>
      </c>
      <c r="C23" s="9"/>
      <c r="D23" s="9">
        <v>1188</v>
      </c>
      <c r="E23" s="9">
        <v>3</v>
      </c>
      <c r="F23" s="9" t="s">
        <v>114</v>
      </c>
      <c r="G23" s="9">
        <f>E23*D23</f>
        <v>3564</v>
      </c>
      <c r="H23" s="1"/>
    </row>
    <row r="24" spans="1:8" x14ac:dyDescent="0.25">
      <c r="A24" s="23"/>
      <c r="B24" s="1" t="s">
        <v>115</v>
      </c>
      <c r="C24" s="1"/>
      <c r="D24" s="1">
        <v>29.38</v>
      </c>
      <c r="E24" s="9">
        <v>100</v>
      </c>
      <c r="F24" s="9" t="s">
        <v>106</v>
      </c>
      <c r="G24" s="1">
        <f>E24*D24</f>
        <v>2938</v>
      </c>
      <c r="H24" s="1"/>
    </row>
    <row r="25" spans="1:8" x14ac:dyDescent="0.25">
      <c r="A25" s="23"/>
      <c r="B25" s="1"/>
      <c r="C25" s="1"/>
      <c r="D25" s="1"/>
      <c r="E25" s="9"/>
      <c r="F25" s="9"/>
      <c r="G25" s="1"/>
      <c r="H25" s="1"/>
    </row>
    <row r="26" spans="1:8" x14ac:dyDescent="0.25">
      <c r="A26" s="23"/>
      <c r="B26" s="24" t="s">
        <v>6</v>
      </c>
      <c r="C26" s="25"/>
      <c r="D26" s="26"/>
      <c r="E26" s="10"/>
      <c r="F26" s="10"/>
      <c r="G26" s="18">
        <f>SUM(G22:G25)</f>
        <v>7602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9" t="s">
        <v>101</v>
      </c>
      <c r="F27" s="9"/>
      <c r="G27" s="1" t="s">
        <v>4</v>
      </c>
      <c r="H27" s="1" t="s">
        <v>5</v>
      </c>
    </row>
    <row r="28" spans="1:8" x14ac:dyDescent="0.25">
      <c r="A28" s="23" t="s">
        <v>40</v>
      </c>
      <c r="B28" s="1" t="s">
        <v>41</v>
      </c>
      <c r="C28" s="1"/>
      <c r="D28" s="1"/>
      <c r="E28" s="9"/>
      <c r="F28" s="9"/>
      <c r="G28" s="1"/>
      <c r="H28" s="1" t="s">
        <v>31</v>
      </c>
    </row>
    <row r="29" spans="1:8" x14ac:dyDescent="0.25">
      <c r="A29" s="23"/>
      <c r="B29" s="1" t="s">
        <v>42</v>
      </c>
      <c r="C29" s="1" t="s">
        <v>43</v>
      </c>
      <c r="D29" s="1">
        <v>98.4</v>
      </c>
      <c r="E29" s="9">
        <v>10</v>
      </c>
      <c r="F29" s="9" t="s">
        <v>106</v>
      </c>
      <c r="G29" s="1">
        <f>E29*D29</f>
        <v>984</v>
      </c>
      <c r="H29" s="1"/>
    </row>
    <row r="30" spans="1:8" x14ac:dyDescent="0.25">
      <c r="A30" s="23"/>
      <c r="B30" s="24" t="s">
        <v>6</v>
      </c>
      <c r="C30" s="25"/>
      <c r="D30" s="26"/>
      <c r="E30" s="10"/>
      <c r="F30" s="10"/>
      <c r="G30" s="18">
        <f>G29</f>
        <v>984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9" t="s">
        <v>101</v>
      </c>
      <c r="F31" s="9"/>
      <c r="G31" s="2" t="s">
        <v>4</v>
      </c>
      <c r="H31" s="1" t="s">
        <v>5</v>
      </c>
    </row>
    <row r="32" spans="1:8" x14ac:dyDescent="0.25">
      <c r="A32" s="30"/>
      <c r="B32" s="1" t="s">
        <v>116</v>
      </c>
      <c r="C32" s="1">
        <v>70</v>
      </c>
      <c r="D32" s="1">
        <v>11.7</v>
      </c>
      <c r="E32" s="9"/>
      <c r="F32" s="9" t="s">
        <v>106</v>
      </c>
      <c r="G32" s="1">
        <f>D32*C32</f>
        <v>819</v>
      </c>
      <c r="H32" s="1"/>
    </row>
    <row r="33" spans="1:8" x14ac:dyDescent="0.25">
      <c r="A33" s="31"/>
      <c r="B33" s="1" t="s">
        <v>119</v>
      </c>
      <c r="C33" s="1">
        <v>42</v>
      </c>
      <c r="D33" s="1">
        <v>21.12</v>
      </c>
      <c r="E33" s="9"/>
      <c r="F33" s="9" t="s">
        <v>106</v>
      </c>
      <c r="G33" s="17">
        <f>D33*C33</f>
        <v>887.04000000000008</v>
      </c>
      <c r="H33" s="1"/>
    </row>
    <row r="34" spans="1:8" x14ac:dyDescent="0.25">
      <c r="A34" s="32"/>
      <c r="B34" s="24" t="s">
        <v>6</v>
      </c>
      <c r="C34" s="25"/>
      <c r="D34" s="26"/>
      <c r="E34" s="10"/>
      <c r="F34" s="10"/>
      <c r="G34" s="20">
        <f>SUM(G32:G33)</f>
        <v>1706.04</v>
      </c>
      <c r="H34" s="7"/>
    </row>
    <row r="35" spans="1:8" x14ac:dyDescent="0.25">
      <c r="A35" s="8" t="s">
        <v>118</v>
      </c>
      <c r="B35" s="1" t="s">
        <v>1</v>
      </c>
      <c r="C35" s="1" t="s">
        <v>2</v>
      </c>
      <c r="D35" s="1" t="s">
        <v>3</v>
      </c>
      <c r="E35" s="9" t="s">
        <v>101</v>
      </c>
      <c r="F35" s="9"/>
      <c r="G35" s="1" t="s">
        <v>4</v>
      </c>
      <c r="H35" s="1"/>
    </row>
    <row r="36" spans="1:8" x14ac:dyDescent="0.25">
      <c r="A36" s="23"/>
      <c r="B36" s="1" t="s">
        <v>117</v>
      </c>
      <c r="C36" s="1">
        <v>10</v>
      </c>
      <c r="D36" s="1">
        <v>21</v>
      </c>
      <c r="E36" s="9"/>
      <c r="F36" s="9" t="s">
        <v>106</v>
      </c>
      <c r="G36" s="1">
        <f>D36*C36</f>
        <v>210</v>
      </c>
      <c r="H36" s="1"/>
    </row>
    <row r="37" spans="1:8" x14ac:dyDescent="0.25">
      <c r="A37" s="23"/>
      <c r="B37" s="1" t="s">
        <v>120</v>
      </c>
      <c r="C37" s="1">
        <v>1</v>
      </c>
      <c r="D37" s="1">
        <v>50</v>
      </c>
      <c r="E37" s="9"/>
      <c r="F37" s="9" t="s">
        <v>121</v>
      </c>
      <c r="G37" s="9">
        <f>D37*C37</f>
        <v>50</v>
      </c>
      <c r="H37" s="1"/>
    </row>
    <row r="38" spans="1:8" x14ac:dyDescent="0.25">
      <c r="A38" s="23"/>
      <c r="B38" s="1"/>
      <c r="C38" s="1"/>
      <c r="D38" s="1"/>
      <c r="E38" s="9"/>
      <c r="F38" s="9"/>
      <c r="G38" s="1"/>
      <c r="H38" s="1"/>
    </row>
    <row r="39" spans="1:8" x14ac:dyDescent="0.25">
      <c r="A39" s="23"/>
      <c r="B39" s="1"/>
      <c r="C39" s="1"/>
      <c r="D39" s="1"/>
      <c r="E39" s="9"/>
      <c r="F39" s="9"/>
      <c r="G39" s="1"/>
      <c r="H39" s="1"/>
    </row>
    <row r="40" spans="1:8" x14ac:dyDescent="0.25">
      <c r="A40" s="23"/>
      <c r="B40" s="24" t="s">
        <v>6</v>
      </c>
      <c r="C40" s="25"/>
      <c r="D40" s="26"/>
      <c r="E40" s="10"/>
      <c r="F40" s="10"/>
      <c r="G40" s="18">
        <f>SUM(G36:G39)</f>
        <v>260</v>
      </c>
      <c r="H40" s="1"/>
    </row>
    <row r="41" spans="1:8" x14ac:dyDescent="0.25">
      <c r="A41" s="1"/>
      <c r="B41" s="27" t="s">
        <v>13</v>
      </c>
      <c r="C41" s="28"/>
      <c r="D41" s="29"/>
      <c r="E41" s="11"/>
      <c r="F41" s="11"/>
      <c r="G41" s="21">
        <f>G40+G34+G30+G26+G20+G14+G7</f>
        <v>18932.84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workbookViewId="0">
      <selection activeCell="E2" sqref="E2:F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3" t="s">
        <v>16</v>
      </c>
      <c r="B1" s="34"/>
      <c r="C1" s="34"/>
      <c r="D1" s="34"/>
      <c r="E1" s="34"/>
      <c r="F1" s="34"/>
      <c r="G1" s="34"/>
      <c r="H1" s="3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101</v>
      </c>
      <c r="F2" s="9"/>
      <c r="G2" s="1" t="s">
        <v>4</v>
      </c>
      <c r="H2" s="1" t="s">
        <v>5</v>
      </c>
    </row>
    <row r="3" spans="1:11" x14ac:dyDescent="0.25">
      <c r="A3" s="23" t="s">
        <v>56</v>
      </c>
      <c r="B3" s="1" t="s">
        <v>58</v>
      </c>
      <c r="C3" s="1" t="s">
        <v>59</v>
      </c>
      <c r="D3" s="1">
        <v>66</v>
      </c>
      <c r="E3" s="9">
        <v>66.5</v>
      </c>
      <c r="F3" s="9" t="s">
        <v>106</v>
      </c>
      <c r="G3" s="1">
        <f>E3*D3</f>
        <v>4389</v>
      </c>
      <c r="H3" s="1"/>
    </row>
    <row r="4" spans="1:11" x14ac:dyDescent="0.25">
      <c r="A4" s="23"/>
      <c r="B4" s="1"/>
      <c r="C4" s="1"/>
      <c r="D4" s="1"/>
      <c r="E4" s="9"/>
      <c r="F4" s="9"/>
      <c r="G4" s="1"/>
      <c r="H4" s="1"/>
    </row>
    <row r="5" spans="1:11" x14ac:dyDescent="0.25">
      <c r="A5" s="23"/>
      <c r="B5" s="1"/>
      <c r="C5" s="1"/>
      <c r="D5" s="1"/>
      <c r="E5" s="9"/>
      <c r="F5" s="9"/>
      <c r="G5" s="1"/>
      <c r="H5" s="1"/>
    </row>
    <row r="6" spans="1:11" x14ac:dyDescent="0.25">
      <c r="A6" s="23"/>
      <c r="B6" s="1"/>
      <c r="C6" s="1"/>
      <c r="D6" s="1"/>
      <c r="E6" s="10"/>
      <c r="F6" s="10"/>
      <c r="G6" s="2"/>
      <c r="H6" s="1"/>
    </row>
    <row r="7" spans="1:11" x14ac:dyDescent="0.25">
      <c r="A7" s="23"/>
      <c r="B7" s="24" t="s">
        <v>6</v>
      </c>
      <c r="C7" s="25"/>
      <c r="D7" s="26"/>
      <c r="E7" s="10"/>
      <c r="F7" s="10"/>
      <c r="G7" s="18">
        <f>G3</f>
        <v>4389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9" t="s">
        <v>101</v>
      </c>
      <c r="F8" s="9"/>
      <c r="G8" s="1" t="s">
        <v>4</v>
      </c>
      <c r="H8" s="1" t="s">
        <v>5</v>
      </c>
      <c r="K8" s="3"/>
    </row>
    <row r="9" spans="1:11" x14ac:dyDescent="0.25">
      <c r="A9" s="23" t="s">
        <v>57</v>
      </c>
      <c r="B9" s="1" t="s">
        <v>60</v>
      </c>
      <c r="C9" s="1" t="s">
        <v>32</v>
      </c>
      <c r="D9" s="1">
        <v>70</v>
      </c>
      <c r="E9" s="9">
        <v>40</v>
      </c>
      <c r="F9" s="9" t="s">
        <v>111</v>
      </c>
      <c r="G9" s="1">
        <f>E9*D9</f>
        <v>2800</v>
      </c>
      <c r="H9" s="22" t="s">
        <v>128</v>
      </c>
      <c r="K9" s="4"/>
    </row>
    <row r="10" spans="1:11" x14ac:dyDescent="0.25">
      <c r="A10" s="23"/>
      <c r="B10" s="1"/>
      <c r="C10" s="1"/>
      <c r="D10" s="1"/>
      <c r="E10" s="9"/>
      <c r="F10" s="9"/>
      <c r="G10" s="1"/>
      <c r="H10" s="1"/>
      <c r="K10" s="4"/>
    </row>
    <row r="11" spans="1:11" x14ac:dyDescent="0.25">
      <c r="A11" s="23"/>
      <c r="B11" s="1"/>
      <c r="C11" s="1"/>
      <c r="D11" s="1"/>
      <c r="E11" s="9"/>
      <c r="F11" s="9"/>
      <c r="G11" s="1"/>
      <c r="H11" s="1"/>
      <c r="K11" s="4"/>
    </row>
    <row r="12" spans="1:11" x14ac:dyDescent="0.25">
      <c r="A12" s="23"/>
      <c r="B12" s="1"/>
      <c r="C12" s="1"/>
      <c r="D12" s="1"/>
      <c r="E12" s="9"/>
      <c r="F12" s="9"/>
      <c r="G12" s="1"/>
      <c r="H12" s="1"/>
      <c r="K12" s="4"/>
    </row>
    <row r="13" spans="1:11" x14ac:dyDescent="0.25">
      <c r="A13" s="23"/>
      <c r="B13" s="1"/>
      <c r="C13" s="1"/>
      <c r="D13" s="1"/>
      <c r="E13" s="9"/>
      <c r="F13" s="9"/>
      <c r="G13" s="1"/>
      <c r="H13" s="1"/>
      <c r="K13" s="5"/>
    </row>
    <row r="14" spans="1:11" x14ac:dyDescent="0.25">
      <c r="A14" s="23"/>
      <c r="B14" s="24" t="s">
        <v>6</v>
      </c>
      <c r="C14" s="25"/>
      <c r="D14" s="26"/>
      <c r="E14" s="10"/>
      <c r="F14" s="10"/>
      <c r="G14" s="18">
        <f>G9</f>
        <v>2800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9" t="s">
        <v>101</v>
      </c>
      <c r="F15" s="9"/>
      <c r="G15" s="1" t="s">
        <v>4</v>
      </c>
      <c r="H15" s="1" t="s">
        <v>5</v>
      </c>
    </row>
    <row r="16" spans="1:11" x14ac:dyDescent="0.25">
      <c r="A16" s="23"/>
      <c r="B16" s="1" t="s">
        <v>134</v>
      </c>
      <c r="C16" s="1"/>
      <c r="D16" s="1">
        <v>-39</v>
      </c>
      <c r="E16" s="9">
        <v>2</v>
      </c>
      <c r="F16" s="9"/>
      <c r="G16" s="1">
        <f>E16*D16</f>
        <v>-78</v>
      </c>
      <c r="H16" s="1"/>
    </row>
    <row r="17" spans="1:8" x14ac:dyDescent="0.25">
      <c r="A17" s="23"/>
      <c r="B17" s="1"/>
      <c r="C17" s="1"/>
      <c r="D17" s="1"/>
      <c r="E17" s="9"/>
      <c r="F17" s="9"/>
      <c r="G17" s="1"/>
      <c r="H17" s="1"/>
    </row>
    <row r="18" spans="1:8" x14ac:dyDescent="0.25">
      <c r="A18" s="23"/>
      <c r="B18" s="1"/>
      <c r="C18" s="1"/>
      <c r="D18" s="1"/>
      <c r="E18" s="9"/>
      <c r="F18" s="9"/>
      <c r="G18" s="1"/>
      <c r="H18" s="1"/>
    </row>
    <row r="19" spans="1:8" x14ac:dyDescent="0.25">
      <c r="A19" s="23"/>
      <c r="B19" s="1"/>
      <c r="C19" s="1"/>
      <c r="D19" s="1"/>
      <c r="E19" s="10"/>
      <c r="F19" s="10"/>
      <c r="G19" s="2"/>
      <c r="H19" s="1"/>
    </row>
    <row r="20" spans="1:8" x14ac:dyDescent="0.25">
      <c r="A20" s="23"/>
      <c r="B20" s="24" t="s">
        <v>6</v>
      </c>
      <c r="C20" s="25"/>
      <c r="D20" s="26"/>
      <c r="E20" s="10"/>
      <c r="F20" s="10"/>
      <c r="G20" s="18">
        <f>G16</f>
        <v>-78</v>
      </c>
      <c r="H20" s="1"/>
    </row>
    <row r="21" spans="1:8" x14ac:dyDescent="0.25">
      <c r="A21" s="6" t="s">
        <v>9</v>
      </c>
      <c r="B21" s="1" t="s">
        <v>1</v>
      </c>
      <c r="C21" s="1" t="s">
        <v>2</v>
      </c>
      <c r="D21" s="1" t="s">
        <v>3</v>
      </c>
      <c r="E21" s="9" t="s">
        <v>101</v>
      </c>
      <c r="F21" s="9"/>
      <c r="G21" s="1" t="s">
        <v>4</v>
      </c>
      <c r="H21" s="1" t="s">
        <v>5</v>
      </c>
    </row>
    <row r="22" spans="1:8" x14ac:dyDescent="0.25">
      <c r="A22" s="23"/>
      <c r="B22" s="1" t="s">
        <v>122</v>
      </c>
      <c r="C22" s="1">
        <v>5</v>
      </c>
      <c r="D22" s="1">
        <v>93</v>
      </c>
      <c r="E22" s="9"/>
      <c r="F22" s="9" t="s">
        <v>111</v>
      </c>
      <c r="G22" s="1">
        <f>D22*C22</f>
        <v>465</v>
      </c>
      <c r="H22" s="1"/>
    </row>
    <row r="23" spans="1:8" x14ac:dyDescent="0.25">
      <c r="A23" s="23"/>
      <c r="B23" s="1" t="s">
        <v>123</v>
      </c>
      <c r="C23" s="1">
        <v>2</v>
      </c>
      <c r="D23" s="1">
        <v>500</v>
      </c>
      <c r="E23" s="9"/>
      <c r="F23" s="9" t="s">
        <v>124</v>
      </c>
      <c r="G23" s="9">
        <f t="shared" ref="G23:G29" si="0">D23*C23</f>
        <v>1000</v>
      </c>
      <c r="H23" s="1"/>
    </row>
    <row r="24" spans="1:8" x14ac:dyDescent="0.25">
      <c r="A24" s="23"/>
      <c r="B24" s="1" t="s">
        <v>125</v>
      </c>
      <c r="C24" s="1">
        <v>20</v>
      </c>
      <c r="D24" s="1">
        <v>37</v>
      </c>
      <c r="E24" s="9"/>
      <c r="F24" s="9" t="s">
        <v>126</v>
      </c>
      <c r="G24" s="9">
        <f t="shared" si="0"/>
        <v>740</v>
      </c>
      <c r="H24" s="1"/>
    </row>
    <row r="25" spans="1:8" x14ac:dyDescent="0.25">
      <c r="A25" s="23"/>
      <c r="B25" s="1" t="s">
        <v>127</v>
      </c>
      <c r="C25" s="1">
        <v>1</v>
      </c>
      <c r="D25" s="1">
        <v>138</v>
      </c>
      <c r="E25" s="9"/>
      <c r="F25" s="9" t="s">
        <v>111</v>
      </c>
      <c r="G25" s="9">
        <f t="shared" si="0"/>
        <v>138</v>
      </c>
      <c r="H25" s="1"/>
    </row>
    <row r="26" spans="1:8" x14ac:dyDescent="0.25">
      <c r="A26" s="23"/>
      <c r="B26" s="9" t="s">
        <v>129</v>
      </c>
      <c r="C26" s="9">
        <v>1</v>
      </c>
      <c r="D26" s="9">
        <v>210</v>
      </c>
      <c r="E26" s="9"/>
      <c r="F26" s="10" t="s">
        <v>111</v>
      </c>
      <c r="G26" s="10">
        <f t="shared" si="0"/>
        <v>210</v>
      </c>
      <c r="H26" s="22" t="s">
        <v>128</v>
      </c>
    </row>
    <row r="27" spans="1:8" x14ac:dyDescent="0.25">
      <c r="A27" s="23"/>
      <c r="B27" s="9" t="s">
        <v>130</v>
      </c>
      <c r="C27" s="9">
        <v>1</v>
      </c>
      <c r="D27" s="9">
        <v>250</v>
      </c>
      <c r="E27" s="9"/>
      <c r="F27" s="9" t="s">
        <v>124</v>
      </c>
      <c r="G27" s="10">
        <f t="shared" si="0"/>
        <v>250</v>
      </c>
      <c r="H27" s="22" t="s">
        <v>128</v>
      </c>
    </row>
    <row r="28" spans="1:8" x14ac:dyDescent="0.25">
      <c r="A28" s="23"/>
      <c r="B28" s="9" t="s">
        <v>131</v>
      </c>
      <c r="C28" s="9">
        <v>2</v>
      </c>
      <c r="D28" s="9">
        <v>235</v>
      </c>
      <c r="E28" s="9"/>
      <c r="F28" s="10" t="s">
        <v>132</v>
      </c>
      <c r="G28" s="10">
        <f t="shared" si="0"/>
        <v>470</v>
      </c>
      <c r="H28" s="22" t="s">
        <v>128</v>
      </c>
    </row>
    <row r="29" spans="1:8" x14ac:dyDescent="0.25">
      <c r="A29" s="23"/>
      <c r="B29" s="9" t="s">
        <v>133</v>
      </c>
      <c r="C29" s="9">
        <v>1</v>
      </c>
      <c r="D29" s="9">
        <v>360</v>
      </c>
      <c r="E29" s="9"/>
      <c r="F29" s="9" t="s">
        <v>111</v>
      </c>
      <c r="G29" s="10">
        <f t="shared" si="0"/>
        <v>360</v>
      </c>
      <c r="H29" s="22" t="s">
        <v>128</v>
      </c>
    </row>
    <row r="30" spans="1:8" x14ac:dyDescent="0.25">
      <c r="A30" s="23"/>
      <c r="B30" s="24" t="s">
        <v>6</v>
      </c>
      <c r="C30" s="25"/>
      <c r="D30" s="26"/>
      <c r="E30" s="10"/>
      <c r="F30" s="10"/>
      <c r="G30" s="18">
        <f>SUM(G22:G29)</f>
        <v>3633</v>
      </c>
      <c r="H30" s="1"/>
    </row>
    <row r="31" spans="1:8" x14ac:dyDescent="0.25">
      <c r="A31" s="1" t="s">
        <v>10</v>
      </c>
      <c r="B31" s="1" t="s">
        <v>1</v>
      </c>
      <c r="C31" s="1" t="s">
        <v>2</v>
      </c>
      <c r="D31" s="1" t="s">
        <v>3</v>
      </c>
      <c r="E31" s="9" t="s">
        <v>101</v>
      </c>
      <c r="F31" s="9"/>
      <c r="G31" s="1" t="s">
        <v>4</v>
      </c>
      <c r="H31" s="1" t="s">
        <v>5</v>
      </c>
    </row>
    <row r="32" spans="1:8" x14ac:dyDescent="0.25">
      <c r="A32" s="23" t="s">
        <v>61</v>
      </c>
      <c r="B32" s="1" t="s">
        <v>62</v>
      </c>
      <c r="C32" s="1" t="s">
        <v>64</v>
      </c>
      <c r="D32" s="1">
        <v>9.18</v>
      </c>
      <c r="E32" s="9">
        <v>20</v>
      </c>
      <c r="F32" s="9" t="s">
        <v>106</v>
      </c>
      <c r="G32" s="17">
        <f>E32*D32</f>
        <v>183.6</v>
      </c>
      <c r="H32" s="1"/>
    </row>
    <row r="33" spans="1:8" x14ac:dyDescent="0.25">
      <c r="A33" s="23"/>
      <c r="B33" s="1" t="s">
        <v>63</v>
      </c>
      <c r="C33" s="1" t="s">
        <v>34</v>
      </c>
      <c r="D33" s="1">
        <v>63</v>
      </c>
      <c r="E33" s="9">
        <v>5</v>
      </c>
      <c r="F33" s="9" t="s">
        <v>106</v>
      </c>
      <c r="G33" s="17">
        <f>E33*D33</f>
        <v>315</v>
      </c>
      <c r="H33" s="1"/>
    </row>
    <row r="34" spans="1:8" x14ac:dyDescent="0.25">
      <c r="A34" s="23"/>
      <c r="B34" s="24" t="s">
        <v>6</v>
      </c>
      <c r="C34" s="25"/>
      <c r="D34" s="26"/>
      <c r="E34" s="10"/>
      <c r="F34" s="10"/>
      <c r="G34" s="20">
        <f>SUM(G32:G33)</f>
        <v>498.6</v>
      </c>
      <c r="H34" s="1"/>
    </row>
    <row r="35" spans="1:8" x14ac:dyDescent="0.25">
      <c r="A35" s="1" t="s">
        <v>11</v>
      </c>
      <c r="B35" s="1" t="s">
        <v>1</v>
      </c>
      <c r="C35" s="1" t="s">
        <v>2</v>
      </c>
      <c r="D35" s="1" t="s">
        <v>3</v>
      </c>
      <c r="E35" s="9" t="s">
        <v>101</v>
      </c>
      <c r="F35" s="9"/>
      <c r="G35" s="2" t="s">
        <v>4</v>
      </c>
      <c r="H35" s="1" t="s">
        <v>5</v>
      </c>
    </row>
    <row r="36" spans="1:8" x14ac:dyDescent="0.25">
      <c r="A36" s="30"/>
      <c r="B36" s="1" t="s">
        <v>107</v>
      </c>
      <c r="C36" s="1">
        <v>65</v>
      </c>
      <c r="D36" s="1">
        <v>17.34</v>
      </c>
      <c r="E36" s="9"/>
      <c r="F36" s="9" t="s">
        <v>106</v>
      </c>
      <c r="G36" s="17">
        <f>D36*C36</f>
        <v>1127.0999999999999</v>
      </c>
      <c r="H36" s="1"/>
    </row>
    <row r="37" spans="1:8" x14ac:dyDescent="0.25">
      <c r="A37" s="31"/>
      <c r="B37" s="1" t="s">
        <v>108</v>
      </c>
      <c r="C37" s="1">
        <v>70</v>
      </c>
      <c r="D37" s="1">
        <v>16.32</v>
      </c>
      <c r="E37" s="9"/>
      <c r="F37" s="9" t="s">
        <v>106</v>
      </c>
      <c r="G37" s="17">
        <f>D37*C37</f>
        <v>1142.4000000000001</v>
      </c>
      <c r="H37" s="1"/>
    </row>
    <row r="38" spans="1:8" x14ac:dyDescent="0.25">
      <c r="A38" s="32"/>
      <c r="B38" s="24" t="s">
        <v>6</v>
      </c>
      <c r="C38" s="25"/>
      <c r="D38" s="26"/>
      <c r="E38" s="10"/>
      <c r="F38" s="10"/>
      <c r="G38" s="20">
        <f>SUM(G36:G37)</f>
        <v>2269.5</v>
      </c>
      <c r="H38" s="7"/>
    </row>
    <row r="39" spans="1:8" x14ac:dyDescent="0.25">
      <c r="A39" s="8" t="s">
        <v>12</v>
      </c>
      <c r="B39" s="1" t="s">
        <v>1</v>
      </c>
      <c r="C39" s="1" t="s">
        <v>2</v>
      </c>
      <c r="D39" s="1" t="s">
        <v>3</v>
      </c>
      <c r="E39" s="9" t="s">
        <v>101</v>
      </c>
      <c r="F39" s="9"/>
      <c r="G39" s="1" t="s">
        <v>4</v>
      </c>
      <c r="H39" s="1"/>
    </row>
    <row r="40" spans="1:8" x14ac:dyDescent="0.25">
      <c r="A40" s="23" t="s">
        <v>65</v>
      </c>
      <c r="B40" s="1" t="s">
        <v>54</v>
      </c>
      <c r="C40" s="1" t="s">
        <v>33</v>
      </c>
      <c r="D40" s="1">
        <v>30.6</v>
      </c>
      <c r="E40" s="9">
        <v>10</v>
      </c>
      <c r="F40" s="9" t="s">
        <v>106</v>
      </c>
      <c r="G40" s="1">
        <f>E40*D40</f>
        <v>306</v>
      </c>
      <c r="H40" s="1"/>
    </row>
    <row r="41" spans="1:8" x14ac:dyDescent="0.25">
      <c r="A41" s="23"/>
      <c r="B41" s="1" t="s">
        <v>66</v>
      </c>
      <c r="C41" s="1" t="s">
        <v>68</v>
      </c>
      <c r="D41" s="1">
        <v>27</v>
      </c>
      <c r="E41" s="9">
        <v>15</v>
      </c>
      <c r="F41" s="9" t="s">
        <v>106</v>
      </c>
      <c r="G41" s="9">
        <f t="shared" ref="G41:G43" si="1">E41*D41</f>
        <v>405</v>
      </c>
      <c r="H41" s="1"/>
    </row>
    <row r="42" spans="1:8" x14ac:dyDescent="0.25">
      <c r="A42" s="23"/>
      <c r="B42" s="1" t="s">
        <v>67</v>
      </c>
      <c r="C42" s="1" t="s">
        <v>69</v>
      </c>
      <c r="D42" s="1">
        <v>5.4</v>
      </c>
      <c r="E42" s="9">
        <v>3</v>
      </c>
      <c r="F42" s="9" t="s">
        <v>106</v>
      </c>
      <c r="G42" s="17">
        <f t="shared" si="1"/>
        <v>16.200000000000003</v>
      </c>
      <c r="H42" s="1"/>
    </row>
    <row r="43" spans="1:8" x14ac:dyDescent="0.25">
      <c r="A43" s="23"/>
      <c r="B43" s="1" t="s">
        <v>24</v>
      </c>
      <c r="C43" s="1" t="s">
        <v>34</v>
      </c>
      <c r="D43" s="1">
        <v>45</v>
      </c>
      <c r="E43" s="9">
        <v>5</v>
      </c>
      <c r="F43" s="9" t="s">
        <v>106</v>
      </c>
      <c r="G43" s="9">
        <f t="shared" si="1"/>
        <v>225</v>
      </c>
      <c r="H43" s="1"/>
    </row>
    <row r="44" spans="1:8" x14ac:dyDescent="0.25">
      <c r="A44" s="23"/>
      <c r="B44" s="24" t="s">
        <v>6</v>
      </c>
      <c r="C44" s="25"/>
      <c r="D44" s="26"/>
      <c r="E44" s="10"/>
      <c r="F44" s="10"/>
      <c r="G44" s="20">
        <f>SUM(G40:G43)</f>
        <v>952.2</v>
      </c>
      <c r="H44" s="1"/>
    </row>
    <row r="45" spans="1:8" x14ac:dyDescent="0.25">
      <c r="A45" s="1"/>
      <c r="B45" s="27" t="s">
        <v>13</v>
      </c>
      <c r="C45" s="28"/>
      <c r="D45" s="29"/>
      <c r="E45" s="11"/>
      <c r="F45" s="11"/>
      <c r="G45" s="21">
        <f>G44+G38+G34+G20+G30+G14+G7</f>
        <v>14464.3</v>
      </c>
      <c r="H45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0:A44"/>
    <mergeCell ref="B44:D44"/>
    <mergeCell ref="B45:D45"/>
    <mergeCell ref="A22:A30"/>
    <mergeCell ref="B30:D30"/>
    <mergeCell ref="A32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workbookViewId="0">
      <selection activeCell="E2" sqref="E2:F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3" t="s">
        <v>17</v>
      </c>
      <c r="B1" s="34"/>
      <c r="C1" s="34"/>
      <c r="D1" s="34"/>
      <c r="E1" s="34"/>
      <c r="F1" s="34"/>
      <c r="G1" s="34"/>
      <c r="H1" s="3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101</v>
      </c>
      <c r="F2" s="12"/>
      <c r="G2" s="1" t="s">
        <v>4</v>
      </c>
      <c r="H2" s="1" t="s">
        <v>5</v>
      </c>
    </row>
    <row r="3" spans="1:11" x14ac:dyDescent="0.25">
      <c r="A3" s="23" t="s">
        <v>70</v>
      </c>
      <c r="B3" s="1" t="s">
        <v>71</v>
      </c>
      <c r="C3" s="1" t="s">
        <v>72</v>
      </c>
      <c r="D3" s="1">
        <v>108</v>
      </c>
      <c r="E3" s="12">
        <v>40</v>
      </c>
      <c r="F3" s="12" t="s">
        <v>135</v>
      </c>
      <c r="G3" s="1">
        <f>E3*D3</f>
        <v>4320</v>
      </c>
      <c r="H3" s="1"/>
    </row>
    <row r="4" spans="1:11" x14ac:dyDescent="0.25">
      <c r="A4" s="23"/>
      <c r="B4" s="1"/>
      <c r="C4" s="1"/>
      <c r="D4" s="1"/>
      <c r="E4" s="12"/>
      <c r="F4" s="12"/>
      <c r="G4" s="1"/>
      <c r="H4" s="1"/>
    </row>
    <row r="5" spans="1:11" x14ac:dyDescent="0.25">
      <c r="A5" s="23"/>
      <c r="B5" s="1"/>
      <c r="C5" s="1"/>
      <c r="D5" s="1"/>
      <c r="E5" s="12"/>
      <c r="F5" s="12"/>
      <c r="G5" s="1"/>
      <c r="H5" s="1"/>
    </row>
    <row r="6" spans="1:11" x14ac:dyDescent="0.25">
      <c r="A6" s="23"/>
      <c r="B6" s="1"/>
      <c r="C6" s="1"/>
      <c r="D6" s="1"/>
      <c r="E6" s="13"/>
      <c r="F6" s="13"/>
      <c r="G6" s="2"/>
      <c r="H6" s="1"/>
    </row>
    <row r="7" spans="1:11" x14ac:dyDescent="0.25">
      <c r="A7" s="23"/>
      <c r="B7" s="24" t="s">
        <v>6</v>
      </c>
      <c r="C7" s="25"/>
      <c r="D7" s="26"/>
      <c r="E7" s="13"/>
      <c r="F7" s="13"/>
      <c r="G7" s="18">
        <f>G3</f>
        <v>4320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2" t="s">
        <v>101</v>
      </c>
      <c r="F8" s="12"/>
      <c r="G8" s="1" t="s">
        <v>4</v>
      </c>
      <c r="H8" s="1" t="s">
        <v>5</v>
      </c>
      <c r="K8" s="3"/>
    </row>
    <row r="9" spans="1:11" x14ac:dyDescent="0.25">
      <c r="A9" s="23" t="s">
        <v>73</v>
      </c>
      <c r="B9" s="1" t="s">
        <v>74</v>
      </c>
      <c r="C9" s="1" t="s">
        <v>46</v>
      </c>
      <c r="D9" s="1">
        <v>82</v>
      </c>
      <c r="E9" s="12">
        <v>12</v>
      </c>
      <c r="F9" s="12" t="s">
        <v>138</v>
      </c>
      <c r="G9" s="1">
        <f>E9*D9</f>
        <v>984</v>
      </c>
      <c r="H9" s="22" t="s">
        <v>140</v>
      </c>
      <c r="K9" s="4"/>
    </row>
    <row r="10" spans="1:11" x14ac:dyDescent="0.25">
      <c r="A10" s="23"/>
      <c r="B10" s="1" t="s">
        <v>75</v>
      </c>
      <c r="C10" s="1" t="s">
        <v>64</v>
      </c>
      <c r="D10" s="1">
        <v>43.8</v>
      </c>
      <c r="E10" s="12">
        <v>20</v>
      </c>
      <c r="F10" s="12" t="s">
        <v>135</v>
      </c>
      <c r="G10" s="12">
        <f t="shared" ref="G10:G11" si="0">E10*D10</f>
        <v>876</v>
      </c>
      <c r="H10" s="1"/>
      <c r="K10" s="4"/>
    </row>
    <row r="11" spans="1:11" x14ac:dyDescent="0.25">
      <c r="A11" s="23"/>
      <c r="B11" s="1" t="s">
        <v>53</v>
      </c>
      <c r="C11" s="1" t="s">
        <v>33</v>
      </c>
      <c r="D11" s="1">
        <v>99</v>
      </c>
      <c r="E11" s="12">
        <v>10</v>
      </c>
      <c r="F11" s="12" t="s">
        <v>135</v>
      </c>
      <c r="G11" s="12">
        <f t="shared" si="0"/>
        <v>990</v>
      </c>
      <c r="H11" s="1"/>
      <c r="K11" s="4"/>
    </row>
    <row r="12" spans="1:11" x14ac:dyDescent="0.25">
      <c r="A12" s="23"/>
      <c r="B12" s="1"/>
      <c r="C12" s="1"/>
      <c r="D12" s="1"/>
      <c r="E12" s="12"/>
      <c r="F12" s="12"/>
      <c r="G12" s="1"/>
      <c r="H12" s="1"/>
      <c r="K12" s="4"/>
    </row>
    <row r="13" spans="1:11" x14ac:dyDescent="0.25">
      <c r="A13" s="23"/>
      <c r="B13" s="1"/>
      <c r="C13" s="1"/>
      <c r="D13" s="1"/>
      <c r="E13" s="12"/>
      <c r="F13" s="12"/>
      <c r="G13" s="1"/>
      <c r="H13" s="1"/>
      <c r="K13" s="5"/>
    </row>
    <row r="14" spans="1:11" x14ac:dyDescent="0.25">
      <c r="A14" s="23"/>
      <c r="B14" s="24" t="s">
        <v>6</v>
      </c>
      <c r="C14" s="25"/>
      <c r="D14" s="26"/>
      <c r="E14" s="13"/>
      <c r="F14" s="13"/>
      <c r="G14" s="18">
        <f>SUM(G9:G13)</f>
        <v>2850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2" t="s">
        <v>101</v>
      </c>
      <c r="F15" s="12"/>
      <c r="G15" s="1" t="s">
        <v>4</v>
      </c>
      <c r="H15" s="1" t="s">
        <v>5</v>
      </c>
    </row>
    <row r="16" spans="1:11" x14ac:dyDescent="0.25">
      <c r="A16" s="23" t="s">
        <v>76</v>
      </c>
      <c r="B16" s="1" t="s">
        <v>77</v>
      </c>
      <c r="C16" s="1" t="s">
        <v>78</v>
      </c>
      <c r="D16" s="1">
        <v>20.7</v>
      </c>
      <c r="E16" s="12">
        <v>50</v>
      </c>
      <c r="F16" s="12" t="s">
        <v>135</v>
      </c>
      <c r="G16" s="1">
        <f>E16*D16</f>
        <v>1035</v>
      </c>
      <c r="H16" s="1"/>
    </row>
    <row r="17" spans="1:8" x14ac:dyDescent="0.25">
      <c r="A17" s="23"/>
      <c r="B17" s="1"/>
      <c r="C17" s="1"/>
      <c r="D17" s="1"/>
      <c r="E17" s="12"/>
      <c r="F17" s="12"/>
      <c r="G17" s="1"/>
      <c r="H17" s="1"/>
    </row>
    <row r="18" spans="1:8" x14ac:dyDescent="0.25">
      <c r="A18" s="23"/>
      <c r="B18" s="1"/>
      <c r="C18" s="1"/>
      <c r="D18" s="1"/>
      <c r="E18" s="12"/>
      <c r="F18" s="12"/>
      <c r="G18" s="1"/>
      <c r="H18" s="1"/>
    </row>
    <row r="19" spans="1:8" x14ac:dyDescent="0.25">
      <c r="A19" s="23"/>
      <c r="B19" s="1"/>
      <c r="C19" s="1"/>
      <c r="D19" s="1"/>
      <c r="E19" s="13"/>
      <c r="F19" s="13"/>
      <c r="G19" s="2"/>
      <c r="H19" s="1"/>
    </row>
    <row r="20" spans="1:8" x14ac:dyDescent="0.25">
      <c r="A20" s="23"/>
      <c r="B20" s="24" t="s">
        <v>6</v>
      </c>
      <c r="C20" s="25"/>
      <c r="D20" s="26"/>
      <c r="E20" s="13"/>
      <c r="F20" s="13"/>
      <c r="G20" s="18">
        <f>G16</f>
        <v>1035</v>
      </c>
      <c r="H20" s="1"/>
    </row>
    <row r="21" spans="1:8" x14ac:dyDescent="0.25">
      <c r="A21" s="6" t="s">
        <v>9</v>
      </c>
      <c r="B21" s="1" t="s">
        <v>1</v>
      </c>
      <c r="C21" s="1" t="s">
        <v>2</v>
      </c>
      <c r="D21" s="1" t="s">
        <v>3</v>
      </c>
      <c r="E21" s="12" t="s">
        <v>101</v>
      </c>
      <c r="F21" s="12"/>
      <c r="G21" s="1" t="s">
        <v>4</v>
      </c>
      <c r="H21" s="1" t="s">
        <v>5</v>
      </c>
    </row>
    <row r="22" spans="1:8" x14ac:dyDescent="0.25">
      <c r="A22" s="23"/>
      <c r="B22" s="1"/>
      <c r="C22" s="1"/>
      <c r="D22" s="1"/>
      <c r="E22" s="12"/>
      <c r="F22" s="12"/>
      <c r="G22" s="1"/>
      <c r="H22" s="1"/>
    </row>
    <row r="23" spans="1:8" x14ac:dyDescent="0.25">
      <c r="A23" s="23"/>
      <c r="B23" s="1"/>
      <c r="C23" s="1"/>
      <c r="D23" s="1"/>
      <c r="E23" s="12"/>
      <c r="F23" s="12"/>
      <c r="G23" s="1"/>
      <c r="H23" s="1"/>
    </row>
    <row r="24" spans="1:8" x14ac:dyDescent="0.25">
      <c r="A24" s="23"/>
      <c r="B24" s="1"/>
      <c r="C24" s="1"/>
      <c r="D24" s="1"/>
      <c r="E24" s="12"/>
      <c r="F24" s="12"/>
      <c r="G24" s="1"/>
      <c r="H24" s="1"/>
    </row>
    <row r="25" spans="1:8" x14ac:dyDescent="0.25">
      <c r="A25" s="23"/>
      <c r="B25" s="1"/>
      <c r="C25" s="1"/>
      <c r="D25" s="1"/>
      <c r="E25" s="12"/>
      <c r="F25" s="12"/>
      <c r="G25" s="1"/>
      <c r="H25" s="1"/>
    </row>
    <row r="26" spans="1:8" x14ac:dyDescent="0.25">
      <c r="A26" s="23"/>
      <c r="B26" s="24" t="s">
        <v>6</v>
      </c>
      <c r="C26" s="25"/>
      <c r="D26" s="26"/>
      <c r="E26" s="13"/>
      <c r="F26" s="13"/>
      <c r="G26" s="2"/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2" t="s">
        <v>101</v>
      </c>
      <c r="F27" s="12"/>
      <c r="G27" s="1" t="s">
        <v>4</v>
      </c>
      <c r="H27" s="1" t="s">
        <v>5</v>
      </c>
    </row>
    <row r="28" spans="1:8" x14ac:dyDescent="0.25">
      <c r="A28" s="23" t="s">
        <v>79</v>
      </c>
      <c r="B28" s="1" t="s">
        <v>80</v>
      </c>
      <c r="C28" s="1"/>
      <c r="D28" s="1"/>
      <c r="E28" s="12"/>
      <c r="F28" s="12"/>
      <c r="G28" s="1"/>
      <c r="H28" s="1" t="s">
        <v>31</v>
      </c>
    </row>
    <row r="29" spans="1:8" x14ac:dyDescent="0.25">
      <c r="A29" s="23"/>
      <c r="B29" s="1"/>
      <c r="C29" s="1"/>
      <c r="D29" s="1"/>
      <c r="E29" s="12"/>
      <c r="F29" s="12"/>
      <c r="G29" s="1"/>
      <c r="H29" s="1"/>
    </row>
    <row r="30" spans="1:8" x14ac:dyDescent="0.25">
      <c r="A30" s="23"/>
      <c r="B30" s="24" t="s">
        <v>6</v>
      </c>
      <c r="C30" s="25"/>
      <c r="D30" s="26"/>
      <c r="E30" s="13"/>
      <c r="F30" s="13"/>
      <c r="G30" s="2"/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2" t="s">
        <v>101</v>
      </c>
      <c r="F31" s="12"/>
      <c r="G31" s="2" t="s">
        <v>4</v>
      </c>
      <c r="H31" s="1" t="s">
        <v>5</v>
      </c>
    </row>
    <row r="32" spans="1:8" x14ac:dyDescent="0.25">
      <c r="A32" s="30"/>
      <c r="B32" s="1" t="s">
        <v>136</v>
      </c>
      <c r="C32" s="1">
        <v>70</v>
      </c>
      <c r="D32" s="1">
        <v>13.5</v>
      </c>
      <c r="E32" s="12"/>
      <c r="F32" s="12" t="s">
        <v>135</v>
      </c>
      <c r="G32" s="1">
        <f>D32*C32</f>
        <v>945</v>
      </c>
      <c r="H32" s="1"/>
    </row>
    <row r="33" spans="1:8" x14ac:dyDescent="0.25">
      <c r="A33" s="31"/>
      <c r="B33" s="1" t="s">
        <v>139</v>
      </c>
      <c r="C33" s="1">
        <v>70</v>
      </c>
      <c r="D33" s="1">
        <v>18.239999999999998</v>
      </c>
      <c r="E33" s="12"/>
      <c r="F33" s="12" t="s">
        <v>135</v>
      </c>
      <c r="G33" s="17">
        <f>D33*C33</f>
        <v>1276.8</v>
      </c>
      <c r="H33" s="1"/>
    </row>
    <row r="34" spans="1:8" x14ac:dyDescent="0.25">
      <c r="A34" s="32"/>
      <c r="B34" s="24" t="s">
        <v>6</v>
      </c>
      <c r="C34" s="25"/>
      <c r="D34" s="26"/>
      <c r="E34" s="13"/>
      <c r="F34" s="13"/>
      <c r="G34" s="20">
        <f>SUM(G32:G33)</f>
        <v>2221.8000000000002</v>
      </c>
      <c r="H34" s="7"/>
    </row>
    <row r="35" spans="1:8" x14ac:dyDescent="0.25">
      <c r="A35" s="8" t="s">
        <v>141</v>
      </c>
      <c r="B35" s="1" t="s">
        <v>1</v>
      </c>
      <c r="C35" s="1" t="s">
        <v>2</v>
      </c>
      <c r="D35" s="1" t="s">
        <v>3</v>
      </c>
      <c r="E35" s="12" t="s">
        <v>101</v>
      </c>
      <c r="F35" s="12"/>
      <c r="G35" s="1" t="s">
        <v>4</v>
      </c>
      <c r="H35" s="1"/>
    </row>
    <row r="36" spans="1:8" x14ac:dyDescent="0.25">
      <c r="A36" s="23"/>
      <c r="B36" s="1" t="s">
        <v>137</v>
      </c>
      <c r="C36" s="1">
        <v>12</v>
      </c>
      <c r="D36" s="1">
        <v>125</v>
      </c>
      <c r="E36" s="12"/>
      <c r="F36" s="12" t="s">
        <v>138</v>
      </c>
      <c r="G36" s="1">
        <f>D36*C36</f>
        <v>1500</v>
      </c>
      <c r="H36" s="1"/>
    </row>
    <row r="37" spans="1:8" x14ac:dyDescent="0.25">
      <c r="A37" s="23"/>
      <c r="B37" s="1" t="s">
        <v>142</v>
      </c>
      <c r="C37" s="1">
        <v>1</v>
      </c>
      <c r="D37" s="1">
        <v>55</v>
      </c>
      <c r="E37" s="12"/>
      <c r="F37" s="12" t="s">
        <v>143</v>
      </c>
      <c r="G37" s="12">
        <f>D37*C37</f>
        <v>55</v>
      </c>
      <c r="H37" s="22" t="s">
        <v>140</v>
      </c>
    </row>
    <row r="38" spans="1:8" x14ac:dyDescent="0.25">
      <c r="A38" s="23"/>
      <c r="B38" s="1"/>
      <c r="C38" s="1"/>
      <c r="D38" s="1"/>
      <c r="E38" s="12"/>
      <c r="F38" s="12"/>
      <c r="G38" s="1"/>
      <c r="H38" s="1"/>
    </row>
    <row r="39" spans="1:8" x14ac:dyDescent="0.25">
      <c r="A39" s="23"/>
      <c r="B39" s="1"/>
      <c r="C39" s="1"/>
      <c r="D39" s="1"/>
      <c r="E39" s="12"/>
      <c r="F39" s="12"/>
      <c r="G39" s="1"/>
      <c r="H39" s="1"/>
    </row>
    <row r="40" spans="1:8" x14ac:dyDescent="0.25">
      <c r="A40" s="23"/>
      <c r="B40" s="24" t="s">
        <v>6</v>
      </c>
      <c r="C40" s="25"/>
      <c r="D40" s="26"/>
      <c r="E40" s="13"/>
      <c r="F40" s="13"/>
      <c r="G40" s="18">
        <f>SUM(G36:G39)</f>
        <v>1555</v>
      </c>
      <c r="H40" s="1"/>
    </row>
    <row r="41" spans="1:8" x14ac:dyDescent="0.25">
      <c r="A41" s="1"/>
      <c r="B41" s="27" t="s">
        <v>13</v>
      </c>
      <c r="C41" s="28"/>
      <c r="D41" s="29"/>
      <c r="E41" s="14"/>
      <c r="F41" s="14"/>
      <c r="G41" s="21">
        <f>G40+G34+G20+G14+G7</f>
        <v>11981.8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abSelected="1" topLeftCell="A30" workbookViewId="0">
      <selection activeCell="H47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3" t="s">
        <v>18</v>
      </c>
      <c r="B1" s="34"/>
      <c r="C1" s="34"/>
      <c r="D1" s="34"/>
      <c r="E1" s="34"/>
      <c r="F1" s="34"/>
      <c r="G1" s="34"/>
      <c r="H1" s="3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101</v>
      </c>
      <c r="F2" s="12"/>
      <c r="G2" s="1" t="s">
        <v>4</v>
      </c>
      <c r="H2" s="1" t="s">
        <v>5</v>
      </c>
    </row>
    <row r="3" spans="1:11" x14ac:dyDescent="0.25">
      <c r="A3" s="23" t="s">
        <v>81</v>
      </c>
      <c r="B3" s="1" t="s">
        <v>82</v>
      </c>
      <c r="C3" s="1" t="s">
        <v>83</v>
      </c>
      <c r="D3" s="1">
        <v>78</v>
      </c>
      <c r="E3" s="9">
        <v>41.18</v>
      </c>
      <c r="F3" s="9" t="s">
        <v>135</v>
      </c>
      <c r="G3" s="17">
        <f>E3*D3</f>
        <v>3212.04</v>
      </c>
      <c r="H3" s="1"/>
    </row>
    <row r="4" spans="1:11" x14ac:dyDescent="0.25">
      <c r="A4" s="23"/>
      <c r="B4" s="1"/>
      <c r="C4" s="1"/>
      <c r="D4" s="1"/>
      <c r="E4" s="9"/>
      <c r="F4" s="9"/>
      <c r="G4" s="1"/>
      <c r="H4" s="1"/>
    </row>
    <row r="5" spans="1:11" x14ac:dyDescent="0.25">
      <c r="A5" s="23"/>
      <c r="B5" s="1"/>
      <c r="C5" s="1"/>
      <c r="D5" s="1"/>
      <c r="E5" s="9"/>
      <c r="F5" s="9"/>
      <c r="G5" s="1"/>
      <c r="H5" s="1"/>
    </row>
    <row r="6" spans="1:11" x14ac:dyDescent="0.25">
      <c r="A6" s="23"/>
      <c r="B6" s="1"/>
      <c r="C6" s="1"/>
      <c r="D6" s="1"/>
      <c r="E6" s="10"/>
      <c r="F6" s="10"/>
      <c r="G6" s="2"/>
      <c r="H6" s="1"/>
    </row>
    <row r="7" spans="1:11" x14ac:dyDescent="0.25">
      <c r="A7" s="23"/>
      <c r="B7" s="24" t="s">
        <v>6</v>
      </c>
      <c r="C7" s="25"/>
      <c r="D7" s="26"/>
      <c r="E7" s="10"/>
      <c r="F7" s="10"/>
      <c r="G7" s="20">
        <f>G3</f>
        <v>3212.04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2" t="s">
        <v>101</v>
      </c>
      <c r="F8" s="12"/>
      <c r="G8" s="1" t="s">
        <v>4</v>
      </c>
      <c r="H8" s="1" t="s">
        <v>5</v>
      </c>
      <c r="K8" s="3"/>
    </row>
    <row r="9" spans="1:11" x14ac:dyDescent="0.25">
      <c r="A9" s="23" t="s">
        <v>84</v>
      </c>
      <c r="B9" s="1" t="s">
        <v>85</v>
      </c>
      <c r="C9" s="1" t="s">
        <v>86</v>
      </c>
      <c r="D9" s="1">
        <v>25.5</v>
      </c>
      <c r="E9" s="9">
        <v>35</v>
      </c>
      <c r="F9" s="9" t="s">
        <v>135</v>
      </c>
      <c r="G9" s="17">
        <f>E9*D9</f>
        <v>892.5</v>
      </c>
      <c r="H9" s="1"/>
      <c r="K9" s="4"/>
    </row>
    <row r="10" spans="1:11" x14ac:dyDescent="0.25">
      <c r="A10" s="23"/>
      <c r="B10" s="1"/>
      <c r="C10" s="1"/>
      <c r="D10" s="1"/>
      <c r="E10" s="9"/>
      <c r="F10" s="9"/>
      <c r="G10" s="1"/>
      <c r="H10" s="1"/>
      <c r="K10" s="4"/>
    </row>
    <row r="11" spans="1:11" x14ac:dyDescent="0.25">
      <c r="A11" s="23"/>
      <c r="B11" s="1"/>
      <c r="C11" s="1"/>
      <c r="D11" s="1"/>
      <c r="E11" s="9"/>
      <c r="F11" s="9"/>
      <c r="G11" s="1"/>
      <c r="H11" s="1"/>
      <c r="K11" s="4"/>
    </row>
    <row r="12" spans="1:11" x14ac:dyDescent="0.25">
      <c r="A12" s="23"/>
      <c r="B12" s="1"/>
      <c r="C12" s="1"/>
      <c r="D12" s="1"/>
      <c r="E12" s="9"/>
      <c r="F12" s="9"/>
      <c r="G12" s="1"/>
      <c r="H12" s="1"/>
      <c r="K12" s="4"/>
    </row>
    <row r="13" spans="1:11" x14ac:dyDescent="0.25">
      <c r="A13" s="23"/>
      <c r="B13" s="1"/>
      <c r="C13" s="1"/>
      <c r="D13" s="1"/>
      <c r="E13" s="9"/>
      <c r="F13" s="9"/>
      <c r="G13" s="1"/>
      <c r="H13" s="1"/>
      <c r="K13" s="5"/>
    </row>
    <row r="14" spans="1:11" x14ac:dyDescent="0.25">
      <c r="A14" s="23"/>
      <c r="B14" s="24" t="s">
        <v>6</v>
      </c>
      <c r="C14" s="25"/>
      <c r="D14" s="26"/>
      <c r="E14" s="10"/>
      <c r="F14" s="10"/>
      <c r="G14" s="20">
        <f>G9</f>
        <v>892.5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2" t="s">
        <v>101</v>
      </c>
      <c r="F15" s="12"/>
      <c r="G15" s="1" t="s">
        <v>4</v>
      </c>
      <c r="H15" s="1" t="s">
        <v>5</v>
      </c>
    </row>
    <row r="16" spans="1:11" x14ac:dyDescent="0.25">
      <c r="A16" s="23" t="s">
        <v>87</v>
      </c>
      <c r="B16" s="1" t="s">
        <v>88</v>
      </c>
      <c r="C16" s="1" t="s">
        <v>89</v>
      </c>
      <c r="D16" s="1">
        <v>150</v>
      </c>
      <c r="E16" s="9">
        <v>5</v>
      </c>
      <c r="F16" s="9" t="s">
        <v>144</v>
      </c>
      <c r="G16" s="1">
        <f>E16*D16</f>
        <v>750</v>
      </c>
      <c r="H16" s="1"/>
    </row>
    <row r="17" spans="1:8" x14ac:dyDescent="0.25">
      <c r="A17" s="23"/>
      <c r="B17" s="1" t="s">
        <v>54</v>
      </c>
      <c r="C17" s="1" t="s">
        <v>34</v>
      </c>
      <c r="D17" s="1">
        <v>30.6</v>
      </c>
      <c r="E17" s="9">
        <v>5</v>
      </c>
      <c r="F17" s="9" t="s">
        <v>135</v>
      </c>
      <c r="G17" s="12">
        <f>E17*D17</f>
        <v>153</v>
      </c>
      <c r="H17" s="1"/>
    </row>
    <row r="18" spans="1:8" x14ac:dyDescent="0.25">
      <c r="A18" s="23"/>
      <c r="B18" s="1"/>
      <c r="C18" s="1"/>
      <c r="D18" s="1"/>
      <c r="E18" s="9"/>
      <c r="F18" s="9"/>
      <c r="G18" s="1"/>
      <c r="H18" s="1"/>
    </row>
    <row r="19" spans="1:8" x14ac:dyDescent="0.25">
      <c r="A19" s="23"/>
      <c r="B19" s="1"/>
      <c r="C19" s="1"/>
      <c r="D19" s="1"/>
      <c r="E19" s="10"/>
      <c r="F19" s="10"/>
      <c r="G19" s="2"/>
      <c r="H19" s="1"/>
    </row>
    <row r="20" spans="1:8" x14ac:dyDescent="0.25">
      <c r="A20" s="23"/>
      <c r="B20" s="24" t="s">
        <v>6</v>
      </c>
      <c r="C20" s="25"/>
      <c r="D20" s="26"/>
      <c r="E20" s="10"/>
      <c r="F20" s="10"/>
      <c r="G20" s="18">
        <f>SUM(G16:G19)</f>
        <v>903</v>
      </c>
      <c r="H20" s="1"/>
    </row>
    <row r="21" spans="1:8" x14ac:dyDescent="0.25">
      <c r="A21" s="6" t="s">
        <v>9</v>
      </c>
      <c r="B21" s="1" t="s">
        <v>1</v>
      </c>
      <c r="C21" s="1" t="s">
        <v>2</v>
      </c>
      <c r="D21" s="1" t="s">
        <v>3</v>
      </c>
      <c r="E21" s="12" t="s">
        <v>101</v>
      </c>
      <c r="F21" s="12"/>
      <c r="G21" s="1" t="s">
        <v>4</v>
      </c>
      <c r="H21" s="1" t="s">
        <v>5</v>
      </c>
    </row>
    <row r="22" spans="1:8" x14ac:dyDescent="0.25">
      <c r="A22" s="30"/>
      <c r="B22" s="12" t="s">
        <v>149</v>
      </c>
      <c r="C22" s="12"/>
      <c r="D22" s="12">
        <v>291</v>
      </c>
      <c r="E22" s="12">
        <v>2</v>
      </c>
      <c r="F22" s="12" t="s">
        <v>114</v>
      </c>
      <c r="G22" s="12">
        <f t="shared" ref="G22:G29" si="0">E22*D22</f>
        <v>582</v>
      </c>
      <c r="H22" s="16"/>
    </row>
    <row r="23" spans="1:8" x14ac:dyDescent="0.25">
      <c r="A23" s="31"/>
      <c r="B23" s="12" t="s">
        <v>150</v>
      </c>
      <c r="C23" s="12"/>
      <c r="D23" s="12">
        <v>225</v>
      </c>
      <c r="E23" s="12">
        <v>3</v>
      </c>
      <c r="F23" s="12" t="s">
        <v>114</v>
      </c>
      <c r="G23" s="12">
        <f t="shared" si="0"/>
        <v>675</v>
      </c>
      <c r="H23" s="16"/>
    </row>
    <row r="24" spans="1:8" x14ac:dyDescent="0.25">
      <c r="A24" s="31"/>
      <c r="B24" s="12" t="s">
        <v>151</v>
      </c>
      <c r="C24" s="12"/>
      <c r="D24" s="12">
        <v>235</v>
      </c>
      <c r="E24" s="12">
        <v>1</v>
      </c>
      <c r="F24" s="12" t="s">
        <v>114</v>
      </c>
      <c r="G24" s="12">
        <f t="shared" si="0"/>
        <v>235</v>
      </c>
      <c r="H24" s="16"/>
    </row>
    <row r="25" spans="1:8" x14ac:dyDescent="0.25">
      <c r="A25" s="31"/>
      <c r="B25" s="12" t="s">
        <v>152</v>
      </c>
      <c r="C25" s="12"/>
      <c r="D25" s="12">
        <v>181</v>
      </c>
      <c r="E25" s="12">
        <v>1</v>
      </c>
      <c r="F25" s="12" t="s">
        <v>114</v>
      </c>
      <c r="G25" s="12">
        <f t="shared" si="0"/>
        <v>181</v>
      </c>
      <c r="H25" s="16"/>
    </row>
    <row r="26" spans="1:8" x14ac:dyDescent="0.25">
      <c r="A26" s="31"/>
      <c r="B26" s="12" t="s">
        <v>153</v>
      </c>
      <c r="C26" s="16"/>
      <c r="D26" s="12">
        <v>225</v>
      </c>
      <c r="E26" s="12">
        <v>1</v>
      </c>
      <c r="F26" s="12" t="s">
        <v>114</v>
      </c>
      <c r="G26" s="12">
        <f t="shared" si="0"/>
        <v>225</v>
      </c>
      <c r="H26" s="16"/>
    </row>
    <row r="27" spans="1:8" x14ac:dyDescent="0.25">
      <c r="A27" s="31"/>
      <c r="B27" s="12" t="s">
        <v>154</v>
      </c>
      <c r="C27" s="16"/>
      <c r="D27" s="12">
        <v>225</v>
      </c>
      <c r="E27" s="12">
        <v>1</v>
      </c>
      <c r="F27" s="12" t="s">
        <v>114</v>
      </c>
      <c r="G27" s="12">
        <f t="shared" si="0"/>
        <v>225</v>
      </c>
      <c r="H27" s="16"/>
    </row>
    <row r="28" spans="1:8" x14ac:dyDescent="0.25">
      <c r="A28" s="31"/>
      <c r="B28" s="12" t="s">
        <v>155</v>
      </c>
      <c r="C28" s="16"/>
      <c r="D28" s="12">
        <v>555</v>
      </c>
      <c r="E28" s="12">
        <v>1</v>
      </c>
      <c r="F28" s="12" t="s">
        <v>114</v>
      </c>
      <c r="G28" s="12">
        <f t="shared" si="0"/>
        <v>555</v>
      </c>
      <c r="H28" s="16"/>
    </row>
    <row r="29" spans="1:8" x14ac:dyDescent="0.25">
      <c r="A29" s="31"/>
      <c r="B29" s="12" t="s">
        <v>156</v>
      </c>
      <c r="C29" s="16"/>
      <c r="D29" s="12">
        <v>175</v>
      </c>
      <c r="E29" s="12">
        <v>1</v>
      </c>
      <c r="F29" s="12" t="s">
        <v>104</v>
      </c>
      <c r="G29" s="12">
        <f t="shared" si="0"/>
        <v>175</v>
      </c>
      <c r="H29" s="16"/>
    </row>
    <row r="30" spans="1:8" x14ac:dyDescent="0.25">
      <c r="A30" s="32"/>
      <c r="B30" s="24" t="s">
        <v>6</v>
      </c>
      <c r="C30" s="25"/>
      <c r="D30" s="26"/>
      <c r="E30" s="12"/>
      <c r="F30" s="16"/>
      <c r="G30" s="36">
        <f>SUM(G22:G29)</f>
        <v>2853</v>
      </c>
      <c r="H30" s="16"/>
    </row>
    <row r="31" spans="1:8" x14ac:dyDescent="0.25">
      <c r="A31" s="1" t="s">
        <v>10</v>
      </c>
      <c r="B31" s="1" t="s">
        <v>1</v>
      </c>
      <c r="C31" s="1" t="s">
        <v>2</v>
      </c>
      <c r="D31" s="1" t="s">
        <v>3</v>
      </c>
      <c r="E31" s="12" t="s">
        <v>101</v>
      </c>
      <c r="F31" s="12"/>
      <c r="G31" s="1" t="s">
        <v>4</v>
      </c>
      <c r="H31" s="1" t="s">
        <v>5</v>
      </c>
    </row>
    <row r="32" spans="1:8" x14ac:dyDescent="0.25">
      <c r="A32" s="23" t="s">
        <v>90</v>
      </c>
      <c r="B32" s="1" t="s">
        <v>91</v>
      </c>
      <c r="C32" s="1" t="s">
        <v>45</v>
      </c>
      <c r="D32" s="1">
        <v>21</v>
      </c>
      <c r="E32" s="9">
        <v>6</v>
      </c>
      <c r="F32" s="9" t="s">
        <v>135</v>
      </c>
      <c r="G32" s="1">
        <f>E32*D32</f>
        <v>126</v>
      </c>
      <c r="H32" s="1"/>
    </row>
    <row r="33" spans="1:8" x14ac:dyDescent="0.25">
      <c r="A33" s="23"/>
      <c r="B33" s="1" t="s">
        <v>66</v>
      </c>
      <c r="C33" s="1" t="s">
        <v>68</v>
      </c>
      <c r="D33" s="1">
        <v>27</v>
      </c>
      <c r="E33" s="9">
        <v>15</v>
      </c>
      <c r="F33" s="12" t="s">
        <v>135</v>
      </c>
      <c r="G33" s="12">
        <f>E33*D33</f>
        <v>405</v>
      </c>
      <c r="H33" s="1"/>
    </row>
    <row r="34" spans="1:8" x14ac:dyDescent="0.25">
      <c r="A34" s="23"/>
      <c r="B34" s="24" t="s">
        <v>6</v>
      </c>
      <c r="C34" s="25"/>
      <c r="D34" s="26"/>
      <c r="E34" s="10"/>
      <c r="F34" s="10"/>
      <c r="G34" s="18">
        <f>SUM(G32:G33)</f>
        <v>531</v>
      </c>
      <c r="H34" s="1"/>
    </row>
    <row r="35" spans="1:8" x14ac:dyDescent="0.25">
      <c r="A35" s="1" t="s">
        <v>11</v>
      </c>
      <c r="B35" s="1" t="s">
        <v>1</v>
      </c>
      <c r="C35" s="1" t="s">
        <v>2</v>
      </c>
      <c r="D35" s="1" t="s">
        <v>3</v>
      </c>
      <c r="E35" s="12" t="s">
        <v>101</v>
      </c>
      <c r="F35" s="12"/>
      <c r="G35" s="2" t="s">
        <v>4</v>
      </c>
      <c r="H35" s="1" t="s">
        <v>5</v>
      </c>
    </row>
    <row r="36" spans="1:8" x14ac:dyDescent="0.25">
      <c r="A36" s="30"/>
      <c r="B36" s="1" t="s">
        <v>161</v>
      </c>
      <c r="C36" s="1"/>
      <c r="D36" s="1">
        <v>21.42</v>
      </c>
      <c r="E36" s="9">
        <v>65</v>
      </c>
      <c r="F36" s="9" t="s">
        <v>135</v>
      </c>
      <c r="G36" s="1">
        <f>E36*D36</f>
        <v>1392.3000000000002</v>
      </c>
      <c r="H36" s="1"/>
    </row>
    <row r="37" spans="1:8" x14ac:dyDescent="0.25">
      <c r="A37" s="31"/>
      <c r="B37" s="1" t="s">
        <v>162</v>
      </c>
      <c r="C37" s="1" t="s">
        <v>163</v>
      </c>
      <c r="D37" s="1">
        <v>33.6</v>
      </c>
      <c r="E37" s="9">
        <v>49.7</v>
      </c>
      <c r="F37" s="12" t="s">
        <v>135</v>
      </c>
      <c r="G37" s="12">
        <f>E37*D37</f>
        <v>1669.92</v>
      </c>
      <c r="H37" s="1"/>
    </row>
    <row r="38" spans="1:8" x14ac:dyDescent="0.25">
      <c r="A38" s="32"/>
      <c r="B38" s="24" t="s">
        <v>6</v>
      </c>
      <c r="C38" s="25"/>
      <c r="D38" s="26"/>
      <c r="E38" s="10"/>
      <c r="F38" s="10"/>
      <c r="G38" s="20">
        <f>SUM(G36:G37)</f>
        <v>3062.2200000000003</v>
      </c>
      <c r="H38" s="7"/>
    </row>
    <row r="39" spans="1:8" x14ac:dyDescent="0.25">
      <c r="A39" s="8" t="s">
        <v>12</v>
      </c>
      <c r="B39" s="1" t="s">
        <v>1</v>
      </c>
      <c r="C39" s="1" t="s">
        <v>2</v>
      </c>
      <c r="D39" s="1" t="s">
        <v>3</v>
      </c>
      <c r="E39" s="12" t="s">
        <v>101</v>
      </c>
      <c r="F39" s="12"/>
      <c r="G39" s="1" t="s">
        <v>4</v>
      </c>
      <c r="H39" s="1"/>
    </row>
    <row r="40" spans="1:8" x14ac:dyDescent="0.25">
      <c r="A40" s="23"/>
      <c r="B40" s="12" t="s">
        <v>145</v>
      </c>
      <c r="C40" s="12">
        <v>10</v>
      </c>
      <c r="D40" s="12">
        <v>19.8</v>
      </c>
      <c r="E40" s="12"/>
      <c r="F40" s="12" t="s">
        <v>93</v>
      </c>
      <c r="G40" s="12">
        <f>D40*C40</f>
        <v>198</v>
      </c>
      <c r="H40" s="1"/>
    </row>
    <row r="41" spans="1:8" x14ac:dyDescent="0.25">
      <c r="A41" s="23"/>
      <c r="B41" s="12" t="s">
        <v>146</v>
      </c>
      <c r="C41" s="12">
        <v>30</v>
      </c>
      <c r="D41" s="12">
        <v>10</v>
      </c>
      <c r="E41" s="12"/>
      <c r="F41" s="12" t="s">
        <v>147</v>
      </c>
      <c r="G41" s="12">
        <f t="shared" ref="G41" si="1">D41*C41</f>
        <v>300</v>
      </c>
      <c r="H41" s="1"/>
    </row>
    <row r="42" spans="1:8" x14ac:dyDescent="0.25">
      <c r="A42" s="23"/>
      <c r="B42" s="12" t="s">
        <v>148</v>
      </c>
      <c r="C42" s="12">
        <v>30</v>
      </c>
      <c r="D42" s="12">
        <v>52.8</v>
      </c>
      <c r="E42" s="12">
        <v>2.84</v>
      </c>
      <c r="F42" s="12" t="s">
        <v>93</v>
      </c>
      <c r="G42" s="17">
        <f>E42*D42</f>
        <v>149.952</v>
      </c>
      <c r="H42" s="1"/>
    </row>
    <row r="43" spans="1:8" x14ac:dyDescent="0.25">
      <c r="A43" s="23"/>
      <c r="B43" s="12" t="s">
        <v>157</v>
      </c>
      <c r="C43" s="12"/>
      <c r="D43" s="12">
        <v>98.4</v>
      </c>
      <c r="E43" s="12">
        <v>5</v>
      </c>
      <c r="F43" s="12" t="s">
        <v>93</v>
      </c>
      <c r="G43" s="17">
        <f t="shared" ref="G43:G45" si="2">E43*D43</f>
        <v>492</v>
      </c>
      <c r="H43" s="1"/>
    </row>
    <row r="44" spans="1:8" x14ac:dyDescent="0.25">
      <c r="A44" s="23"/>
      <c r="B44" s="12" t="s">
        <v>158</v>
      </c>
      <c r="C44" s="12"/>
      <c r="D44" s="12">
        <v>4.5</v>
      </c>
      <c r="E44" s="13">
        <v>50</v>
      </c>
      <c r="F44" s="12" t="s">
        <v>147</v>
      </c>
      <c r="G44" s="17">
        <f t="shared" si="2"/>
        <v>225</v>
      </c>
      <c r="H44" s="22" t="s">
        <v>140</v>
      </c>
    </row>
    <row r="45" spans="1:8" x14ac:dyDescent="0.25">
      <c r="A45" s="23"/>
      <c r="B45" s="12" t="s">
        <v>159</v>
      </c>
      <c r="C45" s="12"/>
      <c r="D45" s="12">
        <v>10</v>
      </c>
      <c r="E45" s="13">
        <v>24</v>
      </c>
      <c r="F45" s="13" t="s">
        <v>160</v>
      </c>
      <c r="G45" s="17">
        <f t="shared" si="2"/>
        <v>240</v>
      </c>
      <c r="H45" s="22" t="s">
        <v>140</v>
      </c>
    </row>
    <row r="46" spans="1:8" x14ac:dyDescent="0.25">
      <c r="A46" s="23"/>
      <c r="B46" s="24" t="s">
        <v>6</v>
      </c>
      <c r="C46" s="25"/>
      <c r="D46" s="26"/>
      <c r="E46" s="10"/>
      <c r="F46" s="10"/>
      <c r="G46" s="20">
        <f>SUM(G40:G45)</f>
        <v>1604.952</v>
      </c>
      <c r="H46" s="1"/>
    </row>
    <row r="47" spans="1:8" x14ac:dyDescent="0.25">
      <c r="A47" s="1"/>
      <c r="B47" s="27" t="s">
        <v>13</v>
      </c>
      <c r="C47" s="28"/>
      <c r="D47" s="29"/>
      <c r="E47" s="11"/>
      <c r="F47" s="11"/>
      <c r="G47" s="37">
        <f>G46+G38+G34+G30+G20+G7+G14</f>
        <v>13058.712</v>
      </c>
      <c r="H47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0:A46"/>
    <mergeCell ref="B46:D46"/>
    <mergeCell ref="B47:D47"/>
    <mergeCell ref="A32:A34"/>
    <mergeCell ref="B34:D34"/>
    <mergeCell ref="A36:A38"/>
    <mergeCell ref="B38:D38"/>
    <mergeCell ref="B30:D30"/>
    <mergeCell ref="A22:A30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0415</vt:lpstr>
      <vt:lpstr>0416</vt:lpstr>
      <vt:lpstr>0417</vt:lpstr>
      <vt:lpstr>0418</vt:lpstr>
      <vt:lpstr>0419</vt:lpstr>
      <vt:lpstr>'0415'!Print_Area</vt:lpstr>
      <vt:lpstr>'0416'!Print_Area</vt:lpstr>
      <vt:lpstr>'0417'!Print_Area</vt:lpstr>
      <vt:lpstr>'0418'!Print_Area</vt:lpstr>
      <vt:lpstr>'0419'!Print_Area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2024-04-23T07:06:08Z</cp:lastPrinted>
  <dcterms:created xsi:type="dcterms:W3CDTF">2024-03-28T07:32:38Z</dcterms:created>
  <dcterms:modified xsi:type="dcterms:W3CDTF">2024-04-23T07:06:09Z</dcterms:modified>
</cp:coreProperties>
</file>