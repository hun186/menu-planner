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4月份\"/>
    </mc:Choice>
  </mc:AlternateContent>
  <bookViews>
    <workbookView xWindow="0" yWindow="0" windowWidth="28800" windowHeight="12255" activeTab="3"/>
  </bookViews>
  <sheets>
    <sheet name="0422" sheetId="1" r:id="rId1"/>
    <sheet name="0423" sheetId="2" r:id="rId2"/>
    <sheet name="0424" sheetId="3" r:id="rId3"/>
    <sheet name="0425" sheetId="4" r:id="rId4"/>
    <sheet name="0426" sheetId="5" r:id="rId5"/>
  </sheets>
  <definedNames>
    <definedName name="_xlnm.Print_Area" localSheetId="0">'0422'!$A$1:$H$43</definedName>
    <definedName name="_xlnm.Print_Area" localSheetId="1">'0423'!$A$1:$H$46</definedName>
    <definedName name="_xlnm.Print_Area" localSheetId="2">'0424'!$A$1:$H$41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4" l="1"/>
  <c r="G17" i="4"/>
  <c r="G18" i="4"/>
  <c r="G16" i="4"/>
  <c r="G41" i="3" l="1"/>
  <c r="G14" i="3"/>
  <c r="G10" i="3"/>
  <c r="G11" i="3"/>
  <c r="G26" i="3"/>
  <c r="G23" i="3"/>
  <c r="G24" i="3"/>
  <c r="G22" i="3"/>
  <c r="G34" i="3"/>
  <c r="G33" i="3"/>
  <c r="G32" i="3"/>
  <c r="G30" i="3"/>
  <c r="G29" i="3"/>
  <c r="G28" i="3"/>
  <c r="G9" i="3"/>
  <c r="G40" i="3"/>
  <c r="G37" i="3"/>
  <c r="G38" i="3"/>
  <c r="G39" i="3"/>
  <c r="G36" i="3"/>
  <c r="G4" i="3"/>
  <c r="G7" i="3" s="1"/>
  <c r="G5" i="3"/>
  <c r="G3" i="3"/>
  <c r="G43" i="1" l="1"/>
  <c r="G32" i="1"/>
  <c r="G28" i="1"/>
  <c r="G35" i="1"/>
  <c r="G7" i="1"/>
  <c r="G3" i="1"/>
  <c r="G36" i="1"/>
  <c r="G34" i="1"/>
  <c r="G31" i="1"/>
  <c r="G20" i="1"/>
  <c r="G17" i="1"/>
  <c r="G16" i="1"/>
  <c r="G14" i="1"/>
  <c r="G10" i="1"/>
  <c r="G9" i="1"/>
  <c r="G27" i="1"/>
  <c r="G26" i="1"/>
  <c r="G25" i="1" l="1"/>
  <c r="G24" i="1"/>
  <c r="G23" i="1"/>
  <c r="G22" i="1"/>
  <c r="G30" i="2"/>
  <c r="G31" i="2"/>
  <c r="G44" i="2"/>
  <c r="G14" i="2"/>
  <c r="G20" i="2"/>
  <c r="G25" i="2"/>
  <c r="G26" i="2"/>
  <c r="G27" i="2"/>
  <c r="G28" i="2"/>
  <c r="G29" i="2"/>
  <c r="G37" i="2"/>
  <c r="G39" i="2" s="1"/>
  <c r="G38" i="2"/>
  <c r="G43" i="2"/>
  <c r="G42" i="2"/>
  <c r="G41" i="2"/>
  <c r="G45" i="2" s="1"/>
  <c r="G17" i="2"/>
  <c r="G18" i="2"/>
  <c r="G16" i="2"/>
  <c r="G9" i="2"/>
  <c r="G7" i="2"/>
  <c r="G4" i="2"/>
  <c r="G3" i="2"/>
  <c r="G23" i="2"/>
  <c r="G24" i="2"/>
  <c r="G22" i="2"/>
  <c r="G46" i="2" l="1"/>
</calcChain>
</file>

<file path=xl/sharedStrings.xml><?xml version="1.0" encoding="utf-8"?>
<sst xmlns="http://schemas.openxmlformats.org/spreadsheetml/2006/main" count="460" uniqueCount="143">
  <si>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</si>
  <si>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</si>
  <si>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</si>
  <si>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</si>
  <si>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</si>
  <si>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</si>
  <si>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</si>
  <si>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</si>
  <si>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</si>
  <si>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</si>
  <si>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</si>
  <si>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</si>
  <si>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</si>
  <si>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</si>
  <si>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4月   26日      午餐明細表</t>
    <phoneticPr fontId="2" type="noConversion"/>
  </si>
  <si>
    <t>電訊科技中心(安康營區)     113 年      4月   25日      午餐明細表</t>
    <phoneticPr fontId="2" type="noConversion"/>
  </si>
  <si>
    <t>電訊科技中心(安康營區)     113 年      4月   24日      午餐明細表</t>
    <phoneticPr fontId="2" type="noConversion"/>
  </si>
  <si>
    <t>電訊科技中心(安康營區)     113 年      4月   23日      午餐明細表</t>
    <phoneticPr fontId="2" type="noConversion"/>
  </si>
  <si>
    <t>電訊科技中心(安康營區)     113 年      4月   22日      午餐明細表</t>
    <phoneticPr fontId="2" type="noConversion"/>
  </si>
  <si>
    <t>水信花枝排</t>
    <phoneticPr fontId="2" type="noConversion"/>
  </si>
  <si>
    <t>椒鹽花枝排</t>
    <phoneticPr fontId="2" type="noConversion"/>
  </si>
  <si>
    <t>4件</t>
    <phoneticPr fontId="2" type="noConversion"/>
  </si>
  <si>
    <t>紅蘿蔔炒蛋</t>
    <phoneticPr fontId="2" type="noConversion"/>
  </si>
  <si>
    <t>紅蘿蔔絲</t>
    <phoneticPr fontId="2" type="noConversion"/>
  </si>
  <si>
    <t>蛋</t>
    <phoneticPr fontId="2" type="noConversion"/>
  </si>
  <si>
    <t>15斤</t>
    <phoneticPr fontId="2" type="noConversion"/>
  </si>
  <si>
    <t>薑燒南瓜</t>
    <phoneticPr fontId="2" type="noConversion"/>
  </si>
  <si>
    <t>南瓜塊3X3</t>
    <phoneticPr fontId="2" type="noConversion"/>
  </si>
  <si>
    <t>40斤</t>
    <phoneticPr fontId="2" type="noConversion"/>
  </si>
  <si>
    <t>薑絲</t>
    <phoneticPr fontId="2" type="noConversion"/>
  </si>
  <si>
    <t>1斤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</si>
  <si>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</si>
  <si>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</si>
  <si>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</si>
  <si>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2板</t>
    <phoneticPr fontId="2" type="noConversion"/>
  </si>
  <si>
    <t>庫存</t>
    <phoneticPr fontId="2" type="noConversion"/>
  </si>
  <si>
    <t>醬燒雞丁</t>
    <phoneticPr fontId="2" type="noConversion"/>
  </si>
  <si>
    <t>三杯百頁</t>
    <phoneticPr fontId="2" type="noConversion"/>
  </si>
  <si>
    <t>清炒絲瓜</t>
    <phoneticPr fontId="2" type="noConversion"/>
  </si>
  <si>
    <t>紫菜蛋花湯</t>
    <phoneticPr fontId="2" type="noConversion"/>
  </si>
  <si>
    <t>紫菜</t>
    <phoneticPr fontId="2" type="noConversion"/>
  </si>
  <si>
    <t>去皮絲瓜</t>
    <phoneticPr fontId="2" type="noConversion"/>
  </si>
  <si>
    <t>川耳</t>
    <phoneticPr fontId="2" type="noConversion"/>
  </si>
  <si>
    <t>紅蘿蔔</t>
    <phoneticPr fontId="2" type="noConversion"/>
  </si>
  <si>
    <t>55斤</t>
    <phoneticPr fontId="2" type="noConversion"/>
  </si>
  <si>
    <t>5斤</t>
    <phoneticPr fontId="2" type="noConversion"/>
  </si>
  <si>
    <t>2斤</t>
    <phoneticPr fontId="2" type="noConversion"/>
  </si>
  <si>
    <t>百頁豆腐</t>
    <phoneticPr fontId="2" type="noConversion"/>
  </si>
  <si>
    <t>110個</t>
    <phoneticPr fontId="2" type="noConversion"/>
  </si>
  <si>
    <t>骨腿丁</t>
    <phoneticPr fontId="2" type="noConversion"/>
  </si>
  <si>
    <t>去皮洋蔥</t>
    <phoneticPr fontId="2" type="noConversion"/>
  </si>
  <si>
    <t>65斤</t>
    <phoneticPr fontId="2" type="noConversion"/>
  </si>
  <si>
    <t>10斤</t>
    <phoneticPr fontId="2" type="noConversion"/>
  </si>
  <si>
    <t>乾拌麵</t>
    <phoneticPr fontId="2" type="noConversion"/>
  </si>
  <si>
    <t>油麵</t>
    <phoneticPr fontId="2" type="noConversion"/>
  </si>
  <si>
    <t>豆芽菜</t>
    <phoneticPr fontId="2" type="noConversion"/>
  </si>
  <si>
    <t>木耳絲</t>
    <phoneticPr fontId="2" type="noConversion"/>
  </si>
  <si>
    <t>4斤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</si>
  <si>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</si>
  <si>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</si>
  <si>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</si>
  <si>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6斤</t>
    <phoneticPr fontId="2" type="noConversion"/>
  </si>
  <si>
    <t>紅燒豬腳</t>
    <phoneticPr fontId="2" type="noConversion"/>
  </si>
  <si>
    <t>滷味拼盤</t>
    <phoneticPr fontId="2" type="noConversion"/>
  </si>
  <si>
    <t>豬腳丁</t>
    <phoneticPr fontId="2" type="noConversion"/>
  </si>
  <si>
    <t>白蘿蔔</t>
    <phoneticPr fontId="2" type="noConversion"/>
  </si>
  <si>
    <t>紅蔥頭切片</t>
    <phoneticPr fontId="2" type="noConversion"/>
  </si>
  <si>
    <t>鳥蛋</t>
    <phoneticPr fontId="2" type="noConversion"/>
  </si>
  <si>
    <t>油豆腐丁</t>
    <phoneticPr fontId="2" type="noConversion"/>
  </si>
  <si>
    <t>米血丁</t>
    <phoneticPr fontId="2" type="noConversion"/>
  </si>
  <si>
    <t>700粒</t>
    <phoneticPr fontId="2" type="noConversion"/>
  </si>
  <si>
    <t>烤雞腿</t>
    <phoneticPr fontId="2" type="noConversion"/>
  </si>
  <si>
    <t>冬瓜麵輪</t>
    <phoneticPr fontId="2" type="noConversion"/>
  </si>
  <si>
    <t>芹菜炒雞捲</t>
    <phoneticPr fontId="2" type="noConversion"/>
  </si>
  <si>
    <t>綠豆湯</t>
    <phoneticPr fontId="2" type="noConversion"/>
  </si>
  <si>
    <t>綠豆</t>
    <phoneticPr fontId="2" type="noConversion"/>
  </si>
  <si>
    <t>270支</t>
    <phoneticPr fontId="2" type="noConversion"/>
  </si>
  <si>
    <t>棒腿</t>
    <phoneticPr fontId="2" type="noConversion"/>
  </si>
  <si>
    <t>去皮冬瓜</t>
    <phoneticPr fontId="2" type="noConversion"/>
  </si>
  <si>
    <t>麵輪</t>
    <phoneticPr fontId="2" type="noConversion"/>
  </si>
  <si>
    <t>50斤</t>
    <phoneticPr fontId="2" type="noConversion"/>
  </si>
  <si>
    <t>去葉中芹</t>
    <phoneticPr fontId="2" type="noConversion"/>
  </si>
  <si>
    <t>雞捲</t>
    <phoneticPr fontId="2" type="noConversion"/>
  </si>
  <si>
    <t>25斤</t>
    <phoneticPr fontId="2" type="noConversion"/>
  </si>
  <si>
    <t>蠔油肉片</t>
    <phoneticPr fontId="2" type="noConversion"/>
  </si>
  <si>
    <t>茄汁甜條</t>
    <phoneticPr fontId="2" type="noConversion"/>
  </si>
  <si>
    <t>青椒豆干</t>
    <phoneticPr fontId="2" type="noConversion"/>
  </si>
  <si>
    <t>白蘿蔔貢丸湯</t>
    <phoneticPr fontId="2" type="noConversion"/>
  </si>
  <si>
    <t>小貢丸</t>
    <phoneticPr fontId="2" type="noConversion"/>
  </si>
  <si>
    <t>2包</t>
    <phoneticPr fontId="2" type="noConversion"/>
  </si>
  <si>
    <t>青椒絲</t>
    <phoneticPr fontId="2" type="noConversion"/>
  </si>
  <si>
    <t>豆干切片</t>
    <phoneticPr fontId="2" type="noConversion"/>
  </si>
  <si>
    <t>甜不辣條</t>
    <phoneticPr fontId="2" type="noConversion"/>
  </si>
  <si>
    <t>30斤</t>
    <phoneticPr fontId="2" type="noConversion"/>
  </si>
  <si>
    <t>豬肉片</t>
    <phoneticPr fontId="2" type="noConversion"/>
  </si>
  <si>
    <t>五穀米</t>
    <phoneticPr fontId="2" type="noConversion"/>
  </si>
  <si>
    <t>斤</t>
    <phoneticPr fontId="2" type="noConversion"/>
  </si>
  <si>
    <t>沙拉油</t>
    <phoneticPr fontId="2" type="noConversion"/>
  </si>
  <si>
    <t>桶</t>
    <phoneticPr fontId="2" type="noConversion"/>
  </si>
  <si>
    <t>三好米</t>
    <phoneticPr fontId="2" type="noConversion"/>
  </si>
  <si>
    <t>訂貨數量</t>
  </si>
  <si>
    <t>斤</t>
    <phoneticPr fontId="2" type="noConversion"/>
  </si>
  <si>
    <t>油麵</t>
    <phoneticPr fontId="2" type="noConversion"/>
  </si>
  <si>
    <t>濕木耳絲</t>
    <phoneticPr fontId="2" type="noConversion"/>
  </si>
  <si>
    <t>芭樂</t>
    <phoneticPr fontId="2" type="noConversion"/>
  </si>
  <si>
    <t>鵝白菜</t>
    <phoneticPr fontId="2" type="noConversion"/>
  </si>
  <si>
    <t>吐司</t>
    <phoneticPr fontId="2" type="noConversion"/>
  </si>
  <si>
    <t>早餐/晚餐</t>
    <phoneticPr fontId="2" type="noConversion"/>
  </si>
  <si>
    <t>條</t>
    <phoneticPr fontId="2" type="noConversion"/>
  </si>
  <si>
    <t>鹽</t>
    <phoneticPr fontId="2" type="noConversion"/>
  </si>
  <si>
    <t>番茄醬</t>
    <phoneticPr fontId="2" type="noConversion"/>
  </si>
  <si>
    <t>包</t>
    <phoneticPr fontId="2" type="noConversion"/>
  </si>
  <si>
    <t>豆乾丁</t>
    <phoneticPr fontId="2" type="noConversion"/>
  </si>
  <si>
    <t>太白粉</t>
    <phoneticPr fontId="2" type="noConversion"/>
  </si>
  <si>
    <t>二砂</t>
    <phoneticPr fontId="2" type="noConversion"/>
  </si>
  <si>
    <t>袋</t>
    <phoneticPr fontId="2" type="noConversion"/>
  </si>
  <si>
    <t>絞肉</t>
    <phoneticPr fontId="2" type="noConversion"/>
  </si>
  <si>
    <t>非基改味噌</t>
    <phoneticPr fontId="2" type="noConversion"/>
  </si>
  <si>
    <t>件</t>
    <phoneticPr fontId="2" type="noConversion"/>
  </si>
  <si>
    <t>辣椒</t>
    <phoneticPr fontId="2" type="noConversion"/>
  </si>
  <si>
    <t>老薑</t>
    <phoneticPr fontId="2" type="noConversion"/>
  </si>
  <si>
    <t>青蔥</t>
    <phoneticPr fontId="2" type="noConversion"/>
  </si>
  <si>
    <t>蒜仁</t>
    <phoneticPr fontId="2" type="noConversion"/>
  </si>
  <si>
    <t>洗選蛋</t>
    <phoneticPr fontId="2" type="noConversion"/>
  </si>
  <si>
    <t>杏鮑菇</t>
    <phoneticPr fontId="2" type="noConversion"/>
  </si>
  <si>
    <t>盤</t>
    <phoneticPr fontId="2" type="noConversion"/>
  </si>
  <si>
    <t>高麗菜</t>
    <phoneticPr fontId="2" type="noConversion"/>
  </si>
  <si>
    <t>非合約項目</t>
    <phoneticPr fontId="2" type="noConversion"/>
  </si>
  <si>
    <t>早餐</t>
    <phoneticPr fontId="2" type="noConversion"/>
  </si>
  <si>
    <t>冷凍蔥油餅</t>
    <phoneticPr fontId="2" type="noConversion"/>
  </si>
  <si>
    <t>桶柑</t>
    <phoneticPr fontId="2" type="noConversion"/>
  </si>
  <si>
    <t>斤</t>
  </si>
  <si>
    <t>斤</t>
    <phoneticPr fontId="2" type="noConversion"/>
  </si>
  <si>
    <t>高麗菜</t>
    <phoneticPr fontId="2" type="noConversion"/>
  </si>
  <si>
    <t>港式蘿蔔糕</t>
    <phoneticPr fontId="2" type="noConversion"/>
  </si>
  <si>
    <t>包</t>
    <phoneticPr fontId="2" type="noConversion"/>
  </si>
  <si>
    <t>鹼片</t>
    <phoneticPr fontId="2" type="noConversion"/>
  </si>
  <si>
    <t>件</t>
    <phoneticPr fontId="2" type="noConversion"/>
  </si>
  <si>
    <t>高鮮味素</t>
    <phoneticPr fontId="2" type="noConversion"/>
  </si>
  <si>
    <t>盒</t>
    <phoneticPr fontId="2" type="noConversion"/>
  </si>
  <si>
    <t>訂貨數量</t>
    <phoneticPr fontId="2" type="noConversion"/>
  </si>
  <si>
    <t>斤</t>
    <phoneticPr fontId="2" type="noConversion"/>
  </si>
  <si>
    <t>非合約項目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</si>
</sst>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color rgb="FF00B05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topLeftCell="A10" workbookViewId="0">
      <selection activeCell="H43" sqref="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4" t="s">
        <v>18</v>
      </c>
      <c r="B1" s="35"/>
      <c r="C1" s="35"/>
      <c r="D1" s="35"/>
      <c r="E1" s="35"/>
      <c r="F1" s="35"/>
      <c r="G1" s="35"/>
      <c r="H1" s="36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100</v>
      </c>
      <c r="F2" s="2"/>
      <c r="G2" s="1" t="s">
        <v>4</v>
      </c>
      <c r="H2" s="1" t="s">
        <v>5</v>
      </c>
    </row>
    <row r="3" spans="1:11" x14ac:dyDescent="0.25">
      <c r="A3" s="24" t="s">
        <v>20</v>
      </c>
      <c r="B3" s="1" t="s">
        <v>19</v>
      </c>
      <c r="C3" s="1" t="s">
        <v>21</v>
      </c>
      <c r="D3" s="1">
        <v>650</v>
      </c>
      <c r="E3" s="2">
        <v>4</v>
      </c>
      <c r="F3" s="2" t="s">
        <v>118</v>
      </c>
      <c r="G3" s="1">
        <f>E3*D3</f>
        <v>2600</v>
      </c>
      <c r="H3" s="22" t="s">
        <v>127</v>
      </c>
    </row>
    <row r="4" spans="1:11" x14ac:dyDescent="0.25">
      <c r="A4" s="24"/>
      <c r="B4" s="1"/>
      <c r="C4" s="1"/>
      <c r="D4" s="1"/>
      <c r="E4" s="2"/>
      <c r="F4" s="2"/>
      <c r="G4" s="1"/>
      <c r="H4" s="1"/>
    </row>
    <row r="5" spans="1:11" x14ac:dyDescent="0.25">
      <c r="A5" s="24"/>
      <c r="B5" s="1"/>
      <c r="C5" s="1"/>
      <c r="D5" s="1"/>
      <c r="E5" s="2"/>
      <c r="F5" s="2"/>
      <c r="G5" s="1"/>
      <c r="H5" s="1"/>
    </row>
    <row r="6" spans="1:11" x14ac:dyDescent="0.25">
      <c r="A6" s="24"/>
      <c r="B6" s="1"/>
      <c r="C6" s="1"/>
      <c r="D6" s="1"/>
      <c r="E6" s="5"/>
      <c r="F6" s="5"/>
      <c r="G6" s="3"/>
      <c r="H6" s="1"/>
    </row>
    <row r="7" spans="1:11" x14ac:dyDescent="0.25">
      <c r="A7" s="24"/>
      <c r="B7" s="25" t="s">
        <v>6</v>
      </c>
      <c r="C7" s="26"/>
      <c r="D7" s="27"/>
      <c r="E7" s="5"/>
      <c r="F7" s="5"/>
      <c r="G7" s="16">
        <f>G3</f>
        <v>2600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100</v>
      </c>
      <c r="F8" s="2"/>
      <c r="G8" s="1" t="s">
        <v>4</v>
      </c>
      <c r="H8" s="1" t="s">
        <v>5</v>
      </c>
      <c r="K8" s="6"/>
    </row>
    <row r="9" spans="1:11" x14ac:dyDescent="0.25">
      <c r="A9" s="24" t="s">
        <v>22</v>
      </c>
      <c r="B9" s="1" t="s">
        <v>23</v>
      </c>
      <c r="C9" s="1">
        <v>15</v>
      </c>
      <c r="D9" s="1">
        <v>9.1199999999999992</v>
      </c>
      <c r="E9" s="2">
        <v>15</v>
      </c>
      <c r="F9" s="2" t="s">
        <v>101</v>
      </c>
      <c r="G9" s="17">
        <f>E9*D9</f>
        <v>136.79999999999998</v>
      </c>
      <c r="H9" s="1"/>
      <c r="K9" s="7"/>
    </row>
    <row r="10" spans="1:11" x14ac:dyDescent="0.25">
      <c r="A10" s="24"/>
      <c r="B10" s="1" t="s">
        <v>24</v>
      </c>
      <c r="C10" s="1">
        <v>1</v>
      </c>
      <c r="D10" s="1">
        <v>58.8</v>
      </c>
      <c r="E10" s="2">
        <v>20</v>
      </c>
      <c r="F10" s="2" t="s">
        <v>101</v>
      </c>
      <c r="G10" s="17">
        <f>E10*D10</f>
        <v>1176</v>
      </c>
      <c r="H10" s="1"/>
      <c r="K10" s="7"/>
    </row>
    <row r="11" spans="1:11" x14ac:dyDescent="0.25">
      <c r="A11" s="24"/>
      <c r="B11" s="1"/>
      <c r="C11" s="1"/>
      <c r="D11" s="1"/>
      <c r="E11" s="2"/>
      <c r="F11" s="2"/>
      <c r="G11" s="1"/>
      <c r="H11" s="1"/>
      <c r="K11" s="7"/>
    </row>
    <row r="12" spans="1:11" x14ac:dyDescent="0.25">
      <c r="A12" s="24"/>
      <c r="B12" s="1"/>
      <c r="C12" s="1"/>
      <c r="D12" s="1"/>
      <c r="E12" s="2"/>
      <c r="F12" s="2"/>
      <c r="G12" s="1"/>
      <c r="H12" s="1"/>
      <c r="K12" s="7"/>
    </row>
    <row r="13" spans="1:11" x14ac:dyDescent="0.25">
      <c r="A13" s="24"/>
      <c r="B13" s="1"/>
      <c r="C13" s="1"/>
      <c r="D13" s="1"/>
      <c r="E13" s="2"/>
      <c r="F13" s="2"/>
      <c r="G13" s="1"/>
      <c r="H13" s="1"/>
      <c r="K13" s="8"/>
    </row>
    <row r="14" spans="1:11" x14ac:dyDescent="0.25">
      <c r="A14" s="24"/>
      <c r="B14" s="25" t="s">
        <v>6</v>
      </c>
      <c r="C14" s="26"/>
      <c r="D14" s="27"/>
      <c r="E14" s="5"/>
      <c r="F14" s="5"/>
      <c r="G14" s="18">
        <f>SUM(G9:G13)</f>
        <v>1312.8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2" t="s">
        <v>100</v>
      </c>
      <c r="F15" s="2"/>
      <c r="G15" s="1" t="s">
        <v>4</v>
      </c>
      <c r="H15" s="1" t="s">
        <v>5</v>
      </c>
    </row>
    <row r="16" spans="1:11" x14ac:dyDescent="0.25">
      <c r="A16" s="24" t="s">
        <v>26</v>
      </c>
      <c r="B16" s="1" t="s">
        <v>27</v>
      </c>
      <c r="C16" s="1" t="s">
        <v>28</v>
      </c>
      <c r="D16" s="1">
        <v>17.100000000000001</v>
      </c>
      <c r="E16" s="2">
        <v>40</v>
      </c>
      <c r="F16" s="2" t="s">
        <v>101</v>
      </c>
      <c r="G16" s="17">
        <f>E16*D16</f>
        <v>684</v>
      </c>
      <c r="H16" s="1"/>
    </row>
    <row r="17" spans="1:8" x14ac:dyDescent="0.25">
      <c r="A17" s="24"/>
      <c r="B17" s="1" t="s">
        <v>29</v>
      </c>
      <c r="C17" s="1" t="s">
        <v>30</v>
      </c>
      <c r="D17" s="1">
        <v>62.7</v>
      </c>
      <c r="E17" s="2">
        <v>1</v>
      </c>
      <c r="F17" s="2" t="s">
        <v>101</v>
      </c>
      <c r="G17" s="17">
        <f>E17*D17</f>
        <v>62.7</v>
      </c>
      <c r="H17" s="1"/>
    </row>
    <row r="18" spans="1:8" x14ac:dyDescent="0.25">
      <c r="A18" s="24"/>
      <c r="B18" s="1"/>
      <c r="C18" s="1"/>
      <c r="D18" s="1"/>
      <c r="E18" s="2"/>
      <c r="F18" s="2"/>
      <c r="G18" s="1"/>
      <c r="H18" s="1"/>
    </row>
    <row r="19" spans="1:8" x14ac:dyDescent="0.25">
      <c r="A19" s="24"/>
      <c r="B19" s="1"/>
      <c r="C19" s="1"/>
      <c r="D19" s="1"/>
      <c r="E19" s="5"/>
      <c r="F19" s="5"/>
      <c r="G19" s="3"/>
      <c r="H19" s="1"/>
    </row>
    <row r="20" spans="1:8" x14ac:dyDescent="0.25">
      <c r="A20" s="24"/>
      <c r="B20" s="25" t="s">
        <v>6</v>
      </c>
      <c r="C20" s="26"/>
      <c r="D20" s="27"/>
      <c r="E20" s="5"/>
      <c r="F20" s="5"/>
      <c r="G20" s="18">
        <f>SUM(G16:G19)</f>
        <v>746.7</v>
      </c>
      <c r="H20" s="1"/>
    </row>
    <row r="21" spans="1:8" x14ac:dyDescent="0.25">
      <c r="A21" s="9" t="s">
        <v>9</v>
      </c>
      <c r="B21" s="1" t="s">
        <v>1</v>
      </c>
      <c r="C21" s="1" t="s">
        <v>2</v>
      </c>
      <c r="D21" s="1" t="s">
        <v>3</v>
      </c>
      <c r="E21" s="2" t="s">
        <v>100</v>
      </c>
      <c r="F21" s="2"/>
      <c r="G21" s="1" t="s">
        <v>4</v>
      </c>
      <c r="H21" s="1" t="s">
        <v>5</v>
      </c>
    </row>
    <row r="22" spans="1:8" x14ac:dyDescent="0.25">
      <c r="A22" s="24"/>
      <c r="B22" s="2" t="s">
        <v>119</v>
      </c>
      <c r="C22" s="2"/>
      <c r="D22" s="2">
        <v>150</v>
      </c>
      <c r="E22" s="21">
        <v>1</v>
      </c>
      <c r="F22" s="2" t="s">
        <v>96</v>
      </c>
      <c r="G22" s="2">
        <f>E22*D22</f>
        <v>150</v>
      </c>
      <c r="H22" s="1"/>
    </row>
    <row r="23" spans="1:8" x14ac:dyDescent="0.25">
      <c r="A23" s="24"/>
      <c r="B23" s="2" t="s">
        <v>120</v>
      </c>
      <c r="C23" s="2"/>
      <c r="D23" s="2">
        <v>31.5</v>
      </c>
      <c r="E23" s="21">
        <v>0.5</v>
      </c>
      <c r="F23" s="2" t="s">
        <v>96</v>
      </c>
      <c r="G23" s="17">
        <f t="shared" ref="G23:G27" si="0">E23*D23</f>
        <v>15.75</v>
      </c>
      <c r="H23" s="1"/>
    </row>
    <row r="24" spans="1:8" x14ac:dyDescent="0.25">
      <c r="A24" s="24"/>
      <c r="B24" s="2" t="s">
        <v>121</v>
      </c>
      <c r="C24" s="2"/>
      <c r="D24" s="2">
        <v>37.799999999999997</v>
      </c>
      <c r="E24" s="21">
        <v>3</v>
      </c>
      <c r="F24" s="2" t="s">
        <v>96</v>
      </c>
      <c r="G24" s="17">
        <f t="shared" si="0"/>
        <v>113.39999999999999</v>
      </c>
      <c r="H24" s="1"/>
    </row>
    <row r="25" spans="1:8" x14ac:dyDescent="0.25">
      <c r="A25" s="24"/>
      <c r="B25" s="2" t="s">
        <v>122</v>
      </c>
      <c r="C25" s="2"/>
      <c r="D25" s="2">
        <v>132.6</v>
      </c>
      <c r="E25" s="21">
        <v>8</v>
      </c>
      <c r="F25" s="2" t="s">
        <v>96</v>
      </c>
      <c r="G25" s="17">
        <f t="shared" si="0"/>
        <v>1060.8</v>
      </c>
      <c r="H25" s="1"/>
    </row>
    <row r="26" spans="1:8" x14ac:dyDescent="0.25">
      <c r="A26" s="24"/>
      <c r="B26" s="2" t="s">
        <v>123</v>
      </c>
      <c r="C26" s="2"/>
      <c r="D26" s="2">
        <v>58.8</v>
      </c>
      <c r="E26" s="21">
        <v>40</v>
      </c>
      <c r="F26" s="2" t="s">
        <v>96</v>
      </c>
      <c r="G26" s="2">
        <f t="shared" si="0"/>
        <v>2352</v>
      </c>
      <c r="H26" s="2"/>
    </row>
    <row r="27" spans="1:8" x14ac:dyDescent="0.25">
      <c r="A27" s="24"/>
      <c r="B27" s="2" t="s">
        <v>124</v>
      </c>
      <c r="C27" s="2"/>
      <c r="D27" s="2">
        <v>82.5</v>
      </c>
      <c r="E27" s="21">
        <v>4</v>
      </c>
      <c r="F27" s="2" t="s">
        <v>96</v>
      </c>
      <c r="G27" s="2">
        <f t="shared" si="0"/>
        <v>330</v>
      </c>
      <c r="H27" s="2"/>
    </row>
    <row r="28" spans="1:8" x14ac:dyDescent="0.25">
      <c r="A28" s="24"/>
      <c r="B28" s="25" t="s">
        <v>6</v>
      </c>
      <c r="C28" s="26"/>
      <c r="D28" s="27"/>
      <c r="E28" s="5"/>
      <c r="F28" s="5"/>
      <c r="G28" s="18">
        <f>SUM(G22:G27)</f>
        <v>4021.95</v>
      </c>
      <c r="H28" s="1"/>
    </row>
    <row r="29" spans="1:8" x14ac:dyDescent="0.25">
      <c r="A29" s="1" t="s">
        <v>10</v>
      </c>
      <c r="B29" s="2" t="s">
        <v>1</v>
      </c>
      <c r="C29" s="2" t="s">
        <v>2</v>
      </c>
      <c r="D29" s="2" t="s">
        <v>3</v>
      </c>
      <c r="E29" s="2" t="s">
        <v>100</v>
      </c>
      <c r="F29" s="2"/>
      <c r="G29" s="2" t="s">
        <v>4</v>
      </c>
      <c r="H29" s="1" t="s">
        <v>5</v>
      </c>
    </row>
    <row r="30" spans="1:8" x14ac:dyDescent="0.25">
      <c r="A30" s="24" t="s">
        <v>31</v>
      </c>
      <c r="B30" s="1" t="s">
        <v>32</v>
      </c>
      <c r="C30" s="1"/>
      <c r="D30" s="1"/>
      <c r="E30" s="2"/>
      <c r="F30" s="2"/>
      <c r="G30" s="1"/>
      <c r="H30" s="1" t="s">
        <v>35</v>
      </c>
    </row>
    <row r="31" spans="1:8" x14ac:dyDescent="0.25">
      <c r="A31" s="24"/>
      <c r="B31" s="1" t="s">
        <v>33</v>
      </c>
      <c r="C31" s="1" t="s">
        <v>34</v>
      </c>
      <c r="D31" s="1">
        <v>150</v>
      </c>
      <c r="E31" s="2">
        <v>2</v>
      </c>
      <c r="F31" s="2" t="s">
        <v>125</v>
      </c>
      <c r="G31" s="1">
        <f>E31*D31</f>
        <v>300</v>
      </c>
      <c r="H31" s="1"/>
    </row>
    <row r="32" spans="1:8" x14ac:dyDescent="0.25">
      <c r="A32" s="24"/>
      <c r="B32" s="25" t="s">
        <v>6</v>
      </c>
      <c r="C32" s="26"/>
      <c r="D32" s="27"/>
      <c r="E32" s="5"/>
      <c r="F32" s="5"/>
      <c r="G32" s="16">
        <f>SUM(G31)</f>
        <v>300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2" t="s">
        <v>100</v>
      </c>
      <c r="F33" s="2"/>
      <c r="G33" s="3" t="s">
        <v>4</v>
      </c>
      <c r="H33" s="1" t="s">
        <v>5</v>
      </c>
    </row>
    <row r="34" spans="1:8" x14ac:dyDescent="0.25">
      <c r="A34" s="31"/>
      <c r="B34" s="1" t="s">
        <v>126</v>
      </c>
      <c r="C34" s="1"/>
      <c r="D34" s="1">
        <v>20.399999999999999</v>
      </c>
      <c r="E34" s="2">
        <v>65</v>
      </c>
      <c r="F34" s="2" t="s">
        <v>101</v>
      </c>
      <c r="G34" s="1">
        <f>E34*D34</f>
        <v>1326</v>
      </c>
      <c r="H34" s="1"/>
    </row>
    <row r="35" spans="1:8" x14ac:dyDescent="0.25">
      <c r="A35" s="32"/>
      <c r="B35" s="1" t="s">
        <v>130</v>
      </c>
      <c r="C35" s="1"/>
      <c r="D35" s="1">
        <v>11.52</v>
      </c>
      <c r="E35" s="2">
        <v>70</v>
      </c>
      <c r="F35" s="2"/>
      <c r="G35" s="17">
        <f>E35*D35</f>
        <v>806.4</v>
      </c>
      <c r="H35" s="1"/>
    </row>
    <row r="36" spans="1:8" x14ac:dyDescent="0.25">
      <c r="A36" s="33"/>
      <c r="B36" s="25" t="s">
        <v>6</v>
      </c>
      <c r="C36" s="26"/>
      <c r="D36" s="27"/>
      <c r="E36" s="5"/>
      <c r="F36" s="5"/>
      <c r="G36" s="18">
        <f>SUM(G34:G35)</f>
        <v>2132.4</v>
      </c>
      <c r="H36" s="10"/>
    </row>
    <row r="37" spans="1:8" x14ac:dyDescent="0.25">
      <c r="A37" s="11" t="s">
        <v>128</v>
      </c>
      <c r="B37" s="1" t="s">
        <v>1</v>
      </c>
      <c r="C37" s="1" t="s">
        <v>2</v>
      </c>
      <c r="D37" s="1" t="s">
        <v>3</v>
      </c>
      <c r="E37" s="2" t="s">
        <v>100</v>
      </c>
      <c r="F37" s="2"/>
      <c r="G37" s="1" t="s">
        <v>4</v>
      </c>
      <c r="H37" s="1"/>
    </row>
    <row r="38" spans="1:8" x14ac:dyDescent="0.25">
      <c r="A38" s="24"/>
      <c r="B38" s="1" t="s">
        <v>129</v>
      </c>
      <c r="C38" s="1">
        <v>1</v>
      </c>
      <c r="D38" s="1">
        <v>110</v>
      </c>
      <c r="E38" s="2"/>
      <c r="F38" s="2" t="s">
        <v>111</v>
      </c>
      <c r="G38" s="1">
        <v>110</v>
      </c>
      <c r="H38" s="22" t="s">
        <v>127</v>
      </c>
    </row>
    <row r="39" spans="1:8" x14ac:dyDescent="0.25">
      <c r="A39" s="24"/>
      <c r="B39" s="1"/>
      <c r="C39" s="1"/>
      <c r="D39" s="1"/>
      <c r="E39" s="2"/>
      <c r="F39" s="2"/>
      <c r="G39" s="1"/>
      <c r="H39" s="1"/>
    </row>
    <row r="40" spans="1:8" x14ac:dyDescent="0.25">
      <c r="A40" s="24"/>
      <c r="B40" s="1"/>
      <c r="C40" s="1"/>
      <c r="D40" s="1"/>
      <c r="E40" s="2"/>
      <c r="F40" s="2"/>
      <c r="G40" s="1"/>
      <c r="H40" s="1"/>
    </row>
    <row r="41" spans="1:8" x14ac:dyDescent="0.25">
      <c r="A41" s="24"/>
      <c r="B41" s="1"/>
      <c r="C41" s="1"/>
      <c r="D41" s="1"/>
      <c r="E41" s="2"/>
      <c r="F41" s="2"/>
      <c r="G41" s="1"/>
      <c r="H41" s="1"/>
    </row>
    <row r="42" spans="1:8" x14ac:dyDescent="0.25">
      <c r="A42" s="24"/>
      <c r="B42" s="25" t="s">
        <v>6</v>
      </c>
      <c r="C42" s="26"/>
      <c r="D42" s="27"/>
      <c r="E42" s="5"/>
      <c r="F42" s="5"/>
      <c r="G42" s="16">
        <v>110</v>
      </c>
      <c r="H42" s="1"/>
    </row>
    <row r="43" spans="1:8" x14ac:dyDescent="0.25">
      <c r="A43" s="1"/>
      <c r="B43" s="28" t="s">
        <v>13</v>
      </c>
      <c r="C43" s="29"/>
      <c r="D43" s="30"/>
      <c r="E43" s="12"/>
      <c r="F43" s="12"/>
      <c r="G43" s="19">
        <f>G42+G36+G28+G20+G14+G7+G32</f>
        <v>11223.85</v>
      </c>
      <c r="H4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42"/>
    <mergeCell ref="B42:D42"/>
    <mergeCell ref="B43:D43"/>
    <mergeCell ref="A22:A28"/>
    <mergeCell ref="B28:D28"/>
    <mergeCell ref="A30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workbookViewId="0">
      <selection activeCell="E2" sqref="E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4" t="s">
        <v>17</v>
      </c>
      <c r="B1" s="35"/>
      <c r="C1" s="35"/>
      <c r="D1" s="35"/>
      <c r="E1" s="35"/>
      <c r="F1" s="35"/>
      <c r="G1" s="35"/>
      <c r="H1" s="36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100</v>
      </c>
      <c r="F2" s="2"/>
      <c r="G2" s="1" t="s">
        <v>4</v>
      </c>
      <c r="H2" s="1" t="s">
        <v>5</v>
      </c>
    </row>
    <row r="3" spans="1:11" x14ac:dyDescent="0.25">
      <c r="A3" s="24" t="s">
        <v>36</v>
      </c>
      <c r="B3" s="1" t="s">
        <v>49</v>
      </c>
      <c r="C3" s="1" t="s">
        <v>51</v>
      </c>
      <c r="D3" s="1">
        <v>75</v>
      </c>
      <c r="E3" s="2">
        <v>65</v>
      </c>
      <c r="F3" s="2" t="s">
        <v>101</v>
      </c>
      <c r="G3" s="1">
        <f>E3*D3</f>
        <v>4875</v>
      </c>
      <c r="H3" s="1"/>
    </row>
    <row r="4" spans="1:11" x14ac:dyDescent="0.25">
      <c r="A4" s="24"/>
      <c r="B4" s="1" t="s">
        <v>50</v>
      </c>
      <c r="C4" s="1" t="s">
        <v>52</v>
      </c>
      <c r="D4" s="1">
        <v>30.6</v>
      </c>
      <c r="E4" s="2">
        <v>10</v>
      </c>
      <c r="F4" s="2" t="s">
        <v>101</v>
      </c>
      <c r="G4" s="2">
        <f>E4*D4</f>
        <v>306</v>
      </c>
      <c r="H4" s="1"/>
    </row>
    <row r="5" spans="1:11" x14ac:dyDescent="0.25">
      <c r="A5" s="24"/>
      <c r="B5" s="1"/>
      <c r="C5" s="1"/>
      <c r="D5" s="1"/>
      <c r="E5" s="2"/>
      <c r="F5" s="2"/>
      <c r="G5" s="1"/>
      <c r="H5" s="1"/>
    </row>
    <row r="6" spans="1:11" x14ac:dyDescent="0.25">
      <c r="A6" s="24"/>
      <c r="B6" s="1"/>
      <c r="C6" s="1"/>
      <c r="D6" s="1"/>
      <c r="E6" s="5"/>
      <c r="F6" s="5"/>
      <c r="G6" s="3"/>
      <c r="H6" s="1"/>
    </row>
    <row r="7" spans="1:11" x14ac:dyDescent="0.25">
      <c r="A7" s="24"/>
      <c r="B7" s="25" t="s">
        <v>6</v>
      </c>
      <c r="C7" s="26"/>
      <c r="D7" s="27"/>
      <c r="E7" s="5"/>
      <c r="F7" s="5"/>
      <c r="G7" s="16">
        <f>SUM(G3:G6)</f>
        <v>5181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100</v>
      </c>
      <c r="F8" s="2"/>
      <c r="G8" s="1" t="s">
        <v>4</v>
      </c>
      <c r="H8" s="1" t="s">
        <v>5</v>
      </c>
      <c r="K8" s="6"/>
    </row>
    <row r="9" spans="1:11" x14ac:dyDescent="0.25">
      <c r="A9" s="24" t="s">
        <v>37</v>
      </c>
      <c r="B9" s="1" t="s">
        <v>47</v>
      </c>
      <c r="C9" s="1" t="s">
        <v>48</v>
      </c>
      <c r="D9" s="1">
        <v>46.8</v>
      </c>
      <c r="E9" s="2">
        <v>36.67</v>
      </c>
      <c r="F9" s="2" t="s">
        <v>101</v>
      </c>
      <c r="G9" s="17">
        <f>E9*D9</f>
        <v>1716.1559999999999</v>
      </c>
      <c r="H9" s="1"/>
      <c r="K9" s="7"/>
    </row>
    <row r="10" spans="1:11" x14ac:dyDescent="0.25">
      <c r="A10" s="24"/>
      <c r="B10" s="1"/>
      <c r="C10" s="1"/>
      <c r="D10" s="1"/>
      <c r="E10" s="2"/>
      <c r="F10" s="2"/>
      <c r="G10" s="1"/>
      <c r="H10" s="1"/>
      <c r="K10" s="7"/>
    </row>
    <row r="11" spans="1:11" x14ac:dyDescent="0.25">
      <c r="A11" s="24"/>
      <c r="B11" s="1"/>
      <c r="C11" s="1"/>
      <c r="D11" s="1"/>
      <c r="E11" s="2"/>
      <c r="F11" s="2"/>
      <c r="G11" s="1"/>
      <c r="H11" s="1"/>
      <c r="K11" s="7"/>
    </row>
    <row r="12" spans="1:11" x14ac:dyDescent="0.25">
      <c r="A12" s="24"/>
      <c r="B12" s="1"/>
      <c r="C12" s="1"/>
      <c r="D12" s="1"/>
      <c r="E12" s="2"/>
      <c r="F12" s="2"/>
      <c r="G12" s="1"/>
      <c r="H12" s="1"/>
      <c r="K12" s="7"/>
    </row>
    <row r="13" spans="1:11" x14ac:dyDescent="0.25">
      <c r="A13" s="24"/>
      <c r="B13" s="1"/>
      <c r="C13" s="1"/>
      <c r="D13" s="1"/>
      <c r="E13" s="2"/>
      <c r="F13" s="2"/>
      <c r="G13" s="1"/>
      <c r="H13" s="1"/>
      <c r="K13" s="8"/>
    </row>
    <row r="14" spans="1:11" x14ac:dyDescent="0.25">
      <c r="A14" s="24"/>
      <c r="B14" s="25" t="s">
        <v>6</v>
      </c>
      <c r="C14" s="26"/>
      <c r="D14" s="27"/>
      <c r="E14" s="5"/>
      <c r="F14" s="5"/>
      <c r="G14" s="18">
        <f>G9</f>
        <v>1716.1559999999999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2" t="s">
        <v>100</v>
      </c>
      <c r="F15" s="2"/>
      <c r="G15" s="1" t="s">
        <v>4</v>
      </c>
      <c r="H15" s="1" t="s">
        <v>5</v>
      </c>
    </row>
    <row r="16" spans="1:11" x14ac:dyDescent="0.25">
      <c r="A16" s="24" t="s">
        <v>38</v>
      </c>
      <c r="B16" s="1" t="s">
        <v>41</v>
      </c>
      <c r="C16" s="1" t="s">
        <v>44</v>
      </c>
      <c r="D16" s="1">
        <v>33.659999999999997</v>
      </c>
      <c r="E16" s="2">
        <v>55</v>
      </c>
      <c r="F16" s="2" t="s">
        <v>101</v>
      </c>
      <c r="G16" s="17">
        <f>E16*D16</f>
        <v>1851.2999999999997</v>
      </c>
      <c r="H16" s="1"/>
    </row>
    <row r="17" spans="1:8" x14ac:dyDescent="0.25">
      <c r="A17" s="24"/>
      <c r="B17" s="1" t="s">
        <v>42</v>
      </c>
      <c r="C17" s="1" t="s">
        <v>45</v>
      </c>
      <c r="D17" s="1">
        <v>85</v>
      </c>
      <c r="E17" s="2">
        <v>5</v>
      </c>
      <c r="F17" s="2" t="s">
        <v>101</v>
      </c>
      <c r="G17" s="17">
        <f t="shared" ref="G17:G18" si="0">E17*D17</f>
        <v>425</v>
      </c>
      <c r="H17" s="1"/>
    </row>
    <row r="18" spans="1:8" x14ac:dyDescent="0.25">
      <c r="A18" s="24"/>
      <c r="B18" s="1" t="s">
        <v>43</v>
      </c>
      <c r="C18" s="1" t="s">
        <v>46</v>
      </c>
      <c r="D18" s="1">
        <v>7.2</v>
      </c>
      <c r="E18" s="2">
        <v>2</v>
      </c>
      <c r="F18" s="2" t="s">
        <v>101</v>
      </c>
      <c r="G18" s="17">
        <f t="shared" si="0"/>
        <v>14.4</v>
      </c>
      <c r="H18" s="1"/>
    </row>
    <row r="19" spans="1:8" x14ac:dyDescent="0.25">
      <c r="A19" s="24"/>
      <c r="B19" s="1"/>
      <c r="C19" s="1"/>
      <c r="D19" s="1"/>
      <c r="E19" s="5"/>
      <c r="F19" s="5"/>
      <c r="G19" s="3"/>
      <c r="H19" s="1"/>
    </row>
    <row r="20" spans="1:8" x14ac:dyDescent="0.25">
      <c r="A20" s="24"/>
      <c r="B20" s="25" t="s">
        <v>6</v>
      </c>
      <c r="C20" s="26"/>
      <c r="D20" s="27"/>
      <c r="E20" s="5"/>
      <c r="F20" s="5"/>
      <c r="G20" s="18">
        <f>SUM(G16:G19)</f>
        <v>2290.6999999999998</v>
      </c>
      <c r="H20" s="1"/>
    </row>
    <row r="21" spans="1:8" x14ac:dyDescent="0.25">
      <c r="A21" s="9" t="s">
        <v>9</v>
      </c>
      <c r="B21" s="1" t="s">
        <v>1</v>
      </c>
      <c r="C21" s="1" t="s">
        <v>2</v>
      </c>
      <c r="D21" s="1" t="s">
        <v>3</v>
      </c>
      <c r="E21" s="2" t="s">
        <v>100</v>
      </c>
      <c r="F21" s="2"/>
      <c r="G21" s="1" t="s">
        <v>4</v>
      </c>
      <c r="H21" s="1" t="s">
        <v>5</v>
      </c>
    </row>
    <row r="22" spans="1:8" x14ac:dyDescent="0.25">
      <c r="A22" s="24"/>
      <c r="B22" s="2" t="s">
        <v>95</v>
      </c>
      <c r="C22" s="2"/>
      <c r="D22" s="2">
        <v>55</v>
      </c>
      <c r="E22" s="2">
        <v>20</v>
      </c>
      <c r="F22" s="2" t="s">
        <v>96</v>
      </c>
      <c r="G22" s="1">
        <f>E22*D22</f>
        <v>1100</v>
      </c>
      <c r="H22" s="1"/>
    </row>
    <row r="23" spans="1:8" x14ac:dyDescent="0.25">
      <c r="A23" s="24"/>
      <c r="B23" s="2" t="s">
        <v>97</v>
      </c>
      <c r="C23" s="2"/>
      <c r="D23" s="2">
        <v>1188</v>
      </c>
      <c r="E23" s="2">
        <v>3</v>
      </c>
      <c r="F23" s="2" t="s">
        <v>98</v>
      </c>
      <c r="G23" s="2">
        <f t="shared" ref="G23:G30" si="1">E23*D23</f>
        <v>3564</v>
      </c>
      <c r="H23" s="1"/>
    </row>
    <row r="24" spans="1:8" x14ac:dyDescent="0.25">
      <c r="A24" s="24"/>
      <c r="B24" s="2" t="s">
        <v>99</v>
      </c>
      <c r="C24" s="2"/>
      <c r="D24" s="2">
        <v>29.38</v>
      </c>
      <c r="E24" s="2">
        <v>100</v>
      </c>
      <c r="F24" s="2" t="s">
        <v>96</v>
      </c>
      <c r="G24" s="2">
        <f t="shared" si="1"/>
        <v>2938</v>
      </c>
      <c r="H24" s="1"/>
    </row>
    <row r="25" spans="1:8" x14ac:dyDescent="0.25">
      <c r="A25" s="24"/>
      <c r="B25" s="4" t="s">
        <v>109</v>
      </c>
      <c r="C25" s="2"/>
      <c r="D25" s="2">
        <v>363</v>
      </c>
      <c r="E25" s="2">
        <v>1</v>
      </c>
      <c r="F25" s="2" t="s">
        <v>111</v>
      </c>
      <c r="G25" s="2">
        <f t="shared" si="1"/>
        <v>363</v>
      </c>
      <c r="H25" s="1"/>
    </row>
    <row r="26" spans="1:8" x14ac:dyDescent="0.25">
      <c r="A26" s="24"/>
      <c r="B26" s="4" t="s">
        <v>110</v>
      </c>
      <c r="C26" s="2"/>
      <c r="D26" s="2">
        <v>219</v>
      </c>
      <c r="E26" s="5">
        <v>2</v>
      </c>
      <c r="F26" s="2" t="s">
        <v>98</v>
      </c>
      <c r="G26" s="2">
        <f t="shared" si="1"/>
        <v>438</v>
      </c>
      <c r="H26" s="2"/>
    </row>
    <row r="27" spans="1:8" x14ac:dyDescent="0.25">
      <c r="A27" s="24"/>
      <c r="B27" s="2" t="s">
        <v>112</v>
      </c>
      <c r="C27" s="2"/>
      <c r="D27" s="2">
        <v>43.8</v>
      </c>
      <c r="E27" s="5">
        <v>5</v>
      </c>
      <c r="F27" s="2" t="s">
        <v>96</v>
      </c>
      <c r="G27" s="2">
        <f t="shared" si="1"/>
        <v>219</v>
      </c>
      <c r="H27" s="2"/>
    </row>
    <row r="28" spans="1:8" x14ac:dyDescent="0.25">
      <c r="A28" s="24"/>
      <c r="B28" s="2" t="s">
        <v>113</v>
      </c>
      <c r="C28" s="2"/>
      <c r="D28" s="2">
        <v>630</v>
      </c>
      <c r="E28" s="5">
        <v>1</v>
      </c>
      <c r="F28" s="2" t="s">
        <v>111</v>
      </c>
      <c r="G28" s="2">
        <f t="shared" si="1"/>
        <v>630</v>
      </c>
      <c r="H28" s="2"/>
    </row>
    <row r="29" spans="1:8" x14ac:dyDescent="0.25">
      <c r="A29" s="24"/>
      <c r="B29" s="4" t="s">
        <v>114</v>
      </c>
      <c r="C29" s="2"/>
      <c r="D29" s="2">
        <v>844</v>
      </c>
      <c r="E29" s="5">
        <v>1</v>
      </c>
      <c r="F29" s="5" t="s">
        <v>115</v>
      </c>
      <c r="G29" s="2">
        <f t="shared" si="1"/>
        <v>844</v>
      </c>
      <c r="H29" s="2"/>
    </row>
    <row r="30" spans="1:8" x14ac:dyDescent="0.25">
      <c r="A30" s="24"/>
      <c r="B30" s="4" t="s">
        <v>117</v>
      </c>
      <c r="C30" s="2"/>
      <c r="D30" s="2">
        <v>175</v>
      </c>
      <c r="E30" s="5">
        <v>1</v>
      </c>
      <c r="F30" s="5" t="s">
        <v>118</v>
      </c>
      <c r="G30" s="5">
        <f t="shared" si="1"/>
        <v>175</v>
      </c>
      <c r="H30" s="2"/>
    </row>
    <row r="31" spans="1:8" x14ac:dyDescent="0.25">
      <c r="A31" s="24"/>
      <c r="B31" s="25" t="s">
        <v>6</v>
      </c>
      <c r="C31" s="26"/>
      <c r="D31" s="27"/>
      <c r="E31" s="5"/>
      <c r="F31" s="5"/>
      <c r="G31" s="16">
        <f>SUM(G22:G30)</f>
        <v>10271</v>
      </c>
      <c r="H31" s="1"/>
    </row>
    <row r="32" spans="1:8" x14ac:dyDescent="0.25">
      <c r="A32" s="1" t="s">
        <v>10</v>
      </c>
      <c r="B32" s="1" t="s">
        <v>1</v>
      </c>
      <c r="C32" s="1" t="s">
        <v>2</v>
      </c>
      <c r="D32" s="1" t="s">
        <v>3</v>
      </c>
      <c r="E32" s="2" t="s">
        <v>100</v>
      </c>
      <c r="F32" s="2"/>
      <c r="G32" s="1" t="s">
        <v>4</v>
      </c>
      <c r="H32" s="1" t="s">
        <v>5</v>
      </c>
    </row>
    <row r="33" spans="1:8" x14ac:dyDescent="0.25">
      <c r="A33" s="24" t="s">
        <v>39</v>
      </c>
      <c r="B33" s="1" t="s">
        <v>40</v>
      </c>
      <c r="C33" s="1"/>
      <c r="D33" s="1"/>
      <c r="E33" s="2"/>
      <c r="F33" s="2"/>
      <c r="G33" s="1"/>
      <c r="H33" s="1" t="s">
        <v>35</v>
      </c>
    </row>
    <row r="34" spans="1:8" x14ac:dyDescent="0.25">
      <c r="A34" s="24"/>
      <c r="B34" s="1" t="s">
        <v>24</v>
      </c>
      <c r="C34" s="1"/>
      <c r="D34" s="1"/>
      <c r="E34" s="2"/>
      <c r="F34" s="2"/>
      <c r="G34" s="1"/>
      <c r="H34" s="1" t="s">
        <v>35</v>
      </c>
    </row>
    <row r="35" spans="1:8" x14ac:dyDescent="0.25">
      <c r="A35" s="24"/>
      <c r="B35" s="25" t="s">
        <v>6</v>
      </c>
      <c r="C35" s="26"/>
      <c r="D35" s="27"/>
      <c r="E35" s="5"/>
      <c r="F35" s="5"/>
      <c r="G35" s="3"/>
      <c r="H35" s="1"/>
    </row>
    <row r="36" spans="1:8" x14ac:dyDescent="0.25">
      <c r="A36" s="1" t="s">
        <v>11</v>
      </c>
      <c r="B36" s="1" t="s">
        <v>1</v>
      </c>
      <c r="C36" s="1" t="s">
        <v>2</v>
      </c>
      <c r="D36" s="1" t="s">
        <v>3</v>
      </c>
      <c r="E36" s="2" t="s">
        <v>100</v>
      </c>
      <c r="F36" s="2"/>
      <c r="G36" s="3" t="s">
        <v>4</v>
      </c>
      <c r="H36" s="1" t="s">
        <v>5</v>
      </c>
    </row>
    <row r="37" spans="1:8" x14ac:dyDescent="0.25">
      <c r="A37" s="31"/>
      <c r="B37" s="1" t="s">
        <v>104</v>
      </c>
      <c r="C37" s="1"/>
      <c r="D37" s="1">
        <v>24</v>
      </c>
      <c r="E37" s="2">
        <v>70</v>
      </c>
      <c r="F37" s="2" t="s">
        <v>101</v>
      </c>
      <c r="G37" s="2">
        <f>E37*D37</f>
        <v>1680</v>
      </c>
      <c r="H37" s="1"/>
    </row>
    <row r="38" spans="1:8" x14ac:dyDescent="0.25">
      <c r="A38" s="32"/>
      <c r="B38" s="1" t="s">
        <v>105</v>
      </c>
      <c r="C38" s="1"/>
      <c r="D38" s="1">
        <v>12.6</v>
      </c>
      <c r="E38" s="2">
        <v>70</v>
      </c>
      <c r="F38" s="2" t="s">
        <v>101</v>
      </c>
      <c r="G38" s="1">
        <f>E38*D38</f>
        <v>882</v>
      </c>
      <c r="H38" s="1"/>
    </row>
    <row r="39" spans="1:8" x14ac:dyDescent="0.25">
      <c r="A39" s="33"/>
      <c r="B39" s="25" t="s">
        <v>6</v>
      </c>
      <c r="C39" s="26"/>
      <c r="D39" s="27"/>
      <c r="E39" s="5"/>
      <c r="F39" s="5"/>
      <c r="G39" s="16">
        <f>SUM(G37:G38)</f>
        <v>2562</v>
      </c>
      <c r="H39" s="10"/>
    </row>
    <row r="40" spans="1:8" x14ac:dyDescent="0.25">
      <c r="A40" s="11" t="s">
        <v>107</v>
      </c>
      <c r="B40" s="1" t="s">
        <v>1</v>
      </c>
      <c r="C40" s="1" t="s">
        <v>2</v>
      </c>
      <c r="D40" s="1" t="s">
        <v>3</v>
      </c>
      <c r="E40" s="2" t="s">
        <v>100</v>
      </c>
      <c r="F40" s="2"/>
      <c r="G40" s="1" t="s">
        <v>4</v>
      </c>
      <c r="H40" s="1"/>
    </row>
    <row r="41" spans="1:8" x14ac:dyDescent="0.25">
      <c r="A41" s="24"/>
      <c r="B41" s="1" t="s">
        <v>102</v>
      </c>
      <c r="C41" s="1">
        <v>10</v>
      </c>
      <c r="D41" s="1">
        <v>19.8</v>
      </c>
      <c r="E41" s="2"/>
      <c r="F41" s="2" t="s">
        <v>101</v>
      </c>
      <c r="G41" s="1">
        <f>D41*C41</f>
        <v>198</v>
      </c>
      <c r="H41" s="1"/>
    </row>
    <row r="42" spans="1:8" x14ac:dyDescent="0.25">
      <c r="A42" s="24"/>
      <c r="B42" s="1" t="s">
        <v>103</v>
      </c>
      <c r="C42" s="1">
        <v>2</v>
      </c>
      <c r="D42" s="1">
        <v>45</v>
      </c>
      <c r="E42" s="2"/>
      <c r="F42" s="2" t="s">
        <v>101</v>
      </c>
      <c r="G42" s="2">
        <f>D42*C42</f>
        <v>90</v>
      </c>
      <c r="H42" s="1"/>
    </row>
    <row r="43" spans="1:8" x14ac:dyDescent="0.25">
      <c r="A43" s="24"/>
      <c r="B43" s="1" t="s">
        <v>106</v>
      </c>
      <c r="C43" s="1">
        <v>1</v>
      </c>
      <c r="D43" s="1">
        <v>50</v>
      </c>
      <c r="E43" s="2"/>
      <c r="F43" s="2" t="s">
        <v>108</v>
      </c>
      <c r="G43" s="2">
        <f>D43*C43</f>
        <v>50</v>
      </c>
      <c r="H43" s="1"/>
    </row>
    <row r="44" spans="1:8" x14ac:dyDescent="0.25">
      <c r="A44" s="24"/>
      <c r="B44" s="1" t="s">
        <v>116</v>
      </c>
      <c r="C44" s="1">
        <v>20</v>
      </c>
      <c r="D44" s="1">
        <v>93</v>
      </c>
      <c r="E44" s="2"/>
      <c r="F44" s="2" t="s">
        <v>101</v>
      </c>
      <c r="G44" s="2">
        <f>D44*C44</f>
        <v>1860</v>
      </c>
      <c r="H44" s="1"/>
    </row>
    <row r="45" spans="1:8" x14ac:dyDescent="0.25">
      <c r="A45" s="24"/>
      <c r="B45" s="25" t="s">
        <v>6</v>
      </c>
      <c r="C45" s="26"/>
      <c r="D45" s="27"/>
      <c r="E45" s="5"/>
      <c r="F45" s="5"/>
      <c r="G45" s="16">
        <f>SUM(G41:G44)</f>
        <v>2198</v>
      </c>
      <c r="H45" s="1"/>
    </row>
    <row r="46" spans="1:8" x14ac:dyDescent="0.25">
      <c r="A46" s="1"/>
      <c r="B46" s="28" t="s">
        <v>13</v>
      </c>
      <c r="C46" s="29"/>
      <c r="D46" s="30"/>
      <c r="E46" s="12"/>
      <c r="F46" s="12"/>
      <c r="G46" s="20">
        <f>G45+G39+G31+G20+G7+G14</f>
        <v>24218.856</v>
      </c>
      <c r="H46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5"/>
    <mergeCell ref="B45:D45"/>
    <mergeCell ref="B46:D46"/>
    <mergeCell ref="A22:A31"/>
    <mergeCell ref="B31:D31"/>
    <mergeCell ref="A33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opLeftCell="A13" workbookViewId="0">
      <selection activeCell="A35" sqref="A35:H4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4" t="s">
        <v>16</v>
      </c>
      <c r="B1" s="35"/>
      <c r="C1" s="35"/>
      <c r="D1" s="35"/>
      <c r="E1" s="35"/>
      <c r="F1" s="35"/>
      <c r="G1" s="35"/>
      <c r="H1" s="36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3" t="s">
        <v>100</v>
      </c>
      <c r="F2" s="13"/>
      <c r="G2" s="1" t="s">
        <v>4</v>
      </c>
      <c r="H2" s="1" t="s">
        <v>5</v>
      </c>
    </row>
    <row r="3" spans="1:11" x14ac:dyDescent="0.25">
      <c r="A3" s="24" t="s">
        <v>62</v>
      </c>
      <c r="B3" s="1" t="s">
        <v>64</v>
      </c>
      <c r="C3" s="1" t="s">
        <v>51</v>
      </c>
      <c r="D3" s="1">
        <v>87</v>
      </c>
      <c r="E3" s="13">
        <v>65</v>
      </c>
      <c r="F3" s="13" t="s">
        <v>132</v>
      </c>
      <c r="G3" s="1">
        <f>E3*D3</f>
        <v>5655</v>
      </c>
      <c r="H3" s="1"/>
    </row>
    <row r="4" spans="1:11" x14ac:dyDescent="0.25">
      <c r="A4" s="24"/>
      <c r="B4" s="1" t="s">
        <v>65</v>
      </c>
      <c r="C4" s="1" t="s">
        <v>61</v>
      </c>
      <c r="D4" s="1">
        <v>11.7</v>
      </c>
      <c r="E4" s="13">
        <v>7.5</v>
      </c>
      <c r="F4" s="13" t="s">
        <v>132</v>
      </c>
      <c r="G4" s="13">
        <f t="shared" ref="G4:G5" si="0">E4*D4</f>
        <v>87.75</v>
      </c>
      <c r="H4" s="1"/>
    </row>
    <row r="5" spans="1:11" x14ac:dyDescent="0.25">
      <c r="A5" s="24"/>
      <c r="B5" s="1" t="s">
        <v>43</v>
      </c>
      <c r="C5" s="1" t="s">
        <v>57</v>
      </c>
      <c r="D5" s="1">
        <v>6.3</v>
      </c>
      <c r="E5" s="13">
        <v>4</v>
      </c>
      <c r="F5" s="13" t="s">
        <v>132</v>
      </c>
      <c r="G5" s="13">
        <f t="shared" si="0"/>
        <v>25.2</v>
      </c>
      <c r="H5" s="1"/>
    </row>
    <row r="6" spans="1:11" x14ac:dyDescent="0.25">
      <c r="A6" s="24"/>
      <c r="B6" s="1"/>
      <c r="C6" s="1"/>
      <c r="D6" s="1"/>
      <c r="E6" s="14"/>
      <c r="F6" s="14"/>
      <c r="G6" s="3"/>
      <c r="H6" s="1"/>
    </row>
    <row r="7" spans="1:11" x14ac:dyDescent="0.25">
      <c r="A7" s="24"/>
      <c r="B7" s="25" t="s">
        <v>6</v>
      </c>
      <c r="C7" s="26"/>
      <c r="D7" s="27"/>
      <c r="E7" s="14"/>
      <c r="F7" s="14"/>
      <c r="G7" s="18">
        <f>SUM(G3:G6)</f>
        <v>5767.95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3" t="s">
        <v>100</v>
      </c>
      <c r="F8" s="13"/>
      <c r="G8" s="1" t="s">
        <v>4</v>
      </c>
      <c r="H8" s="1" t="s">
        <v>5</v>
      </c>
      <c r="K8" s="6"/>
    </row>
    <row r="9" spans="1:11" x14ac:dyDescent="0.25">
      <c r="A9" s="24" t="s">
        <v>63</v>
      </c>
      <c r="B9" s="1" t="s">
        <v>67</v>
      </c>
      <c r="C9" s="1" t="s">
        <v>70</v>
      </c>
      <c r="D9" s="1">
        <v>108</v>
      </c>
      <c r="E9" s="13">
        <v>14</v>
      </c>
      <c r="F9" s="13" t="s">
        <v>131</v>
      </c>
      <c r="G9" s="1">
        <f>E9*D9</f>
        <v>1512</v>
      </c>
      <c r="H9" s="1"/>
      <c r="K9" s="7"/>
    </row>
    <row r="10" spans="1:11" x14ac:dyDescent="0.25">
      <c r="A10" s="24"/>
      <c r="B10" s="1" t="s">
        <v>68</v>
      </c>
      <c r="C10" s="1" t="s">
        <v>25</v>
      </c>
      <c r="D10" s="1">
        <v>60</v>
      </c>
      <c r="E10" s="13">
        <v>15</v>
      </c>
      <c r="F10" s="13" t="s">
        <v>131</v>
      </c>
      <c r="G10" s="13">
        <f t="shared" ref="G10:G11" si="1">E10*D10</f>
        <v>900</v>
      </c>
      <c r="H10" s="1"/>
      <c r="K10" s="7"/>
    </row>
    <row r="11" spans="1:11" x14ac:dyDescent="0.25">
      <c r="A11" s="24"/>
      <c r="B11" s="1" t="s">
        <v>69</v>
      </c>
      <c r="C11" s="1" t="s">
        <v>25</v>
      </c>
      <c r="D11" s="1">
        <v>42</v>
      </c>
      <c r="E11" s="13">
        <v>15</v>
      </c>
      <c r="F11" s="13" t="s">
        <v>131</v>
      </c>
      <c r="G11" s="13">
        <f t="shared" si="1"/>
        <v>630</v>
      </c>
      <c r="H11" s="1"/>
      <c r="K11" s="7"/>
    </row>
    <row r="12" spans="1:11" x14ac:dyDescent="0.25">
      <c r="A12" s="24"/>
      <c r="B12" s="1"/>
      <c r="C12" s="1"/>
      <c r="D12" s="1"/>
      <c r="E12" s="13"/>
      <c r="F12" s="13"/>
      <c r="G12" s="1"/>
      <c r="H12" s="1"/>
      <c r="K12" s="7"/>
    </row>
    <row r="13" spans="1:11" x14ac:dyDescent="0.25">
      <c r="A13" s="24"/>
      <c r="B13" s="1"/>
      <c r="C13" s="1"/>
      <c r="D13" s="1"/>
      <c r="E13" s="13"/>
      <c r="F13" s="13"/>
      <c r="G13" s="1"/>
      <c r="H13" s="1"/>
      <c r="K13" s="8"/>
    </row>
    <row r="14" spans="1:11" x14ac:dyDescent="0.25">
      <c r="A14" s="24"/>
      <c r="B14" s="25" t="s">
        <v>6</v>
      </c>
      <c r="C14" s="26"/>
      <c r="D14" s="27"/>
      <c r="E14" s="14"/>
      <c r="F14" s="14"/>
      <c r="G14" s="16">
        <f>SUM(G9:G13)</f>
        <v>3042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3" t="s">
        <v>100</v>
      </c>
      <c r="F15" s="13"/>
      <c r="G15" s="1" t="s">
        <v>4</v>
      </c>
      <c r="H15" s="1" t="s">
        <v>5</v>
      </c>
    </row>
    <row r="16" spans="1:11" x14ac:dyDescent="0.25">
      <c r="A16" s="24"/>
      <c r="B16" s="1"/>
      <c r="C16" s="1"/>
      <c r="D16" s="1"/>
      <c r="E16" s="13"/>
      <c r="F16" s="13"/>
      <c r="G16" s="1"/>
      <c r="H16" s="1"/>
    </row>
    <row r="17" spans="1:8" x14ac:dyDescent="0.25">
      <c r="A17" s="24"/>
      <c r="B17" s="1"/>
      <c r="C17" s="1"/>
      <c r="D17" s="1"/>
      <c r="E17" s="13"/>
      <c r="F17" s="13"/>
      <c r="G17" s="1"/>
      <c r="H17" s="1"/>
    </row>
    <row r="18" spans="1:8" x14ac:dyDescent="0.25">
      <c r="A18" s="24"/>
      <c r="B18" s="1"/>
      <c r="C18" s="1"/>
      <c r="D18" s="1"/>
      <c r="E18" s="13"/>
      <c r="F18" s="13"/>
      <c r="G18" s="1"/>
      <c r="H18" s="1"/>
    </row>
    <row r="19" spans="1:8" x14ac:dyDescent="0.25">
      <c r="A19" s="24"/>
      <c r="B19" s="1"/>
      <c r="C19" s="1"/>
      <c r="D19" s="1"/>
      <c r="E19" s="14"/>
      <c r="F19" s="14"/>
      <c r="G19" s="3"/>
      <c r="H19" s="1"/>
    </row>
    <row r="20" spans="1:8" x14ac:dyDescent="0.25">
      <c r="A20" s="24"/>
      <c r="B20" s="25" t="s">
        <v>6</v>
      </c>
      <c r="C20" s="26"/>
      <c r="D20" s="27"/>
      <c r="E20" s="14"/>
      <c r="F20" s="14"/>
      <c r="G20" s="3"/>
      <c r="H20" s="1"/>
    </row>
    <row r="21" spans="1:8" x14ac:dyDescent="0.25">
      <c r="A21" s="9" t="s">
        <v>9</v>
      </c>
      <c r="B21" s="1" t="s">
        <v>1</v>
      </c>
      <c r="C21" s="1" t="s">
        <v>2</v>
      </c>
      <c r="D21" s="1" t="s">
        <v>3</v>
      </c>
      <c r="E21" s="13" t="s">
        <v>100</v>
      </c>
      <c r="F21" s="13"/>
      <c r="G21" s="1" t="s">
        <v>4</v>
      </c>
      <c r="H21" s="1" t="s">
        <v>5</v>
      </c>
    </row>
    <row r="22" spans="1:8" x14ac:dyDescent="0.25">
      <c r="A22" s="24"/>
      <c r="B22" s="1" t="s">
        <v>134</v>
      </c>
      <c r="C22" s="1"/>
      <c r="D22" s="1">
        <v>210</v>
      </c>
      <c r="E22" s="13">
        <v>1</v>
      </c>
      <c r="F22" s="13" t="s">
        <v>135</v>
      </c>
      <c r="G22" s="1">
        <f>E22*D22</f>
        <v>210</v>
      </c>
      <c r="H22" s="1"/>
    </row>
    <row r="23" spans="1:8" x14ac:dyDescent="0.25">
      <c r="A23" s="24"/>
      <c r="B23" s="1" t="s">
        <v>136</v>
      </c>
      <c r="C23" s="1"/>
      <c r="D23" s="1">
        <v>1480</v>
      </c>
      <c r="E23" s="13">
        <v>1</v>
      </c>
      <c r="F23" s="13" t="s">
        <v>137</v>
      </c>
      <c r="G23" s="13">
        <f t="shared" ref="G23:G24" si="2">E23*D23</f>
        <v>1480</v>
      </c>
      <c r="H23" s="1"/>
    </row>
    <row r="24" spans="1:8" x14ac:dyDescent="0.25">
      <c r="A24" s="24"/>
      <c r="B24" s="1" t="s">
        <v>138</v>
      </c>
      <c r="C24" s="1"/>
      <c r="D24" s="1">
        <v>235</v>
      </c>
      <c r="E24" s="13">
        <v>2</v>
      </c>
      <c r="F24" s="13" t="s">
        <v>139</v>
      </c>
      <c r="G24" s="13">
        <f t="shared" si="2"/>
        <v>470</v>
      </c>
      <c r="H24" s="1"/>
    </row>
    <row r="25" spans="1:8" x14ac:dyDescent="0.25">
      <c r="A25" s="24"/>
      <c r="B25" s="1"/>
      <c r="C25" s="1"/>
      <c r="D25" s="1"/>
      <c r="E25" s="13"/>
      <c r="F25" s="13"/>
      <c r="G25" s="1"/>
      <c r="H25" s="1"/>
    </row>
    <row r="26" spans="1:8" x14ac:dyDescent="0.25">
      <c r="A26" s="24"/>
      <c r="B26" s="25" t="s">
        <v>6</v>
      </c>
      <c r="C26" s="26"/>
      <c r="D26" s="27"/>
      <c r="E26" s="14"/>
      <c r="F26" s="14"/>
      <c r="G26" s="16">
        <f>SUM(G22:G25)</f>
        <v>2160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3" t="s">
        <v>100</v>
      </c>
      <c r="F27" s="13"/>
      <c r="G27" s="1" t="s">
        <v>4</v>
      </c>
      <c r="H27" s="1" t="s">
        <v>5</v>
      </c>
    </row>
    <row r="28" spans="1:8" x14ac:dyDescent="0.25">
      <c r="A28" s="24" t="s">
        <v>58</v>
      </c>
      <c r="B28" s="1" t="s">
        <v>59</v>
      </c>
      <c r="C28" s="1" t="s">
        <v>61</v>
      </c>
      <c r="D28" s="1">
        <v>21</v>
      </c>
      <c r="E28" s="13">
        <v>6</v>
      </c>
      <c r="F28" s="13" t="s">
        <v>131</v>
      </c>
      <c r="G28" s="1">
        <f>E28*D28</f>
        <v>126</v>
      </c>
      <c r="H28" s="1"/>
    </row>
    <row r="29" spans="1:8" x14ac:dyDescent="0.25">
      <c r="A29" s="24"/>
      <c r="B29" s="1" t="s">
        <v>60</v>
      </c>
      <c r="C29" s="1" t="s">
        <v>25</v>
      </c>
      <c r="D29" s="1">
        <v>27</v>
      </c>
      <c r="E29" s="13">
        <v>15</v>
      </c>
      <c r="F29" s="13" t="s">
        <v>131</v>
      </c>
      <c r="G29" s="13">
        <f>E29*D29</f>
        <v>405</v>
      </c>
      <c r="H29" s="1"/>
    </row>
    <row r="30" spans="1:8" x14ac:dyDescent="0.25">
      <c r="A30" s="24"/>
      <c r="B30" s="25" t="s">
        <v>6</v>
      </c>
      <c r="C30" s="26"/>
      <c r="D30" s="27"/>
      <c r="E30" s="14"/>
      <c r="F30" s="14"/>
      <c r="G30" s="16">
        <f>SUM(G28:G29)</f>
        <v>531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3" t="s">
        <v>100</v>
      </c>
      <c r="F31" s="14"/>
      <c r="G31" s="3" t="s">
        <v>4</v>
      </c>
      <c r="H31" s="1" t="s">
        <v>5</v>
      </c>
    </row>
    <row r="32" spans="1:8" x14ac:dyDescent="0.25">
      <c r="A32" s="31"/>
      <c r="B32" s="1" t="s">
        <v>133</v>
      </c>
      <c r="C32" s="1"/>
      <c r="D32" s="1">
        <v>16.32</v>
      </c>
      <c r="E32" s="13">
        <v>65</v>
      </c>
      <c r="F32" s="13" t="s">
        <v>131</v>
      </c>
      <c r="G32" s="17">
        <f>E32*D32</f>
        <v>1060.8</v>
      </c>
      <c r="H32" s="1"/>
    </row>
    <row r="33" spans="1:8" x14ac:dyDescent="0.25">
      <c r="A33" s="32"/>
      <c r="B33" s="1"/>
      <c r="C33" s="1"/>
      <c r="D33" s="1">
        <v>15.36</v>
      </c>
      <c r="E33" s="13">
        <v>61.67</v>
      </c>
      <c r="F33" s="13" t="s">
        <v>131</v>
      </c>
      <c r="G33" s="17">
        <f>E33*D33</f>
        <v>947.25120000000004</v>
      </c>
      <c r="H33" s="1"/>
    </row>
    <row r="34" spans="1:8" x14ac:dyDescent="0.25">
      <c r="A34" s="33"/>
      <c r="B34" s="25" t="s">
        <v>6</v>
      </c>
      <c r="C34" s="26"/>
      <c r="D34" s="27"/>
      <c r="E34" s="14"/>
      <c r="F34" s="14"/>
      <c r="G34" s="18">
        <f>SUM(G32:G33)</f>
        <v>2008.0511999999999</v>
      </c>
      <c r="H34" s="10"/>
    </row>
    <row r="35" spans="1:8" x14ac:dyDescent="0.25">
      <c r="A35" s="11" t="s">
        <v>12</v>
      </c>
      <c r="B35" s="1" t="s">
        <v>1</v>
      </c>
      <c r="C35" s="1" t="s">
        <v>2</v>
      </c>
      <c r="D35" s="1" t="s">
        <v>3</v>
      </c>
      <c r="E35" s="13" t="s">
        <v>100</v>
      </c>
      <c r="F35" s="13"/>
      <c r="G35" s="1" t="s">
        <v>4</v>
      </c>
      <c r="H35" s="1"/>
    </row>
    <row r="36" spans="1:8" x14ac:dyDescent="0.25">
      <c r="A36" s="24" t="s">
        <v>53</v>
      </c>
      <c r="B36" s="1" t="s">
        <v>54</v>
      </c>
      <c r="C36" s="1" t="s">
        <v>51</v>
      </c>
      <c r="D36" s="1">
        <v>19.8</v>
      </c>
      <c r="E36" s="13">
        <v>65</v>
      </c>
      <c r="F36" s="13" t="s">
        <v>131</v>
      </c>
      <c r="G36" s="1">
        <f>E36*D36</f>
        <v>1287</v>
      </c>
      <c r="H36" s="1"/>
    </row>
    <row r="37" spans="1:8" x14ac:dyDescent="0.25">
      <c r="A37" s="24"/>
      <c r="B37" s="1" t="s">
        <v>55</v>
      </c>
      <c r="C37" s="1" t="s">
        <v>52</v>
      </c>
      <c r="D37" s="1">
        <v>30</v>
      </c>
      <c r="E37" s="13">
        <v>10</v>
      </c>
      <c r="F37" s="13" t="s">
        <v>131</v>
      </c>
      <c r="G37" s="13">
        <f t="shared" ref="G37:G39" si="3">E37*D37</f>
        <v>300</v>
      </c>
      <c r="H37" s="1"/>
    </row>
    <row r="38" spans="1:8" x14ac:dyDescent="0.25">
      <c r="A38" s="24"/>
      <c r="B38" s="1" t="s">
        <v>56</v>
      </c>
      <c r="C38" s="1" t="s">
        <v>57</v>
      </c>
      <c r="D38" s="1">
        <v>45</v>
      </c>
      <c r="E38" s="13">
        <v>4</v>
      </c>
      <c r="F38" s="13" t="s">
        <v>131</v>
      </c>
      <c r="G38" s="13">
        <f t="shared" si="3"/>
        <v>180</v>
      </c>
      <c r="H38" s="1"/>
    </row>
    <row r="39" spans="1:8" x14ac:dyDescent="0.25">
      <c r="A39" s="24"/>
      <c r="B39" s="1" t="s">
        <v>66</v>
      </c>
      <c r="C39" s="1" t="s">
        <v>57</v>
      </c>
      <c r="D39" s="1">
        <v>130</v>
      </c>
      <c r="E39" s="13">
        <v>4</v>
      </c>
      <c r="F39" s="13" t="s">
        <v>131</v>
      </c>
      <c r="G39" s="13">
        <f t="shared" si="3"/>
        <v>520</v>
      </c>
      <c r="H39" s="1"/>
    </row>
    <row r="40" spans="1:8" x14ac:dyDescent="0.25">
      <c r="A40" s="24"/>
      <c r="B40" s="25" t="s">
        <v>6</v>
      </c>
      <c r="C40" s="26"/>
      <c r="D40" s="27"/>
      <c r="E40" s="14"/>
      <c r="F40" s="14"/>
      <c r="G40" s="16">
        <f>SUM(G36:G39)</f>
        <v>2287</v>
      </c>
      <c r="H40" s="1"/>
    </row>
    <row r="41" spans="1:8" x14ac:dyDescent="0.25">
      <c r="A41" s="1"/>
      <c r="B41" s="28" t="s">
        <v>13</v>
      </c>
      <c r="C41" s="29"/>
      <c r="D41" s="30"/>
      <c r="E41" s="15"/>
      <c r="F41" s="15"/>
      <c r="G41" s="19">
        <f>G40+G34+G30+G26+G14+G7</f>
        <v>15796.001199999999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A4" workbookViewId="0">
      <selection activeCell="H20" sqref="A15:H2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4" t="s">
        <v>15</v>
      </c>
      <c r="B1" s="35"/>
      <c r="C1" s="35"/>
      <c r="D1" s="35"/>
      <c r="E1" s="35"/>
      <c r="F1" s="35"/>
      <c r="G1" s="35"/>
      <c r="H1" s="36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3"/>
      <c r="F2" s="13"/>
      <c r="G2" s="1" t="s">
        <v>4</v>
      </c>
      <c r="H2" s="1" t="s">
        <v>5</v>
      </c>
    </row>
    <row r="3" spans="1:11" x14ac:dyDescent="0.25">
      <c r="A3" s="24" t="s">
        <v>71</v>
      </c>
      <c r="B3" s="1" t="s">
        <v>77</v>
      </c>
      <c r="C3" s="1" t="s">
        <v>76</v>
      </c>
      <c r="D3" s="1"/>
      <c r="E3" s="13"/>
      <c r="F3" s="13"/>
      <c r="G3" s="1"/>
      <c r="H3" s="1"/>
    </row>
    <row r="4" spans="1:11" x14ac:dyDescent="0.25">
      <c r="A4" s="24"/>
      <c r="B4" s="1"/>
      <c r="C4" s="1"/>
      <c r="D4" s="1"/>
      <c r="E4" s="13"/>
      <c r="F4" s="13"/>
      <c r="G4" s="1"/>
      <c r="H4" s="1"/>
    </row>
    <row r="5" spans="1:11" x14ac:dyDescent="0.25">
      <c r="A5" s="24"/>
      <c r="B5" s="1"/>
      <c r="C5" s="1"/>
      <c r="D5" s="1"/>
      <c r="E5" s="13"/>
      <c r="F5" s="13"/>
      <c r="G5" s="1"/>
      <c r="H5" s="1"/>
    </row>
    <row r="6" spans="1:11" x14ac:dyDescent="0.25">
      <c r="A6" s="24"/>
      <c r="B6" s="1"/>
      <c r="C6" s="1"/>
      <c r="D6" s="1"/>
      <c r="E6" s="14"/>
      <c r="F6" s="14"/>
      <c r="G6" s="3"/>
      <c r="H6" s="1"/>
    </row>
    <row r="7" spans="1:11" x14ac:dyDescent="0.25">
      <c r="A7" s="24"/>
      <c r="B7" s="25" t="s">
        <v>6</v>
      </c>
      <c r="C7" s="26"/>
      <c r="D7" s="27"/>
      <c r="E7" s="14"/>
      <c r="F7" s="14"/>
      <c r="G7" s="3"/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3"/>
      <c r="F8" s="13"/>
      <c r="G8" s="1" t="s">
        <v>4</v>
      </c>
      <c r="H8" s="1" t="s">
        <v>5</v>
      </c>
      <c r="K8" s="6"/>
    </row>
    <row r="9" spans="1:11" x14ac:dyDescent="0.25">
      <c r="A9" s="24" t="s">
        <v>72</v>
      </c>
      <c r="B9" s="1" t="s">
        <v>78</v>
      </c>
      <c r="C9" s="1" t="s">
        <v>80</v>
      </c>
      <c r="D9" s="1"/>
      <c r="E9" s="13"/>
      <c r="F9" s="13"/>
      <c r="G9" s="1"/>
      <c r="H9" s="1"/>
      <c r="K9" s="7"/>
    </row>
    <row r="10" spans="1:11" x14ac:dyDescent="0.25">
      <c r="A10" s="24"/>
      <c r="B10" s="1" t="s">
        <v>79</v>
      </c>
      <c r="C10" s="1" t="s">
        <v>45</v>
      </c>
      <c r="D10" s="1"/>
      <c r="E10" s="13"/>
      <c r="F10" s="13"/>
      <c r="G10" s="1"/>
      <c r="H10" s="1"/>
      <c r="K10" s="7"/>
    </row>
    <row r="11" spans="1:11" x14ac:dyDescent="0.25">
      <c r="A11" s="24"/>
      <c r="B11" s="1" t="s">
        <v>50</v>
      </c>
      <c r="C11" s="1" t="s">
        <v>45</v>
      </c>
      <c r="D11" s="1"/>
      <c r="E11" s="13"/>
      <c r="F11" s="13"/>
      <c r="G11" s="1"/>
      <c r="H11" s="1"/>
      <c r="K11" s="7"/>
    </row>
    <row r="12" spans="1:11" x14ac:dyDescent="0.25">
      <c r="A12" s="24"/>
      <c r="B12" s="1"/>
      <c r="C12" s="1"/>
      <c r="D12" s="1"/>
      <c r="E12" s="13"/>
      <c r="F12" s="13"/>
      <c r="G12" s="1"/>
      <c r="H12" s="1"/>
      <c r="K12" s="7"/>
    </row>
    <row r="13" spans="1:11" x14ac:dyDescent="0.25">
      <c r="A13" s="24"/>
      <c r="B13" s="1"/>
      <c r="C13" s="1"/>
      <c r="D13" s="1"/>
      <c r="E13" s="13"/>
      <c r="F13" s="13"/>
      <c r="G13" s="1"/>
      <c r="H13" s="1"/>
      <c r="K13" s="8"/>
    </row>
    <row r="14" spans="1:11" x14ac:dyDescent="0.25">
      <c r="A14" s="24"/>
      <c r="B14" s="25" t="s">
        <v>6</v>
      </c>
      <c r="C14" s="26"/>
      <c r="D14" s="27"/>
      <c r="E14" s="14"/>
      <c r="F14" s="14"/>
      <c r="G14" s="3"/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3" t="s">
        <v>140</v>
      </c>
      <c r="F15" s="13"/>
      <c r="G15" s="1" t="s">
        <v>4</v>
      </c>
      <c r="H15" s="1" t="s">
        <v>5</v>
      </c>
    </row>
    <row r="16" spans="1:11" x14ac:dyDescent="0.25">
      <c r="A16" s="24" t="s">
        <v>73</v>
      </c>
      <c r="B16" s="1" t="s">
        <v>81</v>
      </c>
      <c r="C16" s="1" t="s">
        <v>52</v>
      </c>
      <c r="D16" s="1">
        <v>27.54</v>
      </c>
      <c r="E16" s="13">
        <v>10</v>
      </c>
      <c r="F16" s="13" t="s">
        <v>141</v>
      </c>
      <c r="G16" s="17">
        <f>D16*E16</f>
        <v>275.39999999999998</v>
      </c>
      <c r="H16" s="1"/>
    </row>
    <row r="17" spans="1:8" x14ac:dyDescent="0.25">
      <c r="A17" s="24"/>
      <c r="B17" s="1" t="s">
        <v>82</v>
      </c>
      <c r="C17" s="1" t="s">
        <v>83</v>
      </c>
      <c r="D17" s="1">
        <v>50</v>
      </c>
      <c r="E17" s="13">
        <v>25</v>
      </c>
      <c r="F17" s="23" t="s">
        <v>141</v>
      </c>
      <c r="G17" s="17">
        <f t="shared" ref="G17:G18" si="0">D17*E17</f>
        <v>1250</v>
      </c>
      <c r="H17" s="1" t="s">
        <v>142</v>
      </c>
    </row>
    <row r="18" spans="1:8" x14ac:dyDescent="0.25">
      <c r="A18" s="24"/>
      <c r="B18" s="1" t="s">
        <v>42</v>
      </c>
      <c r="C18" s="1" t="s">
        <v>57</v>
      </c>
      <c r="D18" s="1">
        <v>85</v>
      </c>
      <c r="E18" s="13">
        <v>4</v>
      </c>
      <c r="F18" s="23" t="s">
        <v>141</v>
      </c>
      <c r="G18" s="17">
        <f t="shared" si="0"/>
        <v>340</v>
      </c>
      <c r="H18" s="1"/>
    </row>
    <row r="19" spans="1:8" x14ac:dyDescent="0.25">
      <c r="A19" s="24"/>
      <c r="B19" s="1"/>
      <c r="C19" s="1"/>
      <c r="D19" s="1"/>
      <c r="E19" s="14"/>
      <c r="F19" s="14"/>
      <c r="G19" s="3"/>
      <c r="H19" s="1"/>
    </row>
    <row r="20" spans="1:8" x14ac:dyDescent="0.25">
      <c r="A20" s="24"/>
      <c r="B20" s="25" t="s">
        <v>6</v>
      </c>
      <c r="C20" s="26"/>
      <c r="D20" s="27"/>
      <c r="E20" s="14"/>
      <c r="F20" s="14"/>
      <c r="G20" s="18">
        <f>SUM(G16:G19)</f>
        <v>1865.4</v>
      </c>
      <c r="H20" s="1"/>
    </row>
    <row r="21" spans="1:8" x14ac:dyDescent="0.25">
      <c r="A21" s="9" t="s">
        <v>9</v>
      </c>
      <c r="B21" s="1" t="s">
        <v>1</v>
      </c>
      <c r="C21" s="1" t="s">
        <v>2</v>
      </c>
      <c r="D21" s="1" t="s">
        <v>3</v>
      </c>
      <c r="E21" s="13"/>
      <c r="F21" s="13"/>
      <c r="G21" s="1" t="s">
        <v>4</v>
      </c>
      <c r="H21" s="1" t="s">
        <v>5</v>
      </c>
    </row>
    <row r="22" spans="1:8" x14ac:dyDescent="0.25">
      <c r="A22" s="24"/>
      <c r="B22" s="1"/>
      <c r="C22" s="1"/>
      <c r="D22" s="1"/>
      <c r="E22" s="13"/>
      <c r="F22" s="13"/>
      <c r="G22" s="1"/>
      <c r="H22" s="1"/>
    </row>
    <row r="23" spans="1:8" x14ac:dyDescent="0.25">
      <c r="A23" s="24"/>
      <c r="B23" s="1"/>
      <c r="C23" s="1"/>
      <c r="D23" s="1"/>
      <c r="E23" s="13"/>
      <c r="F23" s="13"/>
      <c r="G23" s="1"/>
      <c r="H23" s="1"/>
    </row>
    <row r="24" spans="1:8" x14ac:dyDescent="0.25">
      <c r="A24" s="24"/>
      <c r="B24" s="1"/>
      <c r="C24" s="1"/>
      <c r="D24" s="1"/>
      <c r="E24" s="13"/>
      <c r="F24" s="13"/>
      <c r="G24" s="1"/>
      <c r="H24" s="1"/>
    </row>
    <row r="25" spans="1:8" x14ac:dyDescent="0.25">
      <c r="A25" s="24"/>
      <c r="B25" s="1"/>
      <c r="C25" s="1"/>
      <c r="D25" s="1"/>
      <c r="E25" s="13"/>
      <c r="F25" s="13"/>
      <c r="G25" s="1"/>
      <c r="H25" s="1"/>
    </row>
    <row r="26" spans="1:8" x14ac:dyDescent="0.25">
      <c r="A26" s="24"/>
      <c r="B26" s="25" t="s">
        <v>6</v>
      </c>
      <c r="C26" s="26"/>
      <c r="D26" s="27"/>
      <c r="E26" s="14"/>
      <c r="F26" s="14"/>
      <c r="G26" s="3"/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3"/>
      <c r="F27" s="13"/>
      <c r="G27" s="1" t="s">
        <v>4</v>
      </c>
      <c r="H27" s="1" t="s">
        <v>5</v>
      </c>
    </row>
    <row r="28" spans="1:8" x14ac:dyDescent="0.25">
      <c r="A28" s="24" t="s">
        <v>74</v>
      </c>
      <c r="B28" s="1" t="s">
        <v>75</v>
      </c>
      <c r="C28" s="1"/>
      <c r="D28" s="1"/>
      <c r="E28" s="13"/>
      <c r="F28" s="13"/>
      <c r="G28" s="1"/>
      <c r="H28" s="1" t="s">
        <v>35</v>
      </c>
    </row>
    <row r="29" spans="1:8" x14ac:dyDescent="0.25">
      <c r="A29" s="24"/>
      <c r="B29" s="1"/>
      <c r="C29" s="1"/>
      <c r="D29" s="1"/>
      <c r="E29" s="13"/>
      <c r="F29" s="13"/>
      <c r="G29" s="1"/>
      <c r="H29" s="1"/>
    </row>
    <row r="30" spans="1:8" x14ac:dyDescent="0.25">
      <c r="A30" s="24"/>
      <c r="B30" s="25" t="s">
        <v>6</v>
      </c>
      <c r="C30" s="26"/>
      <c r="D30" s="27"/>
      <c r="E30" s="14"/>
      <c r="F30" s="14"/>
      <c r="G30" s="3"/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4"/>
      <c r="F31" s="14"/>
      <c r="G31" s="3" t="s">
        <v>4</v>
      </c>
      <c r="H31" s="1" t="s">
        <v>5</v>
      </c>
    </row>
    <row r="32" spans="1:8" x14ac:dyDescent="0.25">
      <c r="A32" s="31"/>
      <c r="B32" s="1"/>
      <c r="C32" s="1"/>
      <c r="D32" s="1"/>
      <c r="E32" s="13"/>
      <c r="F32" s="13"/>
      <c r="G32" s="1"/>
      <c r="H32" s="1"/>
    </row>
    <row r="33" spans="1:8" x14ac:dyDescent="0.25">
      <c r="A33" s="32"/>
      <c r="B33" s="1"/>
      <c r="C33" s="1"/>
      <c r="D33" s="1"/>
      <c r="E33" s="13"/>
      <c r="F33" s="13"/>
      <c r="G33" s="1"/>
      <c r="H33" s="1"/>
    </row>
    <row r="34" spans="1:8" x14ac:dyDescent="0.25">
      <c r="A34" s="33"/>
      <c r="B34" s="25" t="s">
        <v>6</v>
      </c>
      <c r="C34" s="26"/>
      <c r="D34" s="27"/>
      <c r="E34" s="14"/>
      <c r="F34" s="14"/>
      <c r="G34" s="3"/>
      <c r="H34" s="10"/>
    </row>
    <row r="35" spans="1:8" x14ac:dyDescent="0.25">
      <c r="A35" s="11" t="s">
        <v>12</v>
      </c>
      <c r="B35" s="1" t="s">
        <v>1</v>
      </c>
      <c r="C35" s="1" t="s">
        <v>2</v>
      </c>
      <c r="D35" s="1" t="s">
        <v>3</v>
      </c>
      <c r="E35" s="13"/>
      <c r="F35" s="13"/>
      <c r="G35" s="1" t="s">
        <v>4</v>
      </c>
      <c r="H35" s="1"/>
    </row>
    <row r="36" spans="1:8" x14ac:dyDescent="0.25">
      <c r="A36" s="24"/>
      <c r="B36" s="1"/>
      <c r="C36" s="1"/>
      <c r="D36" s="1"/>
      <c r="E36" s="13"/>
      <c r="F36" s="13"/>
      <c r="G36" s="1"/>
      <c r="H36" s="1"/>
    </row>
    <row r="37" spans="1:8" x14ac:dyDescent="0.25">
      <c r="A37" s="24"/>
      <c r="B37" s="1"/>
      <c r="C37" s="1"/>
      <c r="D37" s="1"/>
      <c r="E37" s="13"/>
      <c r="F37" s="13"/>
      <c r="G37" s="1"/>
      <c r="H37" s="1"/>
    </row>
    <row r="38" spans="1:8" x14ac:dyDescent="0.25">
      <c r="A38" s="24"/>
      <c r="B38" s="1"/>
      <c r="C38" s="1"/>
      <c r="D38" s="1"/>
      <c r="E38" s="13"/>
      <c r="F38" s="13"/>
      <c r="G38" s="1"/>
      <c r="H38" s="1"/>
    </row>
    <row r="39" spans="1:8" x14ac:dyDescent="0.25">
      <c r="A39" s="24"/>
      <c r="B39" s="1"/>
      <c r="C39" s="1"/>
      <c r="D39" s="1"/>
      <c r="E39" s="13"/>
      <c r="F39" s="13"/>
      <c r="G39" s="1"/>
      <c r="H39" s="1"/>
    </row>
    <row r="40" spans="1:8" x14ac:dyDescent="0.25">
      <c r="A40" s="24"/>
      <c r="B40" s="25" t="s">
        <v>6</v>
      </c>
      <c r="C40" s="26"/>
      <c r="D40" s="27"/>
      <c r="E40" s="14"/>
      <c r="F40" s="14"/>
      <c r="G40" s="3"/>
      <c r="H40" s="1"/>
    </row>
    <row r="41" spans="1:8" x14ac:dyDescent="0.25">
      <c r="A41" s="1"/>
      <c r="B41" s="28" t="s">
        <v>13</v>
      </c>
      <c r="C41" s="29"/>
      <c r="D41" s="30"/>
      <c r="E41" s="15"/>
      <c r="F41" s="15"/>
      <c r="G41" s="12"/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4" sqref="C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34" t="s">
        <v>14</v>
      </c>
      <c r="B1" s="35"/>
      <c r="C1" s="35"/>
      <c r="D1" s="35"/>
      <c r="E1" s="35"/>
      <c r="F1" s="36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24" t="s">
        <v>84</v>
      </c>
      <c r="B3" s="1" t="s">
        <v>94</v>
      </c>
      <c r="C3" s="1" t="s">
        <v>28</v>
      </c>
      <c r="D3" s="1"/>
      <c r="E3" s="1"/>
      <c r="F3" s="1"/>
    </row>
    <row r="4" spans="1:9" x14ac:dyDescent="0.25">
      <c r="A4" s="24"/>
      <c r="B4" s="1" t="s">
        <v>50</v>
      </c>
      <c r="C4" s="1" t="s">
        <v>61</v>
      </c>
      <c r="D4" s="1"/>
      <c r="E4" s="1"/>
      <c r="F4" s="1"/>
    </row>
    <row r="5" spans="1:9" x14ac:dyDescent="0.25">
      <c r="A5" s="24"/>
      <c r="B5" s="1"/>
      <c r="C5" s="1"/>
      <c r="D5" s="1"/>
      <c r="E5" s="1"/>
      <c r="F5" s="1"/>
    </row>
    <row r="6" spans="1:9" x14ac:dyDescent="0.25">
      <c r="A6" s="24"/>
      <c r="B6" s="1"/>
      <c r="C6" s="1"/>
      <c r="D6" s="1"/>
      <c r="E6" s="3"/>
      <c r="F6" s="1"/>
    </row>
    <row r="7" spans="1:9" x14ac:dyDescent="0.25">
      <c r="A7" s="24"/>
      <c r="B7" s="25" t="s">
        <v>6</v>
      </c>
      <c r="C7" s="26"/>
      <c r="D7" s="27"/>
      <c r="E7" s="3"/>
      <c r="F7" s="1"/>
    </row>
    <row r="8" spans="1:9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6"/>
    </row>
    <row r="9" spans="1:9" x14ac:dyDescent="0.25">
      <c r="A9" s="24" t="s">
        <v>85</v>
      </c>
      <c r="B9" s="1" t="s">
        <v>92</v>
      </c>
      <c r="C9" s="1" t="s">
        <v>93</v>
      </c>
      <c r="D9" s="1"/>
      <c r="E9" s="1"/>
      <c r="F9" s="1"/>
      <c r="I9" s="7"/>
    </row>
    <row r="10" spans="1:9" x14ac:dyDescent="0.25">
      <c r="A10" s="24"/>
      <c r="B10" s="1"/>
      <c r="C10" s="1"/>
      <c r="D10" s="1"/>
      <c r="E10" s="1"/>
      <c r="F10" s="1"/>
      <c r="I10" s="7"/>
    </row>
    <row r="11" spans="1:9" x14ac:dyDescent="0.25">
      <c r="A11" s="24"/>
      <c r="B11" s="1"/>
      <c r="C11" s="1"/>
      <c r="D11" s="1"/>
      <c r="E11" s="1"/>
      <c r="F11" s="1"/>
      <c r="I11" s="7"/>
    </row>
    <row r="12" spans="1:9" x14ac:dyDescent="0.25">
      <c r="A12" s="24"/>
      <c r="B12" s="1"/>
      <c r="C12" s="1"/>
      <c r="D12" s="1"/>
      <c r="E12" s="1"/>
      <c r="F12" s="1"/>
      <c r="I12" s="7"/>
    </row>
    <row r="13" spans="1:9" x14ac:dyDescent="0.25">
      <c r="A13" s="24"/>
      <c r="B13" s="1"/>
      <c r="C13" s="1"/>
      <c r="D13" s="1"/>
      <c r="E13" s="1"/>
      <c r="F13" s="1"/>
      <c r="I13" s="8"/>
    </row>
    <row r="14" spans="1:9" x14ac:dyDescent="0.25">
      <c r="A14" s="24"/>
      <c r="B14" s="25" t="s">
        <v>6</v>
      </c>
      <c r="C14" s="26"/>
      <c r="D14" s="27"/>
      <c r="E14" s="3"/>
      <c r="F14" s="1"/>
    </row>
    <row r="15" spans="1:9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24" t="s">
        <v>86</v>
      </c>
      <c r="B16" s="1" t="s">
        <v>90</v>
      </c>
      <c r="C16" s="1" t="s">
        <v>83</v>
      </c>
      <c r="D16" s="1"/>
      <c r="E16" s="1"/>
      <c r="F16" s="1"/>
    </row>
    <row r="17" spans="1:6" x14ac:dyDescent="0.25">
      <c r="A17" s="24"/>
      <c r="B17" s="1" t="s">
        <v>91</v>
      </c>
      <c r="C17" s="1" t="s">
        <v>52</v>
      </c>
      <c r="D17" s="1"/>
      <c r="E17" s="1"/>
      <c r="F17" s="1"/>
    </row>
    <row r="18" spans="1:6" x14ac:dyDescent="0.25">
      <c r="A18" s="24"/>
      <c r="B18" s="1"/>
      <c r="C18" s="1"/>
      <c r="D18" s="1"/>
      <c r="E18" s="1"/>
      <c r="F18" s="1"/>
    </row>
    <row r="19" spans="1:6" x14ac:dyDescent="0.25">
      <c r="A19" s="24"/>
      <c r="B19" s="1"/>
      <c r="C19" s="1"/>
      <c r="D19" s="1"/>
      <c r="E19" s="3"/>
      <c r="F19" s="1"/>
    </row>
    <row r="20" spans="1:6" x14ac:dyDescent="0.25">
      <c r="A20" s="24"/>
      <c r="B20" s="25" t="s">
        <v>6</v>
      </c>
      <c r="C20" s="26"/>
      <c r="D20" s="27"/>
      <c r="E20" s="3"/>
      <c r="F20" s="1"/>
    </row>
    <row r="21" spans="1:6" x14ac:dyDescent="0.25">
      <c r="A21" s="9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24"/>
      <c r="B22" s="1"/>
      <c r="C22" s="1"/>
      <c r="D22" s="1"/>
      <c r="E22" s="1"/>
      <c r="F22" s="1"/>
    </row>
    <row r="23" spans="1:6" x14ac:dyDescent="0.25">
      <c r="A23" s="24"/>
      <c r="B23" s="1"/>
      <c r="C23" s="1"/>
      <c r="D23" s="1"/>
      <c r="E23" s="1"/>
      <c r="F23" s="1"/>
    </row>
    <row r="24" spans="1:6" x14ac:dyDescent="0.25">
      <c r="A24" s="24"/>
      <c r="B24" s="1"/>
      <c r="C24" s="1"/>
      <c r="D24" s="1"/>
      <c r="E24" s="1"/>
      <c r="F24" s="1"/>
    </row>
    <row r="25" spans="1:6" x14ac:dyDescent="0.25">
      <c r="A25" s="24"/>
      <c r="B25" s="1"/>
      <c r="C25" s="1"/>
      <c r="D25" s="1"/>
      <c r="E25" s="1"/>
      <c r="F25" s="1"/>
    </row>
    <row r="26" spans="1:6" x14ac:dyDescent="0.25">
      <c r="A26" s="24"/>
      <c r="B26" s="25" t="s">
        <v>6</v>
      </c>
      <c r="C26" s="26"/>
      <c r="D26" s="27"/>
      <c r="E26" s="3"/>
      <c r="F26" s="1"/>
    </row>
    <row r="27" spans="1:6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24" t="s">
        <v>87</v>
      </c>
      <c r="B28" s="1" t="s">
        <v>65</v>
      </c>
      <c r="C28" s="1" t="s">
        <v>25</v>
      </c>
      <c r="D28" s="1"/>
      <c r="E28" s="1"/>
      <c r="F28" s="1"/>
    </row>
    <row r="29" spans="1:6" x14ac:dyDescent="0.25">
      <c r="A29" s="24"/>
      <c r="B29" s="1" t="s">
        <v>88</v>
      </c>
      <c r="C29" s="1" t="s">
        <v>89</v>
      </c>
      <c r="D29" s="1"/>
      <c r="E29" s="1"/>
      <c r="F29" s="1"/>
    </row>
    <row r="30" spans="1:6" x14ac:dyDescent="0.25">
      <c r="A30" s="24"/>
      <c r="B30" s="25" t="s">
        <v>6</v>
      </c>
      <c r="C30" s="26"/>
      <c r="D30" s="27"/>
      <c r="E30" s="3"/>
      <c r="F30" s="1"/>
    </row>
    <row r="31" spans="1:6" x14ac:dyDescent="0.25">
      <c r="A31" s="1" t="s">
        <v>11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x14ac:dyDescent="0.25">
      <c r="A32" s="31"/>
      <c r="B32" s="1"/>
      <c r="C32" s="1"/>
      <c r="D32" s="1"/>
      <c r="E32" s="1"/>
      <c r="F32" s="1"/>
    </row>
    <row r="33" spans="1:6" x14ac:dyDescent="0.25">
      <c r="A33" s="32"/>
      <c r="B33" s="1"/>
      <c r="C33" s="1"/>
      <c r="D33" s="1"/>
      <c r="E33" s="1"/>
      <c r="F33" s="1"/>
    </row>
    <row r="34" spans="1:6" x14ac:dyDescent="0.25">
      <c r="A34" s="33"/>
      <c r="B34" s="25" t="s">
        <v>6</v>
      </c>
      <c r="C34" s="26"/>
      <c r="D34" s="27"/>
      <c r="E34" s="3"/>
      <c r="F34" s="10"/>
    </row>
    <row r="35" spans="1:6" x14ac:dyDescent="0.25">
      <c r="A35" s="11" t="s">
        <v>12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24"/>
      <c r="B36" s="1"/>
      <c r="C36" s="1"/>
      <c r="D36" s="1"/>
      <c r="E36" s="1"/>
      <c r="F36" s="1"/>
    </row>
    <row r="37" spans="1:6" x14ac:dyDescent="0.25">
      <c r="A37" s="24"/>
      <c r="B37" s="1"/>
      <c r="C37" s="1"/>
      <c r="D37" s="1"/>
      <c r="E37" s="1"/>
      <c r="F37" s="1"/>
    </row>
    <row r="38" spans="1:6" x14ac:dyDescent="0.25">
      <c r="A38" s="24"/>
      <c r="B38" s="1"/>
      <c r="C38" s="1"/>
      <c r="D38" s="1"/>
      <c r="E38" s="1"/>
      <c r="F38" s="1"/>
    </row>
    <row r="39" spans="1:6" x14ac:dyDescent="0.25">
      <c r="A39" s="24"/>
      <c r="B39" s="1"/>
      <c r="C39" s="1"/>
      <c r="D39" s="1"/>
      <c r="E39" s="1"/>
      <c r="F39" s="1"/>
    </row>
    <row r="40" spans="1:6" x14ac:dyDescent="0.25">
      <c r="A40" s="24"/>
      <c r="B40" s="25" t="s">
        <v>6</v>
      </c>
      <c r="C40" s="26"/>
      <c r="D40" s="27"/>
      <c r="E40" s="3"/>
      <c r="F40" s="1"/>
    </row>
    <row r="41" spans="1:6" x14ac:dyDescent="0.25">
      <c r="A41" s="1"/>
      <c r="B41" s="28" t="s">
        <v>13</v>
      </c>
      <c r="C41" s="29"/>
      <c r="D41" s="30"/>
      <c r="E41" s="12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3</vt:i4>
      </vt:variant>
    </vt:vector>
  </HeadingPairs>
  <TitlesOfParts>
    <vt:vector size="8" baseType="lpstr">
      <vt:lpstr>0422</vt:lpstr>
      <vt:lpstr>0423</vt:lpstr>
      <vt:lpstr>0424</vt:lpstr>
      <vt:lpstr>0425</vt:lpstr>
      <vt:lpstr>0426</vt:lpstr>
      <vt:lpstr>'0422'!Print_Area</vt:lpstr>
      <vt:lpstr>'0423'!Print_Area</vt:lpstr>
      <vt:lpstr>'0424'!Print_Area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2024-04-25T05:50:10Z</cp:lastPrinted>
  <dcterms:created xsi:type="dcterms:W3CDTF">2024-04-08T08:17:36Z</dcterms:created>
  <dcterms:modified xsi:type="dcterms:W3CDTF">2024-04-30T08:20:50Z</dcterms:modified>
</cp:coreProperties>
</file>