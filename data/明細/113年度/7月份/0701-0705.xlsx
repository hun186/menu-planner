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7月份\"/>
    </mc:Choice>
  </mc:AlternateContent>
  <bookViews>
    <workbookView xWindow="0" yWindow="0" windowWidth="28800" windowHeight="12255" activeTab="5"/>
  </bookViews>
  <sheets>
    <sheet name="0701+ " sheetId="6" r:id="rId1"/>
    <sheet name="0702+" sheetId="2" r:id="rId2"/>
    <sheet name="0703+" sheetId="3" r:id="rId3"/>
    <sheet name="0704+" sheetId="4" r:id="rId4"/>
    <sheet name="0705+" sheetId="5" r:id="rId5"/>
    <sheet name="工作表1" sheetId="7" r:id="rId6"/>
  </sheets>
  <definedNames>
    <definedName name="_xlnm.Print_Area" localSheetId="0">'0701+ '!$A$1:$H$43</definedName>
    <definedName name="_xlnm.Print_Area" localSheetId="2">'0703+'!$A$1:$H$41</definedName>
    <definedName name="_xlnm.Print_Area" localSheetId="3">'0704+'!$A$1:$H$41</definedName>
    <definedName name="_xlnm.Print_Area" localSheetId="4">'0705+'!$A$1:$H$48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7" l="1"/>
  <c r="G2" i="7" l="1"/>
  <c r="G39" i="5" l="1"/>
  <c r="G45" i="5" l="1"/>
  <c r="G7" i="5"/>
  <c r="G4" i="5"/>
  <c r="G32" i="5"/>
  <c r="G31" i="5"/>
  <c r="G30" i="5"/>
  <c r="G29" i="5"/>
  <c r="G28" i="5"/>
  <c r="G27" i="5"/>
  <c r="G26" i="5"/>
  <c r="G23" i="5"/>
  <c r="G24" i="5"/>
  <c r="G25" i="5"/>
  <c r="G22" i="5"/>
  <c r="G44" i="5"/>
  <c r="G43" i="5"/>
  <c r="G41" i="5"/>
  <c r="G48" i="5" s="1"/>
  <c r="G40" i="5"/>
  <c r="G38" i="5"/>
  <c r="G20" i="5"/>
  <c r="G16" i="5"/>
  <c r="G14" i="5"/>
  <c r="G10" i="5"/>
  <c r="G11" i="5"/>
  <c r="G12" i="5"/>
  <c r="G9" i="5"/>
  <c r="G3" i="5"/>
  <c r="G47" i="5" l="1"/>
  <c r="G11" i="4"/>
  <c r="G20" i="4"/>
  <c r="G16" i="4"/>
  <c r="G26" i="4"/>
  <c r="G22" i="4"/>
  <c r="G14" i="4"/>
  <c r="G41" i="4" s="1"/>
  <c r="G9" i="4"/>
  <c r="G34" i="4"/>
  <c r="G33" i="4"/>
  <c r="G30" i="4"/>
  <c r="G29" i="4"/>
  <c r="G28" i="4"/>
  <c r="G10" i="4"/>
  <c r="G4" i="4"/>
  <c r="G5" i="4"/>
  <c r="G3" i="4"/>
  <c r="G32" i="4"/>
  <c r="G7" i="4" l="1"/>
  <c r="G33" i="3"/>
  <c r="G30" i="3" l="1"/>
  <c r="G14" i="3"/>
  <c r="G9" i="3"/>
  <c r="G37" i="3"/>
  <c r="G38" i="3"/>
  <c r="G39" i="3"/>
  <c r="G40" i="3"/>
  <c r="G34" i="3"/>
  <c r="G41" i="3" s="1"/>
  <c r="G26" i="3"/>
  <c r="G22" i="3"/>
  <c r="G32" i="3"/>
  <c r="G10" i="3"/>
  <c r="G29" i="3"/>
  <c r="G20" i="3"/>
  <c r="G17" i="3"/>
  <c r="G16" i="3"/>
  <c r="G36" i="3"/>
  <c r="G41" i="2"/>
  <c r="G26" i="2"/>
  <c r="G40" i="2"/>
  <c r="G36" i="2"/>
  <c r="G34" i="2"/>
  <c r="G30" i="2"/>
  <c r="G29" i="2"/>
  <c r="G28" i="2"/>
  <c r="G20" i="2"/>
  <c r="G17" i="2"/>
  <c r="G18" i="2"/>
  <c r="G7" i="2"/>
  <c r="G23" i="2"/>
  <c r="G24" i="2"/>
  <c r="G25" i="2"/>
  <c r="G22" i="2"/>
  <c r="G14" i="2"/>
  <c r="G10" i="2"/>
  <c r="G11" i="2"/>
  <c r="G16" i="2"/>
  <c r="G9" i="2"/>
  <c r="G4" i="2"/>
  <c r="G3" i="2"/>
  <c r="G33" i="2"/>
  <c r="G32" i="2"/>
  <c r="G41" i="6" l="1"/>
  <c r="G40" i="6"/>
  <c r="G39" i="6"/>
  <c r="G38" i="6"/>
  <c r="G42" i="6" s="1"/>
  <c r="G35" i="6"/>
  <c r="G36" i="6" s="1"/>
  <c r="G34" i="6"/>
  <c r="G26" i="6"/>
  <c r="G25" i="6"/>
  <c r="G24" i="6"/>
  <c r="G23" i="6"/>
  <c r="G22" i="6"/>
  <c r="G21" i="6"/>
  <c r="G28" i="6" s="1"/>
  <c r="G16" i="6"/>
  <c r="G15" i="6"/>
  <c r="G19" i="6" s="1"/>
  <c r="G13" i="6"/>
  <c r="G11" i="6"/>
  <c r="G10" i="6"/>
  <c r="G9" i="6"/>
  <c r="G7" i="6"/>
  <c r="G3" i="6"/>
  <c r="G43" i="6" l="1"/>
</calcChain>
</file>

<file path=xl/sharedStrings.xml><?xml version="1.0" encoding="utf-8"?>
<sst xmlns="http://schemas.openxmlformats.org/spreadsheetml/2006/main" count="521" uniqueCount="170">
  <si>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</si>
  <si>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</si>
  <si>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</si>
  <si>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</si>
  <si>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</si>
  <si>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</si>
  <si>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</si>
  <si>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</si>
  <si>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</si>
  <si>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</si>
  <si>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</si>
  <si>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</si>
  <si>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</si>
  <si>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</si>
  <si>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7月   2日      午餐明細表</t>
    <phoneticPr fontId="2" type="noConversion"/>
  </si>
  <si>
    <t>電訊科技中心(安康營區)     113 年      7月   3日      午餐明細表</t>
    <phoneticPr fontId="2" type="noConversion"/>
  </si>
  <si>
    <t>電訊科技中心(安康營區)     113 年      7月  4日      午餐明細表</t>
    <phoneticPr fontId="2" type="noConversion"/>
  </si>
  <si>
    <t>電訊科技中心(安康營區)     113 年      7月   5日      午餐明細表</t>
    <phoneticPr fontId="2" type="noConversion"/>
  </si>
  <si>
    <t>卡拉雞</t>
    <phoneticPr fontId="2" type="noConversion"/>
  </si>
  <si>
    <t>230片</t>
    <phoneticPr fontId="2" type="noConversion"/>
  </si>
  <si>
    <t>薑絲南瓜</t>
    <phoneticPr fontId="2" type="noConversion"/>
  </si>
  <si>
    <t>40斤</t>
    <phoneticPr fontId="2" type="noConversion"/>
  </si>
  <si>
    <t>薑絲</t>
    <phoneticPr fontId="2" type="noConversion"/>
  </si>
  <si>
    <t>薑</t>
    <phoneticPr fontId="2" type="noConversion"/>
  </si>
  <si>
    <t>1斤</t>
    <phoneticPr fontId="2" type="noConversion"/>
  </si>
  <si>
    <t>半斤</t>
    <phoneticPr fontId="2" type="noConversion"/>
  </si>
  <si>
    <t>豬肉絲</t>
    <phoneticPr fontId="2" type="noConversion"/>
  </si>
  <si>
    <t>豆干切片</t>
    <phoneticPr fontId="2" type="noConversion"/>
  </si>
  <si>
    <t>15斤</t>
    <phoneticPr fontId="2" type="noConversion"/>
  </si>
  <si>
    <t>25斤</t>
    <phoneticPr fontId="2" type="noConversion"/>
  </si>
  <si>
    <t>庫存</t>
    <phoneticPr fontId="2" type="noConversion"/>
  </si>
  <si>
    <t>腐乳肉片</t>
    <phoneticPr fontId="2" type="noConversion"/>
  </si>
  <si>
    <t>醬燒米血</t>
    <phoneticPr fontId="2" type="noConversion"/>
  </si>
  <si>
    <t>蒜炒青花菜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</si>
  <si>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</si>
  <si>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</si>
  <si>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</si>
  <si>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5斤</t>
    <phoneticPr fontId="2" type="noConversion"/>
  </si>
  <si>
    <t>冷凍青花菜</t>
    <phoneticPr fontId="2" type="noConversion"/>
  </si>
  <si>
    <t>紅蘿蔔</t>
    <phoneticPr fontId="2" type="noConversion"/>
  </si>
  <si>
    <t>川耳</t>
    <phoneticPr fontId="2" type="noConversion"/>
  </si>
  <si>
    <t>3件</t>
    <phoneticPr fontId="2" type="noConversion"/>
  </si>
  <si>
    <t>2斤</t>
    <phoneticPr fontId="2" type="noConversion"/>
  </si>
  <si>
    <t>4斤</t>
    <phoneticPr fontId="2" type="noConversion"/>
  </si>
  <si>
    <t>米血丁</t>
    <phoneticPr fontId="2" type="noConversion"/>
  </si>
  <si>
    <t>甜不辣條</t>
    <phoneticPr fontId="2" type="noConversion"/>
  </si>
  <si>
    <t>去皮洋蔥</t>
    <phoneticPr fontId="2" type="noConversion"/>
  </si>
  <si>
    <t>20斤</t>
    <phoneticPr fontId="2" type="noConversion"/>
  </si>
  <si>
    <t>10斤</t>
    <phoneticPr fontId="2" type="noConversion"/>
  </si>
  <si>
    <t>豆腐乳(大)</t>
    <phoneticPr fontId="2" type="noConversion"/>
  </si>
  <si>
    <t>豬肉片</t>
    <phoneticPr fontId="2" type="noConversion"/>
  </si>
  <si>
    <t>1罐</t>
    <phoneticPr fontId="2" type="noConversion"/>
  </si>
  <si>
    <t>45斤</t>
    <phoneticPr fontId="2" type="noConversion"/>
  </si>
  <si>
    <t>涼拌豬耳朵</t>
    <phoneticPr fontId="2" type="noConversion"/>
  </si>
  <si>
    <t>小黃瓜拌素雞</t>
    <phoneticPr fontId="2" type="noConversion"/>
  </si>
  <si>
    <t>豬耳朵</t>
    <phoneticPr fontId="2" type="noConversion"/>
  </si>
  <si>
    <t>30斤</t>
    <phoneticPr fontId="2" type="noConversion"/>
  </si>
  <si>
    <t>小黃瓜</t>
    <phoneticPr fontId="2" type="noConversion"/>
  </si>
  <si>
    <t>素雞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</si>
  <si>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</si>
  <si>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</si>
  <si>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</si>
  <si>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</si>
  <si>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涼麵</t>
    <phoneticPr fontId="2" type="noConversion"/>
  </si>
  <si>
    <t>芝麻醬</t>
    <phoneticPr fontId="2" type="noConversion"/>
  </si>
  <si>
    <t>檸檬汁</t>
    <phoneticPr fontId="2" type="noConversion"/>
  </si>
  <si>
    <t>60斤</t>
    <phoneticPr fontId="2" type="noConversion"/>
  </si>
  <si>
    <t>3桶</t>
    <phoneticPr fontId="2" type="noConversion"/>
  </si>
  <si>
    <t>2瓶</t>
    <phoneticPr fontId="2" type="noConversion"/>
  </si>
  <si>
    <t>紅燒豬腳</t>
    <phoneticPr fontId="2" type="noConversion"/>
  </si>
  <si>
    <t>香菇筍干</t>
    <phoneticPr fontId="2" type="noConversion"/>
  </si>
  <si>
    <t>炸雞捲</t>
    <phoneticPr fontId="2" type="noConversion"/>
  </si>
  <si>
    <t>白蘿蔔玉米湯</t>
    <phoneticPr fontId="2" type="noConversion"/>
  </si>
  <si>
    <t>去殼玉米條</t>
    <phoneticPr fontId="2" type="noConversion"/>
  </si>
  <si>
    <t>白蘿蔔</t>
    <phoneticPr fontId="2" type="noConversion"/>
  </si>
  <si>
    <t>12斤</t>
    <phoneticPr fontId="2" type="noConversion"/>
  </si>
  <si>
    <t>豬腳丁</t>
    <phoneticPr fontId="2" type="noConversion"/>
  </si>
  <si>
    <t>70斤</t>
    <phoneticPr fontId="2" type="noConversion"/>
  </si>
  <si>
    <t>6斤</t>
    <phoneticPr fontId="2" type="noConversion"/>
  </si>
  <si>
    <t>8斤</t>
    <phoneticPr fontId="2" type="noConversion"/>
  </si>
  <si>
    <t>濕筍乾</t>
    <phoneticPr fontId="2" type="noConversion"/>
  </si>
  <si>
    <t>生香菇</t>
    <phoneticPr fontId="2" type="noConversion"/>
  </si>
  <si>
    <t>五花肉絲</t>
    <phoneticPr fontId="2" type="noConversion"/>
  </si>
  <si>
    <t>雞捲</t>
    <phoneticPr fontId="2" type="noConversion"/>
  </si>
  <si>
    <t>35斤</t>
    <phoneticPr fontId="2" type="noConversion"/>
  </si>
  <si>
    <t>花雕雞</t>
    <phoneticPr fontId="2" type="noConversion"/>
  </si>
  <si>
    <t>紅燒豆腐</t>
    <phoneticPr fontId="2" type="noConversion"/>
  </si>
  <si>
    <t>玉米蒸蛋</t>
    <phoneticPr fontId="2" type="noConversion"/>
  </si>
  <si>
    <t>紅豆湯</t>
    <phoneticPr fontId="2" type="noConversion"/>
  </si>
  <si>
    <t>紅豆</t>
    <phoneticPr fontId="2" type="noConversion"/>
  </si>
  <si>
    <t>冷凍玉米粒</t>
    <phoneticPr fontId="2" type="noConversion"/>
  </si>
  <si>
    <t>1件</t>
    <phoneticPr fontId="2" type="noConversion"/>
  </si>
  <si>
    <t>6板</t>
    <phoneticPr fontId="2" type="noConversion"/>
  </si>
  <si>
    <t>骨腿丁</t>
    <phoneticPr fontId="2" type="noConversion"/>
  </si>
  <si>
    <t>花雕酒</t>
    <phoneticPr fontId="2" type="noConversion"/>
  </si>
  <si>
    <t>4瓶</t>
    <phoneticPr fontId="2" type="noConversion"/>
  </si>
  <si>
    <t>65斤</t>
    <phoneticPr fontId="2" type="noConversion"/>
  </si>
  <si>
    <t>南瓜塊3X3</t>
    <phoneticPr fontId="2" type="noConversion"/>
  </si>
  <si>
    <t>電訊科技中心(安康營區)     113年      7月  1 日      午餐明細表</t>
    <phoneticPr fontId="2" type="noConversion"/>
  </si>
  <si>
    <t>訂貨數量</t>
    <phoneticPr fontId="2" type="noConversion"/>
  </si>
  <si>
    <t>片</t>
    <phoneticPr fontId="2" type="noConversion"/>
  </si>
  <si>
    <t>卡拉雞腿堡</t>
    <phoneticPr fontId="2" type="noConversion"/>
  </si>
  <si>
    <t>斤</t>
    <phoneticPr fontId="2" type="noConversion"/>
  </si>
  <si>
    <t>豆干炒肉絲</t>
    <phoneticPr fontId="2" type="noConversion"/>
  </si>
  <si>
    <t>辣椒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</si>
  <si>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</si>
  <si>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</si>
  <si>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</si>
  <si>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</si>
  <si>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</si>
  <si>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油菜</t>
    <phoneticPr fontId="2" type="noConversion"/>
  </si>
  <si>
    <t>大西瓜</t>
    <phoneticPr fontId="2" type="noConversion"/>
  </si>
  <si>
    <t>早餐</t>
    <phoneticPr fontId="2" type="noConversion"/>
  </si>
  <si>
    <t>大西瓜</t>
    <phoneticPr fontId="2" type="noConversion"/>
  </si>
  <si>
    <t>斤</t>
  </si>
  <si>
    <t>斤</t>
    <phoneticPr fontId="2" type="noConversion"/>
  </si>
  <si>
    <t>甜酒豆乳</t>
    <phoneticPr fontId="2" type="noConversion"/>
  </si>
  <si>
    <t>桶</t>
    <phoneticPr fontId="2" type="noConversion"/>
  </si>
  <si>
    <t>包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</si>
  <si>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</si>
  <si>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</si>
  <si>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</si>
  <si>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立大前腿肉片</t>
    <phoneticPr fontId="2" type="noConversion"/>
  </si>
  <si>
    <t>綠豆芽</t>
    <phoneticPr fontId="2" type="noConversion"/>
  </si>
  <si>
    <t>油麵</t>
    <phoneticPr fontId="2" type="noConversion"/>
  </si>
  <si>
    <t>盤</t>
    <phoneticPr fontId="2" type="noConversion"/>
  </si>
  <si>
    <t>鵝白菜</t>
    <phoneticPr fontId="2" type="noConversion"/>
  </si>
  <si>
    <t>阿在伯水餃</t>
    <phoneticPr fontId="2" type="noConversion"/>
  </si>
  <si>
    <t>罐</t>
    <phoneticPr fontId="2" type="noConversion"/>
  </si>
  <si>
    <t>非合約項目</t>
    <phoneticPr fontId="2" type="noConversion"/>
  </si>
  <si>
    <t>香蕉</t>
    <phoneticPr fontId="2" type="noConversion"/>
  </si>
  <si>
    <t>芭樂</t>
    <phoneticPr fontId="2" type="noConversion"/>
  </si>
  <si>
    <t>斤</t>
    <phoneticPr fontId="2" type="noConversion"/>
  </si>
  <si>
    <t>綠豆芽</t>
    <phoneticPr fontId="2" type="noConversion"/>
  </si>
  <si>
    <t>蒜泥</t>
    <phoneticPr fontId="2" type="noConversion"/>
  </si>
  <si>
    <t>斤</t>
    <phoneticPr fontId="2" type="noConversion"/>
  </si>
  <si>
    <t>盤</t>
    <phoneticPr fontId="2" type="noConversion"/>
  </si>
  <si>
    <t>包</t>
    <phoneticPr fontId="2" type="noConversion"/>
  </si>
  <si>
    <t>紅龍果</t>
    <phoneticPr fontId="2" type="noConversion"/>
  </si>
  <si>
    <t>鵝白菜</t>
    <phoneticPr fontId="2" type="noConversion"/>
  </si>
  <si>
    <t>素食/其他</t>
    <phoneticPr fontId="2" type="noConversion"/>
  </si>
  <si>
    <t>海帶捲</t>
    <phoneticPr fontId="2" type="noConversion"/>
  </si>
  <si>
    <t>個</t>
    <phoneticPr fontId="2" type="noConversion"/>
  </si>
  <si>
    <t>滷蛋</t>
    <phoneticPr fontId="2" type="noConversion"/>
  </si>
  <si>
    <t>調理米酒</t>
    <phoneticPr fontId="2" type="noConversion"/>
  </si>
  <si>
    <t>瓶</t>
    <phoneticPr fontId="2" type="noConversion"/>
  </si>
  <si>
    <t>味霖</t>
    <phoneticPr fontId="2" type="noConversion"/>
  </si>
  <si>
    <t>桶</t>
    <phoneticPr fontId="2" type="noConversion"/>
  </si>
  <si>
    <t>香油</t>
    <phoneticPr fontId="2" type="noConversion"/>
  </si>
  <si>
    <t>金蘭醬油</t>
    <phoneticPr fontId="2" type="noConversion"/>
  </si>
  <si>
    <t>甘醇醬油</t>
    <phoneticPr fontId="2" type="noConversion"/>
  </si>
  <si>
    <t>香菇素蠔油</t>
    <phoneticPr fontId="2" type="noConversion"/>
  </si>
  <si>
    <t>牛頭牌沙茶醬</t>
    <phoneticPr fontId="2" type="noConversion"/>
  </si>
  <si>
    <t>台糖二砂</t>
    <phoneticPr fontId="2" type="noConversion"/>
  </si>
  <si>
    <t>袋</t>
    <phoneticPr fontId="2" type="noConversion"/>
  </si>
  <si>
    <t>沙拉油</t>
    <phoneticPr fontId="2" type="noConversion"/>
  </si>
  <si>
    <t>番茄醬</t>
    <phoneticPr fontId="2" type="noConversion"/>
  </si>
  <si>
    <t>非合約項目</t>
    <phoneticPr fontId="2" type="noConversion"/>
  </si>
  <si>
    <t>罐</t>
    <phoneticPr fontId="2" type="noConversion"/>
  </si>
  <si>
    <t>30個</t>
    <phoneticPr fontId="2" type="noConversion"/>
  </si>
  <si>
    <t>洗選蛋</t>
    <phoneticPr fontId="2" type="noConversion"/>
  </si>
  <si>
    <t>備庫存量</t>
    <phoneticPr fontId="2" type="noConversion"/>
  </si>
  <si>
    <t>0701-0705</t>
    <phoneticPr fontId="2" type="noConversion"/>
  </si>
  <si>
    <t>0708-0712</t>
    <phoneticPr fontId="2" type="noConversion"/>
  </si>
  <si>
    <t>週一</t>
    <phoneticPr fontId="2" type="noConversion"/>
  </si>
  <si>
    <t>週二</t>
  </si>
  <si>
    <t>週三</t>
  </si>
  <si>
    <t>週四</t>
  </si>
  <si>
    <t>週五</t>
  </si>
  <si>
    <t>當週合計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</si>
</sst>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rgb="FF00B050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1" fontId="3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3" xfId="0" applyFont="1" applyFill="1" applyBorder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1" fillId="0" borderId="3" xfId="0" applyFont="1" applyBorder="1">
      <alignment vertical="center"/>
    </xf>
    <xf numFmtId="0" fontId="0" fillId="2" borderId="3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topLeftCell="A25" workbookViewId="0">
      <selection activeCell="E2" sqref="E2"/>
    </sheetView>
  </sheetViews>
  <sheetFormatPr defaultRowHeight="16.5" x14ac:dyDescent="0.25"/>
  <cols>
    <col min="1" max="2" width="15.625" style="19" customWidth="1"/>
    <col min="3" max="4" width="9" style="19"/>
    <col min="5" max="5" width="8.625" style="19" customWidth="1"/>
    <col min="6" max="6" width="3.625" style="19" customWidth="1"/>
    <col min="7" max="8" width="13.625" style="19" customWidth="1"/>
    <col min="9" max="16384" width="9" style="19"/>
  </cols>
  <sheetData>
    <row r="1" spans="1:10" x14ac:dyDescent="0.25">
      <c r="A1" s="49" t="s">
        <v>98</v>
      </c>
      <c r="B1" s="49"/>
      <c r="C1" s="49"/>
      <c r="D1" s="49"/>
      <c r="E1" s="49"/>
      <c r="F1" s="49"/>
      <c r="G1" s="49"/>
      <c r="H1" s="50"/>
    </row>
    <row r="2" spans="1:10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99</v>
      </c>
      <c r="F2" s="20"/>
      <c r="G2" s="12" t="s">
        <v>4</v>
      </c>
      <c r="H2" s="9" t="s">
        <v>5</v>
      </c>
    </row>
    <row r="3" spans="1:10" x14ac:dyDescent="0.25">
      <c r="A3" s="51" t="s">
        <v>18</v>
      </c>
      <c r="B3" s="9" t="s">
        <v>18</v>
      </c>
      <c r="C3" s="9" t="s">
        <v>19</v>
      </c>
      <c r="D3" s="9">
        <v>24</v>
      </c>
      <c r="E3" s="20">
        <v>230</v>
      </c>
      <c r="F3" s="9" t="s">
        <v>100</v>
      </c>
      <c r="G3" s="21">
        <f>E3*D3</f>
        <v>5520</v>
      </c>
      <c r="H3" s="22" t="s">
        <v>101</v>
      </c>
    </row>
    <row r="4" spans="1:10" x14ac:dyDescent="0.25">
      <c r="A4" s="52"/>
      <c r="B4" s="9"/>
      <c r="C4" s="9"/>
      <c r="D4" s="9"/>
      <c r="E4" s="20"/>
      <c r="F4" s="9"/>
      <c r="G4" s="12"/>
      <c r="H4" s="9"/>
    </row>
    <row r="5" spans="1:10" x14ac:dyDescent="0.25">
      <c r="A5" s="52"/>
      <c r="B5" s="9"/>
      <c r="C5" s="9"/>
      <c r="D5" s="9"/>
      <c r="E5" s="20"/>
      <c r="F5" s="20"/>
      <c r="G5" s="12"/>
      <c r="H5" s="9"/>
    </row>
    <row r="6" spans="1:10" x14ac:dyDescent="0.25">
      <c r="A6" s="53"/>
      <c r="B6" s="9"/>
      <c r="C6" s="9"/>
      <c r="D6" s="9"/>
      <c r="E6" s="20"/>
      <c r="F6" s="23"/>
      <c r="G6" s="12"/>
      <c r="H6" s="9"/>
    </row>
    <row r="7" spans="1:10" x14ac:dyDescent="0.25">
      <c r="A7" s="9"/>
      <c r="B7" s="10" t="s">
        <v>6</v>
      </c>
      <c r="C7" s="11"/>
      <c r="D7" s="12"/>
      <c r="E7" s="20"/>
      <c r="F7" s="24"/>
      <c r="G7" s="25">
        <f>G3</f>
        <v>5520</v>
      </c>
      <c r="H7" s="9"/>
    </row>
    <row r="8" spans="1:10" x14ac:dyDescent="0.25">
      <c r="A8" s="9" t="s">
        <v>7</v>
      </c>
      <c r="B8" s="9" t="s">
        <v>1</v>
      </c>
      <c r="C8" s="9" t="s">
        <v>2</v>
      </c>
      <c r="D8" s="9" t="s">
        <v>3</v>
      </c>
      <c r="E8" s="26" t="s">
        <v>99</v>
      </c>
      <c r="F8" s="24"/>
      <c r="G8" s="12" t="s">
        <v>4</v>
      </c>
      <c r="H8" s="9" t="s">
        <v>5</v>
      </c>
    </row>
    <row r="9" spans="1:10" x14ac:dyDescent="0.25">
      <c r="A9" s="51" t="s">
        <v>20</v>
      </c>
      <c r="B9" s="9" t="s">
        <v>97</v>
      </c>
      <c r="C9" s="9" t="s">
        <v>21</v>
      </c>
      <c r="D9" s="9">
        <v>26.22</v>
      </c>
      <c r="E9" s="26">
        <v>40</v>
      </c>
      <c r="F9" s="9" t="s">
        <v>102</v>
      </c>
      <c r="G9" s="21">
        <f>D9*E9</f>
        <v>1048.8</v>
      </c>
      <c r="H9" s="22"/>
      <c r="I9" s="27"/>
      <c r="J9" s="27"/>
    </row>
    <row r="10" spans="1:10" x14ac:dyDescent="0.25">
      <c r="A10" s="52"/>
      <c r="B10" s="9" t="s">
        <v>22</v>
      </c>
      <c r="C10" s="9" t="s">
        <v>24</v>
      </c>
      <c r="D10" s="9">
        <v>74.099999999999994</v>
      </c>
      <c r="E10" s="20">
        <v>1</v>
      </c>
      <c r="F10" s="9" t="s">
        <v>102</v>
      </c>
      <c r="G10" s="21">
        <f>E10*D10</f>
        <v>74.099999999999994</v>
      </c>
      <c r="H10" s="28"/>
      <c r="I10" s="29"/>
      <c r="J10" s="27"/>
    </row>
    <row r="11" spans="1:10" x14ac:dyDescent="0.25">
      <c r="A11" s="52"/>
      <c r="B11" s="9" t="s">
        <v>23</v>
      </c>
      <c r="C11" s="9" t="s">
        <v>25</v>
      </c>
      <c r="D11" s="9">
        <v>58.5</v>
      </c>
      <c r="E11" s="20">
        <v>0.5</v>
      </c>
      <c r="F11" s="9" t="s">
        <v>102</v>
      </c>
      <c r="G11" s="21">
        <f>E11*D11</f>
        <v>29.25</v>
      </c>
      <c r="H11" s="28"/>
      <c r="I11" s="29"/>
      <c r="J11" s="27"/>
    </row>
    <row r="12" spans="1:10" x14ac:dyDescent="0.25">
      <c r="A12" s="53"/>
      <c r="B12" s="9"/>
      <c r="C12" s="9"/>
      <c r="D12" s="9"/>
      <c r="E12" s="20"/>
      <c r="F12" s="20"/>
      <c r="G12" s="12"/>
      <c r="H12" s="9"/>
      <c r="I12" s="29"/>
      <c r="J12" s="27"/>
    </row>
    <row r="13" spans="1:10" x14ac:dyDescent="0.25">
      <c r="A13" s="9"/>
      <c r="B13" s="10" t="s">
        <v>6</v>
      </c>
      <c r="C13" s="54"/>
      <c r="D13" s="54"/>
      <c r="E13" s="54"/>
      <c r="F13" s="55"/>
      <c r="G13" s="25">
        <f>SUM(G9:G12)</f>
        <v>1152.1499999999999</v>
      </c>
      <c r="H13" s="9"/>
      <c r="I13" s="27"/>
      <c r="J13" s="27"/>
    </row>
    <row r="14" spans="1:10" x14ac:dyDescent="0.25">
      <c r="A14" s="9" t="s">
        <v>8</v>
      </c>
      <c r="B14" s="9" t="s">
        <v>1</v>
      </c>
      <c r="C14" s="9" t="s">
        <v>2</v>
      </c>
      <c r="D14" s="9" t="s">
        <v>3</v>
      </c>
      <c r="E14" s="20" t="s">
        <v>99</v>
      </c>
      <c r="F14" s="20"/>
      <c r="G14" s="12" t="s">
        <v>4</v>
      </c>
      <c r="H14" s="9" t="s">
        <v>5</v>
      </c>
      <c r="I14" s="27"/>
      <c r="J14" s="27"/>
    </row>
    <row r="15" spans="1:10" x14ac:dyDescent="0.25">
      <c r="A15" s="51" t="s">
        <v>103</v>
      </c>
      <c r="B15" s="9" t="s">
        <v>26</v>
      </c>
      <c r="C15" s="9" t="s">
        <v>28</v>
      </c>
      <c r="D15" s="9">
        <v>99</v>
      </c>
      <c r="E15" s="20">
        <v>15</v>
      </c>
      <c r="F15" s="9" t="s">
        <v>102</v>
      </c>
      <c r="G15" s="12">
        <f>E15*D15</f>
        <v>1485</v>
      </c>
      <c r="H15" s="9"/>
      <c r="I15" s="27"/>
      <c r="J15" s="27"/>
    </row>
    <row r="16" spans="1:10" x14ac:dyDescent="0.25">
      <c r="A16" s="52"/>
      <c r="B16" s="9" t="s">
        <v>27</v>
      </c>
      <c r="C16" s="9" t="s">
        <v>29</v>
      </c>
      <c r="D16" s="9">
        <v>43.8</v>
      </c>
      <c r="E16" s="20">
        <v>25</v>
      </c>
      <c r="F16" s="9" t="s">
        <v>102</v>
      </c>
      <c r="G16" s="12">
        <f>E16*D16</f>
        <v>1095</v>
      </c>
      <c r="H16" s="9"/>
    </row>
    <row r="17" spans="1:8" x14ac:dyDescent="0.25">
      <c r="A17" s="52"/>
      <c r="B17" s="9"/>
      <c r="C17" s="9"/>
      <c r="D17" s="9"/>
      <c r="E17" s="20"/>
      <c r="F17" s="9"/>
      <c r="G17" s="12"/>
      <c r="H17" s="9"/>
    </row>
    <row r="18" spans="1:8" x14ac:dyDescent="0.25">
      <c r="A18" s="53"/>
      <c r="B18" s="26"/>
      <c r="C18" s="26"/>
      <c r="D18" s="26"/>
      <c r="E18" s="30"/>
      <c r="F18" s="30"/>
      <c r="G18" s="31"/>
      <c r="H18" s="9"/>
    </row>
    <row r="19" spans="1:8" x14ac:dyDescent="0.25">
      <c r="A19" s="9"/>
      <c r="B19" s="46" t="s">
        <v>6</v>
      </c>
      <c r="C19" s="47"/>
      <c r="D19" s="47"/>
      <c r="E19" s="47"/>
      <c r="F19" s="48"/>
      <c r="G19" s="32">
        <f>SUM(G15:G18)</f>
        <v>2580</v>
      </c>
      <c r="H19" s="9"/>
    </row>
    <row r="20" spans="1:8" x14ac:dyDescent="0.25">
      <c r="A20" s="6" t="s">
        <v>9</v>
      </c>
      <c r="B20" s="9" t="s">
        <v>1</v>
      </c>
      <c r="C20" s="9" t="s">
        <v>2</v>
      </c>
      <c r="D20" s="9" t="s">
        <v>3</v>
      </c>
      <c r="E20" s="9" t="s">
        <v>99</v>
      </c>
      <c r="F20" s="20"/>
      <c r="G20" s="12" t="s">
        <v>4</v>
      </c>
      <c r="H20" s="9" t="s">
        <v>5</v>
      </c>
    </row>
    <row r="21" spans="1:8" x14ac:dyDescent="0.25">
      <c r="A21" s="9"/>
      <c r="B21" s="9" t="s">
        <v>104</v>
      </c>
      <c r="C21" s="9"/>
      <c r="D21" s="9">
        <v>150</v>
      </c>
      <c r="E21" s="20">
        <v>2</v>
      </c>
      <c r="F21" s="9" t="s">
        <v>102</v>
      </c>
      <c r="G21" s="12">
        <f>D21*E21</f>
        <v>300</v>
      </c>
      <c r="H21" s="9"/>
    </row>
    <row r="22" spans="1:8" x14ac:dyDescent="0.25">
      <c r="A22" s="9"/>
      <c r="B22" s="9" t="s">
        <v>105</v>
      </c>
      <c r="C22" s="9"/>
      <c r="D22" s="9">
        <v>58.5</v>
      </c>
      <c r="E22" s="20">
        <v>0.5</v>
      </c>
      <c r="F22" s="9" t="s">
        <v>102</v>
      </c>
      <c r="G22" s="21">
        <f t="shared" ref="G22:G26" si="0">D22*E22</f>
        <v>29.25</v>
      </c>
      <c r="H22" s="9"/>
    </row>
    <row r="23" spans="1:8" x14ac:dyDescent="0.25">
      <c r="A23" s="9"/>
      <c r="B23" s="9" t="s">
        <v>106</v>
      </c>
      <c r="C23" s="9"/>
      <c r="D23" s="9">
        <v>132.6</v>
      </c>
      <c r="E23" s="20">
        <v>8</v>
      </c>
      <c r="F23" s="9" t="s">
        <v>102</v>
      </c>
      <c r="G23" s="21">
        <f t="shared" si="0"/>
        <v>1060.8</v>
      </c>
      <c r="H23" s="9"/>
    </row>
    <row r="24" spans="1:8" x14ac:dyDescent="0.25">
      <c r="A24" s="9"/>
      <c r="B24" s="9" t="s">
        <v>107</v>
      </c>
      <c r="C24" s="9"/>
      <c r="D24" s="9">
        <v>56.7</v>
      </c>
      <c r="E24" s="20">
        <v>4</v>
      </c>
      <c r="F24" s="9" t="s">
        <v>102</v>
      </c>
      <c r="G24" s="21">
        <f t="shared" si="0"/>
        <v>226.8</v>
      </c>
      <c r="H24" s="9"/>
    </row>
    <row r="25" spans="1:8" x14ac:dyDescent="0.25">
      <c r="A25" s="9"/>
      <c r="B25" s="10" t="s">
        <v>108</v>
      </c>
      <c r="C25" s="9"/>
      <c r="D25" s="9">
        <v>75</v>
      </c>
      <c r="E25" s="20">
        <v>4</v>
      </c>
      <c r="F25" s="9" t="s">
        <v>102</v>
      </c>
      <c r="G25" s="12">
        <f t="shared" si="0"/>
        <v>300</v>
      </c>
      <c r="H25" s="9"/>
    </row>
    <row r="26" spans="1:8" x14ac:dyDescent="0.25">
      <c r="A26" s="9"/>
      <c r="B26" s="9" t="s">
        <v>109</v>
      </c>
      <c r="C26" s="9"/>
      <c r="D26" s="9">
        <v>42</v>
      </c>
      <c r="E26" s="20">
        <v>20</v>
      </c>
      <c r="F26" s="9" t="s">
        <v>102</v>
      </c>
      <c r="G26" s="9">
        <f t="shared" si="0"/>
        <v>840</v>
      </c>
      <c r="H26" s="28"/>
    </row>
    <row r="27" spans="1:8" x14ac:dyDescent="0.25">
      <c r="A27" s="9"/>
      <c r="B27" s="9"/>
      <c r="C27" s="9"/>
      <c r="D27" s="9"/>
      <c r="E27" s="20"/>
      <c r="F27" s="9"/>
      <c r="G27" s="33"/>
      <c r="H27" s="28"/>
    </row>
    <row r="28" spans="1:8" x14ac:dyDescent="0.25">
      <c r="A28" s="9"/>
      <c r="B28" s="46" t="s">
        <v>6</v>
      </c>
      <c r="C28" s="47"/>
      <c r="D28" s="47"/>
      <c r="E28" s="47"/>
      <c r="F28" s="48"/>
      <c r="G28" s="25">
        <f>SUM(G21:G27)</f>
        <v>2756.85</v>
      </c>
      <c r="H28" s="9"/>
    </row>
    <row r="29" spans="1:8" x14ac:dyDescent="0.25">
      <c r="A29" s="9" t="s">
        <v>10</v>
      </c>
      <c r="B29" s="9" t="s">
        <v>1</v>
      </c>
      <c r="C29" s="9" t="s">
        <v>2</v>
      </c>
      <c r="D29" s="9" t="s">
        <v>3</v>
      </c>
      <c r="E29" s="9" t="s">
        <v>99</v>
      </c>
      <c r="F29" s="20"/>
      <c r="G29" s="12" t="s">
        <v>4</v>
      </c>
      <c r="H29" s="9" t="s">
        <v>5</v>
      </c>
    </row>
    <row r="30" spans="1:8" x14ac:dyDescent="0.25">
      <c r="A30" s="9"/>
      <c r="B30" s="9"/>
      <c r="C30" s="9"/>
      <c r="D30" s="9"/>
      <c r="E30" s="20"/>
      <c r="F30" s="20"/>
      <c r="G30" s="12"/>
      <c r="H30" s="9" t="s">
        <v>30</v>
      </c>
    </row>
    <row r="31" spans="1:8" x14ac:dyDescent="0.25">
      <c r="A31" s="9"/>
      <c r="B31" s="9"/>
      <c r="C31" s="9"/>
      <c r="D31" s="9"/>
      <c r="E31" s="20"/>
      <c r="F31" s="20"/>
      <c r="G31" s="12"/>
      <c r="H31" s="9"/>
    </row>
    <row r="32" spans="1:8" x14ac:dyDescent="0.25">
      <c r="A32" s="9"/>
      <c r="B32" s="10" t="s">
        <v>6</v>
      </c>
      <c r="C32" s="11"/>
      <c r="D32" s="12"/>
      <c r="E32" s="20"/>
      <c r="F32" s="20"/>
      <c r="G32" s="32"/>
      <c r="H32" s="9"/>
    </row>
    <row r="33" spans="1:8" x14ac:dyDescent="0.25">
      <c r="A33" s="9" t="s">
        <v>11</v>
      </c>
      <c r="B33" s="9" t="s">
        <v>1</v>
      </c>
      <c r="C33" s="9" t="s">
        <v>2</v>
      </c>
      <c r="D33" s="9" t="s">
        <v>3</v>
      </c>
      <c r="E33" s="9" t="s">
        <v>99</v>
      </c>
      <c r="F33" s="20"/>
      <c r="G33" s="12" t="s">
        <v>4</v>
      </c>
      <c r="H33" s="9" t="s">
        <v>5</v>
      </c>
    </row>
    <row r="34" spans="1:8" x14ac:dyDescent="0.25">
      <c r="A34" s="9"/>
      <c r="B34" s="9" t="s">
        <v>110</v>
      </c>
      <c r="C34" s="9"/>
      <c r="D34" s="9">
        <v>14.4</v>
      </c>
      <c r="E34" s="20">
        <v>65</v>
      </c>
      <c r="F34" s="20" t="s">
        <v>102</v>
      </c>
      <c r="G34" s="21">
        <f>E34*D34</f>
        <v>936</v>
      </c>
      <c r="H34" s="9"/>
    </row>
    <row r="35" spans="1:8" x14ac:dyDescent="0.25">
      <c r="A35" s="9"/>
      <c r="B35" s="9" t="s">
        <v>111</v>
      </c>
      <c r="C35" s="9"/>
      <c r="D35" s="9">
        <v>40</v>
      </c>
      <c r="E35" s="20">
        <v>66</v>
      </c>
      <c r="F35" s="20" t="s">
        <v>102</v>
      </c>
      <c r="G35" s="21">
        <f>E35*D35</f>
        <v>2640</v>
      </c>
      <c r="H35" s="9"/>
    </row>
    <row r="36" spans="1:8" x14ac:dyDescent="0.25">
      <c r="A36" s="9"/>
      <c r="B36" s="46" t="s">
        <v>6</v>
      </c>
      <c r="C36" s="47"/>
      <c r="D36" s="47"/>
      <c r="E36" s="47"/>
      <c r="F36" s="48"/>
      <c r="G36" s="25">
        <f>SUM(G34:G35)</f>
        <v>3576</v>
      </c>
      <c r="H36" s="7"/>
    </row>
    <row r="37" spans="1:8" x14ac:dyDescent="0.25">
      <c r="A37" s="8" t="s">
        <v>112</v>
      </c>
      <c r="B37" s="9" t="s">
        <v>1</v>
      </c>
      <c r="C37" s="9" t="s">
        <v>2</v>
      </c>
      <c r="D37" s="9" t="s">
        <v>3</v>
      </c>
      <c r="E37" s="9" t="s">
        <v>99</v>
      </c>
      <c r="F37" s="20"/>
      <c r="G37" s="12" t="s">
        <v>4</v>
      </c>
      <c r="H37" s="9"/>
    </row>
    <row r="38" spans="1:8" x14ac:dyDescent="0.25">
      <c r="A38" s="9"/>
      <c r="B38" s="9"/>
      <c r="C38" s="9"/>
      <c r="D38" s="9"/>
      <c r="E38" s="20"/>
      <c r="F38" s="20" t="s">
        <v>102</v>
      </c>
      <c r="G38" s="12">
        <f>E38*D38</f>
        <v>0</v>
      </c>
      <c r="H38" s="9"/>
    </row>
    <row r="39" spans="1:8" x14ac:dyDescent="0.25">
      <c r="A39" s="9"/>
      <c r="B39" s="9"/>
      <c r="C39" s="9"/>
      <c r="D39" s="9"/>
      <c r="E39" s="20"/>
      <c r="F39" s="20"/>
      <c r="G39" s="21">
        <f>E39*D39</f>
        <v>0</v>
      </c>
      <c r="H39" s="9"/>
    </row>
    <row r="40" spans="1:8" x14ac:dyDescent="0.25">
      <c r="A40" s="9"/>
      <c r="B40" s="9"/>
      <c r="C40" s="9"/>
      <c r="D40" s="9"/>
      <c r="E40" s="20"/>
      <c r="F40" s="20"/>
      <c r="G40" s="21">
        <f>E40*D40</f>
        <v>0</v>
      </c>
      <c r="H40" s="9"/>
    </row>
    <row r="41" spans="1:8" x14ac:dyDescent="0.25">
      <c r="A41" s="9"/>
      <c r="B41" s="9"/>
      <c r="C41" s="9"/>
      <c r="D41" s="9"/>
      <c r="E41" s="20"/>
      <c r="F41" s="20"/>
      <c r="G41" s="21">
        <f>E41*D41</f>
        <v>0</v>
      </c>
      <c r="H41" s="9"/>
    </row>
    <row r="42" spans="1:8" x14ac:dyDescent="0.25">
      <c r="A42" s="9"/>
      <c r="B42" s="10" t="s">
        <v>6</v>
      </c>
      <c r="C42" s="11"/>
      <c r="D42" s="12"/>
      <c r="E42" s="20"/>
      <c r="F42" s="20"/>
      <c r="G42" s="25">
        <f>SUM(G38:G41)</f>
        <v>0</v>
      </c>
      <c r="H42" s="9"/>
    </row>
    <row r="43" spans="1:8" x14ac:dyDescent="0.25">
      <c r="A43" s="9"/>
      <c r="B43" s="13" t="s">
        <v>13</v>
      </c>
      <c r="C43" s="14"/>
      <c r="D43" s="15"/>
      <c r="E43" s="20"/>
      <c r="F43" s="20"/>
      <c r="G43" s="34">
        <f>G36+G28+G19+G13+G7+G42+G32</f>
        <v>15585</v>
      </c>
      <c r="H43" s="9"/>
    </row>
  </sheetData>
  <mergeCells count="8">
    <mergeCell ref="B28:F28"/>
    <mergeCell ref="B36:F36"/>
    <mergeCell ref="A1:H1"/>
    <mergeCell ref="A3:A6"/>
    <mergeCell ref="A9:A12"/>
    <mergeCell ref="C13:F13"/>
    <mergeCell ref="A15:A18"/>
    <mergeCell ref="B19:F19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2" workbookViewId="0">
      <selection activeCell="E15" sqref="E1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61" t="s">
        <v>14</v>
      </c>
      <c r="B1" s="62"/>
      <c r="C1" s="62"/>
      <c r="D1" s="62"/>
      <c r="E1" s="62"/>
      <c r="F1" s="62"/>
      <c r="G1" s="62"/>
      <c r="H1" s="6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6" t="s">
        <v>99</v>
      </c>
      <c r="F2" s="16"/>
      <c r="G2" s="1" t="s">
        <v>4</v>
      </c>
      <c r="H2" s="1" t="s">
        <v>5</v>
      </c>
    </row>
    <row r="3" spans="1:11" x14ac:dyDescent="0.25">
      <c r="A3" s="56" t="s">
        <v>31</v>
      </c>
      <c r="B3" s="1" t="s">
        <v>49</v>
      </c>
      <c r="C3" s="1" t="s">
        <v>51</v>
      </c>
      <c r="D3" s="1">
        <v>400</v>
      </c>
      <c r="E3" s="16">
        <v>1</v>
      </c>
      <c r="F3" s="16" t="s">
        <v>117</v>
      </c>
      <c r="G3" s="1">
        <f>E3*D3</f>
        <v>400</v>
      </c>
      <c r="H3" s="22" t="s">
        <v>116</v>
      </c>
    </row>
    <row r="4" spans="1:11" x14ac:dyDescent="0.25">
      <c r="A4" s="56"/>
      <c r="B4" s="1" t="s">
        <v>50</v>
      </c>
      <c r="C4" s="1" t="s">
        <v>52</v>
      </c>
      <c r="D4" s="1">
        <v>99</v>
      </c>
      <c r="E4" s="16">
        <v>45</v>
      </c>
      <c r="F4" s="16" t="s">
        <v>115</v>
      </c>
      <c r="G4" s="16">
        <f>E4*D4</f>
        <v>4455</v>
      </c>
      <c r="H4" s="22" t="s">
        <v>122</v>
      </c>
    </row>
    <row r="5" spans="1:11" x14ac:dyDescent="0.25">
      <c r="A5" s="56"/>
      <c r="B5" s="1"/>
      <c r="C5" s="1"/>
      <c r="D5" s="1"/>
      <c r="E5" s="16"/>
      <c r="F5" s="16"/>
      <c r="G5" s="1"/>
      <c r="H5" s="1"/>
    </row>
    <row r="6" spans="1:11" x14ac:dyDescent="0.25">
      <c r="A6" s="56"/>
      <c r="B6" s="1"/>
      <c r="C6" s="1"/>
      <c r="D6" s="1"/>
      <c r="E6" s="17"/>
      <c r="F6" s="17"/>
      <c r="G6" s="2"/>
      <c r="H6" s="1"/>
    </row>
    <row r="7" spans="1:11" x14ac:dyDescent="0.25">
      <c r="A7" s="56"/>
      <c r="B7" s="57" t="s">
        <v>6</v>
      </c>
      <c r="C7" s="54"/>
      <c r="D7" s="55"/>
      <c r="E7" s="17"/>
      <c r="F7" s="17"/>
      <c r="G7" s="32">
        <f>SUM(G3:G6)</f>
        <v>4855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6" t="s">
        <v>99</v>
      </c>
      <c r="F8" s="16"/>
      <c r="G8" s="1" t="s">
        <v>4</v>
      </c>
      <c r="H8" s="1" t="s">
        <v>5</v>
      </c>
      <c r="K8" s="3"/>
    </row>
    <row r="9" spans="1:11" x14ac:dyDescent="0.25">
      <c r="A9" s="56" t="s">
        <v>32</v>
      </c>
      <c r="B9" s="1" t="s">
        <v>44</v>
      </c>
      <c r="C9" s="1" t="s">
        <v>47</v>
      </c>
      <c r="D9" s="1">
        <v>42</v>
      </c>
      <c r="E9" s="16">
        <v>20</v>
      </c>
      <c r="F9" s="16" t="s">
        <v>115</v>
      </c>
      <c r="G9" s="1">
        <f>E9*D9</f>
        <v>840</v>
      </c>
      <c r="H9" s="1"/>
      <c r="K9" s="4"/>
    </row>
    <row r="10" spans="1:11" x14ac:dyDescent="0.25">
      <c r="A10" s="56"/>
      <c r="B10" s="1" t="s">
        <v>45</v>
      </c>
      <c r="C10" s="1" t="s">
        <v>28</v>
      </c>
      <c r="D10" s="1">
        <v>48</v>
      </c>
      <c r="E10" s="16">
        <v>15</v>
      </c>
      <c r="F10" s="16" t="s">
        <v>115</v>
      </c>
      <c r="G10" s="16">
        <f t="shared" ref="G10:G11" si="0">E10*D10</f>
        <v>720</v>
      </c>
      <c r="H10" s="1"/>
      <c r="K10" s="4"/>
    </row>
    <row r="11" spans="1:11" x14ac:dyDescent="0.25">
      <c r="A11" s="56"/>
      <c r="B11" s="1" t="s">
        <v>46</v>
      </c>
      <c r="C11" s="1" t="s">
        <v>48</v>
      </c>
      <c r="D11" s="1">
        <v>27.54</v>
      </c>
      <c r="E11" s="16">
        <v>10</v>
      </c>
      <c r="F11" s="16" t="s">
        <v>115</v>
      </c>
      <c r="G11" s="33">
        <f t="shared" si="0"/>
        <v>275.39999999999998</v>
      </c>
      <c r="H11" s="1"/>
      <c r="K11" s="4"/>
    </row>
    <row r="12" spans="1:11" x14ac:dyDescent="0.25">
      <c r="A12" s="56"/>
      <c r="B12" s="1"/>
      <c r="C12" s="1"/>
      <c r="D12" s="1"/>
      <c r="E12" s="16"/>
      <c r="F12" s="16"/>
      <c r="G12" s="1"/>
      <c r="H12" s="1"/>
      <c r="K12" s="4"/>
    </row>
    <row r="13" spans="1:11" x14ac:dyDescent="0.25">
      <c r="A13" s="56"/>
      <c r="B13" s="1"/>
      <c r="C13" s="1"/>
      <c r="D13" s="1"/>
      <c r="E13" s="16"/>
      <c r="F13" s="16"/>
      <c r="G13" s="1"/>
      <c r="H13" s="1"/>
      <c r="K13" s="5"/>
    </row>
    <row r="14" spans="1:11" x14ac:dyDescent="0.25">
      <c r="A14" s="56"/>
      <c r="B14" s="57" t="s">
        <v>6</v>
      </c>
      <c r="C14" s="54"/>
      <c r="D14" s="55"/>
      <c r="E14" s="17"/>
      <c r="F14" s="17"/>
      <c r="G14" s="25">
        <f>SUM(G9:G13)</f>
        <v>1835.4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6" t="s">
        <v>99</v>
      </c>
      <c r="F15" s="16"/>
      <c r="G15" s="1" t="s">
        <v>4</v>
      </c>
      <c r="H15" s="1" t="s">
        <v>5</v>
      </c>
    </row>
    <row r="16" spans="1:11" x14ac:dyDescent="0.25">
      <c r="A16" s="56" t="s">
        <v>33</v>
      </c>
      <c r="B16" s="1" t="s">
        <v>38</v>
      </c>
      <c r="C16" s="1" t="s">
        <v>41</v>
      </c>
      <c r="D16" s="1">
        <v>70</v>
      </c>
      <c r="E16" s="16">
        <v>30</v>
      </c>
      <c r="F16" s="16" t="s">
        <v>118</v>
      </c>
      <c r="G16" s="1">
        <f>E16*D16</f>
        <v>2100</v>
      </c>
      <c r="H16" s="1"/>
    </row>
    <row r="17" spans="1:8" x14ac:dyDescent="0.25">
      <c r="A17" s="56"/>
      <c r="B17" s="1" t="s">
        <v>39</v>
      </c>
      <c r="C17" s="1" t="s">
        <v>42</v>
      </c>
      <c r="D17" s="1">
        <v>9.9</v>
      </c>
      <c r="E17" s="16">
        <v>2</v>
      </c>
      <c r="F17" s="16" t="s">
        <v>115</v>
      </c>
      <c r="G17" s="33">
        <f t="shared" ref="G17:G18" si="1">E17*D17</f>
        <v>19.8</v>
      </c>
      <c r="H17" s="1"/>
    </row>
    <row r="18" spans="1:8" x14ac:dyDescent="0.25">
      <c r="A18" s="56"/>
      <c r="B18" s="1" t="s">
        <v>40</v>
      </c>
      <c r="C18" s="1" t="s">
        <v>43</v>
      </c>
      <c r="D18" s="1">
        <v>85</v>
      </c>
      <c r="E18" s="16">
        <v>4</v>
      </c>
      <c r="F18" s="16" t="s">
        <v>115</v>
      </c>
      <c r="G18" s="16">
        <f t="shared" si="1"/>
        <v>340</v>
      </c>
      <c r="H18" s="1"/>
    </row>
    <row r="19" spans="1:8" x14ac:dyDescent="0.25">
      <c r="A19" s="56"/>
      <c r="B19" s="1"/>
      <c r="C19" s="1"/>
      <c r="D19" s="1"/>
      <c r="E19" s="17"/>
      <c r="F19" s="17"/>
      <c r="G19" s="2"/>
      <c r="H19" s="1"/>
    </row>
    <row r="20" spans="1:8" x14ac:dyDescent="0.25">
      <c r="A20" s="56"/>
      <c r="B20" s="57" t="s">
        <v>6</v>
      </c>
      <c r="C20" s="54"/>
      <c r="D20" s="55"/>
      <c r="E20" s="17"/>
      <c r="F20" s="17"/>
      <c r="G20" s="25">
        <f>SUM(G16:G19)</f>
        <v>2459.8000000000002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16" t="s">
        <v>99</v>
      </c>
      <c r="F21" s="16"/>
      <c r="G21" s="1" t="s">
        <v>4</v>
      </c>
      <c r="H21" s="1" t="s">
        <v>5</v>
      </c>
    </row>
    <row r="22" spans="1:8" x14ac:dyDescent="0.25">
      <c r="A22" s="56"/>
      <c r="B22" s="1" t="s">
        <v>119</v>
      </c>
      <c r="C22" s="1"/>
      <c r="D22" s="1">
        <v>55</v>
      </c>
      <c r="E22" s="16">
        <v>20</v>
      </c>
      <c r="F22" s="16" t="s">
        <v>115</v>
      </c>
      <c r="G22" s="1">
        <f>E22*D22</f>
        <v>1100</v>
      </c>
      <c r="H22" s="1"/>
    </row>
    <row r="23" spans="1:8" x14ac:dyDescent="0.25">
      <c r="A23" s="56"/>
      <c r="B23" s="1" t="s">
        <v>120</v>
      </c>
      <c r="C23" s="1"/>
      <c r="D23" s="1">
        <v>29.38</v>
      </c>
      <c r="E23" s="16">
        <v>100</v>
      </c>
      <c r="F23" s="16" t="s">
        <v>115</v>
      </c>
      <c r="G23" s="16">
        <f t="shared" ref="G23:G25" si="2">E23*D23</f>
        <v>2938</v>
      </c>
      <c r="H23" s="1"/>
    </row>
    <row r="24" spans="1:8" x14ac:dyDescent="0.25">
      <c r="A24" s="56"/>
      <c r="B24" s="1" t="s">
        <v>121</v>
      </c>
      <c r="C24" s="1"/>
      <c r="D24" s="1">
        <v>1188</v>
      </c>
      <c r="E24" s="16">
        <v>2</v>
      </c>
      <c r="F24" s="16" t="s">
        <v>117</v>
      </c>
      <c r="G24" s="16">
        <f t="shared" si="2"/>
        <v>2376</v>
      </c>
      <c r="H24" s="1"/>
    </row>
    <row r="25" spans="1:8" x14ac:dyDescent="0.25">
      <c r="A25" s="56"/>
      <c r="B25" s="1"/>
      <c r="C25" s="1"/>
      <c r="D25" s="1"/>
      <c r="E25" s="16"/>
      <c r="F25" s="16"/>
      <c r="G25" s="16">
        <f t="shared" si="2"/>
        <v>0</v>
      </c>
      <c r="H25" s="1"/>
    </row>
    <row r="26" spans="1:8" x14ac:dyDescent="0.25">
      <c r="A26" s="56"/>
      <c r="B26" s="57" t="s">
        <v>6</v>
      </c>
      <c r="C26" s="54"/>
      <c r="D26" s="55"/>
      <c r="E26" s="17"/>
      <c r="F26" s="17"/>
      <c r="G26" s="32">
        <f>SUM(G22:G25)</f>
        <v>6414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6" t="s">
        <v>99</v>
      </c>
      <c r="F27" s="16"/>
      <c r="G27" s="1" t="s">
        <v>4</v>
      </c>
      <c r="H27" s="1" t="s">
        <v>5</v>
      </c>
    </row>
    <row r="28" spans="1:8" x14ac:dyDescent="0.25">
      <c r="A28" s="56" t="s">
        <v>34</v>
      </c>
      <c r="B28" s="1" t="s">
        <v>35</v>
      </c>
      <c r="C28" s="1" t="s">
        <v>28</v>
      </c>
      <c r="D28" s="1">
        <v>11.22</v>
      </c>
      <c r="E28" s="16">
        <v>15</v>
      </c>
      <c r="F28" s="16" t="s">
        <v>115</v>
      </c>
      <c r="G28" s="33">
        <f>E28*D28</f>
        <v>168.3</v>
      </c>
      <c r="H28" s="1"/>
    </row>
    <row r="29" spans="1:8" x14ac:dyDescent="0.25">
      <c r="A29" s="56"/>
      <c r="B29" s="1" t="s">
        <v>36</v>
      </c>
      <c r="C29" s="1" t="s">
        <v>37</v>
      </c>
      <c r="D29" s="1">
        <v>63</v>
      </c>
      <c r="E29" s="16">
        <v>5</v>
      </c>
      <c r="F29" s="16" t="s">
        <v>115</v>
      </c>
      <c r="G29" s="33">
        <f>E29*D29</f>
        <v>315</v>
      </c>
      <c r="H29" s="1"/>
    </row>
    <row r="30" spans="1:8" x14ac:dyDescent="0.25">
      <c r="A30" s="56"/>
      <c r="B30" s="57" t="s">
        <v>6</v>
      </c>
      <c r="C30" s="54"/>
      <c r="D30" s="55"/>
      <c r="E30" s="17"/>
      <c r="F30" s="17"/>
      <c r="G30" s="25">
        <f>SUM(G28:G29)</f>
        <v>483.3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6" t="s">
        <v>99</v>
      </c>
      <c r="F31" s="17"/>
      <c r="G31" s="2" t="s">
        <v>4</v>
      </c>
      <c r="H31" s="1" t="s">
        <v>5</v>
      </c>
    </row>
    <row r="32" spans="1:8" x14ac:dyDescent="0.25">
      <c r="A32" s="51"/>
      <c r="B32" s="1" t="s">
        <v>113</v>
      </c>
      <c r="C32" s="1"/>
      <c r="D32" s="1">
        <v>24</v>
      </c>
      <c r="E32" s="16">
        <v>82.34</v>
      </c>
      <c r="F32" s="16" t="s">
        <v>115</v>
      </c>
      <c r="G32" s="33">
        <f>D32*E32</f>
        <v>1976.16</v>
      </c>
      <c r="H32" s="1"/>
    </row>
    <row r="33" spans="1:8" x14ac:dyDescent="0.25">
      <c r="A33" s="52"/>
      <c r="B33" s="1" t="s">
        <v>123</v>
      </c>
      <c r="C33" s="1"/>
      <c r="D33" s="1">
        <v>11.7</v>
      </c>
      <c r="E33" s="16">
        <v>65</v>
      </c>
      <c r="F33" s="16" t="s">
        <v>115</v>
      </c>
      <c r="G33" s="33">
        <f>D33*E33</f>
        <v>760.5</v>
      </c>
      <c r="H33" s="1"/>
    </row>
    <row r="34" spans="1:8" x14ac:dyDescent="0.25">
      <c r="A34" s="53"/>
      <c r="B34" s="57" t="s">
        <v>6</v>
      </c>
      <c r="C34" s="54"/>
      <c r="D34" s="55"/>
      <c r="E34" s="17"/>
      <c r="F34" s="17"/>
      <c r="G34" s="25">
        <f>SUM(G32:G33)</f>
        <v>2736.66</v>
      </c>
      <c r="H34" s="7"/>
    </row>
    <row r="35" spans="1:8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6" t="s">
        <v>99</v>
      </c>
      <c r="F35" s="16"/>
      <c r="G35" s="1" t="s">
        <v>4</v>
      </c>
      <c r="H35" s="1"/>
    </row>
    <row r="36" spans="1:8" x14ac:dyDescent="0.25">
      <c r="A36" s="56"/>
      <c r="B36" s="1" t="s">
        <v>124</v>
      </c>
      <c r="C36" s="1"/>
      <c r="D36" s="1">
        <v>19.8</v>
      </c>
      <c r="E36" s="16">
        <v>3</v>
      </c>
      <c r="F36" s="16" t="s">
        <v>115</v>
      </c>
      <c r="G36" s="33">
        <f>E36*D36</f>
        <v>59.400000000000006</v>
      </c>
      <c r="H36" s="1"/>
    </row>
    <row r="37" spans="1:8" x14ac:dyDescent="0.25">
      <c r="A37" s="56"/>
      <c r="B37" s="1"/>
      <c r="C37" s="1"/>
      <c r="D37" s="1"/>
      <c r="E37" s="16"/>
      <c r="F37" s="16"/>
      <c r="G37" s="1"/>
      <c r="H37" s="1"/>
    </row>
    <row r="38" spans="1:8" x14ac:dyDescent="0.25">
      <c r="A38" s="56"/>
      <c r="B38" s="1"/>
      <c r="C38" s="1"/>
      <c r="D38" s="1"/>
      <c r="E38" s="16"/>
      <c r="F38" s="16"/>
      <c r="G38" s="1"/>
      <c r="H38" s="1"/>
    </row>
    <row r="39" spans="1:8" x14ac:dyDescent="0.25">
      <c r="A39" s="56"/>
      <c r="B39" s="1"/>
      <c r="C39" s="1"/>
      <c r="D39" s="1"/>
      <c r="E39" s="16"/>
      <c r="F39" s="16"/>
      <c r="G39" s="1"/>
      <c r="H39" s="1"/>
    </row>
    <row r="40" spans="1:8" x14ac:dyDescent="0.25">
      <c r="A40" s="56"/>
      <c r="B40" s="57" t="s">
        <v>6</v>
      </c>
      <c r="C40" s="54"/>
      <c r="D40" s="55"/>
      <c r="E40" s="17"/>
      <c r="F40" s="17"/>
      <c r="G40" s="25">
        <f>SUM(G36:G39)</f>
        <v>59.400000000000006</v>
      </c>
      <c r="H40" s="1"/>
    </row>
    <row r="41" spans="1:8" x14ac:dyDescent="0.25">
      <c r="A41" s="1"/>
      <c r="B41" s="58" t="s">
        <v>13</v>
      </c>
      <c r="C41" s="59"/>
      <c r="D41" s="60"/>
      <c r="E41" s="18"/>
      <c r="F41" s="18"/>
      <c r="G41" s="34">
        <f>G40+G34+G30++G20+G14++G7+G26</f>
        <v>18843.559999999998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24" workbookViewId="0">
      <selection activeCell="E31" sqref="E31:F3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61" t="s">
        <v>15</v>
      </c>
      <c r="B1" s="62"/>
      <c r="C1" s="62"/>
      <c r="D1" s="62"/>
      <c r="E1" s="62"/>
      <c r="F1" s="62"/>
      <c r="G1" s="62"/>
      <c r="H1" s="6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6" t="s">
        <v>99</v>
      </c>
      <c r="F2" s="16"/>
      <c r="G2" s="1" t="s">
        <v>4</v>
      </c>
      <c r="H2" s="1" t="s">
        <v>5</v>
      </c>
    </row>
    <row r="3" spans="1:11" x14ac:dyDescent="0.25">
      <c r="A3" s="56"/>
      <c r="B3" s="1"/>
      <c r="C3" s="1"/>
      <c r="D3" s="1"/>
      <c r="E3" s="16"/>
      <c r="F3" s="16"/>
      <c r="G3" s="1"/>
      <c r="H3" s="1"/>
    </row>
    <row r="4" spans="1:11" x14ac:dyDescent="0.25">
      <c r="A4" s="56"/>
      <c r="B4" s="1"/>
      <c r="C4" s="1"/>
      <c r="D4" s="1"/>
      <c r="E4" s="16"/>
      <c r="F4" s="16"/>
      <c r="G4" s="1"/>
      <c r="H4" s="1"/>
    </row>
    <row r="5" spans="1:11" x14ac:dyDescent="0.25">
      <c r="A5" s="56"/>
      <c r="B5" s="1"/>
      <c r="C5" s="1"/>
      <c r="D5" s="1"/>
      <c r="E5" s="16"/>
      <c r="F5" s="16"/>
      <c r="G5" s="1"/>
      <c r="H5" s="1"/>
    </row>
    <row r="6" spans="1:11" x14ac:dyDescent="0.25">
      <c r="A6" s="56"/>
      <c r="B6" s="1"/>
      <c r="C6" s="1"/>
      <c r="D6" s="1"/>
      <c r="E6" s="17"/>
      <c r="F6" s="17"/>
      <c r="G6" s="2"/>
      <c r="H6" s="1"/>
    </row>
    <row r="7" spans="1:11" x14ac:dyDescent="0.25">
      <c r="A7" s="56"/>
      <c r="B7" s="57" t="s">
        <v>6</v>
      </c>
      <c r="C7" s="54"/>
      <c r="D7" s="55"/>
      <c r="E7" s="17"/>
      <c r="F7" s="17"/>
      <c r="G7" s="2"/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6" t="s">
        <v>99</v>
      </c>
      <c r="F8" s="16"/>
      <c r="G8" s="1" t="s">
        <v>4</v>
      </c>
      <c r="H8" s="1" t="s">
        <v>5</v>
      </c>
      <c r="K8" s="3"/>
    </row>
    <row r="9" spans="1:11" x14ac:dyDescent="0.25">
      <c r="A9" s="56" t="s">
        <v>53</v>
      </c>
      <c r="B9" s="1" t="s">
        <v>55</v>
      </c>
      <c r="C9" s="1" t="s">
        <v>56</v>
      </c>
      <c r="D9" s="1">
        <v>150</v>
      </c>
      <c r="E9" s="16">
        <v>30</v>
      </c>
      <c r="F9" s="16" t="s">
        <v>114</v>
      </c>
      <c r="G9" s="33">
        <f>E9*D9</f>
        <v>4500</v>
      </c>
      <c r="H9" s="22" t="s">
        <v>129</v>
      </c>
      <c r="K9" s="4"/>
    </row>
    <row r="10" spans="1:11" x14ac:dyDescent="0.25">
      <c r="A10" s="56"/>
      <c r="B10" s="1" t="s">
        <v>46</v>
      </c>
      <c r="C10" s="1" t="s">
        <v>48</v>
      </c>
      <c r="D10" s="1">
        <v>27.54</v>
      </c>
      <c r="E10" s="16">
        <v>10</v>
      </c>
      <c r="F10" s="16" t="s">
        <v>114</v>
      </c>
      <c r="G10" s="33">
        <f>E10*D10</f>
        <v>275.39999999999998</v>
      </c>
      <c r="H10" s="1"/>
      <c r="K10" s="4"/>
    </row>
    <row r="11" spans="1:11" x14ac:dyDescent="0.25">
      <c r="A11" s="56"/>
      <c r="B11" s="1"/>
      <c r="C11" s="1"/>
      <c r="D11" s="1"/>
      <c r="E11" s="16"/>
      <c r="F11" s="16"/>
      <c r="G11" s="1"/>
      <c r="H11" s="1"/>
      <c r="K11" s="4"/>
    </row>
    <row r="12" spans="1:11" x14ac:dyDescent="0.25">
      <c r="A12" s="56"/>
      <c r="B12" s="1"/>
      <c r="C12" s="1"/>
      <c r="D12" s="1"/>
      <c r="E12" s="16"/>
      <c r="F12" s="16"/>
      <c r="G12" s="1"/>
      <c r="H12" s="1"/>
      <c r="K12" s="4"/>
    </row>
    <row r="13" spans="1:11" x14ac:dyDescent="0.25">
      <c r="A13" s="56"/>
      <c r="B13" s="1"/>
      <c r="C13" s="1"/>
      <c r="D13" s="1"/>
      <c r="E13" s="16"/>
      <c r="F13" s="16"/>
      <c r="G13" s="1"/>
      <c r="H13" s="1"/>
      <c r="K13" s="5"/>
    </row>
    <row r="14" spans="1:11" x14ac:dyDescent="0.25">
      <c r="A14" s="56"/>
      <c r="B14" s="57" t="s">
        <v>6</v>
      </c>
      <c r="C14" s="54"/>
      <c r="D14" s="55"/>
      <c r="E14" s="17"/>
      <c r="F14" s="17"/>
      <c r="G14" s="25">
        <f>SUM(G9:G13)</f>
        <v>4775.3999999999996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6" t="s">
        <v>99</v>
      </c>
      <c r="F15" s="16"/>
      <c r="G15" s="1" t="s">
        <v>4</v>
      </c>
      <c r="H15" s="1" t="s">
        <v>5</v>
      </c>
    </row>
    <row r="16" spans="1:11" x14ac:dyDescent="0.25">
      <c r="A16" s="56" t="s">
        <v>54</v>
      </c>
      <c r="B16" s="1" t="s">
        <v>57</v>
      </c>
      <c r="C16" s="1" t="s">
        <v>29</v>
      </c>
      <c r="D16" s="1">
        <v>41.4</v>
      </c>
      <c r="E16" s="16">
        <v>25</v>
      </c>
      <c r="F16" s="16" t="s">
        <v>114</v>
      </c>
      <c r="G16" s="1">
        <f>E16*D16</f>
        <v>1035</v>
      </c>
      <c r="H16" s="1"/>
    </row>
    <row r="17" spans="1:8" x14ac:dyDescent="0.25">
      <c r="A17" s="56"/>
      <c r="B17" s="1" t="s">
        <v>58</v>
      </c>
      <c r="C17" s="1" t="s">
        <v>28</v>
      </c>
      <c r="D17" s="1">
        <v>96</v>
      </c>
      <c r="E17" s="16">
        <v>15</v>
      </c>
      <c r="F17" s="16" t="s">
        <v>114</v>
      </c>
      <c r="G17" s="16">
        <f>E17*D17</f>
        <v>1440</v>
      </c>
      <c r="H17" s="1"/>
    </row>
    <row r="18" spans="1:8" x14ac:dyDescent="0.25">
      <c r="A18" s="56"/>
      <c r="B18" s="1"/>
      <c r="C18" s="1"/>
      <c r="D18" s="1"/>
      <c r="E18" s="16"/>
      <c r="F18" s="16"/>
      <c r="G18" s="1"/>
      <c r="H18" s="1"/>
    </row>
    <row r="19" spans="1:8" x14ac:dyDescent="0.25">
      <c r="A19" s="56"/>
      <c r="B19" s="1"/>
      <c r="C19" s="1"/>
      <c r="D19" s="1"/>
      <c r="E19" s="17"/>
      <c r="F19" s="17"/>
      <c r="G19" s="2"/>
      <c r="H19" s="1"/>
    </row>
    <row r="20" spans="1:8" x14ac:dyDescent="0.25">
      <c r="A20" s="56"/>
      <c r="B20" s="57" t="s">
        <v>6</v>
      </c>
      <c r="C20" s="54"/>
      <c r="D20" s="55"/>
      <c r="E20" s="17"/>
      <c r="F20" s="17"/>
      <c r="G20" s="32">
        <f>SUM(G16:G19)</f>
        <v>2475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16" t="s">
        <v>99</v>
      </c>
      <c r="F21" s="16"/>
      <c r="G21" s="1" t="s">
        <v>4</v>
      </c>
      <c r="H21" s="1" t="s">
        <v>5</v>
      </c>
    </row>
    <row r="22" spans="1:8" x14ac:dyDescent="0.25">
      <c r="A22" s="56"/>
      <c r="B22" s="1" t="s">
        <v>127</v>
      </c>
      <c r="C22" s="1"/>
      <c r="D22" s="1">
        <v>125</v>
      </c>
      <c r="E22" s="16">
        <v>12</v>
      </c>
      <c r="F22" s="16" t="s">
        <v>118</v>
      </c>
      <c r="G22" s="1">
        <f>E22*D22</f>
        <v>1500</v>
      </c>
      <c r="H22" s="1"/>
    </row>
    <row r="23" spans="1:8" x14ac:dyDescent="0.25">
      <c r="A23" s="56"/>
      <c r="B23" s="1"/>
      <c r="C23" s="1"/>
      <c r="D23" s="1"/>
      <c r="E23" s="16"/>
      <c r="F23" s="16"/>
      <c r="G23" s="1"/>
      <c r="H23" s="1"/>
    </row>
    <row r="24" spans="1:8" x14ac:dyDescent="0.25">
      <c r="A24" s="56"/>
      <c r="B24" s="1"/>
      <c r="C24" s="1"/>
      <c r="D24" s="1"/>
      <c r="E24" s="16"/>
      <c r="F24" s="16"/>
      <c r="G24" s="1"/>
      <c r="H24" s="1"/>
    </row>
    <row r="25" spans="1:8" x14ac:dyDescent="0.25">
      <c r="A25" s="56"/>
      <c r="B25" s="1"/>
      <c r="C25" s="1"/>
      <c r="D25" s="1"/>
      <c r="E25" s="16"/>
      <c r="F25" s="16"/>
      <c r="G25" s="1"/>
      <c r="H25" s="1"/>
    </row>
    <row r="26" spans="1:8" x14ac:dyDescent="0.25">
      <c r="A26" s="56"/>
      <c r="B26" s="57" t="s">
        <v>6</v>
      </c>
      <c r="C26" s="54"/>
      <c r="D26" s="55"/>
      <c r="E26" s="17"/>
      <c r="F26" s="17"/>
      <c r="G26" s="32">
        <f>SUM(G22:G25)</f>
        <v>1500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6" t="s">
        <v>99</v>
      </c>
      <c r="F27" s="16"/>
      <c r="G27" s="1" t="s">
        <v>4</v>
      </c>
      <c r="H27" s="1" t="s">
        <v>5</v>
      </c>
    </row>
    <row r="28" spans="1:8" x14ac:dyDescent="0.25">
      <c r="A28" s="56" t="s">
        <v>59</v>
      </c>
      <c r="B28" s="1" t="s">
        <v>60</v>
      </c>
      <c r="C28" s="1"/>
      <c r="D28" s="1"/>
      <c r="E28" s="16"/>
      <c r="F28" s="16"/>
      <c r="G28" s="1"/>
      <c r="H28" s="1" t="s">
        <v>30</v>
      </c>
    </row>
    <row r="29" spans="1:8" x14ac:dyDescent="0.25">
      <c r="A29" s="56"/>
      <c r="B29" s="1" t="s">
        <v>61</v>
      </c>
      <c r="C29" s="1" t="s">
        <v>62</v>
      </c>
      <c r="D29" s="1">
        <v>150</v>
      </c>
      <c r="E29" s="16">
        <v>3</v>
      </c>
      <c r="F29" s="16" t="s">
        <v>125</v>
      </c>
      <c r="G29" s="1">
        <f>E29*D29</f>
        <v>450</v>
      </c>
      <c r="H29" s="1"/>
    </row>
    <row r="30" spans="1:8" x14ac:dyDescent="0.25">
      <c r="A30" s="56"/>
      <c r="B30" s="57" t="s">
        <v>6</v>
      </c>
      <c r="C30" s="54"/>
      <c r="D30" s="55"/>
      <c r="E30" s="17"/>
      <c r="F30" s="17"/>
      <c r="G30" s="32">
        <f>SUM(G29)</f>
        <v>450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6" t="s">
        <v>99</v>
      </c>
      <c r="F31" s="17"/>
      <c r="G31" s="2" t="s">
        <v>4</v>
      </c>
      <c r="H31" s="1" t="s">
        <v>5</v>
      </c>
    </row>
    <row r="32" spans="1:8" x14ac:dyDescent="0.25">
      <c r="A32" s="51"/>
      <c r="B32" s="1" t="s">
        <v>126</v>
      </c>
      <c r="C32" s="1"/>
      <c r="D32" s="1">
        <v>11.7</v>
      </c>
      <c r="E32" s="16">
        <v>65</v>
      </c>
      <c r="F32" s="16" t="s">
        <v>115</v>
      </c>
      <c r="G32" s="33">
        <f>E32*D32</f>
        <v>760.5</v>
      </c>
      <c r="H32" s="1"/>
    </row>
    <row r="33" spans="1:8" x14ac:dyDescent="0.25">
      <c r="A33" s="52"/>
      <c r="B33" s="1" t="s">
        <v>130</v>
      </c>
      <c r="C33" s="1"/>
      <c r="D33" s="1">
        <v>18.239999999999998</v>
      </c>
      <c r="E33" s="16">
        <v>75</v>
      </c>
      <c r="F33" s="35" t="s">
        <v>102</v>
      </c>
      <c r="G33" s="33">
        <f>E33*D33</f>
        <v>1367.9999999999998</v>
      </c>
      <c r="H33" s="1"/>
    </row>
    <row r="34" spans="1:8" x14ac:dyDescent="0.25">
      <c r="A34" s="53"/>
      <c r="B34" s="57" t="s">
        <v>6</v>
      </c>
      <c r="C34" s="54"/>
      <c r="D34" s="55"/>
      <c r="E34" s="17"/>
      <c r="F34" s="17"/>
      <c r="G34" s="25">
        <f>SUM(G32:G33)</f>
        <v>2128.5</v>
      </c>
      <c r="H34" s="7"/>
    </row>
    <row r="35" spans="1:8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6" t="s">
        <v>99</v>
      </c>
      <c r="F35" s="16"/>
      <c r="G35" s="1" t="s">
        <v>4</v>
      </c>
      <c r="H35" s="1"/>
    </row>
    <row r="36" spans="1:8" x14ac:dyDescent="0.25">
      <c r="A36" s="56" t="s">
        <v>63</v>
      </c>
      <c r="B36" s="1" t="s">
        <v>63</v>
      </c>
      <c r="C36" s="1" t="s">
        <v>66</v>
      </c>
      <c r="D36" s="1">
        <v>21</v>
      </c>
      <c r="E36" s="16">
        <v>60</v>
      </c>
      <c r="F36" s="16" t="s">
        <v>114</v>
      </c>
      <c r="G36" s="1">
        <f>E36*D36</f>
        <v>1260</v>
      </c>
      <c r="H36" s="1"/>
    </row>
    <row r="37" spans="1:8" x14ac:dyDescent="0.25">
      <c r="A37" s="56"/>
      <c r="B37" s="1" t="s">
        <v>64</v>
      </c>
      <c r="C37" s="1" t="s">
        <v>67</v>
      </c>
      <c r="D37" s="1">
        <v>360</v>
      </c>
      <c r="E37" s="16">
        <v>3</v>
      </c>
      <c r="F37" s="16" t="s">
        <v>117</v>
      </c>
      <c r="G37" s="16">
        <f t="shared" ref="G37:G39" si="0">E37*D37</f>
        <v>1080</v>
      </c>
      <c r="H37" s="22" t="s">
        <v>129</v>
      </c>
    </row>
    <row r="38" spans="1:8" x14ac:dyDescent="0.25">
      <c r="A38" s="56"/>
      <c r="B38" s="1" t="s">
        <v>65</v>
      </c>
      <c r="C38" s="1" t="s">
        <v>68</v>
      </c>
      <c r="D38" s="1">
        <v>225</v>
      </c>
      <c r="E38" s="16">
        <v>2</v>
      </c>
      <c r="F38" s="16" t="s">
        <v>128</v>
      </c>
      <c r="G38" s="16">
        <f t="shared" si="0"/>
        <v>450</v>
      </c>
      <c r="H38" s="22" t="s">
        <v>129</v>
      </c>
    </row>
    <row r="39" spans="1:8" x14ac:dyDescent="0.25">
      <c r="A39" s="56"/>
      <c r="B39" s="1" t="s">
        <v>57</v>
      </c>
      <c r="C39" s="1" t="s">
        <v>48</v>
      </c>
      <c r="D39" s="1">
        <v>41.4</v>
      </c>
      <c r="E39" s="16">
        <v>10</v>
      </c>
      <c r="F39" s="16" t="s">
        <v>114</v>
      </c>
      <c r="G39" s="16">
        <f t="shared" si="0"/>
        <v>414</v>
      </c>
      <c r="H39" s="1"/>
    </row>
    <row r="40" spans="1:8" x14ac:dyDescent="0.25">
      <c r="A40" s="56"/>
      <c r="B40" s="57" t="s">
        <v>6</v>
      </c>
      <c r="C40" s="54"/>
      <c r="D40" s="55"/>
      <c r="E40" s="17"/>
      <c r="F40" s="17"/>
      <c r="G40" s="32">
        <f>SUM(G36:G39)</f>
        <v>3204</v>
      </c>
      <c r="H40" s="1"/>
    </row>
    <row r="41" spans="1:8" x14ac:dyDescent="0.25">
      <c r="A41" s="1"/>
      <c r="B41" s="58" t="s">
        <v>13</v>
      </c>
      <c r="C41" s="59"/>
      <c r="D41" s="60"/>
      <c r="E41" s="18"/>
      <c r="F41" s="18"/>
      <c r="G41" s="36">
        <f>G40+G34+G26+G20+G14+G30</f>
        <v>14532.9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10" workbookViewId="0">
      <selection activeCell="E2" sqref="E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61" t="s">
        <v>16</v>
      </c>
      <c r="B1" s="62"/>
      <c r="C1" s="62"/>
      <c r="D1" s="62"/>
      <c r="E1" s="62"/>
      <c r="F1" s="62"/>
      <c r="G1" s="62"/>
      <c r="H1" s="6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38" t="s">
        <v>99</v>
      </c>
      <c r="F2" s="37"/>
      <c r="G2" s="1" t="s">
        <v>4</v>
      </c>
      <c r="H2" s="1" t="s">
        <v>5</v>
      </c>
    </row>
    <row r="3" spans="1:11" x14ac:dyDescent="0.25">
      <c r="A3" s="56" t="s">
        <v>69</v>
      </c>
      <c r="B3" s="1" t="s">
        <v>76</v>
      </c>
      <c r="C3" s="1" t="s">
        <v>77</v>
      </c>
      <c r="D3" s="1">
        <v>87</v>
      </c>
      <c r="E3" s="38">
        <v>70</v>
      </c>
      <c r="F3" s="38" t="s">
        <v>132</v>
      </c>
      <c r="G3" s="1">
        <f>E3*D3</f>
        <v>6090</v>
      </c>
      <c r="H3" s="1"/>
    </row>
    <row r="4" spans="1:11" x14ac:dyDescent="0.25">
      <c r="A4" s="56"/>
      <c r="B4" s="1" t="s">
        <v>74</v>
      </c>
      <c r="C4" s="1" t="s">
        <v>78</v>
      </c>
      <c r="D4" s="1">
        <v>14.4</v>
      </c>
      <c r="E4" s="38">
        <v>6.67</v>
      </c>
      <c r="F4" s="38" t="s">
        <v>132</v>
      </c>
      <c r="G4" s="33">
        <f t="shared" ref="G4:G5" si="0">E4*D4</f>
        <v>96.048000000000002</v>
      </c>
      <c r="H4" s="1"/>
    </row>
    <row r="5" spans="1:11" x14ac:dyDescent="0.25">
      <c r="A5" s="56"/>
      <c r="B5" s="1" t="s">
        <v>39</v>
      </c>
      <c r="C5" s="1" t="s">
        <v>79</v>
      </c>
      <c r="D5" s="1">
        <v>9.9</v>
      </c>
      <c r="E5" s="38">
        <v>8</v>
      </c>
      <c r="F5" s="38" t="s">
        <v>132</v>
      </c>
      <c r="G5" s="33">
        <f t="shared" si="0"/>
        <v>79.2</v>
      </c>
      <c r="H5" s="1"/>
    </row>
    <row r="6" spans="1:11" x14ac:dyDescent="0.25">
      <c r="A6" s="56"/>
      <c r="B6" s="1"/>
      <c r="C6" s="1"/>
      <c r="D6" s="1"/>
      <c r="E6" s="37"/>
      <c r="F6" s="37"/>
      <c r="G6" s="2"/>
      <c r="H6" s="1"/>
    </row>
    <row r="7" spans="1:11" x14ac:dyDescent="0.25">
      <c r="A7" s="56"/>
      <c r="B7" s="57" t="s">
        <v>6</v>
      </c>
      <c r="C7" s="54"/>
      <c r="D7" s="55"/>
      <c r="E7" s="37"/>
      <c r="F7" s="37"/>
      <c r="G7" s="25">
        <f>SUM(G3:G6)</f>
        <v>6265.2479999999996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38" t="s">
        <v>99</v>
      </c>
      <c r="F8" s="37"/>
      <c r="G8" s="1" t="s">
        <v>4</v>
      </c>
      <c r="H8" s="1" t="s">
        <v>5</v>
      </c>
      <c r="K8" s="3"/>
    </row>
    <row r="9" spans="1:11" x14ac:dyDescent="0.25">
      <c r="A9" s="56" t="s">
        <v>70</v>
      </c>
      <c r="B9" s="1" t="s">
        <v>80</v>
      </c>
      <c r="C9" s="1" t="s">
        <v>56</v>
      </c>
      <c r="D9" s="1">
        <v>58.8</v>
      </c>
      <c r="E9" s="38">
        <v>30</v>
      </c>
      <c r="F9" s="38" t="s">
        <v>132</v>
      </c>
      <c r="G9" s="38">
        <f>E9*D9</f>
        <v>1764</v>
      </c>
      <c r="H9" s="1"/>
      <c r="K9" s="4"/>
    </row>
    <row r="10" spans="1:11" x14ac:dyDescent="0.25">
      <c r="A10" s="56"/>
      <c r="B10" s="1" t="s">
        <v>81</v>
      </c>
      <c r="C10" s="1" t="s">
        <v>78</v>
      </c>
      <c r="D10" s="1">
        <v>135</v>
      </c>
      <c r="E10" s="38">
        <v>6</v>
      </c>
      <c r="F10" s="38" t="s">
        <v>132</v>
      </c>
      <c r="G10" s="1">
        <f>E10*D10</f>
        <v>810</v>
      </c>
      <c r="H10" s="1"/>
      <c r="K10" s="4"/>
    </row>
    <row r="11" spans="1:11" x14ac:dyDescent="0.25">
      <c r="A11" s="56"/>
      <c r="B11" s="1" t="s">
        <v>82</v>
      </c>
      <c r="C11" s="1" t="s">
        <v>37</v>
      </c>
      <c r="D11" s="1">
        <v>162</v>
      </c>
      <c r="E11" s="38">
        <v>5</v>
      </c>
      <c r="F11" s="38" t="s">
        <v>132</v>
      </c>
      <c r="G11" s="38">
        <f>E11*D11</f>
        <v>810</v>
      </c>
      <c r="H11" s="1"/>
      <c r="K11" s="4"/>
    </row>
    <row r="12" spans="1:11" x14ac:dyDescent="0.25">
      <c r="A12" s="56"/>
      <c r="B12" s="1"/>
      <c r="C12" s="1"/>
      <c r="D12" s="1"/>
      <c r="E12" s="38"/>
      <c r="F12" s="38"/>
      <c r="G12" s="1"/>
      <c r="H12" s="1"/>
      <c r="K12" s="4"/>
    </row>
    <row r="13" spans="1:11" x14ac:dyDescent="0.25">
      <c r="A13" s="56"/>
      <c r="B13" s="1"/>
      <c r="C13" s="1"/>
      <c r="D13" s="1"/>
      <c r="E13" s="38"/>
      <c r="F13" s="38"/>
      <c r="G13" s="1"/>
      <c r="H13" s="1"/>
      <c r="K13" s="5"/>
    </row>
    <row r="14" spans="1:11" x14ac:dyDescent="0.25">
      <c r="A14" s="56"/>
      <c r="B14" s="57" t="s">
        <v>6</v>
      </c>
      <c r="C14" s="54"/>
      <c r="D14" s="55"/>
      <c r="E14" s="37"/>
      <c r="F14" s="37"/>
      <c r="G14" s="32">
        <f>SUM(G9:G13)</f>
        <v>3384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38" t="s">
        <v>99</v>
      </c>
      <c r="F15" s="37"/>
      <c r="G15" s="1" t="s">
        <v>4</v>
      </c>
      <c r="H15" s="1" t="s">
        <v>5</v>
      </c>
    </row>
    <row r="16" spans="1:11" x14ac:dyDescent="0.25">
      <c r="A16" s="56" t="s">
        <v>71</v>
      </c>
      <c r="B16" s="1" t="s">
        <v>83</v>
      </c>
      <c r="C16" s="1" t="s">
        <v>84</v>
      </c>
      <c r="D16" s="1">
        <v>50</v>
      </c>
      <c r="E16" s="38">
        <v>35</v>
      </c>
      <c r="F16" s="38" t="s">
        <v>132</v>
      </c>
      <c r="G16" s="1">
        <f>E16*D16</f>
        <v>1750</v>
      </c>
      <c r="H16" s="1"/>
    </row>
    <row r="17" spans="1:8" x14ac:dyDescent="0.25">
      <c r="A17" s="56"/>
      <c r="B17" s="1"/>
      <c r="C17" s="1"/>
      <c r="D17" s="1"/>
      <c r="E17" s="38"/>
      <c r="F17" s="38"/>
      <c r="G17" s="1"/>
      <c r="H17" s="1"/>
    </row>
    <row r="18" spans="1:8" x14ac:dyDescent="0.25">
      <c r="A18" s="56"/>
      <c r="B18" s="1"/>
      <c r="C18" s="1"/>
      <c r="D18" s="1"/>
      <c r="E18" s="38"/>
      <c r="F18" s="38"/>
      <c r="G18" s="1"/>
      <c r="H18" s="1"/>
    </row>
    <row r="19" spans="1:8" x14ac:dyDescent="0.25">
      <c r="A19" s="56"/>
      <c r="B19" s="1"/>
      <c r="C19" s="1"/>
      <c r="D19" s="1"/>
      <c r="E19" s="37"/>
      <c r="F19" s="37"/>
      <c r="G19" s="2"/>
      <c r="H19" s="1"/>
    </row>
    <row r="20" spans="1:8" x14ac:dyDescent="0.25">
      <c r="A20" s="56"/>
      <c r="B20" s="57" t="s">
        <v>6</v>
      </c>
      <c r="C20" s="54"/>
      <c r="D20" s="55"/>
      <c r="E20" s="37"/>
      <c r="F20" s="37"/>
      <c r="G20" s="32">
        <f>SUM(G16:G19)</f>
        <v>1750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38" t="s">
        <v>99</v>
      </c>
      <c r="F21" s="37"/>
      <c r="G21" s="1" t="s">
        <v>4</v>
      </c>
      <c r="H21" s="1" t="s">
        <v>5</v>
      </c>
    </row>
    <row r="22" spans="1:8" x14ac:dyDescent="0.25">
      <c r="A22" s="56"/>
      <c r="B22" s="1" t="s">
        <v>134</v>
      </c>
      <c r="C22" s="1"/>
      <c r="D22" s="1">
        <v>148.19999999999999</v>
      </c>
      <c r="E22" s="38">
        <v>1.5</v>
      </c>
      <c r="F22" s="38" t="s">
        <v>132</v>
      </c>
      <c r="G22" s="33">
        <f>E22*D22</f>
        <v>222.29999999999998</v>
      </c>
      <c r="H22" s="1"/>
    </row>
    <row r="23" spans="1:8" x14ac:dyDescent="0.25">
      <c r="A23" s="56"/>
      <c r="B23" s="1"/>
      <c r="C23" s="1"/>
      <c r="D23" s="1"/>
      <c r="E23" s="38"/>
      <c r="F23" s="38"/>
      <c r="G23" s="1"/>
      <c r="H23" s="1"/>
    </row>
    <row r="24" spans="1:8" x14ac:dyDescent="0.25">
      <c r="A24" s="56"/>
      <c r="B24" s="1"/>
      <c r="C24" s="1"/>
      <c r="D24" s="1"/>
      <c r="E24" s="38"/>
      <c r="F24" s="38"/>
      <c r="G24" s="1"/>
      <c r="H24" s="1"/>
    </row>
    <row r="25" spans="1:8" x14ac:dyDescent="0.25">
      <c r="A25" s="56"/>
      <c r="B25" s="1"/>
      <c r="C25" s="1"/>
      <c r="D25" s="1"/>
      <c r="E25" s="38"/>
      <c r="F25" s="38"/>
      <c r="G25" s="1"/>
      <c r="H25" s="1"/>
    </row>
    <row r="26" spans="1:8" x14ac:dyDescent="0.25">
      <c r="A26" s="56"/>
      <c r="B26" s="57" t="s">
        <v>6</v>
      </c>
      <c r="C26" s="54"/>
      <c r="D26" s="55"/>
      <c r="E26" s="37"/>
      <c r="F26" s="37"/>
      <c r="G26" s="25">
        <f>SUM(G22:G25)</f>
        <v>222.29999999999998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38" t="s">
        <v>99</v>
      </c>
      <c r="F27" s="37"/>
      <c r="G27" s="1" t="s">
        <v>4</v>
      </c>
      <c r="H27" s="1" t="s">
        <v>5</v>
      </c>
    </row>
    <row r="28" spans="1:8" x14ac:dyDescent="0.25">
      <c r="A28" s="56" t="s">
        <v>72</v>
      </c>
      <c r="B28" s="1" t="s">
        <v>73</v>
      </c>
      <c r="C28" s="1" t="s">
        <v>75</v>
      </c>
      <c r="D28" s="1">
        <v>53.04</v>
      </c>
      <c r="E28" s="38">
        <v>12</v>
      </c>
      <c r="F28" s="38" t="s">
        <v>132</v>
      </c>
      <c r="G28" s="33">
        <f>E28*D28</f>
        <v>636.48</v>
      </c>
      <c r="H28" s="1"/>
    </row>
    <row r="29" spans="1:8" x14ac:dyDescent="0.25">
      <c r="A29" s="56"/>
      <c r="B29" s="1" t="s">
        <v>74</v>
      </c>
      <c r="C29" s="1" t="s">
        <v>75</v>
      </c>
      <c r="D29" s="1">
        <v>14.4</v>
      </c>
      <c r="E29" s="38">
        <v>12</v>
      </c>
      <c r="F29" s="38" t="s">
        <v>132</v>
      </c>
      <c r="G29" s="33">
        <f>E29*D29</f>
        <v>172.8</v>
      </c>
      <c r="H29" s="1"/>
    </row>
    <row r="30" spans="1:8" x14ac:dyDescent="0.25">
      <c r="A30" s="56"/>
      <c r="B30" s="57" t="s">
        <v>6</v>
      </c>
      <c r="C30" s="54"/>
      <c r="D30" s="55"/>
      <c r="E30" s="37"/>
      <c r="F30" s="37"/>
      <c r="G30" s="25">
        <f>SUM(G28:G29)</f>
        <v>809.28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38" t="s">
        <v>99</v>
      </c>
      <c r="F31" s="37"/>
      <c r="G31" s="2" t="s">
        <v>4</v>
      </c>
      <c r="H31" s="1" t="s">
        <v>5</v>
      </c>
    </row>
    <row r="32" spans="1:8" x14ac:dyDescent="0.25">
      <c r="A32" s="51"/>
      <c r="B32" s="1" t="s">
        <v>131</v>
      </c>
      <c r="C32" s="1"/>
      <c r="D32" s="1">
        <v>37.44</v>
      </c>
      <c r="E32" s="38">
        <v>73.34</v>
      </c>
      <c r="F32" s="38" t="s">
        <v>132</v>
      </c>
      <c r="G32" s="33">
        <f>E32*D32</f>
        <v>2745.8496</v>
      </c>
      <c r="H32" s="1"/>
    </row>
    <row r="33" spans="1:8" x14ac:dyDescent="0.25">
      <c r="A33" s="52"/>
      <c r="B33" s="1" t="s">
        <v>133</v>
      </c>
      <c r="C33" s="1"/>
      <c r="D33" s="1">
        <v>11.7</v>
      </c>
      <c r="E33" s="38">
        <v>65</v>
      </c>
      <c r="F33" s="38" t="s">
        <v>132</v>
      </c>
      <c r="G33" s="33">
        <f>E33*D33</f>
        <v>760.5</v>
      </c>
      <c r="H33" s="1"/>
    </row>
    <row r="34" spans="1:8" x14ac:dyDescent="0.25">
      <c r="A34" s="53"/>
      <c r="B34" s="57" t="s">
        <v>6</v>
      </c>
      <c r="C34" s="54"/>
      <c r="D34" s="55"/>
      <c r="E34" s="37"/>
      <c r="F34" s="37"/>
      <c r="G34" s="25">
        <f>SUM(G32:G33)</f>
        <v>3506.3496</v>
      </c>
      <c r="H34" s="7"/>
    </row>
    <row r="35" spans="1:8" x14ac:dyDescent="0.25">
      <c r="A35" s="8" t="s">
        <v>12</v>
      </c>
      <c r="B35" s="1" t="s">
        <v>1</v>
      </c>
      <c r="C35" s="1" t="s">
        <v>2</v>
      </c>
      <c r="D35" s="1" t="s">
        <v>3</v>
      </c>
      <c r="E35" s="38" t="s">
        <v>99</v>
      </c>
      <c r="F35" s="37"/>
      <c r="G35" s="1" t="s">
        <v>4</v>
      </c>
      <c r="H35" s="1"/>
    </row>
    <row r="36" spans="1:8" x14ac:dyDescent="0.25">
      <c r="A36" s="56"/>
      <c r="B36" s="1"/>
      <c r="C36" s="1"/>
      <c r="D36" s="1"/>
      <c r="E36" s="38"/>
      <c r="F36" s="38"/>
      <c r="G36" s="1"/>
      <c r="H36" s="1"/>
    </row>
    <row r="37" spans="1:8" x14ac:dyDescent="0.25">
      <c r="A37" s="56"/>
      <c r="B37" s="1"/>
      <c r="C37" s="1"/>
      <c r="D37" s="1"/>
      <c r="E37" s="38"/>
      <c r="F37" s="38"/>
      <c r="G37" s="1"/>
      <c r="H37" s="1"/>
    </row>
    <row r="38" spans="1:8" x14ac:dyDescent="0.25">
      <c r="A38" s="56"/>
      <c r="B38" s="1"/>
      <c r="C38" s="1"/>
      <c r="D38" s="1"/>
      <c r="E38" s="38"/>
      <c r="F38" s="38"/>
      <c r="G38" s="1"/>
      <c r="H38" s="1"/>
    </row>
    <row r="39" spans="1:8" x14ac:dyDescent="0.25">
      <c r="A39" s="56"/>
      <c r="B39" s="1"/>
      <c r="C39" s="1"/>
      <c r="D39" s="1"/>
      <c r="E39" s="38"/>
      <c r="F39" s="38"/>
      <c r="G39" s="1"/>
      <c r="H39" s="1"/>
    </row>
    <row r="40" spans="1:8" x14ac:dyDescent="0.25">
      <c r="A40" s="56"/>
      <c r="B40" s="57" t="s">
        <v>6</v>
      </c>
      <c r="C40" s="54"/>
      <c r="D40" s="55"/>
      <c r="E40" s="37"/>
      <c r="F40" s="37"/>
      <c r="G40" s="2"/>
      <c r="H40" s="1"/>
    </row>
    <row r="41" spans="1:8" x14ac:dyDescent="0.25">
      <c r="A41" s="1"/>
      <c r="B41" s="58" t="s">
        <v>13</v>
      </c>
      <c r="C41" s="59"/>
      <c r="D41" s="60"/>
      <c r="E41" s="39"/>
      <c r="F41" s="39"/>
      <c r="G41" s="34">
        <f>G34+G30+G26+G20+G14+G7</f>
        <v>15937.177599999999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opLeftCell="A13" workbookViewId="0">
      <selection activeCell="H48" sqref="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61" t="s">
        <v>17</v>
      </c>
      <c r="B1" s="62"/>
      <c r="C1" s="62"/>
      <c r="D1" s="62"/>
      <c r="E1" s="62"/>
      <c r="F1" s="62"/>
      <c r="G1" s="62"/>
      <c r="H1" s="6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41" t="s">
        <v>99</v>
      </c>
      <c r="F2" s="41"/>
      <c r="G2" s="1" t="s">
        <v>4</v>
      </c>
      <c r="H2" s="1" t="s">
        <v>5</v>
      </c>
    </row>
    <row r="3" spans="1:11" x14ac:dyDescent="0.25">
      <c r="A3" s="56" t="s">
        <v>85</v>
      </c>
      <c r="B3" s="1" t="s">
        <v>93</v>
      </c>
      <c r="C3" s="1" t="s">
        <v>96</v>
      </c>
      <c r="D3" s="1">
        <v>75</v>
      </c>
      <c r="E3" s="41">
        <v>65</v>
      </c>
      <c r="F3" s="41" t="s">
        <v>135</v>
      </c>
      <c r="G3" s="1">
        <f>E3*D3</f>
        <v>4875</v>
      </c>
      <c r="H3" s="1"/>
    </row>
    <row r="4" spans="1:11" x14ac:dyDescent="0.25">
      <c r="A4" s="56"/>
      <c r="B4" s="1" t="s">
        <v>94</v>
      </c>
      <c r="C4" s="1" t="s">
        <v>95</v>
      </c>
      <c r="D4" s="1">
        <v>271</v>
      </c>
      <c r="E4" s="41">
        <v>4</v>
      </c>
      <c r="F4" s="41" t="s">
        <v>158</v>
      </c>
      <c r="G4" s="41">
        <f>E4*D4</f>
        <v>1084</v>
      </c>
      <c r="H4" s="22" t="s">
        <v>157</v>
      </c>
    </row>
    <row r="5" spans="1:11" x14ac:dyDescent="0.25">
      <c r="A5" s="56"/>
      <c r="B5" s="1"/>
      <c r="C5" s="1"/>
      <c r="D5" s="1"/>
      <c r="E5" s="41"/>
      <c r="F5" s="41"/>
      <c r="G5" s="1"/>
      <c r="H5" s="1"/>
    </row>
    <row r="6" spans="1:11" x14ac:dyDescent="0.25">
      <c r="A6" s="56"/>
      <c r="B6" s="1"/>
      <c r="C6" s="1"/>
      <c r="D6" s="1"/>
      <c r="E6" s="40"/>
      <c r="F6" s="40"/>
      <c r="G6" s="2"/>
      <c r="H6" s="1"/>
    </row>
    <row r="7" spans="1:11" x14ac:dyDescent="0.25">
      <c r="A7" s="56"/>
      <c r="B7" s="57" t="s">
        <v>6</v>
      </c>
      <c r="C7" s="54"/>
      <c r="D7" s="55"/>
      <c r="E7" s="40"/>
      <c r="F7" s="40"/>
      <c r="G7" s="32">
        <f>SUM(G3:G6)</f>
        <v>5959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41" t="s">
        <v>99</v>
      </c>
      <c r="F8" s="41"/>
      <c r="G8" s="1" t="s">
        <v>4</v>
      </c>
      <c r="H8" s="1" t="s">
        <v>5</v>
      </c>
      <c r="K8" s="3"/>
    </row>
    <row r="9" spans="1:11" x14ac:dyDescent="0.25">
      <c r="A9" s="56" t="s">
        <v>86</v>
      </c>
      <c r="B9" s="1" t="s">
        <v>61</v>
      </c>
      <c r="C9" s="1" t="s">
        <v>92</v>
      </c>
      <c r="D9" s="1">
        <v>150</v>
      </c>
      <c r="E9" s="41">
        <v>6</v>
      </c>
      <c r="F9" s="41" t="s">
        <v>136</v>
      </c>
      <c r="G9" s="1">
        <f>E9*D9</f>
        <v>900</v>
      </c>
      <c r="H9" s="1"/>
      <c r="K9" s="4"/>
    </row>
    <row r="10" spans="1:11" x14ac:dyDescent="0.25">
      <c r="A10" s="56"/>
      <c r="B10" s="1" t="s">
        <v>40</v>
      </c>
      <c r="C10" s="1" t="s">
        <v>37</v>
      </c>
      <c r="D10" s="1">
        <v>85</v>
      </c>
      <c r="E10" s="41">
        <v>5</v>
      </c>
      <c r="F10" s="41" t="s">
        <v>135</v>
      </c>
      <c r="G10" s="41">
        <f t="shared" ref="G10:G12" si="0">E10*D10</f>
        <v>425</v>
      </c>
      <c r="H10" s="1"/>
      <c r="K10" s="4"/>
    </row>
    <row r="11" spans="1:11" x14ac:dyDescent="0.25">
      <c r="A11" s="56"/>
      <c r="B11" s="1" t="s">
        <v>39</v>
      </c>
      <c r="C11" s="1" t="s">
        <v>42</v>
      </c>
      <c r="D11" s="1">
        <v>9.9</v>
      </c>
      <c r="E11" s="41">
        <v>2</v>
      </c>
      <c r="F11" s="41" t="s">
        <v>135</v>
      </c>
      <c r="G11" s="33">
        <f t="shared" si="0"/>
        <v>19.8</v>
      </c>
      <c r="H11" s="1"/>
      <c r="K11" s="4"/>
    </row>
    <row r="12" spans="1:11" x14ac:dyDescent="0.25">
      <c r="A12" s="56"/>
      <c r="B12" s="1" t="s">
        <v>46</v>
      </c>
      <c r="C12" s="1" t="s">
        <v>48</v>
      </c>
      <c r="D12" s="1">
        <v>27.54</v>
      </c>
      <c r="E12" s="41">
        <v>10</v>
      </c>
      <c r="F12" s="41" t="s">
        <v>135</v>
      </c>
      <c r="G12" s="33">
        <f t="shared" si="0"/>
        <v>275.39999999999998</v>
      </c>
      <c r="H12" s="1"/>
      <c r="K12" s="4"/>
    </row>
    <row r="13" spans="1:11" x14ac:dyDescent="0.25">
      <c r="A13" s="56"/>
      <c r="B13" s="1"/>
      <c r="C13" s="1"/>
      <c r="D13" s="1"/>
      <c r="E13" s="41"/>
      <c r="F13" s="41"/>
      <c r="G13" s="1"/>
      <c r="H13" s="1"/>
      <c r="K13" s="5"/>
    </row>
    <row r="14" spans="1:11" x14ac:dyDescent="0.25">
      <c r="A14" s="56"/>
      <c r="B14" s="57" t="s">
        <v>6</v>
      </c>
      <c r="C14" s="54"/>
      <c r="D14" s="55"/>
      <c r="E14" s="40"/>
      <c r="F14" s="40"/>
      <c r="G14" s="25">
        <f>SUM(G9:G13)</f>
        <v>1620.1999999999998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41" t="s">
        <v>99</v>
      </c>
      <c r="F15" s="41"/>
      <c r="G15" s="1" t="s">
        <v>4</v>
      </c>
      <c r="H15" s="1" t="s">
        <v>5</v>
      </c>
    </row>
    <row r="16" spans="1:11" x14ac:dyDescent="0.25">
      <c r="A16" s="56" t="s">
        <v>87</v>
      </c>
      <c r="B16" s="1" t="s">
        <v>90</v>
      </c>
      <c r="C16" s="1" t="s">
        <v>91</v>
      </c>
      <c r="D16" s="1">
        <v>75</v>
      </c>
      <c r="E16" s="41">
        <v>15</v>
      </c>
      <c r="F16" s="41" t="s">
        <v>137</v>
      </c>
      <c r="G16" s="1">
        <f>E16*D16</f>
        <v>1125</v>
      </c>
      <c r="H16" s="1"/>
    </row>
    <row r="17" spans="1:8" x14ac:dyDescent="0.25">
      <c r="A17" s="56"/>
      <c r="B17" s="1"/>
      <c r="C17" s="1"/>
      <c r="D17" s="1"/>
      <c r="E17" s="41"/>
      <c r="F17" s="41"/>
      <c r="G17" s="1"/>
      <c r="H17" s="1"/>
    </row>
    <row r="18" spans="1:8" x14ac:dyDescent="0.25">
      <c r="A18" s="56"/>
      <c r="B18" s="1"/>
      <c r="C18" s="1"/>
      <c r="D18" s="1"/>
      <c r="E18" s="41"/>
      <c r="F18" s="41"/>
      <c r="G18" s="1"/>
      <c r="H18" s="1"/>
    </row>
    <row r="19" spans="1:8" x14ac:dyDescent="0.25">
      <c r="A19" s="56"/>
      <c r="B19" s="1"/>
      <c r="C19" s="1"/>
      <c r="D19" s="1"/>
      <c r="E19" s="40"/>
      <c r="F19" s="40"/>
      <c r="G19" s="2"/>
      <c r="H19" s="1"/>
    </row>
    <row r="20" spans="1:8" x14ac:dyDescent="0.25">
      <c r="A20" s="56"/>
      <c r="B20" s="57" t="s">
        <v>6</v>
      </c>
      <c r="C20" s="54"/>
      <c r="D20" s="55"/>
      <c r="E20" s="40"/>
      <c r="F20" s="40"/>
      <c r="G20" s="32">
        <f>SUM(G16:G19)</f>
        <v>1125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41" t="s">
        <v>99</v>
      </c>
      <c r="F21" s="41"/>
      <c r="G21" s="1" t="s">
        <v>4</v>
      </c>
      <c r="H21" s="1" t="s">
        <v>5</v>
      </c>
    </row>
    <row r="22" spans="1:8" x14ac:dyDescent="0.25">
      <c r="A22" s="56"/>
      <c r="B22" s="1" t="s">
        <v>144</v>
      </c>
      <c r="C22" s="1"/>
      <c r="D22" s="1">
        <v>37</v>
      </c>
      <c r="E22" s="41">
        <v>40</v>
      </c>
      <c r="F22" s="41" t="s">
        <v>145</v>
      </c>
      <c r="G22" s="1">
        <f>E22*D22</f>
        <v>1480</v>
      </c>
      <c r="H22" s="1"/>
    </row>
    <row r="23" spans="1:8" x14ac:dyDescent="0.25">
      <c r="A23" s="56"/>
      <c r="B23" s="1" t="s">
        <v>146</v>
      </c>
      <c r="C23" s="1"/>
      <c r="D23" s="1">
        <v>181</v>
      </c>
      <c r="E23" s="41">
        <v>3</v>
      </c>
      <c r="F23" s="41" t="s">
        <v>147</v>
      </c>
      <c r="G23" s="41">
        <f t="shared" ref="G23:G31" si="1">E23*D23</f>
        <v>543</v>
      </c>
      <c r="H23" s="1"/>
    </row>
    <row r="24" spans="1:8" x14ac:dyDescent="0.25">
      <c r="A24" s="56"/>
      <c r="B24" s="1" t="s">
        <v>148</v>
      </c>
      <c r="C24" s="1"/>
      <c r="D24" s="1">
        <v>339</v>
      </c>
      <c r="E24" s="41">
        <v>1</v>
      </c>
      <c r="F24" s="41" t="s">
        <v>147</v>
      </c>
      <c r="G24" s="41">
        <f t="shared" si="1"/>
        <v>339</v>
      </c>
      <c r="H24" s="51" t="s">
        <v>161</v>
      </c>
    </row>
    <row r="25" spans="1:8" x14ac:dyDescent="0.25">
      <c r="A25" s="56"/>
      <c r="B25" s="41" t="s">
        <v>149</v>
      </c>
      <c r="C25" s="41"/>
      <c r="D25" s="41">
        <v>225</v>
      </c>
      <c r="E25" s="41">
        <v>3</v>
      </c>
      <c r="F25" s="41" t="s">
        <v>147</v>
      </c>
      <c r="G25" s="41">
        <f t="shared" si="1"/>
        <v>675</v>
      </c>
      <c r="H25" s="52"/>
    </row>
    <row r="26" spans="1:8" x14ac:dyDescent="0.25">
      <c r="A26" s="56"/>
      <c r="B26" s="41" t="s">
        <v>150</v>
      </c>
      <c r="C26" s="41"/>
      <c r="D26" s="41">
        <v>235</v>
      </c>
      <c r="E26" s="41">
        <v>2</v>
      </c>
      <c r="F26" s="41" t="s">
        <v>147</v>
      </c>
      <c r="G26" s="40">
        <f t="shared" si="1"/>
        <v>470</v>
      </c>
      <c r="H26" s="52"/>
    </row>
    <row r="27" spans="1:8" x14ac:dyDescent="0.25">
      <c r="A27" s="56"/>
      <c r="B27" s="41" t="s">
        <v>151</v>
      </c>
      <c r="C27" s="41"/>
      <c r="D27" s="41">
        <v>291</v>
      </c>
      <c r="E27" s="41">
        <v>3</v>
      </c>
      <c r="F27" s="41" t="s">
        <v>147</v>
      </c>
      <c r="G27" s="40">
        <f t="shared" si="1"/>
        <v>873</v>
      </c>
      <c r="H27" s="52"/>
    </row>
    <row r="28" spans="1:8" x14ac:dyDescent="0.25">
      <c r="A28" s="56"/>
      <c r="B28" s="41" t="s">
        <v>152</v>
      </c>
      <c r="C28" s="41"/>
      <c r="D28" s="41">
        <v>613</v>
      </c>
      <c r="E28" s="41">
        <v>2</v>
      </c>
      <c r="F28" s="41" t="s">
        <v>147</v>
      </c>
      <c r="G28" s="40">
        <f t="shared" si="1"/>
        <v>1226</v>
      </c>
      <c r="H28" s="52"/>
    </row>
    <row r="29" spans="1:8" x14ac:dyDescent="0.25">
      <c r="A29" s="56"/>
      <c r="B29" s="41" t="s">
        <v>153</v>
      </c>
      <c r="C29" s="41"/>
      <c r="D29" s="41">
        <v>844</v>
      </c>
      <c r="E29" s="41">
        <v>1</v>
      </c>
      <c r="F29" s="40" t="s">
        <v>154</v>
      </c>
      <c r="G29" s="40">
        <f t="shared" si="1"/>
        <v>844</v>
      </c>
      <c r="H29" s="52"/>
    </row>
    <row r="30" spans="1:8" x14ac:dyDescent="0.25">
      <c r="A30" s="56"/>
      <c r="B30" s="42" t="s">
        <v>155</v>
      </c>
      <c r="C30" s="41"/>
      <c r="D30" s="41">
        <v>1188</v>
      </c>
      <c r="E30" s="41">
        <v>3</v>
      </c>
      <c r="F30" s="41" t="s">
        <v>147</v>
      </c>
      <c r="G30" s="40">
        <f t="shared" si="1"/>
        <v>3564</v>
      </c>
      <c r="H30" s="52"/>
    </row>
    <row r="31" spans="1:8" x14ac:dyDescent="0.25">
      <c r="A31" s="56"/>
      <c r="B31" s="42" t="s">
        <v>156</v>
      </c>
      <c r="C31" s="41"/>
      <c r="D31" s="41">
        <v>219</v>
      </c>
      <c r="E31" s="41">
        <v>2</v>
      </c>
      <c r="F31" s="41" t="s">
        <v>147</v>
      </c>
      <c r="G31" s="40">
        <f t="shared" si="1"/>
        <v>438</v>
      </c>
      <c r="H31" s="53"/>
    </row>
    <row r="32" spans="1:8" x14ac:dyDescent="0.25">
      <c r="A32" s="56"/>
      <c r="B32" s="57" t="s">
        <v>6</v>
      </c>
      <c r="C32" s="54"/>
      <c r="D32" s="55"/>
      <c r="E32" s="40"/>
      <c r="F32" s="40"/>
      <c r="G32" s="32">
        <f>SUM(G22:G31)</f>
        <v>10452</v>
      </c>
      <c r="H32" s="1"/>
    </row>
    <row r="33" spans="1:8" x14ac:dyDescent="0.25">
      <c r="A33" s="1" t="s">
        <v>10</v>
      </c>
      <c r="B33" s="1" t="s">
        <v>1</v>
      </c>
      <c r="C33" s="1" t="s">
        <v>2</v>
      </c>
      <c r="D33" s="1" t="s">
        <v>3</v>
      </c>
      <c r="E33" s="41" t="s">
        <v>99</v>
      </c>
      <c r="F33" s="41"/>
      <c r="G33" s="1" t="s">
        <v>4</v>
      </c>
      <c r="H33" s="1" t="s">
        <v>5</v>
      </c>
    </row>
    <row r="34" spans="1:8" x14ac:dyDescent="0.25">
      <c r="A34" s="56" t="s">
        <v>88</v>
      </c>
      <c r="B34" s="1" t="s">
        <v>89</v>
      </c>
      <c r="C34" s="1"/>
      <c r="D34" s="1"/>
      <c r="E34" s="41"/>
      <c r="F34" s="41"/>
      <c r="G34" s="1"/>
      <c r="H34" s="1" t="s">
        <v>30</v>
      </c>
    </row>
    <row r="35" spans="1:8" x14ac:dyDescent="0.25">
      <c r="A35" s="56"/>
      <c r="B35" s="1"/>
      <c r="C35" s="1"/>
      <c r="D35" s="1"/>
      <c r="E35" s="41"/>
      <c r="F35" s="41"/>
      <c r="G35" s="1"/>
      <c r="H35" s="1"/>
    </row>
    <row r="36" spans="1:8" x14ac:dyDescent="0.25">
      <c r="A36" s="56"/>
      <c r="B36" s="57" t="s">
        <v>6</v>
      </c>
      <c r="C36" s="54"/>
      <c r="D36" s="55"/>
      <c r="E36" s="40"/>
      <c r="F36" s="40"/>
      <c r="G36" s="2"/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41" t="s">
        <v>99</v>
      </c>
      <c r="F37" s="40"/>
      <c r="G37" s="2" t="s">
        <v>4</v>
      </c>
      <c r="H37" s="1" t="s">
        <v>5</v>
      </c>
    </row>
    <row r="38" spans="1:8" x14ac:dyDescent="0.25">
      <c r="A38" s="51"/>
      <c r="B38" s="51" t="s">
        <v>138</v>
      </c>
      <c r="C38" s="1"/>
      <c r="D38" s="1">
        <v>28.8</v>
      </c>
      <c r="E38" s="41">
        <v>50</v>
      </c>
      <c r="F38" s="41" t="s">
        <v>135</v>
      </c>
      <c r="G38" s="1">
        <f>E38*D38</f>
        <v>1440</v>
      </c>
      <c r="H38" s="1"/>
    </row>
    <row r="39" spans="1:8" x14ac:dyDescent="0.25">
      <c r="A39" s="52"/>
      <c r="B39" s="53"/>
      <c r="C39" s="44"/>
      <c r="D39" s="44">
        <v>29.76</v>
      </c>
      <c r="E39" s="44">
        <v>41</v>
      </c>
      <c r="F39" s="44" t="s">
        <v>102</v>
      </c>
      <c r="G39" s="33">
        <f>E39*D39</f>
        <v>1220.1600000000001</v>
      </c>
      <c r="H39" s="44"/>
    </row>
    <row r="40" spans="1:8" x14ac:dyDescent="0.25">
      <c r="A40" s="52"/>
      <c r="B40" s="1" t="s">
        <v>139</v>
      </c>
      <c r="C40" s="1"/>
      <c r="D40" s="1">
        <v>34.200000000000003</v>
      </c>
      <c r="E40" s="41">
        <v>65</v>
      </c>
      <c r="F40" s="41" t="s">
        <v>135</v>
      </c>
      <c r="G40" s="41">
        <f>E40*D40</f>
        <v>2223</v>
      </c>
      <c r="H40" s="1"/>
    </row>
    <row r="41" spans="1:8" x14ac:dyDescent="0.25">
      <c r="A41" s="53"/>
      <c r="B41" s="57" t="s">
        <v>6</v>
      </c>
      <c r="C41" s="54"/>
      <c r="D41" s="55"/>
      <c r="E41" s="40"/>
      <c r="F41" s="40"/>
      <c r="G41" s="25">
        <f>SUM(G38:G40)</f>
        <v>4883.16</v>
      </c>
      <c r="H41" s="7"/>
    </row>
    <row r="42" spans="1:8" x14ac:dyDescent="0.25">
      <c r="A42" s="8" t="s">
        <v>140</v>
      </c>
      <c r="B42" s="1" t="s">
        <v>1</v>
      </c>
      <c r="C42" s="1" t="s">
        <v>2</v>
      </c>
      <c r="D42" s="1" t="s">
        <v>3</v>
      </c>
      <c r="E42" s="41" t="s">
        <v>99</v>
      </c>
      <c r="F42" s="41"/>
      <c r="G42" s="1" t="s">
        <v>4</v>
      </c>
      <c r="H42" s="1"/>
    </row>
    <row r="43" spans="1:8" x14ac:dyDescent="0.25">
      <c r="A43" s="56"/>
      <c r="B43" s="1" t="s">
        <v>141</v>
      </c>
      <c r="C43" s="1" t="s">
        <v>159</v>
      </c>
      <c r="D43" s="1">
        <v>69</v>
      </c>
      <c r="E43" s="45"/>
      <c r="F43" s="41" t="s">
        <v>135</v>
      </c>
      <c r="G43" s="1">
        <f>D43*E43</f>
        <v>0</v>
      </c>
      <c r="H43" s="1"/>
    </row>
    <row r="44" spans="1:8" x14ac:dyDescent="0.25">
      <c r="A44" s="56"/>
      <c r="B44" s="1" t="s">
        <v>143</v>
      </c>
      <c r="C44" s="1"/>
      <c r="D44" s="1">
        <v>10</v>
      </c>
      <c r="E44" s="41">
        <v>30</v>
      </c>
      <c r="F44" s="41" t="s">
        <v>142</v>
      </c>
      <c r="G44" s="41">
        <f>D44*E44</f>
        <v>300</v>
      </c>
      <c r="H44" s="1"/>
    </row>
    <row r="45" spans="1:8" x14ac:dyDescent="0.25">
      <c r="A45" s="56"/>
      <c r="B45" s="1" t="s">
        <v>160</v>
      </c>
      <c r="C45" s="1"/>
      <c r="D45" s="1">
        <v>42</v>
      </c>
      <c r="E45" s="41">
        <v>20</v>
      </c>
      <c r="F45" s="41" t="s">
        <v>135</v>
      </c>
      <c r="G45" s="41">
        <f>D45*E45</f>
        <v>840</v>
      </c>
      <c r="H45" s="1"/>
    </row>
    <row r="46" spans="1:8" x14ac:dyDescent="0.25">
      <c r="A46" s="56"/>
      <c r="B46" s="1"/>
      <c r="C46" s="1"/>
      <c r="D46" s="1"/>
      <c r="E46" s="41"/>
      <c r="F46" s="41"/>
      <c r="G46" s="1"/>
      <c r="H46" s="1"/>
    </row>
    <row r="47" spans="1:8" x14ac:dyDescent="0.25">
      <c r="A47" s="56"/>
      <c r="B47" s="57" t="s">
        <v>6</v>
      </c>
      <c r="C47" s="54"/>
      <c r="D47" s="55"/>
      <c r="E47" s="40"/>
      <c r="F47" s="40"/>
      <c r="G47" s="32">
        <f>SUM(G43:G46)</f>
        <v>1140</v>
      </c>
      <c r="H47" s="1"/>
    </row>
    <row r="48" spans="1:8" x14ac:dyDescent="0.25">
      <c r="A48" s="1"/>
      <c r="B48" s="58" t="s">
        <v>13</v>
      </c>
      <c r="C48" s="59"/>
      <c r="D48" s="60"/>
      <c r="E48" s="43"/>
      <c r="F48" s="43"/>
      <c r="G48" s="34">
        <f>G47+G41+G32+G20++G14+G7</f>
        <v>25179.360000000001</v>
      </c>
      <c r="H48" s="1"/>
    </row>
  </sheetData>
  <mergeCells count="18">
    <mergeCell ref="A16:A20"/>
    <mergeCell ref="B20:D20"/>
    <mergeCell ref="A1:H1"/>
    <mergeCell ref="A3:A7"/>
    <mergeCell ref="B7:D7"/>
    <mergeCell ref="A9:A14"/>
    <mergeCell ref="B14:D14"/>
    <mergeCell ref="H24:H31"/>
    <mergeCell ref="A43:A47"/>
    <mergeCell ref="B47:D47"/>
    <mergeCell ref="B48:D48"/>
    <mergeCell ref="A22:A32"/>
    <mergeCell ref="B32:D32"/>
    <mergeCell ref="A34:A36"/>
    <mergeCell ref="B36:D36"/>
    <mergeCell ref="A38:A41"/>
    <mergeCell ref="B41:D41"/>
    <mergeCell ref="B38:B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12" sqref="H12"/>
    </sheetView>
  </sheetViews>
  <sheetFormatPr defaultRowHeight="16.5" x14ac:dyDescent="0.25"/>
  <sheetData>
    <row r="1" spans="1:7" x14ac:dyDescent="0.25"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</row>
    <row r="2" spans="1:7" x14ac:dyDescent="0.25">
      <c r="A2" s="64" t="s">
        <v>162</v>
      </c>
      <c r="B2" s="64">
        <v>15585</v>
      </c>
      <c r="C2" s="64">
        <v>18844</v>
      </c>
      <c r="D2" s="64">
        <v>14533</v>
      </c>
      <c r="E2" s="64">
        <v>15937</v>
      </c>
      <c r="F2" s="65">
        <v>25500</v>
      </c>
      <c r="G2" s="66">
        <f>SUM(B2:F2)</f>
        <v>90399</v>
      </c>
    </row>
    <row r="3" spans="1:7" x14ac:dyDescent="0.25">
      <c r="A3" s="64" t="s">
        <v>163</v>
      </c>
      <c r="B3" s="64">
        <v>15795</v>
      </c>
      <c r="C3" s="64">
        <v>16225</v>
      </c>
      <c r="D3" s="65">
        <v>23825</v>
      </c>
      <c r="E3" s="64">
        <v>16111</v>
      </c>
      <c r="F3" s="64">
        <v>20174</v>
      </c>
      <c r="G3" s="66">
        <f>SUM(B3:F3)</f>
        <v>92130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4</vt:i4>
      </vt:variant>
    </vt:vector>
  </HeadingPairs>
  <TitlesOfParts>
    <vt:vector size="10" baseType="lpstr">
      <vt:lpstr>0701+ </vt:lpstr>
      <vt:lpstr>0702+</vt:lpstr>
      <vt:lpstr>0703+</vt:lpstr>
      <vt:lpstr>0704+</vt:lpstr>
      <vt:lpstr>0705+</vt:lpstr>
      <vt:lpstr>工作表1</vt:lpstr>
      <vt:lpstr>'0701+ '!Print_Area</vt:lpstr>
      <vt:lpstr>'0703+'!Print_Area</vt:lpstr>
      <vt:lpstr>'0704+'!Print_Area</vt:lpstr>
      <vt:lpstr>'0705+'!Print_Area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2024-07-05T04:23:21Z</cp:lastPrinted>
  <dcterms:created xsi:type="dcterms:W3CDTF">2024-06-18T07:19:12Z</dcterms:created>
  <dcterms:modified xsi:type="dcterms:W3CDTF">2024-07-12T01:57:15Z</dcterms:modified>
</cp:coreProperties>
</file>