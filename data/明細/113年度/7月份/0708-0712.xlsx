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7月份\"/>
    </mc:Choice>
  </mc:AlternateContent>
  <bookViews>
    <workbookView xWindow="0" yWindow="0" windowWidth="28800" windowHeight="12255" activeTab="2"/>
  </bookViews>
  <sheets>
    <sheet name="0708+" sheetId="1" r:id="rId1"/>
    <sheet name="0709+" sheetId="2" r:id="rId2"/>
    <sheet name="0710+" sheetId="3" r:id="rId3"/>
    <sheet name="0711+" sheetId="4" r:id="rId4"/>
    <sheet name="0712+" sheetId="5" r:id="rId5"/>
    <sheet name="工作表1" sheetId="6" r:id="rId6"/>
  </sheets>
  <definedNames>
    <definedName name="_xlnm.Print_Area" localSheetId="0">'0708+'!$A$1:$H$44</definedName>
    <definedName name="_xlnm.Print_Area" localSheetId="1">'0709+'!$A$1:$H$41</definedName>
    <definedName name="_xlnm.Print_Area" localSheetId="2">'0710+'!$A$1:$H$44</definedName>
    <definedName name="_xlnm.Print_Area" localSheetId="4">'0712+'!$A$1:$H$51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9" i="5" l="1"/>
  <c r="G44" i="5"/>
  <c r="G45" i="5"/>
  <c r="G46" i="5"/>
  <c r="G47" i="5"/>
  <c r="G48" i="5"/>
  <c r="G49" i="5"/>
  <c r="G40" i="5"/>
  <c r="G21" i="5" l="1"/>
  <c r="G15" i="5"/>
  <c r="G8" i="5"/>
  <c r="G36" i="5"/>
  <c r="G35" i="5"/>
  <c r="G28" i="5"/>
  <c r="G29" i="5"/>
  <c r="G30" i="5"/>
  <c r="G31" i="5"/>
  <c r="G20" i="5"/>
  <c r="G11" i="5"/>
  <c r="G27" i="5"/>
  <c r="G30" i="4"/>
  <c r="G25" i="5"/>
  <c r="G26" i="5"/>
  <c r="G32" i="5" s="1"/>
  <c r="G24" i="5"/>
  <c r="G23" i="5"/>
  <c r="G43" i="5"/>
  <c r="G50" i="5" s="1"/>
  <c r="G41" i="5"/>
  <c r="G38" i="5"/>
  <c r="G34" i="5"/>
  <c r="G18" i="5"/>
  <c r="G19" i="5"/>
  <c r="G17" i="5"/>
  <c r="G10" i="5"/>
  <c r="G4" i="5"/>
  <c r="G5" i="5"/>
  <c r="G6" i="5"/>
  <c r="G7" i="5"/>
  <c r="G3" i="5"/>
  <c r="G51" i="5" l="1"/>
  <c r="G20" i="4"/>
  <c r="G16" i="4"/>
  <c r="G31" i="4"/>
  <c r="G28" i="4"/>
  <c r="G29" i="4"/>
  <c r="G7" i="4"/>
  <c r="G4" i="4"/>
  <c r="G5" i="4"/>
  <c r="G35" i="4"/>
  <c r="G42" i="4" s="1"/>
  <c r="G33" i="4"/>
  <c r="G14" i="4"/>
  <c r="G10" i="4"/>
  <c r="G9" i="4"/>
  <c r="G3" i="4"/>
  <c r="G32" i="3" l="1"/>
  <c r="G28" i="3"/>
  <c r="G29" i="3"/>
  <c r="G7" i="3" l="1"/>
  <c r="G4" i="3"/>
  <c r="G36" i="3"/>
  <c r="G35" i="3"/>
  <c r="G31" i="3"/>
  <c r="G14" i="3"/>
  <c r="G10" i="3"/>
  <c r="G3" i="3"/>
  <c r="G23" i="3"/>
  <c r="G24" i="3"/>
  <c r="G26" i="3"/>
  <c r="G39" i="3"/>
  <c r="G40" i="3"/>
  <c r="G43" i="3" s="1"/>
  <c r="G22" i="3"/>
  <c r="G30" i="3"/>
  <c r="G9" i="3"/>
  <c r="G42" i="3"/>
  <c r="G41" i="3"/>
  <c r="G34" i="3"/>
  <c r="G37" i="3" l="1"/>
  <c r="G44" i="3" s="1"/>
  <c r="G26" i="2"/>
  <c r="G30" i="2"/>
  <c r="G7" i="2"/>
  <c r="G40" i="2"/>
  <c r="G36" i="2"/>
  <c r="G33" i="2"/>
  <c r="G29" i="2"/>
  <c r="G20" i="2"/>
  <c r="G23" i="2"/>
  <c r="G24" i="2"/>
  <c r="G22" i="2"/>
  <c r="G32" i="2" l="1"/>
  <c r="G34" i="2" s="1"/>
  <c r="G17" i="2"/>
  <c r="G16" i="2"/>
  <c r="G10" i="2"/>
  <c r="G11" i="2"/>
  <c r="G14" i="2" s="1"/>
  <c r="G9" i="2"/>
  <c r="G4" i="2"/>
  <c r="G5" i="2"/>
  <c r="G3" i="2"/>
  <c r="G36" i="1"/>
  <c r="G41" i="2" l="1"/>
  <c r="G37" i="1"/>
  <c r="G44" i="1"/>
  <c r="G14" i="1"/>
  <c r="G9" i="1"/>
  <c r="G29" i="1"/>
  <c r="G7" i="1"/>
  <c r="G3" i="1"/>
  <c r="G35" i="1"/>
  <c r="G33" i="1"/>
  <c r="G32" i="1"/>
  <c r="G31" i="1"/>
  <c r="G20" i="1"/>
  <c r="G17" i="1"/>
  <c r="G18" i="1"/>
  <c r="G19" i="1"/>
  <c r="G16" i="1"/>
  <c r="G11" i="1"/>
  <c r="G12" i="1"/>
  <c r="G13" i="1"/>
  <c r="G10" i="1"/>
  <c r="G23" i="1"/>
  <c r="G24" i="1"/>
  <c r="G25" i="1"/>
  <c r="G26" i="1"/>
  <c r="G27" i="1"/>
  <c r="G22" i="1"/>
</calcChain>
</file>

<file path=xl/sharedStrings.xml><?xml version="1.0" encoding="utf-8"?>
<sst xmlns="http://schemas.openxmlformats.org/spreadsheetml/2006/main" count="556" uniqueCount="198">
  <si>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</si>
  <si>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</si>
  <si>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</si>
  <si>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</si>
  <si>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</si>
  <si>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</si>
  <si>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</si>
  <si>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</si>
  <si>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40斤</t>
    <phoneticPr fontId="2" type="noConversion"/>
  </si>
  <si>
    <t>1斤</t>
    <phoneticPr fontId="2" type="noConversion"/>
  </si>
  <si>
    <t>薑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</si>
  <si>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</si>
  <si>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15斤</t>
    <phoneticPr fontId="2" type="noConversion"/>
  </si>
  <si>
    <t>25斤</t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</si>
  <si>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</si>
  <si>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</si>
  <si>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</si>
  <si>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蛋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</si>
  <si>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</si>
  <si>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</si>
  <si>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</si>
  <si>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 年      7月   8日      午餐明細表</t>
    <phoneticPr fontId="2" type="noConversion"/>
  </si>
  <si>
    <t>電訊科技中心(安康營區)     113 年      7月   9日      午餐明細表</t>
    <phoneticPr fontId="2" type="noConversion"/>
  </si>
  <si>
    <t>電訊科技中心(安康營區)     113 年      7月   10日      午餐明細表</t>
    <phoneticPr fontId="2" type="noConversion"/>
  </si>
  <si>
    <t>電訊科技中心(安康營區)     113 年      7月   11日      午餐明細表</t>
    <phoneticPr fontId="2" type="noConversion"/>
  </si>
  <si>
    <t>電訊科技中心(安康營區)     113 年      7月   12日      午餐明細表</t>
    <phoneticPr fontId="2" type="noConversion"/>
  </si>
  <si>
    <t>無骨雞排</t>
    <phoneticPr fontId="2" type="noConversion"/>
  </si>
  <si>
    <t>調理雞排</t>
    <phoneticPr fontId="2" type="noConversion"/>
  </si>
  <si>
    <t>4件</t>
    <phoneticPr fontId="2" type="noConversion"/>
  </si>
  <si>
    <t>黑胡椒豆腐</t>
    <phoneticPr fontId="2" type="noConversion"/>
  </si>
  <si>
    <t>4.3豆腐</t>
    <phoneticPr fontId="2" type="noConversion"/>
  </si>
  <si>
    <t>川耳</t>
    <phoneticPr fontId="2" type="noConversion"/>
  </si>
  <si>
    <t>紅蘿蔔片</t>
    <phoneticPr fontId="2" type="noConversion"/>
  </si>
  <si>
    <t>去皮洋蔥</t>
    <phoneticPr fontId="2" type="noConversion"/>
  </si>
  <si>
    <t>黑胡椒醬(大)</t>
    <phoneticPr fontId="2" type="noConversion"/>
  </si>
  <si>
    <t>6板</t>
    <phoneticPr fontId="2" type="noConversion"/>
  </si>
  <si>
    <t>4斤</t>
    <phoneticPr fontId="2" type="noConversion"/>
  </si>
  <si>
    <t>2斤</t>
    <phoneticPr fontId="2" type="noConversion"/>
  </si>
  <si>
    <t>6斤</t>
    <phoneticPr fontId="2" type="noConversion"/>
  </si>
  <si>
    <t>2桶</t>
    <phoneticPr fontId="2" type="noConversion"/>
  </si>
  <si>
    <t>香菇冬粉</t>
    <phoneticPr fontId="2" type="noConversion"/>
  </si>
  <si>
    <t>冬粉</t>
    <phoneticPr fontId="2" type="noConversion"/>
  </si>
  <si>
    <t>生香菇</t>
    <phoneticPr fontId="2" type="noConversion"/>
  </si>
  <si>
    <t>韭菜</t>
    <phoneticPr fontId="2" type="noConversion"/>
  </si>
  <si>
    <t>紅蘿蔔絲</t>
    <phoneticPr fontId="2" type="noConversion"/>
  </si>
  <si>
    <t>10斤</t>
    <phoneticPr fontId="2" type="noConversion"/>
  </si>
  <si>
    <t>白蘿蔔貢丸湯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</si>
  <si>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</si>
  <si>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</si>
  <si>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</si>
  <si>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鐵板肉片</t>
    <phoneticPr fontId="2" type="noConversion"/>
  </si>
  <si>
    <t>豬肉片</t>
    <phoneticPr fontId="2" type="noConversion"/>
  </si>
  <si>
    <t>乳瑪琳(小)</t>
    <phoneticPr fontId="2" type="noConversion"/>
  </si>
  <si>
    <t>8斤</t>
    <phoneticPr fontId="2" type="noConversion"/>
  </si>
  <si>
    <t>1罐</t>
    <phoneticPr fontId="2" type="noConversion"/>
  </si>
  <si>
    <t>45斤</t>
    <phoneticPr fontId="2" type="noConversion"/>
  </si>
  <si>
    <t>清炒胡瓜</t>
    <phoneticPr fontId="2" type="noConversion"/>
  </si>
  <si>
    <t>胡瓜切絲</t>
    <phoneticPr fontId="2" type="noConversion"/>
  </si>
  <si>
    <t>紅蘿蔔</t>
    <phoneticPr fontId="2" type="noConversion"/>
  </si>
  <si>
    <t>木耳絲</t>
    <phoneticPr fontId="2" type="noConversion"/>
  </si>
  <si>
    <t>30斤</t>
    <phoneticPr fontId="2" type="noConversion"/>
  </si>
  <si>
    <t>九層塔蛋</t>
    <phoneticPr fontId="2" type="noConversion"/>
  </si>
  <si>
    <t>九層塔</t>
    <phoneticPr fontId="2" type="noConversion"/>
  </si>
  <si>
    <t>1件</t>
    <phoneticPr fontId="2" type="noConversion"/>
  </si>
  <si>
    <t>紫菜豆腐湯</t>
    <phoneticPr fontId="2" type="noConversion"/>
  </si>
  <si>
    <t>紫菜</t>
    <phoneticPr fontId="2" type="noConversion"/>
  </si>
  <si>
    <t>3板</t>
    <phoneticPr fontId="2" type="noConversion"/>
  </si>
  <si>
    <t>塔塔醬海鮮卷</t>
    <phoneticPr fontId="2" type="noConversion"/>
  </si>
  <si>
    <t>海鮮卷</t>
    <phoneticPr fontId="2" type="noConversion"/>
  </si>
  <si>
    <t>塔塔醬</t>
    <phoneticPr fontId="2" type="noConversion"/>
  </si>
  <si>
    <t>280支</t>
    <phoneticPr fontId="2" type="noConversion"/>
  </si>
  <si>
    <t>5包</t>
    <phoneticPr fontId="2" type="noConversion"/>
  </si>
  <si>
    <t>義式馬鈴薯</t>
    <phoneticPr fontId="2" type="noConversion"/>
  </si>
  <si>
    <t>去皮馬鈴薯</t>
    <phoneticPr fontId="2" type="noConversion"/>
  </si>
  <si>
    <t>義大利香料</t>
    <phoneticPr fontId="2" type="noConversion"/>
  </si>
  <si>
    <t>玉米濃湯</t>
    <phoneticPr fontId="2" type="noConversion"/>
  </si>
  <si>
    <t>玉米醬(大)</t>
    <phoneticPr fontId="2" type="noConversion"/>
  </si>
  <si>
    <t>玉米濃湯粉</t>
    <phoneticPr fontId="2" type="noConversion"/>
  </si>
  <si>
    <t>冷凍玉米粒</t>
    <phoneticPr fontId="2" type="noConversion"/>
  </si>
  <si>
    <t>鮮奶油</t>
    <phoneticPr fontId="2" type="noConversion"/>
  </si>
  <si>
    <t>4瓶</t>
    <phoneticPr fontId="2" type="noConversion"/>
  </si>
  <si>
    <t>8包</t>
    <phoneticPr fontId="2" type="noConversion"/>
  </si>
  <si>
    <t>1包</t>
    <phoneticPr fontId="2" type="noConversion"/>
  </si>
  <si>
    <t>2罐</t>
    <phoneticPr fontId="2" type="noConversion"/>
  </si>
  <si>
    <t>番茄肉醬麵</t>
    <phoneticPr fontId="2" type="noConversion"/>
  </si>
  <si>
    <t>義大利筆管麵</t>
    <phoneticPr fontId="2" type="noConversion"/>
  </si>
  <si>
    <t>番茄糊(大)</t>
    <phoneticPr fontId="2" type="noConversion"/>
  </si>
  <si>
    <t>絞肉</t>
    <phoneticPr fontId="2" type="noConversion"/>
  </si>
  <si>
    <t>20斤</t>
    <phoneticPr fontId="2" type="noConversion"/>
  </si>
  <si>
    <t>80包</t>
    <phoneticPr fontId="2" type="noConversion"/>
  </si>
  <si>
    <t>豉汁排骨</t>
    <phoneticPr fontId="2" type="noConversion"/>
  </si>
  <si>
    <t>軟骨排</t>
    <phoneticPr fontId="2" type="noConversion"/>
  </si>
  <si>
    <t>60斤</t>
    <phoneticPr fontId="2" type="noConversion"/>
  </si>
  <si>
    <t>青椒豆干</t>
    <phoneticPr fontId="2" type="noConversion"/>
  </si>
  <si>
    <t>4X4豆干</t>
    <phoneticPr fontId="2" type="noConversion"/>
  </si>
  <si>
    <t>青椒切絲</t>
    <phoneticPr fontId="2" type="noConversion"/>
  </si>
  <si>
    <t>絲瓜麵線</t>
    <phoneticPr fontId="2" type="noConversion"/>
  </si>
  <si>
    <t>去皮絲瓜</t>
    <phoneticPr fontId="2" type="noConversion"/>
  </si>
  <si>
    <t>50斤</t>
    <phoneticPr fontId="2" type="noConversion"/>
  </si>
  <si>
    <t>檸檬愛玉</t>
    <phoneticPr fontId="2" type="noConversion"/>
  </si>
  <si>
    <t>檸檬汁</t>
    <phoneticPr fontId="2" type="noConversion"/>
  </si>
  <si>
    <t>愛玉</t>
    <phoneticPr fontId="2" type="noConversion"/>
  </si>
  <si>
    <t>2瓶</t>
    <phoneticPr fontId="2" type="noConversion"/>
  </si>
  <si>
    <t>奶香雞肉</t>
    <phoneticPr fontId="2" type="noConversion"/>
  </si>
  <si>
    <t>椒鹽甜不辣條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</si>
  <si>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</si>
  <si>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</si>
  <si>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</si>
  <si>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5斤</t>
    <phoneticPr fontId="2" type="noConversion"/>
  </si>
  <si>
    <t>12斤</t>
    <phoneticPr fontId="2" type="noConversion"/>
  </si>
  <si>
    <t>甜不辣條</t>
    <phoneticPr fontId="2" type="noConversion"/>
  </si>
  <si>
    <t>1盒</t>
    <phoneticPr fontId="2" type="noConversion"/>
  </si>
  <si>
    <t>胡椒鹽</t>
    <phoneticPr fontId="2" type="noConversion"/>
  </si>
  <si>
    <t>骨腿丁</t>
    <phoneticPr fontId="2" type="noConversion"/>
  </si>
  <si>
    <t>冷凍青花菜</t>
    <phoneticPr fontId="2" type="noConversion"/>
  </si>
  <si>
    <t>無鹽奶油</t>
    <phoneticPr fontId="2" type="noConversion"/>
  </si>
  <si>
    <t>1塊</t>
    <phoneticPr fontId="2" type="noConversion"/>
  </si>
  <si>
    <t>豆豉</t>
    <phoneticPr fontId="2" type="noConversion"/>
  </si>
  <si>
    <t>去皮洋蔥</t>
    <phoneticPr fontId="2" type="noConversion"/>
  </si>
  <si>
    <t>8斤</t>
    <phoneticPr fontId="2" type="noConversion"/>
  </si>
  <si>
    <t>訂貨數量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</si>
  <si>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</si>
  <si>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</si>
  <si>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</si>
  <si>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蒜仁</t>
    <phoneticPr fontId="2" type="noConversion"/>
  </si>
  <si>
    <t>青蔥</t>
    <phoneticPr fontId="2" type="noConversion"/>
  </si>
  <si>
    <t>杏鮑菇</t>
    <phoneticPr fontId="2" type="noConversion"/>
  </si>
  <si>
    <t>洗選蛋</t>
    <phoneticPr fontId="2" type="noConversion"/>
  </si>
  <si>
    <t>桶</t>
    <phoneticPr fontId="2" type="noConversion"/>
  </si>
  <si>
    <t>斤</t>
    <phoneticPr fontId="2" type="noConversion"/>
  </si>
  <si>
    <t>乾豆芽</t>
    <phoneticPr fontId="2" type="noConversion"/>
  </si>
  <si>
    <t>盤</t>
    <phoneticPr fontId="2" type="noConversion"/>
  </si>
  <si>
    <t>香蕉</t>
    <phoneticPr fontId="2" type="noConversion"/>
  </si>
  <si>
    <t>斤</t>
  </si>
  <si>
    <t>罐</t>
  </si>
  <si>
    <t>香蕉</t>
    <phoneticPr fontId="2" type="noConversion"/>
  </si>
  <si>
    <t>220根</t>
    <phoneticPr fontId="2" type="noConversion"/>
  </si>
  <si>
    <t>斤</t>
    <phoneticPr fontId="2" type="noConversion"/>
  </si>
  <si>
    <t>五穀米</t>
    <phoneticPr fontId="2" type="noConversion"/>
  </si>
  <si>
    <t>三好米</t>
    <phoneticPr fontId="2" type="noConversion"/>
  </si>
  <si>
    <t>沙拉油</t>
    <phoneticPr fontId="2" type="noConversion"/>
  </si>
  <si>
    <t>立大前腿肉片</t>
    <phoneticPr fontId="2" type="noConversion"/>
  </si>
  <si>
    <t>盤</t>
    <phoneticPr fontId="2" type="noConversion"/>
  </si>
  <si>
    <t>油菜</t>
    <phoneticPr fontId="2" type="noConversion"/>
  </si>
  <si>
    <t>油麵</t>
    <phoneticPr fontId="2" type="noConversion"/>
  </si>
  <si>
    <t>非合約項目</t>
    <phoneticPr fontId="2" type="noConversion"/>
  </si>
  <si>
    <t>香蕉</t>
    <phoneticPr fontId="2" type="noConversion"/>
  </si>
  <si>
    <t>240條</t>
    <phoneticPr fontId="2" type="noConversion"/>
  </si>
  <si>
    <t>斤</t>
    <phoneticPr fontId="2" type="noConversion"/>
  </si>
  <si>
    <t>檸檬</t>
    <phoneticPr fontId="2" type="noConversion"/>
  </si>
  <si>
    <t>包</t>
    <phoneticPr fontId="2" type="noConversion"/>
  </si>
  <si>
    <t>阿在伯水餃</t>
    <phoneticPr fontId="2" type="noConversion"/>
  </si>
  <si>
    <t>紅蘿蔔</t>
    <phoneticPr fontId="2" type="noConversion"/>
  </si>
  <si>
    <t>鮮木耳</t>
    <phoneticPr fontId="2" type="noConversion"/>
  </si>
  <si>
    <t>桶</t>
    <phoneticPr fontId="2" type="noConversion"/>
  </si>
  <si>
    <t>盒</t>
    <phoneticPr fontId="2" type="noConversion"/>
  </si>
  <si>
    <t>罐</t>
    <phoneticPr fontId="2" type="noConversion"/>
  </si>
  <si>
    <t>瓶</t>
    <phoneticPr fontId="2" type="noConversion"/>
  </si>
  <si>
    <t>包</t>
    <phoneticPr fontId="2" type="noConversion"/>
  </si>
  <si>
    <t>斤</t>
    <phoneticPr fontId="2" type="noConversion"/>
  </si>
  <si>
    <t>桶</t>
    <phoneticPr fontId="2" type="noConversion"/>
  </si>
  <si>
    <t>高麗菜</t>
    <phoneticPr fontId="2" type="noConversion"/>
  </si>
  <si>
    <t>240條</t>
    <phoneticPr fontId="2" type="noConversion"/>
  </si>
  <si>
    <t>香蕉</t>
    <phoneticPr fontId="2" type="noConversion"/>
  </si>
  <si>
    <t>罐</t>
    <phoneticPr fontId="2" type="noConversion"/>
  </si>
  <si>
    <t>三杯杏鮑菇</t>
    <phoneticPr fontId="2" type="noConversion"/>
  </si>
  <si>
    <t>斤</t>
    <phoneticPr fontId="2" type="noConversion"/>
  </si>
  <si>
    <t>乾豆芽</t>
    <phoneticPr fontId="2" type="noConversion"/>
  </si>
  <si>
    <t>香蕉</t>
    <phoneticPr fontId="2" type="noConversion"/>
  </si>
  <si>
    <t>220條</t>
    <phoneticPr fontId="2" type="noConversion"/>
  </si>
  <si>
    <t>烏龍麵</t>
    <phoneticPr fontId="2" type="noConversion"/>
  </si>
  <si>
    <t>海帶捲</t>
    <phoneticPr fontId="2" type="noConversion"/>
  </si>
  <si>
    <t>滷蛋</t>
    <phoneticPr fontId="2" type="noConversion"/>
  </si>
  <si>
    <t>個</t>
    <phoneticPr fontId="2" type="noConversion"/>
  </si>
  <si>
    <t>絞肉</t>
    <phoneticPr fontId="2" type="noConversion"/>
  </si>
  <si>
    <t>豆干丁</t>
    <phoneticPr fontId="2" type="noConversion"/>
  </si>
  <si>
    <t>香油</t>
    <phoneticPr fontId="2" type="noConversion"/>
  </si>
  <si>
    <t>桶</t>
    <phoneticPr fontId="2" type="noConversion"/>
  </si>
  <si>
    <t>素蠔油</t>
    <phoneticPr fontId="2" type="noConversion"/>
  </si>
  <si>
    <t>紅蘿蔔</t>
    <phoneticPr fontId="2" type="noConversion"/>
  </si>
  <si>
    <t>蒜仁</t>
    <phoneticPr fontId="2" type="noConversion"/>
  </si>
  <si>
    <t>台糖二砂</t>
    <phoneticPr fontId="2" type="noConversion"/>
  </si>
  <si>
    <t>袋</t>
    <phoneticPr fontId="2" type="noConversion"/>
  </si>
  <si>
    <t>檸檬</t>
    <phoneticPr fontId="2" type="noConversion"/>
  </si>
  <si>
    <t>10個</t>
    <phoneticPr fontId="2" type="noConversion"/>
  </si>
  <si>
    <t>洗選蛋</t>
    <phoneticPr fontId="2" type="noConversion"/>
  </si>
  <si>
    <t>包</t>
    <phoneticPr fontId="2" type="noConversion"/>
  </si>
  <si>
    <t>瓶</t>
    <phoneticPr fontId="2" type="noConversion"/>
  </si>
  <si>
    <t>條</t>
    <phoneticPr fontId="2" type="noConversion"/>
  </si>
  <si>
    <t>盒</t>
    <phoneticPr fontId="2" type="noConversion"/>
  </si>
  <si>
    <t>冷凍四季豆</t>
    <phoneticPr fontId="2" type="noConversion"/>
  </si>
  <si>
    <t>週三麵食/其他</t>
    <phoneticPr fontId="2" type="noConversion"/>
  </si>
  <si>
    <t>葡萄汁</t>
    <phoneticPr fontId="2" type="noConversion"/>
  </si>
  <si>
    <t>鍋貼</t>
    <phoneticPr fontId="2" type="noConversion"/>
  </si>
  <si>
    <t>三花奶精</t>
    <phoneticPr fontId="2" type="noConversion"/>
  </si>
  <si>
    <t>高鮮味素</t>
    <phoneticPr fontId="2" type="noConversion"/>
  </si>
  <si>
    <t>辣豆瓣</t>
    <phoneticPr fontId="2" type="noConversion"/>
  </si>
  <si>
    <t>檸檬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</si>
</sst>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0" borderId="3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" fontId="3" fillId="3" borderId="4" xfId="0" applyNumberFormat="1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topLeftCell="A27" workbookViewId="0">
      <selection activeCell="H44" sqref="H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7" t="s">
        <v>21</v>
      </c>
      <c r="B1" s="48"/>
      <c r="C1" s="48"/>
      <c r="D1" s="48"/>
      <c r="E1" s="48"/>
      <c r="F1" s="48"/>
      <c r="G1" s="48"/>
      <c r="H1" s="49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9" t="s">
        <v>120</v>
      </c>
      <c r="F2" s="9"/>
      <c r="G2" s="1" t="s">
        <v>4</v>
      </c>
      <c r="H2" s="1" t="s">
        <v>5</v>
      </c>
    </row>
    <row r="3" spans="1:11" x14ac:dyDescent="0.25">
      <c r="A3" s="37" t="s">
        <v>26</v>
      </c>
      <c r="B3" s="1" t="s">
        <v>27</v>
      </c>
      <c r="C3" s="1" t="s">
        <v>28</v>
      </c>
      <c r="D3" s="1">
        <v>1164</v>
      </c>
      <c r="E3" s="9">
        <v>4</v>
      </c>
      <c r="F3" s="9"/>
      <c r="G3" s="1">
        <f>E3*D3</f>
        <v>4656</v>
      </c>
      <c r="H3" s="1"/>
    </row>
    <row r="4" spans="1:11" x14ac:dyDescent="0.25">
      <c r="A4" s="37"/>
      <c r="B4" s="1"/>
      <c r="C4" s="1"/>
      <c r="D4" s="1"/>
      <c r="E4" s="9"/>
      <c r="F4" s="9"/>
      <c r="G4" s="1"/>
      <c r="H4" s="1"/>
    </row>
    <row r="5" spans="1:11" x14ac:dyDescent="0.25">
      <c r="A5" s="37"/>
      <c r="B5" s="1"/>
      <c r="C5" s="1"/>
      <c r="D5" s="1"/>
      <c r="E5" s="9"/>
      <c r="F5" s="9"/>
      <c r="G5" s="1"/>
      <c r="H5" s="1"/>
    </row>
    <row r="6" spans="1:11" x14ac:dyDescent="0.25">
      <c r="A6" s="37"/>
      <c r="B6" s="1"/>
      <c r="C6" s="1"/>
      <c r="D6" s="1"/>
      <c r="E6" s="11"/>
      <c r="F6" s="11"/>
      <c r="G6" s="2"/>
      <c r="H6" s="1"/>
    </row>
    <row r="7" spans="1:11" x14ac:dyDescent="0.25">
      <c r="A7" s="37"/>
      <c r="B7" s="38" t="s">
        <v>6</v>
      </c>
      <c r="C7" s="39"/>
      <c r="D7" s="40"/>
      <c r="E7" s="11"/>
      <c r="F7" s="11"/>
      <c r="G7" s="19">
        <f>SUM(G3:G6)</f>
        <v>4656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9" t="s">
        <v>120</v>
      </c>
      <c r="F8" s="9"/>
      <c r="G8" s="1" t="s">
        <v>4</v>
      </c>
      <c r="H8" s="1" t="s">
        <v>5</v>
      </c>
      <c r="K8" s="3"/>
    </row>
    <row r="9" spans="1:11" x14ac:dyDescent="0.25">
      <c r="A9" s="37" t="s">
        <v>29</v>
      </c>
      <c r="B9" s="1" t="s">
        <v>30</v>
      </c>
      <c r="C9" s="1" t="s">
        <v>35</v>
      </c>
      <c r="D9" s="1">
        <v>150</v>
      </c>
      <c r="E9" s="9">
        <v>6</v>
      </c>
      <c r="F9" s="9" t="s">
        <v>131</v>
      </c>
      <c r="G9" s="9">
        <f>E9*D9</f>
        <v>900</v>
      </c>
      <c r="H9" s="1"/>
      <c r="K9" s="4"/>
    </row>
    <row r="10" spans="1:11" x14ac:dyDescent="0.25">
      <c r="A10" s="37"/>
      <c r="B10" s="1" t="s">
        <v>31</v>
      </c>
      <c r="C10" s="1" t="s">
        <v>36</v>
      </c>
      <c r="D10" s="1">
        <v>85</v>
      </c>
      <c r="E10" s="9">
        <v>4</v>
      </c>
      <c r="F10" s="9" t="s">
        <v>122</v>
      </c>
      <c r="G10" s="1">
        <f>E10*D10</f>
        <v>340</v>
      </c>
      <c r="H10" s="1"/>
      <c r="K10" s="4"/>
    </row>
    <row r="11" spans="1:11" x14ac:dyDescent="0.25">
      <c r="A11" s="37"/>
      <c r="B11" s="1" t="s">
        <v>32</v>
      </c>
      <c r="C11" s="1" t="s">
        <v>37</v>
      </c>
      <c r="D11" s="1">
        <v>12.54</v>
      </c>
      <c r="E11" s="9">
        <v>2</v>
      </c>
      <c r="F11" s="9" t="s">
        <v>122</v>
      </c>
      <c r="G11" s="17">
        <f t="shared" ref="G11:G13" si="0">E11*D11</f>
        <v>25.08</v>
      </c>
      <c r="H11" s="1"/>
      <c r="K11" s="4"/>
    </row>
    <row r="12" spans="1:11" x14ac:dyDescent="0.25">
      <c r="A12" s="37"/>
      <c r="B12" s="1" t="s">
        <v>33</v>
      </c>
      <c r="C12" s="1" t="s">
        <v>38</v>
      </c>
      <c r="D12" s="1">
        <v>27.54</v>
      </c>
      <c r="E12" s="9">
        <v>6</v>
      </c>
      <c r="F12" s="9" t="s">
        <v>122</v>
      </c>
      <c r="G12" s="17">
        <f t="shared" si="0"/>
        <v>165.24</v>
      </c>
      <c r="H12" s="1"/>
      <c r="K12" s="4"/>
    </row>
    <row r="13" spans="1:11" x14ac:dyDescent="0.25">
      <c r="A13" s="37"/>
      <c r="B13" s="1" t="s">
        <v>34</v>
      </c>
      <c r="C13" s="1" t="s">
        <v>39</v>
      </c>
      <c r="D13" s="1">
        <v>500</v>
      </c>
      <c r="E13" s="9">
        <v>2</v>
      </c>
      <c r="F13" s="9" t="s">
        <v>128</v>
      </c>
      <c r="G13" s="9">
        <f t="shared" si="0"/>
        <v>1000</v>
      </c>
      <c r="H13" s="1"/>
      <c r="K13" s="5"/>
    </row>
    <row r="14" spans="1:11" x14ac:dyDescent="0.25">
      <c r="A14" s="37"/>
      <c r="B14" s="38" t="s">
        <v>6</v>
      </c>
      <c r="C14" s="39"/>
      <c r="D14" s="40"/>
      <c r="E14" s="11"/>
      <c r="F14" s="11"/>
      <c r="G14" s="18">
        <f>SUM(G9:G13)</f>
        <v>2430.3199999999997</v>
      </c>
      <c r="H14" s="1"/>
    </row>
    <row r="15" spans="1:11" x14ac:dyDescent="0.25">
      <c r="A15" s="1" t="s">
        <v>11</v>
      </c>
      <c r="B15" s="1" t="s">
        <v>1</v>
      </c>
      <c r="C15" s="1" t="s">
        <v>2</v>
      </c>
      <c r="D15" s="1" t="s">
        <v>3</v>
      </c>
      <c r="E15" s="9" t="s">
        <v>120</v>
      </c>
      <c r="F15" s="9"/>
      <c r="G15" s="1" t="s">
        <v>4</v>
      </c>
      <c r="H15" s="1" t="s">
        <v>5</v>
      </c>
    </row>
    <row r="16" spans="1:11" x14ac:dyDescent="0.25">
      <c r="A16" s="37" t="s">
        <v>40</v>
      </c>
      <c r="B16" s="1" t="s">
        <v>41</v>
      </c>
      <c r="C16" s="1" t="s">
        <v>45</v>
      </c>
      <c r="D16" s="1">
        <v>93</v>
      </c>
      <c r="E16" s="9">
        <v>10</v>
      </c>
      <c r="F16" s="9" t="s">
        <v>129</v>
      </c>
      <c r="G16" s="17">
        <f>E16*D16</f>
        <v>930</v>
      </c>
      <c r="H16" s="1"/>
    </row>
    <row r="17" spans="1:8" x14ac:dyDescent="0.25">
      <c r="A17" s="37"/>
      <c r="B17" s="1" t="s">
        <v>42</v>
      </c>
      <c r="C17" s="1" t="s">
        <v>38</v>
      </c>
      <c r="D17" s="1">
        <v>135</v>
      </c>
      <c r="E17" s="9">
        <v>6</v>
      </c>
      <c r="F17" s="9" t="s">
        <v>129</v>
      </c>
      <c r="G17" s="17">
        <f t="shared" ref="G17:G19" si="1">E17*D17</f>
        <v>810</v>
      </c>
      <c r="H17" s="1"/>
    </row>
    <row r="18" spans="1:8" x14ac:dyDescent="0.25">
      <c r="A18" s="37"/>
      <c r="B18" s="1" t="s">
        <v>43</v>
      </c>
      <c r="C18" s="1" t="s">
        <v>37</v>
      </c>
      <c r="D18" s="1">
        <v>61.2</v>
      </c>
      <c r="E18" s="9">
        <v>2</v>
      </c>
      <c r="F18" s="9" t="s">
        <v>129</v>
      </c>
      <c r="G18" s="17">
        <f t="shared" si="1"/>
        <v>122.4</v>
      </c>
      <c r="H18" s="1"/>
    </row>
    <row r="19" spans="1:8" x14ac:dyDescent="0.25">
      <c r="A19" s="37"/>
      <c r="B19" s="1" t="s">
        <v>44</v>
      </c>
      <c r="C19" s="1" t="s">
        <v>37</v>
      </c>
      <c r="D19" s="1">
        <v>12.54</v>
      </c>
      <c r="E19" s="11">
        <v>2</v>
      </c>
      <c r="F19" s="9" t="s">
        <v>129</v>
      </c>
      <c r="G19" s="17">
        <f t="shared" si="1"/>
        <v>25.08</v>
      </c>
      <c r="H19" s="1"/>
    </row>
    <row r="20" spans="1:8" x14ac:dyDescent="0.25">
      <c r="A20" s="37"/>
      <c r="B20" s="38" t="s">
        <v>6</v>
      </c>
      <c r="C20" s="39"/>
      <c r="D20" s="40"/>
      <c r="E20" s="11"/>
      <c r="F20" s="11"/>
      <c r="G20" s="18">
        <f>SUM(G16:G19)</f>
        <v>1887.48</v>
      </c>
      <c r="H20" s="1"/>
    </row>
    <row r="21" spans="1:8" x14ac:dyDescent="0.25">
      <c r="A21" s="6" t="s">
        <v>14</v>
      </c>
      <c r="B21" s="1" t="s">
        <v>1</v>
      </c>
      <c r="C21" s="1" t="s">
        <v>2</v>
      </c>
      <c r="D21" s="1" t="s">
        <v>3</v>
      </c>
      <c r="E21" s="9" t="s">
        <v>120</v>
      </c>
      <c r="F21" s="9"/>
      <c r="G21" s="1" t="s">
        <v>4</v>
      </c>
      <c r="H21" s="1" t="s">
        <v>5</v>
      </c>
    </row>
    <row r="22" spans="1:8" x14ac:dyDescent="0.25">
      <c r="A22" s="37"/>
      <c r="B22" s="9" t="s">
        <v>121</v>
      </c>
      <c r="C22" s="9"/>
      <c r="D22" s="9">
        <v>150</v>
      </c>
      <c r="E22" s="16">
        <v>2</v>
      </c>
      <c r="F22" s="9" t="s">
        <v>122</v>
      </c>
      <c r="G22" s="17">
        <f>E22*D22</f>
        <v>300</v>
      </c>
      <c r="H22" s="1"/>
    </row>
    <row r="23" spans="1:8" x14ac:dyDescent="0.25">
      <c r="A23" s="37"/>
      <c r="B23" s="9" t="s">
        <v>123</v>
      </c>
      <c r="C23" s="9"/>
      <c r="D23" s="9">
        <v>58.5</v>
      </c>
      <c r="E23" s="16">
        <v>0.5</v>
      </c>
      <c r="F23" s="9" t="s">
        <v>122</v>
      </c>
      <c r="G23" s="17">
        <f t="shared" ref="G23:G27" si="2">E23*D23</f>
        <v>29.25</v>
      </c>
      <c r="H23" s="1"/>
    </row>
    <row r="24" spans="1:8" x14ac:dyDescent="0.25">
      <c r="A24" s="37"/>
      <c r="B24" s="9" t="s">
        <v>124</v>
      </c>
      <c r="C24" s="9"/>
      <c r="D24" s="9">
        <v>132.6</v>
      </c>
      <c r="E24" s="16">
        <v>8</v>
      </c>
      <c r="F24" s="9" t="s">
        <v>122</v>
      </c>
      <c r="G24" s="17">
        <f t="shared" si="2"/>
        <v>1060.8</v>
      </c>
      <c r="H24" s="1"/>
    </row>
    <row r="25" spans="1:8" x14ac:dyDescent="0.25">
      <c r="A25" s="37"/>
      <c r="B25" s="9" t="s">
        <v>125</v>
      </c>
      <c r="C25" s="9"/>
      <c r="D25" s="9">
        <v>54</v>
      </c>
      <c r="E25" s="16">
        <v>4</v>
      </c>
      <c r="F25" s="9" t="s">
        <v>122</v>
      </c>
      <c r="G25" s="17">
        <f t="shared" si="2"/>
        <v>216</v>
      </c>
      <c r="H25" s="9"/>
    </row>
    <row r="26" spans="1:8" x14ac:dyDescent="0.25">
      <c r="A26" s="37"/>
      <c r="B26" s="10" t="s">
        <v>126</v>
      </c>
      <c r="C26" s="9"/>
      <c r="D26" s="9">
        <v>75</v>
      </c>
      <c r="E26" s="16">
        <v>4</v>
      </c>
      <c r="F26" s="9" t="s">
        <v>122</v>
      </c>
      <c r="G26" s="17">
        <f t="shared" si="2"/>
        <v>300</v>
      </c>
      <c r="H26" s="9"/>
    </row>
    <row r="27" spans="1:8" x14ac:dyDescent="0.25">
      <c r="A27" s="37"/>
      <c r="B27" s="9" t="s">
        <v>127</v>
      </c>
      <c r="C27" s="9"/>
      <c r="D27" s="9">
        <v>42</v>
      </c>
      <c r="E27" s="16">
        <v>20</v>
      </c>
      <c r="F27" s="9" t="s">
        <v>122</v>
      </c>
      <c r="G27" s="17">
        <f t="shared" si="2"/>
        <v>840</v>
      </c>
      <c r="H27" s="9"/>
    </row>
    <row r="28" spans="1:8" x14ac:dyDescent="0.25">
      <c r="A28" s="37"/>
      <c r="B28" s="9"/>
      <c r="C28" s="9"/>
      <c r="D28" s="9"/>
      <c r="E28" s="9"/>
      <c r="F28" s="9"/>
      <c r="G28" s="1"/>
      <c r="H28" s="1"/>
    </row>
    <row r="29" spans="1:8" x14ac:dyDescent="0.25">
      <c r="A29" s="37"/>
      <c r="B29" s="38" t="s">
        <v>6</v>
      </c>
      <c r="C29" s="39"/>
      <c r="D29" s="40"/>
      <c r="E29" s="11"/>
      <c r="F29" s="11"/>
      <c r="G29" s="18">
        <f>SUM(G22:G28)</f>
        <v>2746.05</v>
      </c>
      <c r="H29" s="1"/>
    </row>
    <row r="30" spans="1:8" x14ac:dyDescent="0.25">
      <c r="A30" s="1" t="s">
        <v>15</v>
      </c>
      <c r="B30" s="9" t="s">
        <v>1</v>
      </c>
      <c r="C30" s="9" t="s">
        <v>2</v>
      </c>
      <c r="D30" s="9" t="s">
        <v>3</v>
      </c>
      <c r="E30" s="9" t="s">
        <v>120</v>
      </c>
      <c r="F30" s="9"/>
      <c r="G30" s="1" t="s">
        <v>4</v>
      </c>
      <c r="H30" s="1" t="s">
        <v>5</v>
      </c>
    </row>
    <row r="31" spans="1:8" x14ac:dyDescent="0.25">
      <c r="A31" s="37" t="s">
        <v>46</v>
      </c>
      <c r="B31" s="1" t="s">
        <v>47</v>
      </c>
      <c r="C31" s="1" t="s">
        <v>45</v>
      </c>
      <c r="D31" s="1">
        <v>12.6</v>
      </c>
      <c r="E31" s="9">
        <v>11</v>
      </c>
      <c r="F31" s="9" t="s">
        <v>122</v>
      </c>
      <c r="G31" s="17">
        <f>E31*D31</f>
        <v>138.6</v>
      </c>
      <c r="H31" s="1"/>
    </row>
    <row r="32" spans="1:8" x14ac:dyDescent="0.25">
      <c r="A32" s="37"/>
      <c r="B32" s="1" t="s">
        <v>48</v>
      </c>
      <c r="C32" s="1" t="s">
        <v>49</v>
      </c>
      <c r="D32" s="1">
        <v>98.4</v>
      </c>
      <c r="E32" s="9">
        <v>10</v>
      </c>
      <c r="F32" s="9" t="s">
        <v>122</v>
      </c>
      <c r="G32" s="17">
        <f>E32*D32</f>
        <v>984</v>
      </c>
      <c r="H32" s="1"/>
    </row>
    <row r="33" spans="1:8" x14ac:dyDescent="0.25">
      <c r="A33" s="37"/>
      <c r="B33" s="38" t="s">
        <v>6</v>
      </c>
      <c r="C33" s="39"/>
      <c r="D33" s="40"/>
      <c r="E33" s="11"/>
      <c r="F33" s="11"/>
      <c r="G33" s="18">
        <f>SUM(G31:G32)</f>
        <v>1122.5999999999999</v>
      </c>
      <c r="H33" s="1"/>
    </row>
    <row r="34" spans="1:8" x14ac:dyDescent="0.25">
      <c r="A34" s="1" t="s">
        <v>18</v>
      </c>
      <c r="B34" s="1" t="s">
        <v>1</v>
      </c>
      <c r="C34" s="1" t="s">
        <v>2</v>
      </c>
      <c r="D34" s="1" t="s">
        <v>3</v>
      </c>
      <c r="E34" s="9" t="s">
        <v>120</v>
      </c>
      <c r="F34" s="11"/>
      <c r="G34" s="2" t="s">
        <v>4</v>
      </c>
      <c r="H34" s="1" t="s">
        <v>5</v>
      </c>
    </row>
    <row r="35" spans="1:8" x14ac:dyDescent="0.25">
      <c r="A35" s="44"/>
      <c r="B35" s="1" t="s">
        <v>130</v>
      </c>
      <c r="C35" s="1"/>
      <c r="D35" s="1">
        <v>30</v>
      </c>
      <c r="E35" s="9">
        <v>65</v>
      </c>
      <c r="F35" s="9" t="s">
        <v>129</v>
      </c>
      <c r="G35" s="1">
        <f>E35*D35</f>
        <v>1950</v>
      </c>
      <c r="H35" s="1"/>
    </row>
    <row r="36" spans="1:8" x14ac:dyDescent="0.25">
      <c r="A36" s="45"/>
      <c r="B36" s="1" t="s">
        <v>132</v>
      </c>
      <c r="C36" s="1"/>
      <c r="D36" s="1">
        <v>17.28</v>
      </c>
      <c r="E36" s="24">
        <v>58</v>
      </c>
      <c r="F36" s="13" t="s">
        <v>122</v>
      </c>
      <c r="G36" s="13">
        <f>E36*D36</f>
        <v>1002.24</v>
      </c>
      <c r="H36" s="1"/>
    </row>
    <row r="37" spans="1:8" x14ac:dyDescent="0.25">
      <c r="A37" s="46"/>
      <c r="B37" s="38" t="s">
        <v>6</v>
      </c>
      <c r="C37" s="39"/>
      <c r="D37" s="40"/>
      <c r="E37" s="11"/>
      <c r="F37" s="11"/>
      <c r="G37" s="19">
        <f>SUM(G35:G36)</f>
        <v>2952.24</v>
      </c>
      <c r="H37" s="7"/>
    </row>
    <row r="38" spans="1:8" x14ac:dyDescent="0.25">
      <c r="A38" s="8" t="s">
        <v>19</v>
      </c>
      <c r="B38" s="1" t="s">
        <v>1</v>
      </c>
      <c r="C38" s="1" t="s">
        <v>2</v>
      </c>
      <c r="D38" s="1" t="s">
        <v>3</v>
      </c>
      <c r="E38" s="9" t="s">
        <v>120</v>
      </c>
      <c r="F38" s="9"/>
      <c r="G38" s="1" t="s">
        <v>4</v>
      </c>
      <c r="H38" s="1"/>
    </row>
    <row r="39" spans="1:8" x14ac:dyDescent="0.25">
      <c r="A39" s="37"/>
      <c r="B39" s="1"/>
      <c r="C39" s="1"/>
      <c r="D39" s="1"/>
      <c r="E39" s="9"/>
      <c r="F39" s="9"/>
      <c r="G39" s="1"/>
      <c r="H39" s="1"/>
    </row>
    <row r="40" spans="1:8" x14ac:dyDescent="0.25">
      <c r="A40" s="37"/>
      <c r="B40" s="1"/>
      <c r="C40" s="1"/>
      <c r="D40" s="1"/>
      <c r="E40" s="9"/>
      <c r="F40" s="9"/>
      <c r="G40" s="1"/>
      <c r="H40" s="1"/>
    </row>
    <row r="41" spans="1:8" x14ac:dyDescent="0.25">
      <c r="A41" s="37"/>
      <c r="B41" s="1"/>
      <c r="C41" s="1"/>
      <c r="D41" s="1"/>
      <c r="E41" s="9"/>
      <c r="F41" s="9"/>
      <c r="G41" s="1"/>
      <c r="H41" s="1"/>
    </row>
    <row r="42" spans="1:8" x14ac:dyDescent="0.25">
      <c r="A42" s="37"/>
      <c r="B42" s="1"/>
      <c r="C42" s="1"/>
      <c r="D42" s="1"/>
      <c r="E42" s="9"/>
      <c r="F42" s="9"/>
      <c r="G42" s="1"/>
      <c r="H42" s="1"/>
    </row>
    <row r="43" spans="1:8" x14ac:dyDescent="0.25">
      <c r="A43" s="37"/>
      <c r="B43" s="38" t="s">
        <v>6</v>
      </c>
      <c r="C43" s="39"/>
      <c r="D43" s="40"/>
      <c r="E43" s="11"/>
      <c r="F43" s="11"/>
      <c r="G43" s="2"/>
      <c r="H43" s="1"/>
    </row>
    <row r="44" spans="1:8" x14ac:dyDescent="0.25">
      <c r="A44" s="1"/>
      <c r="B44" s="41" t="s">
        <v>20</v>
      </c>
      <c r="C44" s="42"/>
      <c r="D44" s="43"/>
      <c r="E44" s="12"/>
      <c r="F44" s="12"/>
      <c r="G44" s="20">
        <f>G37+G33+G29+G20++G7+G14</f>
        <v>15794.689999999999</v>
      </c>
      <c r="H44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9:A43"/>
    <mergeCell ref="B43:D43"/>
    <mergeCell ref="B44:D44"/>
    <mergeCell ref="A22:A29"/>
    <mergeCell ref="B29:D29"/>
    <mergeCell ref="A31:A33"/>
    <mergeCell ref="B33:D33"/>
    <mergeCell ref="A35:A37"/>
    <mergeCell ref="B37:D37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1"/>
  <sheetViews>
    <sheetView topLeftCell="A7" workbookViewId="0">
      <selection activeCell="E21" sqref="E2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7" t="s">
        <v>22</v>
      </c>
      <c r="B1" s="48"/>
      <c r="C1" s="48"/>
      <c r="D1" s="48"/>
      <c r="E1" s="48"/>
      <c r="F1" s="48"/>
      <c r="G1" s="48"/>
      <c r="H1" s="49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13" t="s">
        <v>120</v>
      </c>
      <c r="F2" s="13"/>
      <c r="G2" s="1" t="s">
        <v>4</v>
      </c>
      <c r="H2" s="1" t="s">
        <v>5</v>
      </c>
    </row>
    <row r="3" spans="1:11" x14ac:dyDescent="0.25">
      <c r="A3" s="37" t="s">
        <v>50</v>
      </c>
      <c r="B3" s="1" t="s">
        <v>51</v>
      </c>
      <c r="C3" s="1" t="s">
        <v>55</v>
      </c>
      <c r="D3" s="1">
        <v>99</v>
      </c>
      <c r="E3" s="13">
        <v>45</v>
      </c>
      <c r="F3" s="13" t="s">
        <v>133</v>
      </c>
      <c r="G3" s="1">
        <f>E3*D3</f>
        <v>4455</v>
      </c>
      <c r="H3" s="1" t="s">
        <v>141</v>
      </c>
    </row>
    <row r="4" spans="1:11" x14ac:dyDescent="0.25">
      <c r="A4" s="37"/>
      <c r="B4" s="1" t="s">
        <v>52</v>
      </c>
      <c r="C4" s="1" t="s">
        <v>54</v>
      </c>
      <c r="D4" s="1">
        <v>210</v>
      </c>
      <c r="E4" s="13">
        <v>1</v>
      </c>
      <c r="F4" s="13" t="s">
        <v>134</v>
      </c>
      <c r="G4" s="13">
        <f t="shared" ref="G4:G5" si="0">E4*D4</f>
        <v>210</v>
      </c>
      <c r="H4" s="25" t="s">
        <v>145</v>
      </c>
    </row>
    <row r="5" spans="1:11" x14ac:dyDescent="0.25">
      <c r="A5" s="37"/>
      <c r="B5" s="1" t="s">
        <v>33</v>
      </c>
      <c r="C5" s="1" t="s">
        <v>53</v>
      </c>
      <c r="D5" s="1">
        <v>27.54</v>
      </c>
      <c r="E5" s="13">
        <v>8</v>
      </c>
      <c r="F5" s="13" t="s">
        <v>133</v>
      </c>
      <c r="G5" s="17">
        <f t="shared" si="0"/>
        <v>220.32</v>
      </c>
      <c r="H5" s="1"/>
    </row>
    <row r="6" spans="1:11" x14ac:dyDescent="0.25">
      <c r="A6" s="37"/>
      <c r="B6" s="1"/>
      <c r="C6" s="1"/>
      <c r="D6" s="1"/>
      <c r="E6" s="14"/>
      <c r="F6" s="14"/>
      <c r="G6" s="2"/>
      <c r="H6" s="1"/>
    </row>
    <row r="7" spans="1:11" x14ac:dyDescent="0.25">
      <c r="A7" s="37"/>
      <c r="B7" s="38" t="s">
        <v>6</v>
      </c>
      <c r="C7" s="39"/>
      <c r="D7" s="40"/>
      <c r="E7" s="14"/>
      <c r="F7" s="14"/>
      <c r="G7" s="18">
        <f>SUM(G3:G6)</f>
        <v>4885.32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13" t="s">
        <v>120</v>
      </c>
      <c r="F8" s="13"/>
      <c r="G8" s="1" t="s">
        <v>4</v>
      </c>
      <c r="H8" s="1" t="s">
        <v>5</v>
      </c>
      <c r="K8" s="3"/>
    </row>
    <row r="9" spans="1:11" x14ac:dyDescent="0.25">
      <c r="A9" s="37" t="s">
        <v>56</v>
      </c>
      <c r="B9" s="1" t="s">
        <v>57</v>
      </c>
      <c r="C9" s="1" t="s">
        <v>60</v>
      </c>
      <c r="D9" s="1">
        <v>17.100000000000001</v>
      </c>
      <c r="E9" s="13">
        <v>30</v>
      </c>
      <c r="F9" s="13" t="s">
        <v>133</v>
      </c>
      <c r="G9" s="1">
        <f>E9*D9</f>
        <v>513</v>
      </c>
      <c r="H9" s="1"/>
      <c r="K9" s="4"/>
    </row>
    <row r="10" spans="1:11" x14ac:dyDescent="0.25">
      <c r="A10" s="37"/>
      <c r="B10" s="1" t="s">
        <v>58</v>
      </c>
      <c r="C10" s="1" t="s">
        <v>37</v>
      </c>
      <c r="D10" s="1">
        <v>9.9</v>
      </c>
      <c r="E10" s="13">
        <v>2</v>
      </c>
      <c r="F10" s="13" t="s">
        <v>133</v>
      </c>
      <c r="G10" s="17">
        <f t="shared" ref="G10:G11" si="1">E10*D10</f>
        <v>19.8</v>
      </c>
      <c r="H10" s="1"/>
      <c r="K10" s="4"/>
    </row>
    <row r="11" spans="1:11" x14ac:dyDescent="0.25">
      <c r="A11" s="37"/>
      <c r="B11" s="1" t="s">
        <v>59</v>
      </c>
      <c r="C11" s="1" t="s">
        <v>36</v>
      </c>
      <c r="D11" s="1">
        <v>45</v>
      </c>
      <c r="E11" s="13">
        <v>4</v>
      </c>
      <c r="F11" s="13" t="s">
        <v>133</v>
      </c>
      <c r="G11" s="13">
        <f t="shared" si="1"/>
        <v>180</v>
      </c>
      <c r="H11" s="1"/>
      <c r="K11" s="4"/>
    </row>
    <row r="12" spans="1:11" x14ac:dyDescent="0.25">
      <c r="A12" s="37"/>
      <c r="B12" s="1"/>
      <c r="C12" s="1"/>
      <c r="D12" s="1"/>
      <c r="E12" s="13"/>
      <c r="F12" s="13"/>
      <c r="G12" s="1"/>
      <c r="H12" s="1"/>
      <c r="K12" s="4"/>
    </row>
    <row r="13" spans="1:11" x14ac:dyDescent="0.25">
      <c r="A13" s="37"/>
      <c r="B13" s="1"/>
      <c r="C13" s="1"/>
      <c r="D13" s="1"/>
      <c r="E13" s="13"/>
      <c r="F13" s="13"/>
      <c r="G13" s="1"/>
      <c r="H13" s="1"/>
      <c r="K13" s="5"/>
    </row>
    <row r="14" spans="1:11" x14ac:dyDescent="0.25">
      <c r="A14" s="37"/>
      <c r="B14" s="38" t="s">
        <v>6</v>
      </c>
      <c r="C14" s="39"/>
      <c r="D14" s="40"/>
      <c r="E14" s="14"/>
      <c r="F14" s="14"/>
      <c r="G14" s="18">
        <f>SUM(G9:G13)</f>
        <v>712.8</v>
      </c>
      <c r="H14" s="1"/>
    </row>
    <row r="15" spans="1:11" x14ac:dyDescent="0.25">
      <c r="A15" s="1" t="s">
        <v>11</v>
      </c>
      <c r="B15" s="1" t="s">
        <v>1</v>
      </c>
      <c r="C15" s="1" t="s">
        <v>2</v>
      </c>
      <c r="D15" s="1" t="s">
        <v>3</v>
      </c>
      <c r="E15" s="13" t="s">
        <v>120</v>
      </c>
      <c r="F15" s="13"/>
      <c r="G15" s="1" t="s">
        <v>4</v>
      </c>
      <c r="H15" s="1" t="s">
        <v>5</v>
      </c>
    </row>
    <row r="16" spans="1:11" x14ac:dyDescent="0.25">
      <c r="A16" s="37" t="s">
        <v>61</v>
      </c>
      <c r="B16" s="1" t="s">
        <v>62</v>
      </c>
      <c r="C16" s="1" t="s">
        <v>37</v>
      </c>
      <c r="D16" s="1">
        <v>30.6</v>
      </c>
      <c r="E16" s="13">
        <v>2</v>
      </c>
      <c r="F16" s="13" t="s">
        <v>133</v>
      </c>
      <c r="G16" s="17">
        <f>E16*D16</f>
        <v>61.2</v>
      </c>
      <c r="H16" s="1"/>
    </row>
    <row r="17" spans="1:8" x14ac:dyDescent="0.25">
      <c r="A17" s="37"/>
      <c r="B17" s="1" t="s">
        <v>17</v>
      </c>
      <c r="C17" s="1" t="s">
        <v>63</v>
      </c>
      <c r="D17" s="1">
        <v>42</v>
      </c>
      <c r="E17" s="13">
        <v>20</v>
      </c>
      <c r="F17" s="13" t="s">
        <v>133</v>
      </c>
      <c r="G17" s="13">
        <f>E17*D17</f>
        <v>840</v>
      </c>
      <c r="H17" s="1"/>
    </row>
    <row r="18" spans="1:8" x14ac:dyDescent="0.25">
      <c r="A18" s="37"/>
      <c r="B18" s="1"/>
      <c r="C18" s="1"/>
      <c r="D18" s="1"/>
      <c r="E18" s="13"/>
      <c r="F18" s="13"/>
      <c r="G18" s="1"/>
      <c r="H18" s="1"/>
    </row>
    <row r="19" spans="1:8" x14ac:dyDescent="0.25">
      <c r="A19" s="37"/>
      <c r="B19" s="1"/>
      <c r="C19" s="1"/>
      <c r="D19" s="1"/>
      <c r="E19" s="14"/>
      <c r="F19" s="14"/>
      <c r="G19" s="2"/>
      <c r="H19" s="1"/>
    </row>
    <row r="20" spans="1:8" x14ac:dyDescent="0.25">
      <c r="A20" s="37"/>
      <c r="B20" s="38" t="s">
        <v>6</v>
      </c>
      <c r="C20" s="39"/>
      <c r="D20" s="40"/>
      <c r="E20" s="14"/>
      <c r="F20" s="14"/>
      <c r="G20" s="18">
        <f>SUM(G16:G19)</f>
        <v>901.2</v>
      </c>
      <c r="H20" s="1"/>
    </row>
    <row r="21" spans="1:8" x14ac:dyDescent="0.25">
      <c r="A21" s="6" t="s">
        <v>14</v>
      </c>
      <c r="B21" s="1" t="s">
        <v>1</v>
      </c>
      <c r="C21" s="1" t="s">
        <v>2</v>
      </c>
      <c r="D21" s="1" t="s">
        <v>3</v>
      </c>
      <c r="E21" s="13" t="s">
        <v>120</v>
      </c>
      <c r="F21" s="13"/>
      <c r="G21" s="1" t="s">
        <v>4</v>
      </c>
      <c r="H21" s="1" t="s">
        <v>5</v>
      </c>
    </row>
    <row r="22" spans="1:8" x14ac:dyDescent="0.25">
      <c r="A22" s="37"/>
      <c r="B22" s="13" t="s">
        <v>138</v>
      </c>
      <c r="C22" s="13"/>
      <c r="D22" s="13">
        <v>55</v>
      </c>
      <c r="E22" s="13">
        <v>20</v>
      </c>
      <c r="F22" s="13" t="s">
        <v>122</v>
      </c>
      <c r="G22" s="1">
        <f>E22*D22</f>
        <v>1100</v>
      </c>
      <c r="H22" s="1"/>
    </row>
    <row r="23" spans="1:8" x14ac:dyDescent="0.25">
      <c r="A23" s="37"/>
      <c r="B23" s="13" t="s">
        <v>139</v>
      </c>
      <c r="C23" s="13"/>
      <c r="D23" s="13">
        <v>29.38</v>
      </c>
      <c r="E23" s="13">
        <v>100</v>
      </c>
      <c r="F23" s="13" t="s">
        <v>122</v>
      </c>
      <c r="G23" s="13">
        <f t="shared" ref="G23:G24" si="2">E23*D23</f>
        <v>2938</v>
      </c>
      <c r="H23" s="1"/>
    </row>
    <row r="24" spans="1:8" x14ac:dyDescent="0.25">
      <c r="A24" s="37"/>
      <c r="B24" s="13" t="s">
        <v>140</v>
      </c>
      <c r="C24" s="13"/>
      <c r="D24" s="13">
        <v>1188</v>
      </c>
      <c r="E24" s="13">
        <v>2</v>
      </c>
      <c r="F24" s="13" t="s">
        <v>128</v>
      </c>
      <c r="G24" s="13">
        <f t="shared" si="2"/>
        <v>2376</v>
      </c>
      <c r="H24" s="1"/>
    </row>
    <row r="25" spans="1:8" x14ac:dyDescent="0.25">
      <c r="A25" s="37"/>
      <c r="B25" s="1"/>
      <c r="C25" s="1"/>
      <c r="D25" s="1"/>
      <c r="E25" s="13"/>
      <c r="F25" s="13"/>
      <c r="G25" s="1"/>
      <c r="H25" s="1"/>
    </row>
    <row r="26" spans="1:8" x14ac:dyDescent="0.25">
      <c r="A26" s="37"/>
      <c r="B26" s="38" t="s">
        <v>6</v>
      </c>
      <c r="C26" s="39"/>
      <c r="D26" s="40"/>
      <c r="E26" s="14"/>
      <c r="F26" s="14"/>
      <c r="G26" s="19">
        <f>SUM(G22:G25)</f>
        <v>6414</v>
      </c>
      <c r="H26" s="1"/>
    </row>
    <row r="27" spans="1:8" x14ac:dyDescent="0.25">
      <c r="A27" s="1" t="s">
        <v>15</v>
      </c>
      <c r="B27" s="1" t="s">
        <v>1</v>
      </c>
      <c r="C27" s="1" t="s">
        <v>2</v>
      </c>
      <c r="D27" s="1" t="s">
        <v>3</v>
      </c>
      <c r="E27" s="13" t="s">
        <v>120</v>
      </c>
      <c r="F27" s="13"/>
      <c r="G27" s="1" t="s">
        <v>4</v>
      </c>
      <c r="H27" s="1" t="s">
        <v>5</v>
      </c>
    </row>
    <row r="28" spans="1:8" x14ac:dyDescent="0.25">
      <c r="A28" s="37" t="s">
        <v>64</v>
      </c>
      <c r="B28" s="1" t="s">
        <v>65</v>
      </c>
      <c r="C28" s="1"/>
      <c r="D28" s="1"/>
      <c r="E28" s="13"/>
      <c r="F28" s="13"/>
      <c r="G28" s="1"/>
      <c r="H28" s="1" t="s">
        <v>16</v>
      </c>
    </row>
    <row r="29" spans="1:8" x14ac:dyDescent="0.25">
      <c r="A29" s="37"/>
      <c r="B29" s="1" t="s">
        <v>30</v>
      </c>
      <c r="C29" s="1" t="s">
        <v>66</v>
      </c>
      <c r="D29" s="1">
        <v>150</v>
      </c>
      <c r="E29" s="13">
        <v>3</v>
      </c>
      <c r="F29" s="13" t="s">
        <v>142</v>
      </c>
      <c r="G29" s="1">
        <f>E29*D29</f>
        <v>450</v>
      </c>
      <c r="H29" s="1"/>
    </row>
    <row r="30" spans="1:8" x14ac:dyDescent="0.25">
      <c r="A30" s="37"/>
      <c r="B30" s="38" t="s">
        <v>6</v>
      </c>
      <c r="C30" s="39"/>
      <c r="D30" s="40"/>
      <c r="E30" s="14"/>
      <c r="F30" s="14"/>
      <c r="G30" s="19">
        <f>SUM(G29)</f>
        <v>450</v>
      </c>
      <c r="H30" s="1"/>
    </row>
    <row r="31" spans="1:8" x14ac:dyDescent="0.25">
      <c r="A31" s="1" t="s">
        <v>18</v>
      </c>
      <c r="B31" s="1" t="s">
        <v>1</v>
      </c>
      <c r="C31" s="1" t="s">
        <v>2</v>
      </c>
      <c r="D31" s="1" t="s">
        <v>3</v>
      </c>
      <c r="E31" s="13" t="s">
        <v>120</v>
      </c>
      <c r="F31" s="14"/>
      <c r="G31" s="2" t="s">
        <v>4</v>
      </c>
      <c r="H31" s="1" t="s">
        <v>5</v>
      </c>
    </row>
    <row r="32" spans="1:8" x14ac:dyDescent="0.25">
      <c r="A32" s="44"/>
      <c r="B32" s="1" t="s">
        <v>135</v>
      </c>
      <c r="C32" s="1" t="s">
        <v>136</v>
      </c>
      <c r="D32" s="1">
        <v>18.239999999999998</v>
      </c>
      <c r="E32" s="24">
        <v>68</v>
      </c>
      <c r="F32" s="13" t="s">
        <v>137</v>
      </c>
      <c r="G32" s="27">
        <f>E32*D32</f>
        <v>1240.32</v>
      </c>
      <c r="H32" s="1"/>
    </row>
    <row r="33" spans="1:8" x14ac:dyDescent="0.25">
      <c r="A33" s="45"/>
      <c r="B33" s="1" t="s">
        <v>143</v>
      </c>
      <c r="C33" s="1"/>
      <c r="D33" s="1">
        <v>22.5</v>
      </c>
      <c r="E33" s="13">
        <v>65</v>
      </c>
      <c r="F33" s="13" t="s">
        <v>137</v>
      </c>
      <c r="G33" s="27">
        <f>E33*D33</f>
        <v>1462.5</v>
      </c>
      <c r="H33" s="1"/>
    </row>
    <row r="34" spans="1:8" x14ac:dyDescent="0.25">
      <c r="A34" s="46"/>
      <c r="B34" s="38" t="s">
        <v>6</v>
      </c>
      <c r="C34" s="39"/>
      <c r="D34" s="40"/>
      <c r="E34" s="14"/>
      <c r="F34" s="14"/>
      <c r="G34" s="18">
        <f>SUM(G32:G33)</f>
        <v>2702.8199999999997</v>
      </c>
      <c r="H34" s="7"/>
    </row>
    <row r="35" spans="1:8" x14ac:dyDescent="0.25">
      <c r="A35" s="8" t="s">
        <v>19</v>
      </c>
      <c r="B35" s="1" t="s">
        <v>1</v>
      </c>
      <c r="C35" s="1" t="s">
        <v>2</v>
      </c>
      <c r="D35" s="1" t="s">
        <v>3</v>
      </c>
      <c r="E35" s="13" t="s">
        <v>120</v>
      </c>
      <c r="F35" s="13"/>
      <c r="G35" s="1" t="s">
        <v>4</v>
      </c>
      <c r="H35" s="1"/>
    </row>
    <row r="36" spans="1:8" x14ac:dyDescent="0.25">
      <c r="A36" s="37"/>
      <c r="B36" s="1" t="s">
        <v>144</v>
      </c>
      <c r="C36" s="1"/>
      <c r="D36" s="1">
        <v>19.8</v>
      </c>
      <c r="E36" s="13">
        <v>8</v>
      </c>
      <c r="F36" s="13" t="s">
        <v>137</v>
      </c>
      <c r="G36" s="17">
        <f>E36*D36</f>
        <v>158.4</v>
      </c>
      <c r="H36" s="1"/>
    </row>
    <row r="37" spans="1:8" x14ac:dyDescent="0.25">
      <c r="A37" s="37"/>
      <c r="B37" s="1"/>
      <c r="C37" s="1"/>
      <c r="D37" s="1"/>
      <c r="E37" s="13"/>
      <c r="F37" s="13"/>
      <c r="G37" s="1"/>
      <c r="H37" s="1"/>
    </row>
    <row r="38" spans="1:8" x14ac:dyDescent="0.25">
      <c r="A38" s="37"/>
      <c r="B38" s="1"/>
      <c r="C38" s="1"/>
      <c r="D38" s="1"/>
      <c r="E38" s="13"/>
      <c r="F38" s="13"/>
      <c r="G38" s="1"/>
      <c r="H38" s="1"/>
    </row>
    <row r="39" spans="1:8" x14ac:dyDescent="0.25">
      <c r="A39" s="37"/>
      <c r="B39" s="1"/>
      <c r="C39" s="1"/>
      <c r="D39" s="1"/>
      <c r="E39" s="13"/>
      <c r="F39" s="13"/>
      <c r="G39" s="1"/>
      <c r="H39" s="1"/>
    </row>
    <row r="40" spans="1:8" x14ac:dyDescent="0.25">
      <c r="A40" s="37"/>
      <c r="B40" s="38" t="s">
        <v>6</v>
      </c>
      <c r="C40" s="39"/>
      <c r="D40" s="40"/>
      <c r="E40" s="14"/>
      <c r="F40" s="14"/>
      <c r="G40" s="18">
        <f>SUM(G36:G39)</f>
        <v>158.4</v>
      </c>
      <c r="H40" s="1"/>
    </row>
    <row r="41" spans="1:8" x14ac:dyDescent="0.25">
      <c r="A41" s="1"/>
      <c r="B41" s="41" t="s">
        <v>20</v>
      </c>
      <c r="C41" s="42"/>
      <c r="D41" s="43"/>
      <c r="E41" s="15"/>
      <c r="F41" s="15"/>
      <c r="G41" s="20">
        <f>G40+G34+G30+G26+G20+G14+G7</f>
        <v>16224.539999999999</v>
      </c>
      <c r="H41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4"/>
  <sheetViews>
    <sheetView tabSelected="1" topLeftCell="A13" workbookViewId="0">
      <selection activeCell="N23" sqref="N23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7" t="s">
        <v>23</v>
      </c>
      <c r="B1" s="48"/>
      <c r="C1" s="48"/>
      <c r="D1" s="48"/>
      <c r="E1" s="48"/>
      <c r="F1" s="48"/>
      <c r="G1" s="48"/>
      <c r="H1" s="49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1" t="s">
        <v>120</v>
      </c>
      <c r="F2" s="21"/>
      <c r="G2" s="1" t="s">
        <v>4</v>
      </c>
      <c r="H2" s="1" t="s">
        <v>5</v>
      </c>
    </row>
    <row r="3" spans="1:11" x14ac:dyDescent="0.25">
      <c r="A3" s="37" t="s">
        <v>67</v>
      </c>
      <c r="B3" s="1" t="s">
        <v>68</v>
      </c>
      <c r="C3" s="1" t="s">
        <v>70</v>
      </c>
      <c r="D3" s="1">
        <v>120</v>
      </c>
      <c r="E3" s="21">
        <v>70</v>
      </c>
      <c r="F3" s="21" t="s">
        <v>155</v>
      </c>
      <c r="G3" s="1">
        <f>E3*D3</f>
        <v>8400</v>
      </c>
      <c r="H3" s="1"/>
    </row>
    <row r="4" spans="1:11" x14ac:dyDescent="0.25">
      <c r="A4" s="37"/>
      <c r="B4" s="1" t="s">
        <v>69</v>
      </c>
      <c r="C4" s="1" t="s">
        <v>71</v>
      </c>
      <c r="D4" s="1">
        <v>85</v>
      </c>
      <c r="E4" s="21">
        <v>5</v>
      </c>
      <c r="F4" s="21" t="s">
        <v>150</v>
      </c>
      <c r="G4" s="21">
        <f>E4*D4</f>
        <v>425</v>
      </c>
      <c r="H4" s="1"/>
    </row>
    <row r="5" spans="1:11" x14ac:dyDescent="0.25">
      <c r="A5" s="37"/>
      <c r="B5" s="1"/>
      <c r="C5" s="1"/>
      <c r="D5" s="1"/>
      <c r="E5" s="21"/>
      <c r="F5" s="21"/>
      <c r="G5" s="1"/>
      <c r="H5" s="1"/>
    </row>
    <row r="6" spans="1:11" x14ac:dyDescent="0.25">
      <c r="A6" s="37"/>
      <c r="B6" s="1"/>
      <c r="C6" s="1"/>
      <c r="D6" s="1"/>
      <c r="E6" s="22"/>
      <c r="F6" s="22"/>
      <c r="G6" s="2"/>
      <c r="H6" s="1"/>
    </row>
    <row r="7" spans="1:11" x14ac:dyDescent="0.25">
      <c r="A7" s="37"/>
      <c r="B7" s="38" t="s">
        <v>6</v>
      </c>
      <c r="C7" s="39"/>
      <c r="D7" s="40"/>
      <c r="E7" s="22"/>
      <c r="F7" s="22"/>
      <c r="G7" s="19">
        <f>SUM(G3:G6)</f>
        <v>8825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1" t="s">
        <v>120</v>
      </c>
      <c r="F8" s="21"/>
      <c r="G8" s="1" t="s">
        <v>4</v>
      </c>
      <c r="H8" s="1" t="s">
        <v>5</v>
      </c>
      <c r="K8" s="3"/>
    </row>
    <row r="9" spans="1:11" x14ac:dyDescent="0.25">
      <c r="A9" s="37" t="s">
        <v>72</v>
      </c>
      <c r="B9" s="1" t="s">
        <v>73</v>
      </c>
      <c r="C9" s="1" t="s">
        <v>8</v>
      </c>
      <c r="D9" s="1">
        <v>27.54</v>
      </c>
      <c r="E9" s="21">
        <v>40</v>
      </c>
      <c r="F9" s="21" t="s">
        <v>148</v>
      </c>
      <c r="G9" s="17">
        <f>E9*D9</f>
        <v>1101.5999999999999</v>
      </c>
      <c r="H9" s="1"/>
      <c r="K9" s="4"/>
    </row>
    <row r="10" spans="1:11" x14ac:dyDescent="0.25">
      <c r="A10" s="37"/>
      <c r="B10" s="1" t="s">
        <v>74</v>
      </c>
      <c r="C10" s="1" t="s">
        <v>54</v>
      </c>
      <c r="D10" s="1">
        <v>138</v>
      </c>
      <c r="E10" s="21">
        <v>1</v>
      </c>
      <c r="F10" s="21" t="s">
        <v>156</v>
      </c>
      <c r="G10" s="17">
        <f>E10*D10</f>
        <v>138</v>
      </c>
      <c r="H10" s="1"/>
      <c r="K10" s="4"/>
    </row>
    <row r="11" spans="1:11" x14ac:dyDescent="0.25">
      <c r="A11" s="37"/>
      <c r="B11" s="1"/>
      <c r="C11" s="1"/>
      <c r="D11" s="1"/>
      <c r="E11" s="21"/>
      <c r="F11" s="21"/>
      <c r="G11" s="1"/>
      <c r="H11" s="1"/>
      <c r="K11" s="4"/>
    </row>
    <row r="12" spans="1:11" x14ac:dyDescent="0.25">
      <c r="A12" s="37"/>
      <c r="B12" s="1"/>
      <c r="C12" s="1"/>
      <c r="D12" s="1"/>
      <c r="E12" s="21"/>
      <c r="F12" s="21"/>
      <c r="G12" s="1"/>
      <c r="H12" s="1"/>
      <c r="K12" s="4"/>
    </row>
    <row r="13" spans="1:11" x14ac:dyDescent="0.25">
      <c r="A13" s="37"/>
      <c r="B13" s="1"/>
      <c r="C13" s="1"/>
      <c r="D13" s="1"/>
      <c r="E13" s="21"/>
      <c r="F13" s="21"/>
      <c r="G13" s="1"/>
      <c r="H13" s="1"/>
      <c r="K13" s="5"/>
    </row>
    <row r="14" spans="1:11" x14ac:dyDescent="0.25">
      <c r="A14" s="37"/>
      <c r="B14" s="38" t="s">
        <v>6</v>
      </c>
      <c r="C14" s="39"/>
      <c r="D14" s="40"/>
      <c r="E14" s="22"/>
      <c r="F14" s="22"/>
      <c r="G14" s="18">
        <f>SUM(G9:G13)</f>
        <v>1239.5999999999999</v>
      </c>
      <c r="H14" s="1"/>
    </row>
    <row r="15" spans="1:11" x14ac:dyDescent="0.25">
      <c r="A15" s="1" t="s">
        <v>11</v>
      </c>
      <c r="B15" s="1" t="s">
        <v>1</v>
      </c>
      <c r="C15" s="1" t="s">
        <v>2</v>
      </c>
      <c r="D15" s="1" t="s">
        <v>3</v>
      </c>
      <c r="E15" s="21" t="s">
        <v>120</v>
      </c>
      <c r="F15" s="21"/>
      <c r="G15" s="1" t="s">
        <v>4</v>
      </c>
      <c r="H15" s="1" t="s">
        <v>5</v>
      </c>
    </row>
    <row r="16" spans="1:11" x14ac:dyDescent="0.25">
      <c r="A16" s="37"/>
      <c r="B16" s="1"/>
      <c r="C16" s="1"/>
      <c r="D16" s="1"/>
      <c r="E16" s="21"/>
      <c r="F16" s="21"/>
      <c r="G16" s="1"/>
      <c r="H16" s="1"/>
    </row>
    <row r="17" spans="1:8" x14ac:dyDescent="0.25">
      <c r="A17" s="37"/>
      <c r="B17" s="1"/>
      <c r="C17" s="1"/>
      <c r="D17" s="1"/>
      <c r="E17" s="21"/>
      <c r="F17" s="21"/>
      <c r="G17" s="1"/>
      <c r="H17" s="1"/>
    </row>
    <row r="18" spans="1:8" x14ac:dyDescent="0.25">
      <c r="A18" s="37"/>
      <c r="B18" s="1"/>
      <c r="C18" s="1"/>
      <c r="D18" s="1"/>
      <c r="E18" s="21"/>
      <c r="F18" s="21"/>
      <c r="G18" s="1"/>
      <c r="H18" s="1"/>
    </row>
    <row r="19" spans="1:8" x14ac:dyDescent="0.25">
      <c r="A19" s="37"/>
      <c r="B19" s="1"/>
      <c r="C19" s="1"/>
      <c r="D19" s="1"/>
      <c r="E19" s="22"/>
      <c r="F19" s="22"/>
      <c r="G19" s="2"/>
      <c r="H19" s="1"/>
    </row>
    <row r="20" spans="1:8" x14ac:dyDescent="0.25">
      <c r="A20" s="37"/>
      <c r="B20" s="38" t="s">
        <v>6</v>
      </c>
      <c r="C20" s="39"/>
      <c r="D20" s="40"/>
      <c r="E20" s="22"/>
      <c r="F20" s="22"/>
      <c r="G20" s="2"/>
      <c r="H20" s="1"/>
    </row>
    <row r="21" spans="1:8" x14ac:dyDescent="0.25">
      <c r="A21" s="6" t="s">
        <v>14</v>
      </c>
      <c r="B21" s="1" t="s">
        <v>1</v>
      </c>
      <c r="C21" s="1" t="s">
        <v>2</v>
      </c>
      <c r="D21" s="1" t="s">
        <v>3</v>
      </c>
      <c r="E21" s="21" t="s">
        <v>120</v>
      </c>
      <c r="F21" s="21"/>
      <c r="G21" s="1" t="s">
        <v>4</v>
      </c>
      <c r="H21" s="1" t="s">
        <v>5</v>
      </c>
    </row>
    <row r="22" spans="1:8" x14ac:dyDescent="0.25">
      <c r="A22" s="37"/>
      <c r="B22" s="1" t="s">
        <v>151</v>
      </c>
      <c r="C22" s="1"/>
      <c r="D22" s="1">
        <v>125</v>
      </c>
      <c r="E22" s="21">
        <v>12</v>
      </c>
      <c r="F22" s="21" t="s">
        <v>150</v>
      </c>
      <c r="G22" s="17">
        <f>E22*D22</f>
        <v>1500</v>
      </c>
      <c r="H22" s="1"/>
    </row>
    <row r="23" spans="1:8" x14ac:dyDescent="0.25">
      <c r="A23" s="37"/>
      <c r="B23" s="1" t="s">
        <v>152</v>
      </c>
      <c r="C23" s="1"/>
      <c r="D23" s="1">
        <v>11.7</v>
      </c>
      <c r="E23" s="21">
        <v>3</v>
      </c>
      <c r="F23" s="21" t="s">
        <v>148</v>
      </c>
      <c r="G23" s="17">
        <f t="shared" ref="G23:G24" si="0">E23*D23</f>
        <v>35.099999999999994</v>
      </c>
      <c r="H23" s="1"/>
    </row>
    <row r="24" spans="1:8" x14ac:dyDescent="0.25">
      <c r="A24" s="37"/>
      <c r="B24" s="1" t="s">
        <v>153</v>
      </c>
      <c r="C24" s="1"/>
      <c r="D24" s="1">
        <v>85</v>
      </c>
      <c r="E24" s="21">
        <v>4</v>
      </c>
      <c r="F24" s="21" t="s">
        <v>148</v>
      </c>
      <c r="G24" s="17">
        <f t="shared" si="0"/>
        <v>340</v>
      </c>
      <c r="H24" s="1"/>
    </row>
    <row r="25" spans="1:8" x14ac:dyDescent="0.25">
      <c r="A25" s="37"/>
      <c r="B25" s="1"/>
      <c r="C25" s="1"/>
      <c r="D25" s="1"/>
      <c r="E25" s="21"/>
      <c r="F25" s="21"/>
      <c r="G25" s="1"/>
      <c r="H25" s="1"/>
    </row>
    <row r="26" spans="1:8" x14ac:dyDescent="0.25">
      <c r="A26" s="37"/>
      <c r="B26" s="38" t="s">
        <v>6</v>
      </c>
      <c r="C26" s="39"/>
      <c r="D26" s="40"/>
      <c r="E26" s="22"/>
      <c r="F26" s="22"/>
      <c r="G26" s="18">
        <f>SUM(G22:G25)</f>
        <v>1875.1</v>
      </c>
      <c r="H26" s="1"/>
    </row>
    <row r="27" spans="1:8" x14ac:dyDescent="0.25">
      <c r="A27" s="1" t="s">
        <v>15</v>
      </c>
      <c r="B27" s="1" t="s">
        <v>1</v>
      </c>
      <c r="C27" s="1" t="s">
        <v>2</v>
      </c>
      <c r="D27" s="1" t="s">
        <v>3</v>
      </c>
      <c r="E27" s="21" t="s">
        <v>120</v>
      </c>
      <c r="F27" s="21"/>
      <c r="G27" s="1" t="s">
        <v>4</v>
      </c>
      <c r="H27" s="1" t="s">
        <v>5</v>
      </c>
    </row>
    <row r="28" spans="1:8" x14ac:dyDescent="0.25">
      <c r="A28" s="1"/>
      <c r="B28" s="1" t="s">
        <v>76</v>
      </c>
      <c r="C28" s="1" t="s">
        <v>83</v>
      </c>
      <c r="D28" s="1">
        <v>275</v>
      </c>
      <c r="E28" s="21">
        <v>2</v>
      </c>
      <c r="F28" s="26" t="s">
        <v>134</v>
      </c>
      <c r="G28" s="26">
        <f t="shared" ref="G28:G29" si="1">E28*D28</f>
        <v>550</v>
      </c>
      <c r="H28" s="1"/>
    </row>
    <row r="29" spans="1:8" x14ac:dyDescent="0.25">
      <c r="A29" s="1"/>
      <c r="B29" s="1" t="s">
        <v>77</v>
      </c>
      <c r="C29" s="1" t="s">
        <v>82</v>
      </c>
      <c r="D29" s="1">
        <v>176</v>
      </c>
      <c r="E29" s="21">
        <v>1</v>
      </c>
      <c r="F29" s="21" t="s">
        <v>158</v>
      </c>
      <c r="G29" s="26">
        <f t="shared" si="1"/>
        <v>176</v>
      </c>
      <c r="H29" s="1"/>
    </row>
    <row r="30" spans="1:8" x14ac:dyDescent="0.25">
      <c r="A30" s="37" t="s">
        <v>75</v>
      </c>
      <c r="B30" s="1" t="s">
        <v>78</v>
      </c>
      <c r="C30" s="1" t="s">
        <v>81</v>
      </c>
      <c r="D30" s="1">
        <v>75</v>
      </c>
      <c r="E30" s="21">
        <v>8</v>
      </c>
      <c r="F30" s="21" t="s">
        <v>150</v>
      </c>
      <c r="G30" s="1">
        <f>E30*D30</f>
        <v>600</v>
      </c>
      <c r="H30" s="1"/>
    </row>
    <row r="31" spans="1:8" x14ac:dyDescent="0.25">
      <c r="A31" s="37"/>
      <c r="B31" s="1" t="s">
        <v>79</v>
      </c>
      <c r="C31" s="1" t="s">
        <v>80</v>
      </c>
      <c r="D31" s="1">
        <v>270</v>
      </c>
      <c r="E31" s="21">
        <v>4</v>
      </c>
      <c r="F31" s="21" t="s">
        <v>157</v>
      </c>
      <c r="G31" s="21">
        <f>E31*D31</f>
        <v>1080</v>
      </c>
      <c r="H31" s="1"/>
    </row>
    <row r="32" spans="1:8" x14ac:dyDescent="0.25">
      <c r="A32" s="37"/>
      <c r="B32" s="38" t="s">
        <v>6</v>
      </c>
      <c r="C32" s="39"/>
      <c r="D32" s="40"/>
      <c r="E32" s="22"/>
      <c r="F32" s="22"/>
      <c r="G32" s="19">
        <f>SUM(G28:G31)</f>
        <v>2406</v>
      </c>
      <c r="H32" s="1"/>
    </row>
    <row r="33" spans="1:8" x14ac:dyDescent="0.25">
      <c r="A33" s="1" t="s">
        <v>18</v>
      </c>
      <c r="B33" s="1" t="s">
        <v>1</v>
      </c>
      <c r="C33" s="1" t="s">
        <v>2</v>
      </c>
      <c r="D33" s="1" t="s">
        <v>3</v>
      </c>
      <c r="E33" s="21" t="s">
        <v>120</v>
      </c>
      <c r="F33" s="22"/>
      <c r="G33" s="2" t="s">
        <v>4</v>
      </c>
      <c r="H33" s="1" t="s">
        <v>5</v>
      </c>
    </row>
    <row r="34" spans="1:8" x14ac:dyDescent="0.25">
      <c r="A34" s="44"/>
      <c r="B34" s="1" t="s">
        <v>146</v>
      </c>
      <c r="C34" s="1" t="s">
        <v>147</v>
      </c>
      <c r="D34" s="1">
        <v>17.28</v>
      </c>
      <c r="E34" s="24">
        <v>75</v>
      </c>
      <c r="F34" s="21" t="s">
        <v>148</v>
      </c>
      <c r="G34" s="24">
        <f>D34*E34</f>
        <v>1296</v>
      </c>
      <c r="H34" s="1"/>
    </row>
    <row r="35" spans="1:8" x14ac:dyDescent="0.25">
      <c r="A35" s="45"/>
      <c r="B35" s="1" t="s">
        <v>149</v>
      </c>
      <c r="C35" s="1"/>
      <c r="D35" s="21">
        <v>31.68</v>
      </c>
      <c r="E35" s="21">
        <v>1.47</v>
      </c>
      <c r="F35" s="21" t="s">
        <v>148</v>
      </c>
      <c r="G35" s="17">
        <f>E35*D35</f>
        <v>46.569600000000001</v>
      </c>
      <c r="H35" s="1"/>
    </row>
    <row r="36" spans="1:8" x14ac:dyDescent="0.25">
      <c r="A36" s="45"/>
      <c r="B36" s="21" t="s">
        <v>114</v>
      </c>
      <c r="C36" s="21"/>
      <c r="D36" s="21">
        <v>70</v>
      </c>
      <c r="E36" s="21">
        <v>30</v>
      </c>
      <c r="F36" s="21" t="s">
        <v>150</v>
      </c>
      <c r="G36" s="17">
        <f>E36*D36</f>
        <v>2100</v>
      </c>
      <c r="H36" s="21"/>
    </row>
    <row r="37" spans="1:8" x14ac:dyDescent="0.25">
      <c r="A37" s="46"/>
      <c r="B37" s="38" t="s">
        <v>6</v>
      </c>
      <c r="C37" s="39"/>
      <c r="D37" s="40"/>
      <c r="E37" s="22"/>
      <c r="F37" s="22"/>
      <c r="G37" s="18">
        <f>SUM(G34:G36)</f>
        <v>3442.5695999999998</v>
      </c>
      <c r="H37" s="7"/>
    </row>
    <row r="38" spans="1:8" x14ac:dyDescent="0.25">
      <c r="A38" s="8" t="s">
        <v>19</v>
      </c>
      <c r="B38" s="1" t="s">
        <v>1</v>
      </c>
      <c r="C38" s="1" t="s">
        <v>2</v>
      </c>
      <c r="D38" s="1" t="s">
        <v>3</v>
      </c>
      <c r="E38" s="21" t="s">
        <v>120</v>
      </c>
      <c r="F38" s="21"/>
      <c r="G38" s="1" t="s">
        <v>4</v>
      </c>
      <c r="H38" s="1"/>
    </row>
    <row r="39" spans="1:8" x14ac:dyDescent="0.25">
      <c r="A39" s="37" t="s">
        <v>84</v>
      </c>
      <c r="B39" s="1" t="s">
        <v>85</v>
      </c>
      <c r="C39" s="1" t="s">
        <v>89</v>
      </c>
      <c r="D39" s="1">
        <v>45</v>
      </c>
      <c r="E39" s="21">
        <v>80</v>
      </c>
      <c r="F39" s="21" t="s">
        <v>150</v>
      </c>
      <c r="G39" s="21">
        <f t="shared" ref="G39:G40" si="2">E39*D39</f>
        <v>3600</v>
      </c>
      <c r="H39" s="1"/>
    </row>
    <row r="40" spans="1:8" x14ac:dyDescent="0.25">
      <c r="A40" s="37"/>
      <c r="B40" s="1" t="s">
        <v>86</v>
      </c>
      <c r="C40" s="1" t="s">
        <v>54</v>
      </c>
      <c r="D40" s="1">
        <v>390</v>
      </c>
      <c r="E40" s="21">
        <v>1</v>
      </c>
      <c r="F40" s="21" t="s">
        <v>154</v>
      </c>
      <c r="G40" s="21">
        <f t="shared" si="2"/>
        <v>390</v>
      </c>
      <c r="H40" s="1"/>
    </row>
    <row r="41" spans="1:8" x14ac:dyDescent="0.25">
      <c r="A41" s="37"/>
      <c r="B41" s="1" t="s">
        <v>87</v>
      </c>
      <c r="C41" s="1" t="s">
        <v>88</v>
      </c>
      <c r="D41" s="1">
        <v>93</v>
      </c>
      <c r="E41" s="21">
        <v>20</v>
      </c>
      <c r="F41" s="21" t="s">
        <v>148</v>
      </c>
      <c r="G41" s="1">
        <f>E41*D41</f>
        <v>1860</v>
      </c>
      <c r="H41" s="1"/>
    </row>
    <row r="42" spans="1:8" x14ac:dyDescent="0.25">
      <c r="A42" s="37"/>
      <c r="B42" s="1" t="s">
        <v>33</v>
      </c>
      <c r="C42" s="1" t="s">
        <v>53</v>
      </c>
      <c r="D42" s="1">
        <v>23.46</v>
      </c>
      <c r="E42" s="21">
        <v>8</v>
      </c>
      <c r="F42" s="21" t="s">
        <v>148</v>
      </c>
      <c r="G42" s="17">
        <f>E42*D42</f>
        <v>187.68</v>
      </c>
      <c r="H42" s="1"/>
    </row>
    <row r="43" spans="1:8" x14ac:dyDescent="0.25">
      <c r="A43" s="37"/>
      <c r="B43" s="38" t="s">
        <v>6</v>
      </c>
      <c r="C43" s="39"/>
      <c r="D43" s="40"/>
      <c r="E43" s="22"/>
      <c r="F43" s="22"/>
      <c r="G43" s="18">
        <f>SUM(G39:G42)</f>
        <v>6037.68</v>
      </c>
      <c r="H43" s="1"/>
    </row>
    <row r="44" spans="1:8" x14ac:dyDescent="0.25">
      <c r="A44" s="1"/>
      <c r="B44" s="41" t="s">
        <v>20</v>
      </c>
      <c r="C44" s="42"/>
      <c r="D44" s="43"/>
      <c r="E44" s="23"/>
      <c r="F44" s="23"/>
      <c r="G44" s="20">
        <f>G43+G37+G32+G26+G14+G7</f>
        <v>23825.9496</v>
      </c>
      <c r="H44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9:A43"/>
    <mergeCell ref="B43:D43"/>
    <mergeCell ref="B44:D44"/>
    <mergeCell ref="A22:A26"/>
    <mergeCell ref="B26:D26"/>
    <mergeCell ref="A30:A32"/>
    <mergeCell ref="B32:D32"/>
    <mergeCell ref="A34:A37"/>
    <mergeCell ref="B37:D37"/>
  </mergeCells>
  <phoneticPr fontId="2" type="noConversion"/>
  <pageMargins left="0.7" right="0.7" top="0.75" bottom="0.75" header="0.3" footer="0.3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2"/>
  <sheetViews>
    <sheetView topLeftCell="A10" workbookViewId="0">
      <selection activeCell="C44" sqref="C44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7" t="s">
        <v>24</v>
      </c>
      <c r="B1" s="48"/>
      <c r="C1" s="48"/>
      <c r="D1" s="48"/>
      <c r="E1" s="48"/>
      <c r="F1" s="48"/>
      <c r="G1" s="48"/>
      <c r="H1" s="49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8" t="s">
        <v>120</v>
      </c>
      <c r="F2" s="9"/>
      <c r="G2" s="1" t="s">
        <v>4</v>
      </c>
      <c r="H2" s="1" t="s">
        <v>5</v>
      </c>
    </row>
    <row r="3" spans="1:11" x14ac:dyDescent="0.25">
      <c r="A3" s="37" t="s">
        <v>90</v>
      </c>
      <c r="B3" s="1" t="s">
        <v>117</v>
      </c>
      <c r="C3" s="1" t="s">
        <v>108</v>
      </c>
      <c r="D3" s="1">
        <v>40.799999999999997</v>
      </c>
      <c r="E3" s="9">
        <v>5</v>
      </c>
      <c r="F3" s="9" t="s">
        <v>159</v>
      </c>
      <c r="G3" s="1">
        <f>E3*D3</f>
        <v>204</v>
      </c>
      <c r="H3" s="1"/>
    </row>
    <row r="4" spans="1:11" x14ac:dyDescent="0.25">
      <c r="A4" s="37"/>
      <c r="B4" s="1" t="s">
        <v>91</v>
      </c>
      <c r="C4" s="1" t="s">
        <v>98</v>
      </c>
      <c r="D4" s="1">
        <v>150</v>
      </c>
      <c r="E4" s="9">
        <v>50</v>
      </c>
      <c r="F4" s="28" t="s">
        <v>159</v>
      </c>
      <c r="G4" s="28">
        <f t="shared" ref="G4:G5" si="0">E4*D4</f>
        <v>7500</v>
      </c>
      <c r="H4" s="1"/>
    </row>
    <row r="5" spans="1:11" x14ac:dyDescent="0.25">
      <c r="A5" s="37"/>
      <c r="B5" s="1" t="s">
        <v>118</v>
      </c>
      <c r="C5" s="1" t="s">
        <v>119</v>
      </c>
      <c r="D5" s="1">
        <v>23.46</v>
      </c>
      <c r="E5" s="9">
        <v>8</v>
      </c>
      <c r="F5" s="28" t="s">
        <v>159</v>
      </c>
      <c r="G5" s="17">
        <f t="shared" si="0"/>
        <v>187.68</v>
      </c>
      <c r="H5" s="1"/>
    </row>
    <row r="6" spans="1:11" x14ac:dyDescent="0.25">
      <c r="A6" s="37"/>
      <c r="B6" s="1"/>
      <c r="C6" s="1"/>
      <c r="D6" s="1"/>
      <c r="E6" s="11"/>
      <c r="F6" s="11"/>
      <c r="G6" s="2"/>
      <c r="H6" s="1"/>
    </row>
    <row r="7" spans="1:11" x14ac:dyDescent="0.25">
      <c r="A7" s="37"/>
      <c r="B7" s="38" t="s">
        <v>6</v>
      </c>
      <c r="C7" s="39"/>
      <c r="D7" s="40"/>
      <c r="E7" s="11"/>
      <c r="F7" s="11"/>
      <c r="G7" s="18">
        <f>SUM(G3:G6)</f>
        <v>7891.68</v>
      </c>
      <c r="H7" s="1"/>
    </row>
    <row r="8" spans="1:11" x14ac:dyDescent="0.25">
      <c r="A8" s="1" t="s">
        <v>7</v>
      </c>
      <c r="B8" s="1" t="s">
        <v>1</v>
      </c>
      <c r="C8" s="1" t="s">
        <v>2</v>
      </c>
      <c r="D8" s="1" t="s">
        <v>3</v>
      </c>
      <c r="E8" s="28" t="s">
        <v>120</v>
      </c>
      <c r="F8" s="9"/>
      <c r="G8" s="1" t="s">
        <v>4</v>
      </c>
      <c r="H8" s="1" t="s">
        <v>5</v>
      </c>
      <c r="K8" s="3"/>
    </row>
    <row r="9" spans="1:11" x14ac:dyDescent="0.25">
      <c r="A9" s="37" t="s">
        <v>93</v>
      </c>
      <c r="B9" s="1" t="s">
        <v>94</v>
      </c>
      <c r="C9" s="1" t="s">
        <v>12</v>
      </c>
      <c r="D9" s="1">
        <v>43.8</v>
      </c>
      <c r="E9" s="9">
        <v>15</v>
      </c>
      <c r="F9" s="9" t="s">
        <v>159</v>
      </c>
      <c r="G9" s="1">
        <f>E9*D9</f>
        <v>657</v>
      </c>
      <c r="H9" s="1"/>
      <c r="K9" s="4"/>
    </row>
    <row r="10" spans="1:11" x14ac:dyDescent="0.25">
      <c r="A10" s="37"/>
      <c r="B10" s="1" t="s">
        <v>95</v>
      </c>
      <c r="C10" s="1" t="s">
        <v>88</v>
      </c>
      <c r="D10" s="1">
        <v>61.56</v>
      </c>
      <c r="E10" s="9">
        <v>20</v>
      </c>
      <c r="F10" s="28" t="s">
        <v>159</v>
      </c>
      <c r="G10" s="17">
        <f>E10*D10</f>
        <v>1231.2</v>
      </c>
      <c r="H10" s="1"/>
      <c r="K10" s="4"/>
    </row>
    <row r="11" spans="1:11" x14ac:dyDescent="0.25">
      <c r="A11" s="37"/>
      <c r="B11" s="1"/>
      <c r="C11" s="1"/>
      <c r="D11" s="1"/>
      <c r="E11" s="9"/>
      <c r="F11" s="9"/>
      <c r="G11" s="1"/>
      <c r="H11" s="1"/>
      <c r="K11" s="4"/>
    </row>
    <row r="12" spans="1:11" x14ac:dyDescent="0.25">
      <c r="A12" s="37"/>
      <c r="B12" s="1"/>
      <c r="C12" s="1"/>
      <c r="D12" s="1"/>
      <c r="E12" s="9"/>
      <c r="F12" s="9"/>
      <c r="G12" s="1"/>
      <c r="H12" s="1"/>
      <c r="K12" s="4"/>
    </row>
    <row r="13" spans="1:11" x14ac:dyDescent="0.25">
      <c r="A13" s="37"/>
      <c r="B13" s="1"/>
      <c r="C13" s="1"/>
      <c r="D13" s="1"/>
      <c r="E13" s="9"/>
      <c r="F13" s="9"/>
      <c r="G13" s="1"/>
      <c r="H13" s="1"/>
      <c r="K13" s="5"/>
    </row>
    <row r="14" spans="1:11" x14ac:dyDescent="0.25">
      <c r="A14" s="37"/>
      <c r="B14" s="38" t="s">
        <v>6</v>
      </c>
      <c r="C14" s="39"/>
      <c r="D14" s="40"/>
      <c r="E14" s="11"/>
      <c r="F14" s="11"/>
      <c r="G14" s="18">
        <f>SUM(G9:G13)</f>
        <v>1888.2</v>
      </c>
      <c r="H14" s="1"/>
    </row>
    <row r="15" spans="1:11" x14ac:dyDescent="0.25">
      <c r="A15" s="1" t="s">
        <v>11</v>
      </c>
      <c r="B15" s="1" t="s">
        <v>1</v>
      </c>
      <c r="C15" s="1" t="s">
        <v>2</v>
      </c>
      <c r="D15" s="1" t="s">
        <v>3</v>
      </c>
      <c r="E15" s="28" t="s">
        <v>120</v>
      </c>
      <c r="F15" s="9"/>
      <c r="G15" s="1" t="s">
        <v>4</v>
      </c>
      <c r="H15" s="1" t="s">
        <v>5</v>
      </c>
    </row>
    <row r="16" spans="1:11" x14ac:dyDescent="0.25">
      <c r="A16" s="37" t="s">
        <v>96</v>
      </c>
      <c r="B16" s="1" t="s">
        <v>97</v>
      </c>
      <c r="C16" s="1" t="s">
        <v>98</v>
      </c>
      <c r="D16" s="1">
        <v>33.659999999999997</v>
      </c>
      <c r="E16" s="9">
        <v>50</v>
      </c>
      <c r="F16" s="9" t="s">
        <v>159</v>
      </c>
      <c r="G16" s="1">
        <f>E16*D16</f>
        <v>1682.9999999999998</v>
      </c>
      <c r="H16" s="1"/>
    </row>
    <row r="17" spans="1:8" x14ac:dyDescent="0.25">
      <c r="A17" s="37"/>
      <c r="B17" s="1"/>
      <c r="C17" s="1"/>
      <c r="D17" s="1"/>
      <c r="E17" s="9"/>
      <c r="F17" s="9"/>
      <c r="G17" s="1"/>
      <c r="H17" s="1"/>
    </row>
    <row r="18" spans="1:8" x14ac:dyDescent="0.25">
      <c r="A18" s="37"/>
      <c r="B18" s="1"/>
      <c r="C18" s="1"/>
      <c r="D18" s="1"/>
      <c r="E18" s="9"/>
      <c r="F18" s="9"/>
      <c r="G18" s="1"/>
      <c r="H18" s="1"/>
    </row>
    <row r="19" spans="1:8" x14ac:dyDescent="0.25">
      <c r="A19" s="37"/>
      <c r="B19" s="1"/>
      <c r="C19" s="1"/>
      <c r="D19" s="1"/>
      <c r="E19" s="11"/>
      <c r="F19" s="11"/>
      <c r="G19" s="2"/>
      <c r="H19" s="1"/>
    </row>
    <row r="20" spans="1:8" x14ac:dyDescent="0.25">
      <c r="A20" s="37"/>
      <c r="B20" s="38" t="s">
        <v>6</v>
      </c>
      <c r="C20" s="39"/>
      <c r="D20" s="40"/>
      <c r="E20" s="11"/>
      <c r="F20" s="11"/>
      <c r="G20" s="19">
        <f>SUM(G16:G19)</f>
        <v>1682.9999999999998</v>
      </c>
      <c r="H20" s="1"/>
    </row>
    <row r="21" spans="1:8" x14ac:dyDescent="0.25">
      <c r="A21" s="6" t="s">
        <v>14</v>
      </c>
      <c r="B21" s="1" t="s">
        <v>1</v>
      </c>
      <c r="C21" s="1" t="s">
        <v>2</v>
      </c>
      <c r="D21" s="1" t="s">
        <v>3</v>
      </c>
      <c r="E21" s="28" t="s">
        <v>120</v>
      </c>
      <c r="F21" s="9"/>
      <c r="G21" s="1" t="s">
        <v>4</v>
      </c>
      <c r="H21" s="1" t="s">
        <v>5</v>
      </c>
    </row>
    <row r="22" spans="1:8" x14ac:dyDescent="0.25">
      <c r="A22" s="37"/>
      <c r="B22" s="1"/>
      <c r="C22" s="1"/>
      <c r="D22" s="1"/>
      <c r="E22" s="9"/>
      <c r="F22" s="9"/>
      <c r="G22" s="1"/>
      <c r="H22" s="1"/>
    </row>
    <row r="23" spans="1:8" x14ac:dyDescent="0.25">
      <c r="A23" s="37"/>
      <c r="B23" s="1"/>
      <c r="C23" s="1"/>
      <c r="D23" s="1"/>
      <c r="E23" s="9"/>
      <c r="F23" s="9"/>
      <c r="G23" s="1"/>
      <c r="H23" s="1"/>
    </row>
    <row r="24" spans="1:8" x14ac:dyDescent="0.25">
      <c r="A24" s="37"/>
      <c r="B24" s="1"/>
      <c r="C24" s="1"/>
      <c r="D24" s="1"/>
      <c r="E24" s="9"/>
      <c r="F24" s="9"/>
      <c r="G24" s="1"/>
      <c r="H24" s="1"/>
    </row>
    <row r="25" spans="1:8" x14ac:dyDescent="0.25">
      <c r="A25" s="37"/>
      <c r="B25" s="1"/>
      <c r="C25" s="1"/>
      <c r="D25" s="1"/>
      <c r="E25" s="9"/>
      <c r="F25" s="9"/>
      <c r="G25" s="1"/>
      <c r="H25" s="1"/>
    </row>
    <row r="26" spans="1:8" x14ac:dyDescent="0.25">
      <c r="A26" s="37"/>
      <c r="B26" s="38" t="s">
        <v>6</v>
      </c>
      <c r="C26" s="39"/>
      <c r="D26" s="40"/>
      <c r="E26" s="11"/>
      <c r="F26" s="11"/>
      <c r="G26" s="2"/>
      <c r="H26" s="1"/>
    </row>
    <row r="27" spans="1:8" x14ac:dyDescent="0.25">
      <c r="A27" s="1" t="s">
        <v>15</v>
      </c>
      <c r="B27" s="1" t="s">
        <v>1</v>
      </c>
      <c r="C27" s="1" t="s">
        <v>2</v>
      </c>
      <c r="D27" s="1" t="s">
        <v>3</v>
      </c>
      <c r="E27" s="28" t="s">
        <v>120</v>
      </c>
      <c r="F27" s="9"/>
      <c r="G27" s="1" t="s">
        <v>4</v>
      </c>
      <c r="H27" s="1" t="s">
        <v>5</v>
      </c>
    </row>
    <row r="28" spans="1:8" x14ac:dyDescent="0.25">
      <c r="A28" s="37" t="s">
        <v>99</v>
      </c>
      <c r="B28" s="1" t="s">
        <v>100</v>
      </c>
      <c r="C28" s="1" t="s">
        <v>102</v>
      </c>
      <c r="D28" s="1">
        <v>225</v>
      </c>
      <c r="E28" s="9">
        <v>2</v>
      </c>
      <c r="F28" s="9" t="s">
        <v>164</v>
      </c>
      <c r="G28" s="28">
        <f>E28*D28</f>
        <v>450</v>
      </c>
      <c r="H28" s="1"/>
    </row>
    <row r="29" spans="1:8" x14ac:dyDescent="0.25">
      <c r="A29" s="37"/>
      <c r="B29" s="1" t="s">
        <v>101</v>
      </c>
      <c r="C29" s="1" t="s">
        <v>88</v>
      </c>
      <c r="D29" s="1">
        <v>90</v>
      </c>
      <c r="E29" s="9">
        <v>2</v>
      </c>
      <c r="F29" s="9" t="s">
        <v>160</v>
      </c>
      <c r="G29" s="1">
        <f>E29*D29</f>
        <v>180</v>
      </c>
      <c r="H29" s="1"/>
    </row>
    <row r="30" spans="1:8" x14ac:dyDescent="0.25">
      <c r="A30" s="37"/>
      <c r="B30" s="29" t="s">
        <v>183</v>
      </c>
      <c r="C30" s="29" t="s">
        <v>184</v>
      </c>
      <c r="D30" s="29">
        <v>27.84</v>
      </c>
      <c r="E30" s="32"/>
      <c r="F30" s="32" t="s">
        <v>166</v>
      </c>
      <c r="G30" s="29">
        <f>E30*D30</f>
        <v>0</v>
      </c>
      <c r="H30" s="29"/>
    </row>
    <row r="31" spans="1:8" x14ac:dyDescent="0.25">
      <c r="A31" s="37"/>
      <c r="B31" s="38" t="s">
        <v>6</v>
      </c>
      <c r="C31" s="39"/>
      <c r="D31" s="40"/>
      <c r="E31" s="11"/>
      <c r="F31" s="11"/>
      <c r="G31" s="19">
        <f>SUM(G28:G29)</f>
        <v>630</v>
      </c>
      <c r="H31" s="1"/>
    </row>
    <row r="32" spans="1:8" x14ac:dyDescent="0.25">
      <c r="A32" s="1" t="s">
        <v>18</v>
      </c>
      <c r="B32" s="1" t="s">
        <v>1</v>
      </c>
      <c r="C32" s="1" t="s">
        <v>2</v>
      </c>
      <c r="D32" s="1" t="s">
        <v>3</v>
      </c>
      <c r="E32" s="28" t="s">
        <v>120</v>
      </c>
      <c r="F32" s="11"/>
      <c r="G32" s="2" t="s">
        <v>4</v>
      </c>
      <c r="H32" s="1" t="s">
        <v>5</v>
      </c>
    </row>
    <row r="33" spans="1:8" x14ac:dyDescent="0.25">
      <c r="A33" s="44"/>
      <c r="B33" s="1" t="s">
        <v>161</v>
      </c>
      <c r="C33" s="1"/>
      <c r="D33" s="1">
        <v>41.82</v>
      </c>
      <c r="E33" s="9">
        <v>65</v>
      </c>
      <c r="F33" s="9" t="s">
        <v>159</v>
      </c>
      <c r="G33" s="17">
        <f>E33*D33</f>
        <v>2718.3</v>
      </c>
      <c r="H33" s="1"/>
    </row>
    <row r="34" spans="1:8" x14ac:dyDescent="0.25">
      <c r="A34" s="45"/>
      <c r="B34" s="1" t="s">
        <v>163</v>
      </c>
      <c r="C34" s="1" t="s">
        <v>162</v>
      </c>
      <c r="D34" s="1">
        <v>20.16</v>
      </c>
      <c r="E34" s="24">
        <v>75</v>
      </c>
      <c r="F34" s="24" t="s">
        <v>122</v>
      </c>
      <c r="G34" s="24">
        <v>1512</v>
      </c>
      <c r="H34" s="1"/>
    </row>
    <row r="35" spans="1:8" x14ac:dyDescent="0.25">
      <c r="A35" s="46"/>
      <c r="B35" s="38" t="s">
        <v>6</v>
      </c>
      <c r="C35" s="39"/>
      <c r="D35" s="40"/>
      <c r="E35" s="11"/>
      <c r="F35" s="11"/>
      <c r="G35" s="18">
        <f>SUM(G33:G34)</f>
        <v>4230.3</v>
      </c>
      <c r="H35" s="7"/>
    </row>
    <row r="36" spans="1:8" x14ac:dyDescent="0.25">
      <c r="A36" s="8" t="s">
        <v>19</v>
      </c>
      <c r="B36" s="1" t="s">
        <v>1</v>
      </c>
      <c r="C36" s="1" t="s">
        <v>2</v>
      </c>
      <c r="D36" s="1" t="s">
        <v>3</v>
      </c>
      <c r="E36" s="9"/>
      <c r="F36" s="9"/>
      <c r="G36" s="1" t="s">
        <v>4</v>
      </c>
      <c r="H36" s="1"/>
    </row>
    <row r="37" spans="1:8" x14ac:dyDescent="0.25">
      <c r="A37" s="37"/>
      <c r="B37" s="1"/>
      <c r="C37" s="1"/>
      <c r="D37" s="1"/>
      <c r="E37" s="9"/>
      <c r="F37" s="9"/>
      <c r="G37" s="1"/>
      <c r="H37" s="1"/>
    </row>
    <row r="38" spans="1:8" x14ac:dyDescent="0.25">
      <c r="A38" s="37"/>
      <c r="B38" s="1"/>
      <c r="C38" s="1"/>
      <c r="D38" s="1"/>
      <c r="E38" s="9"/>
      <c r="F38" s="9"/>
      <c r="G38" s="1"/>
      <c r="H38" s="1"/>
    </row>
    <row r="39" spans="1:8" x14ac:dyDescent="0.25">
      <c r="A39" s="37"/>
      <c r="B39" s="1"/>
      <c r="C39" s="1"/>
      <c r="D39" s="1"/>
      <c r="E39" s="9"/>
      <c r="F39" s="9"/>
      <c r="G39" s="1"/>
      <c r="H39" s="1"/>
    </row>
    <row r="40" spans="1:8" x14ac:dyDescent="0.25">
      <c r="A40" s="37"/>
      <c r="B40" s="1"/>
      <c r="C40" s="1"/>
      <c r="D40" s="1"/>
      <c r="E40" s="9"/>
      <c r="F40" s="9"/>
      <c r="G40" s="1"/>
      <c r="H40" s="1"/>
    </row>
    <row r="41" spans="1:8" x14ac:dyDescent="0.25">
      <c r="A41" s="37"/>
      <c r="B41" s="38" t="s">
        <v>6</v>
      </c>
      <c r="C41" s="39"/>
      <c r="D41" s="40"/>
      <c r="E41" s="11"/>
      <c r="F41" s="11"/>
      <c r="G41" s="2"/>
      <c r="H41" s="1"/>
    </row>
    <row r="42" spans="1:8" x14ac:dyDescent="0.25">
      <c r="A42" s="1"/>
      <c r="B42" s="41" t="s">
        <v>20</v>
      </c>
      <c r="C42" s="42"/>
      <c r="D42" s="43"/>
      <c r="E42" s="12"/>
      <c r="F42" s="12"/>
      <c r="G42" s="20">
        <f>G35+G31+G20+G14+G7</f>
        <v>16323.18</v>
      </c>
      <c r="H42" s="1"/>
    </row>
  </sheetData>
  <mergeCells count="16">
    <mergeCell ref="A16:A20"/>
    <mergeCell ref="B20:D20"/>
    <mergeCell ref="A1:H1"/>
    <mergeCell ref="A3:A7"/>
    <mergeCell ref="B7:D7"/>
    <mergeCell ref="A9:A14"/>
    <mergeCell ref="B14:D14"/>
    <mergeCell ref="A37:A41"/>
    <mergeCell ref="B41:D41"/>
    <mergeCell ref="B42:D42"/>
    <mergeCell ref="A22:A26"/>
    <mergeCell ref="B26:D26"/>
    <mergeCell ref="A28:A31"/>
    <mergeCell ref="B31:D31"/>
    <mergeCell ref="A33:A35"/>
    <mergeCell ref="B35:D35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51"/>
  <sheetViews>
    <sheetView topLeftCell="A22" workbookViewId="0">
      <selection activeCell="I47" sqref="I47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1" x14ac:dyDescent="0.25">
      <c r="A1" s="47" t="s">
        <v>25</v>
      </c>
      <c r="B1" s="48"/>
      <c r="C1" s="48"/>
      <c r="D1" s="48"/>
      <c r="E1" s="48"/>
      <c r="F1" s="48"/>
      <c r="G1" s="48"/>
      <c r="H1" s="49"/>
    </row>
    <row r="2" spans="1:11" x14ac:dyDescent="0.25">
      <c r="A2" s="1" t="s">
        <v>0</v>
      </c>
      <c r="B2" s="1" t="s">
        <v>1</v>
      </c>
      <c r="C2" s="1" t="s">
        <v>2</v>
      </c>
      <c r="D2" s="1" t="s">
        <v>3</v>
      </c>
      <c r="E2" s="29" t="s">
        <v>120</v>
      </c>
      <c r="F2" s="29"/>
      <c r="G2" s="1" t="s">
        <v>4</v>
      </c>
      <c r="H2" s="1" t="s">
        <v>5</v>
      </c>
    </row>
    <row r="3" spans="1:11" x14ac:dyDescent="0.25">
      <c r="A3" s="37" t="s">
        <v>103</v>
      </c>
      <c r="B3" s="1" t="s">
        <v>113</v>
      </c>
      <c r="C3" s="1" t="s">
        <v>92</v>
      </c>
      <c r="D3" s="1">
        <v>75</v>
      </c>
      <c r="E3" s="29">
        <v>60</v>
      </c>
      <c r="F3" s="29" t="s">
        <v>166</v>
      </c>
      <c r="G3" s="1">
        <f>E3*D3</f>
        <v>4500</v>
      </c>
      <c r="H3" s="1"/>
    </row>
    <row r="4" spans="1:11" x14ac:dyDescent="0.25">
      <c r="A4" s="37"/>
      <c r="B4" s="1" t="s">
        <v>114</v>
      </c>
      <c r="C4" s="1" t="s">
        <v>81</v>
      </c>
      <c r="D4" s="1">
        <v>70</v>
      </c>
      <c r="E4" s="29">
        <v>8</v>
      </c>
      <c r="F4" s="29" t="s">
        <v>186</v>
      </c>
      <c r="G4" s="29">
        <f t="shared" ref="G4:G7" si="0">E4*D4</f>
        <v>560</v>
      </c>
      <c r="H4" s="1"/>
    </row>
    <row r="5" spans="1:11" x14ac:dyDescent="0.25">
      <c r="A5" s="37"/>
      <c r="B5" s="1" t="s">
        <v>33</v>
      </c>
      <c r="C5" s="1" t="s">
        <v>38</v>
      </c>
      <c r="D5" s="1">
        <v>23.46</v>
      </c>
      <c r="E5" s="29">
        <v>6</v>
      </c>
      <c r="F5" s="29" t="s">
        <v>166</v>
      </c>
      <c r="G5" s="17">
        <f t="shared" si="0"/>
        <v>140.76</v>
      </c>
      <c r="H5" s="1"/>
    </row>
    <row r="6" spans="1:11" x14ac:dyDescent="0.25">
      <c r="A6" s="37"/>
      <c r="B6" s="1" t="s">
        <v>115</v>
      </c>
      <c r="C6" s="1" t="s">
        <v>116</v>
      </c>
      <c r="D6" s="1">
        <v>270</v>
      </c>
      <c r="E6" s="32">
        <v>4</v>
      </c>
      <c r="F6" s="29" t="s">
        <v>187</v>
      </c>
      <c r="G6" s="29">
        <f t="shared" si="0"/>
        <v>1080</v>
      </c>
      <c r="H6" s="1"/>
    </row>
    <row r="7" spans="1:11" x14ac:dyDescent="0.25">
      <c r="A7" s="37"/>
      <c r="B7" s="1" t="s">
        <v>79</v>
      </c>
      <c r="C7" s="1" t="s">
        <v>80</v>
      </c>
      <c r="D7" s="1">
        <v>226</v>
      </c>
      <c r="E7" s="32">
        <v>1</v>
      </c>
      <c r="F7" s="29" t="s">
        <v>188</v>
      </c>
      <c r="G7" s="29">
        <f t="shared" si="0"/>
        <v>226</v>
      </c>
      <c r="H7" s="1"/>
    </row>
    <row r="8" spans="1:11" x14ac:dyDescent="0.25">
      <c r="A8" s="37"/>
      <c r="B8" s="38" t="s">
        <v>6</v>
      </c>
      <c r="C8" s="39"/>
      <c r="D8" s="40"/>
      <c r="E8" s="32"/>
      <c r="F8" s="32"/>
      <c r="G8" s="18">
        <f>SUM(G3:G7)</f>
        <v>6506.76</v>
      </c>
      <c r="H8" s="1"/>
    </row>
    <row r="9" spans="1:11" x14ac:dyDescent="0.25">
      <c r="A9" s="1" t="s">
        <v>7</v>
      </c>
      <c r="B9" s="1" t="s">
        <v>1</v>
      </c>
      <c r="C9" s="1" t="s">
        <v>2</v>
      </c>
      <c r="D9" s="1" t="s">
        <v>3</v>
      </c>
      <c r="E9" s="29" t="s">
        <v>120</v>
      </c>
      <c r="F9" s="29"/>
      <c r="G9" s="1" t="s">
        <v>4</v>
      </c>
      <c r="H9" s="1" t="s">
        <v>5</v>
      </c>
      <c r="K9" s="3"/>
    </row>
    <row r="10" spans="1:11" x14ac:dyDescent="0.25">
      <c r="A10" s="37" t="s">
        <v>104</v>
      </c>
      <c r="B10" s="1" t="s">
        <v>110</v>
      </c>
      <c r="C10" s="1" t="s">
        <v>60</v>
      </c>
      <c r="D10" s="1">
        <v>48</v>
      </c>
      <c r="E10" s="29">
        <v>30</v>
      </c>
      <c r="F10" s="29" t="s">
        <v>166</v>
      </c>
      <c r="G10" s="1">
        <f>E10*D10</f>
        <v>1440</v>
      </c>
      <c r="H10" s="1"/>
      <c r="K10" s="4"/>
    </row>
    <row r="11" spans="1:11" x14ac:dyDescent="0.25">
      <c r="A11" s="37"/>
      <c r="B11" s="1" t="s">
        <v>112</v>
      </c>
      <c r="C11" s="1" t="s">
        <v>111</v>
      </c>
      <c r="D11" s="1">
        <v>195</v>
      </c>
      <c r="E11" s="29">
        <v>1</v>
      </c>
      <c r="F11" s="29" t="s">
        <v>189</v>
      </c>
      <c r="G11" s="29">
        <f>E11*D11</f>
        <v>195</v>
      </c>
      <c r="H11" s="1"/>
      <c r="K11" s="4"/>
    </row>
    <row r="12" spans="1:11" x14ac:dyDescent="0.25">
      <c r="A12" s="37"/>
      <c r="B12" s="1"/>
      <c r="C12" s="1"/>
      <c r="D12" s="1"/>
      <c r="E12" s="29"/>
      <c r="F12" s="29"/>
      <c r="G12" s="1"/>
      <c r="H12" s="1"/>
      <c r="K12" s="4"/>
    </row>
    <row r="13" spans="1:11" x14ac:dyDescent="0.25">
      <c r="A13" s="37"/>
      <c r="B13" s="1"/>
      <c r="C13" s="1"/>
      <c r="D13" s="1"/>
      <c r="E13" s="29"/>
      <c r="F13" s="29"/>
      <c r="G13" s="1"/>
      <c r="H13" s="1"/>
      <c r="K13" s="4"/>
    </row>
    <row r="14" spans="1:11" x14ac:dyDescent="0.25">
      <c r="A14" s="37"/>
      <c r="B14" s="1"/>
      <c r="C14" s="1"/>
      <c r="D14" s="1"/>
      <c r="E14" s="29"/>
      <c r="F14" s="29"/>
      <c r="G14" s="1"/>
      <c r="H14" s="1"/>
      <c r="K14" s="5"/>
    </row>
    <row r="15" spans="1:11" x14ac:dyDescent="0.25">
      <c r="A15" s="37"/>
      <c r="B15" s="38" t="s">
        <v>6</v>
      </c>
      <c r="C15" s="39"/>
      <c r="D15" s="40"/>
      <c r="E15" s="32"/>
      <c r="F15" s="32"/>
      <c r="G15" s="19">
        <f>SUM(G10:G14)</f>
        <v>1635</v>
      </c>
      <c r="H15" s="1"/>
    </row>
    <row r="16" spans="1:11" x14ac:dyDescent="0.25">
      <c r="A16" s="1" t="s">
        <v>11</v>
      </c>
      <c r="B16" s="1" t="s">
        <v>1</v>
      </c>
      <c r="C16" s="1" t="s">
        <v>2</v>
      </c>
      <c r="D16" s="1" t="s">
        <v>3</v>
      </c>
      <c r="E16" s="29" t="s">
        <v>120</v>
      </c>
      <c r="F16" s="29"/>
      <c r="G16" s="1" t="s">
        <v>4</v>
      </c>
      <c r="H16" s="1" t="s">
        <v>5</v>
      </c>
    </row>
    <row r="17" spans="1:8" x14ac:dyDescent="0.25">
      <c r="A17" s="37" t="s">
        <v>165</v>
      </c>
      <c r="B17" s="1" t="s">
        <v>10</v>
      </c>
      <c r="C17" s="1" t="s">
        <v>9</v>
      </c>
      <c r="D17" s="1">
        <v>58.5</v>
      </c>
      <c r="E17" s="29">
        <v>1</v>
      </c>
      <c r="F17" s="29" t="s">
        <v>166</v>
      </c>
      <c r="G17" s="17">
        <f>E17*D17</f>
        <v>58.5</v>
      </c>
      <c r="H17" s="1"/>
    </row>
    <row r="18" spans="1:8" x14ac:dyDescent="0.25">
      <c r="A18" s="37"/>
      <c r="B18" s="1" t="s">
        <v>33</v>
      </c>
      <c r="C18" s="1" t="s">
        <v>38</v>
      </c>
      <c r="D18" s="1">
        <v>23.46</v>
      </c>
      <c r="E18" s="29">
        <v>8</v>
      </c>
      <c r="F18" s="29" t="s">
        <v>166</v>
      </c>
      <c r="G18" s="17">
        <f t="shared" ref="G18:G20" si="1">E18*D18</f>
        <v>187.68</v>
      </c>
      <c r="H18" s="1"/>
    </row>
    <row r="19" spans="1:8" x14ac:dyDescent="0.25">
      <c r="A19" s="37"/>
      <c r="B19" s="1" t="s">
        <v>126</v>
      </c>
      <c r="C19" s="1" t="s">
        <v>13</v>
      </c>
      <c r="D19" s="1">
        <v>75</v>
      </c>
      <c r="E19" s="29">
        <v>25</v>
      </c>
      <c r="F19" s="29" t="s">
        <v>166</v>
      </c>
      <c r="G19" s="17">
        <f t="shared" si="1"/>
        <v>1875</v>
      </c>
      <c r="H19" s="1"/>
    </row>
    <row r="20" spans="1:8" x14ac:dyDescent="0.25">
      <c r="A20" s="37"/>
      <c r="B20" s="1" t="s">
        <v>190</v>
      </c>
      <c r="C20" s="1"/>
      <c r="D20" s="1">
        <v>82</v>
      </c>
      <c r="E20" s="32">
        <v>12</v>
      </c>
      <c r="F20" s="32" t="s">
        <v>186</v>
      </c>
      <c r="G20" s="17">
        <f t="shared" si="1"/>
        <v>984</v>
      </c>
      <c r="H20" s="1"/>
    </row>
    <row r="21" spans="1:8" x14ac:dyDescent="0.25">
      <c r="A21" s="37"/>
      <c r="B21" s="38" t="s">
        <v>6</v>
      </c>
      <c r="C21" s="39"/>
      <c r="D21" s="40"/>
      <c r="E21" s="32"/>
      <c r="F21" s="32"/>
      <c r="G21" s="18">
        <f>SUM(G17:G20)</f>
        <v>3105.18</v>
      </c>
      <c r="H21" s="1"/>
    </row>
    <row r="22" spans="1:8" x14ac:dyDescent="0.25">
      <c r="A22" s="6" t="s">
        <v>14</v>
      </c>
      <c r="B22" s="1" t="s">
        <v>1</v>
      </c>
      <c r="C22" s="1" t="s">
        <v>2</v>
      </c>
      <c r="D22" s="1" t="s">
        <v>3</v>
      </c>
      <c r="E22" s="29" t="s">
        <v>120</v>
      </c>
      <c r="F22" s="29"/>
      <c r="G22" s="1" t="s">
        <v>4</v>
      </c>
      <c r="H22" s="1" t="s">
        <v>5</v>
      </c>
    </row>
    <row r="23" spans="1:8" x14ac:dyDescent="0.25">
      <c r="A23" s="37"/>
      <c r="B23" s="1" t="s">
        <v>176</v>
      </c>
      <c r="C23" s="1"/>
      <c r="D23" s="1">
        <v>339</v>
      </c>
      <c r="E23" s="29">
        <v>1</v>
      </c>
      <c r="F23" s="29" t="s">
        <v>177</v>
      </c>
      <c r="G23" s="1">
        <f>E23*D23</f>
        <v>339</v>
      </c>
      <c r="H23" s="1"/>
    </row>
    <row r="24" spans="1:8" x14ac:dyDescent="0.25">
      <c r="A24" s="37"/>
      <c r="B24" s="1" t="s">
        <v>178</v>
      </c>
      <c r="C24" s="1"/>
      <c r="D24" s="1">
        <v>291</v>
      </c>
      <c r="E24" s="29">
        <v>1</v>
      </c>
      <c r="F24" s="29" t="s">
        <v>177</v>
      </c>
      <c r="G24" s="29">
        <f>E24*D24</f>
        <v>291</v>
      </c>
      <c r="H24" s="1"/>
    </row>
    <row r="25" spans="1:8" x14ac:dyDescent="0.25">
      <c r="A25" s="37"/>
      <c r="B25" s="1" t="s">
        <v>179</v>
      </c>
      <c r="C25" s="1"/>
      <c r="D25" s="1">
        <v>11.7</v>
      </c>
      <c r="E25" s="29">
        <v>1</v>
      </c>
      <c r="F25" s="29" t="s">
        <v>166</v>
      </c>
      <c r="G25" s="17">
        <f t="shared" ref="G25:G31" si="2">E25*D25</f>
        <v>11.7</v>
      </c>
      <c r="H25" s="1"/>
    </row>
    <row r="26" spans="1:8" x14ac:dyDescent="0.25">
      <c r="A26" s="37"/>
      <c r="B26" s="1" t="s">
        <v>180</v>
      </c>
      <c r="C26" s="1"/>
      <c r="D26" s="1">
        <v>132.6</v>
      </c>
      <c r="E26" s="29">
        <v>1</v>
      </c>
      <c r="F26" s="29" t="s">
        <v>166</v>
      </c>
      <c r="G26" s="17">
        <f t="shared" si="2"/>
        <v>132.6</v>
      </c>
      <c r="H26" s="1"/>
    </row>
    <row r="27" spans="1:8" x14ac:dyDescent="0.25">
      <c r="A27" s="37"/>
      <c r="B27" s="30" t="s">
        <v>185</v>
      </c>
      <c r="C27" s="29"/>
      <c r="D27" s="29">
        <v>42</v>
      </c>
      <c r="E27" s="32">
        <v>20</v>
      </c>
      <c r="F27" s="32" t="s">
        <v>166</v>
      </c>
      <c r="G27" s="32">
        <f t="shared" si="2"/>
        <v>840</v>
      </c>
      <c r="H27" s="29"/>
    </row>
    <row r="28" spans="1:8" x14ac:dyDescent="0.25">
      <c r="A28" s="37"/>
      <c r="B28" s="30" t="s">
        <v>181</v>
      </c>
      <c r="C28" s="29"/>
      <c r="D28" s="29">
        <v>844</v>
      </c>
      <c r="E28" s="32">
        <v>1</v>
      </c>
      <c r="F28" s="32" t="s">
        <v>182</v>
      </c>
      <c r="G28" s="32">
        <f t="shared" si="2"/>
        <v>844</v>
      </c>
      <c r="H28" s="29"/>
    </row>
    <row r="29" spans="1:8" x14ac:dyDescent="0.25">
      <c r="A29" s="37"/>
      <c r="B29" s="29" t="s">
        <v>194</v>
      </c>
      <c r="C29" s="29"/>
      <c r="D29" s="29">
        <v>220</v>
      </c>
      <c r="E29" s="32">
        <v>1</v>
      </c>
      <c r="F29" s="32" t="s">
        <v>186</v>
      </c>
      <c r="G29" s="32">
        <f t="shared" si="2"/>
        <v>220</v>
      </c>
      <c r="H29" s="29"/>
    </row>
    <row r="30" spans="1:8" x14ac:dyDescent="0.25">
      <c r="A30" s="37"/>
      <c r="B30" s="29" t="s">
        <v>195</v>
      </c>
      <c r="C30" s="29"/>
      <c r="D30" s="29">
        <v>235</v>
      </c>
      <c r="E30" s="32">
        <v>2</v>
      </c>
      <c r="F30" s="32" t="s">
        <v>189</v>
      </c>
      <c r="G30" s="32">
        <f t="shared" si="2"/>
        <v>470</v>
      </c>
      <c r="H30" s="29"/>
    </row>
    <row r="31" spans="1:8" x14ac:dyDescent="0.25">
      <c r="A31" s="37"/>
      <c r="B31" s="29" t="s">
        <v>196</v>
      </c>
      <c r="C31" s="29"/>
      <c r="D31" s="29">
        <v>250</v>
      </c>
      <c r="E31" s="32">
        <v>1</v>
      </c>
      <c r="F31" s="29" t="s">
        <v>177</v>
      </c>
      <c r="G31" s="32">
        <f t="shared" si="2"/>
        <v>250</v>
      </c>
      <c r="H31" s="29"/>
    </row>
    <row r="32" spans="1:8" x14ac:dyDescent="0.25">
      <c r="A32" s="37"/>
      <c r="B32" s="38" t="s">
        <v>6</v>
      </c>
      <c r="C32" s="39"/>
      <c r="D32" s="40"/>
      <c r="E32" s="32"/>
      <c r="F32" s="32"/>
      <c r="G32" s="18">
        <f>SUM(G23:G31)</f>
        <v>3398.3</v>
      </c>
      <c r="H32" s="1"/>
    </row>
    <row r="33" spans="1:8" x14ac:dyDescent="0.25">
      <c r="A33" s="1" t="s">
        <v>15</v>
      </c>
      <c r="B33" s="1" t="s">
        <v>1</v>
      </c>
      <c r="C33" s="1" t="s">
        <v>2</v>
      </c>
      <c r="D33" s="1" t="s">
        <v>3</v>
      </c>
      <c r="E33" s="29" t="s">
        <v>120</v>
      </c>
      <c r="F33" s="29"/>
      <c r="G33" s="1" t="s">
        <v>4</v>
      </c>
      <c r="H33" s="1" t="s">
        <v>5</v>
      </c>
    </row>
    <row r="34" spans="1:8" x14ac:dyDescent="0.25">
      <c r="A34" s="37" t="s">
        <v>105</v>
      </c>
      <c r="B34" s="1" t="s">
        <v>106</v>
      </c>
      <c r="C34" s="1" t="s">
        <v>108</v>
      </c>
      <c r="D34" s="1">
        <v>21</v>
      </c>
      <c r="E34" s="29">
        <v>5</v>
      </c>
      <c r="F34" s="29" t="s">
        <v>166</v>
      </c>
      <c r="G34" s="1">
        <f>E34*D34</f>
        <v>105</v>
      </c>
      <c r="H34" s="1"/>
    </row>
    <row r="35" spans="1:8" x14ac:dyDescent="0.25">
      <c r="A35" s="37"/>
      <c r="B35" s="1" t="s">
        <v>107</v>
      </c>
      <c r="C35" s="1" t="s">
        <v>109</v>
      </c>
      <c r="D35" s="1">
        <v>27</v>
      </c>
      <c r="E35" s="29">
        <v>12</v>
      </c>
      <c r="F35" s="29" t="s">
        <v>166</v>
      </c>
      <c r="G35" s="29">
        <f>E35*D35</f>
        <v>324</v>
      </c>
      <c r="H35" s="1"/>
    </row>
    <row r="36" spans="1:8" x14ac:dyDescent="0.25">
      <c r="A36" s="37"/>
      <c r="B36" s="38" t="s">
        <v>6</v>
      </c>
      <c r="C36" s="39"/>
      <c r="D36" s="40"/>
      <c r="E36" s="32"/>
      <c r="F36" s="32"/>
      <c r="G36" s="19">
        <f>SUM(G34:G35)</f>
        <v>429</v>
      </c>
      <c r="H36" s="1"/>
    </row>
    <row r="37" spans="1:8" x14ac:dyDescent="0.25">
      <c r="A37" s="1" t="s">
        <v>18</v>
      </c>
      <c r="B37" s="1" t="s">
        <v>1</v>
      </c>
      <c r="C37" s="1" t="s">
        <v>2</v>
      </c>
      <c r="D37" s="1" t="s">
        <v>3</v>
      </c>
      <c r="E37" s="29" t="s">
        <v>120</v>
      </c>
      <c r="F37" s="32"/>
      <c r="G37" s="2" t="s">
        <v>4</v>
      </c>
      <c r="H37" s="1" t="s">
        <v>5</v>
      </c>
    </row>
    <row r="38" spans="1:8" x14ac:dyDescent="0.25">
      <c r="A38" s="44"/>
      <c r="B38" s="1" t="s">
        <v>167</v>
      </c>
      <c r="C38" s="1"/>
      <c r="D38" s="1">
        <v>30</v>
      </c>
      <c r="E38" s="29">
        <v>65</v>
      </c>
      <c r="F38" s="29" t="s">
        <v>166</v>
      </c>
      <c r="G38" s="1">
        <f>E38*D38</f>
        <v>1950</v>
      </c>
      <c r="H38" s="1"/>
    </row>
    <row r="39" spans="1:8" x14ac:dyDescent="0.25">
      <c r="A39" s="45"/>
      <c r="B39" s="35" t="s">
        <v>197</v>
      </c>
      <c r="C39" s="35"/>
      <c r="D39" s="35">
        <v>42</v>
      </c>
      <c r="E39" s="35">
        <v>1.34</v>
      </c>
      <c r="F39" s="35"/>
      <c r="G39" s="17">
        <f>E39*D39</f>
        <v>56.28</v>
      </c>
      <c r="H39" s="35"/>
    </row>
    <row r="40" spans="1:8" x14ac:dyDescent="0.25">
      <c r="A40" s="45"/>
      <c r="B40" s="1" t="s">
        <v>168</v>
      </c>
      <c r="C40" s="1" t="s">
        <v>169</v>
      </c>
      <c r="D40" s="1">
        <v>20.16</v>
      </c>
      <c r="E40" s="24">
        <v>59</v>
      </c>
      <c r="F40" s="29" t="s">
        <v>166</v>
      </c>
      <c r="G40" s="17">
        <f>E40*D40</f>
        <v>1189.44</v>
      </c>
      <c r="H40" s="1"/>
    </row>
    <row r="41" spans="1:8" x14ac:dyDescent="0.25">
      <c r="A41" s="46"/>
      <c r="B41" s="38" t="s">
        <v>6</v>
      </c>
      <c r="C41" s="39"/>
      <c r="D41" s="40"/>
      <c r="E41" s="32"/>
      <c r="F41" s="32"/>
      <c r="G41" s="36">
        <f>SUM(G38:G40)</f>
        <v>3195.7200000000003</v>
      </c>
      <c r="H41" s="7"/>
    </row>
    <row r="42" spans="1:8" x14ac:dyDescent="0.25">
      <c r="A42" s="8" t="s">
        <v>191</v>
      </c>
      <c r="B42" s="1" t="s">
        <v>1</v>
      </c>
      <c r="C42" s="1" t="s">
        <v>2</v>
      </c>
      <c r="D42" s="1" t="s">
        <v>3</v>
      </c>
      <c r="E42" s="29" t="s">
        <v>120</v>
      </c>
      <c r="F42" s="29"/>
      <c r="G42" s="1" t="s">
        <v>4</v>
      </c>
      <c r="H42" s="1"/>
    </row>
    <row r="43" spans="1:8" x14ac:dyDescent="0.25">
      <c r="A43" s="37"/>
      <c r="B43" s="1" t="s">
        <v>170</v>
      </c>
      <c r="C43" s="1"/>
      <c r="D43" s="1">
        <v>21</v>
      </c>
      <c r="E43" s="29">
        <v>8</v>
      </c>
      <c r="F43" s="29" t="s">
        <v>166</v>
      </c>
      <c r="G43" s="1">
        <f t="shared" ref="G43:G49" si="3">E43*D43</f>
        <v>168</v>
      </c>
      <c r="H43" s="1"/>
    </row>
    <row r="44" spans="1:8" x14ac:dyDescent="0.25">
      <c r="A44" s="37"/>
      <c r="B44" s="1" t="s">
        <v>171</v>
      </c>
      <c r="C44" s="1"/>
      <c r="D44" s="1">
        <v>69</v>
      </c>
      <c r="E44" s="24">
        <v>2</v>
      </c>
      <c r="F44" s="29" t="s">
        <v>166</v>
      </c>
      <c r="G44" s="35">
        <f t="shared" si="3"/>
        <v>138</v>
      </c>
      <c r="H44" s="1"/>
    </row>
    <row r="45" spans="1:8" x14ac:dyDescent="0.25">
      <c r="A45" s="37"/>
      <c r="B45" s="1" t="s">
        <v>172</v>
      </c>
      <c r="C45" s="1"/>
      <c r="D45" s="1">
        <v>10</v>
      </c>
      <c r="E45" s="29">
        <v>25</v>
      </c>
      <c r="F45" s="29" t="s">
        <v>173</v>
      </c>
      <c r="G45" s="35">
        <f t="shared" si="3"/>
        <v>250</v>
      </c>
      <c r="H45" s="1"/>
    </row>
    <row r="46" spans="1:8" x14ac:dyDescent="0.25">
      <c r="A46" s="37"/>
      <c r="B46" s="1" t="s">
        <v>174</v>
      </c>
      <c r="C46" s="1"/>
      <c r="D46" s="1">
        <v>93</v>
      </c>
      <c r="E46" s="29">
        <v>8</v>
      </c>
      <c r="F46" s="29" t="s">
        <v>166</v>
      </c>
      <c r="G46" s="35">
        <f t="shared" si="3"/>
        <v>744</v>
      </c>
      <c r="H46" s="1"/>
    </row>
    <row r="47" spans="1:8" x14ac:dyDescent="0.25">
      <c r="A47" s="37"/>
      <c r="B47" s="30" t="s">
        <v>175</v>
      </c>
      <c r="C47" s="29"/>
      <c r="D47" s="29">
        <v>43.8</v>
      </c>
      <c r="E47" s="32">
        <v>4</v>
      </c>
      <c r="F47" s="29" t="s">
        <v>166</v>
      </c>
      <c r="G47" s="17">
        <f t="shared" si="3"/>
        <v>175.2</v>
      </c>
      <c r="H47" s="29"/>
    </row>
    <row r="48" spans="1:8" x14ac:dyDescent="0.25">
      <c r="A48" s="37"/>
      <c r="B48" s="29" t="s">
        <v>192</v>
      </c>
      <c r="C48" s="29"/>
      <c r="D48" s="29">
        <v>12</v>
      </c>
      <c r="E48" s="32">
        <v>24</v>
      </c>
      <c r="F48" s="32" t="s">
        <v>187</v>
      </c>
      <c r="G48" s="35">
        <f t="shared" si="3"/>
        <v>288</v>
      </c>
      <c r="H48" s="29"/>
    </row>
    <row r="49" spans="1:8" x14ac:dyDescent="0.25">
      <c r="A49" s="37"/>
      <c r="B49" s="30" t="s">
        <v>193</v>
      </c>
      <c r="C49" s="31"/>
      <c r="D49" s="32">
        <v>4.5</v>
      </c>
      <c r="E49" s="32">
        <v>50</v>
      </c>
      <c r="F49" s="32" t="s">
        <v>173</v>
      </c>
      <c r="G49" s="35">
        <f t="shared" si="3"/>
        <v>225</v>
      </c>
      <c r="H49" s="29"/>
    </row>
    <row r="50" spans="1:8" x14ac:dyDescent="0.25">
      <c r="A50" s="37"/>
      <c r="B50" s="38" t="s">
        <v>6</v>
      </c>
      <c r="C50" s="39"/>
      <c r="D50" s="40"/>
      <c r="E50" s="32"/>
      <c r="F50" s="32"/>
      <c r="G50" s="18">
        <f>SUM(G43:G49)</f>
        <v>1988.2</v>
      </c>
      <c r="H50" s="1"/>
    </row>
    <row r="51" spans="1:8" x14ac:dyDescent="0.25">
      <c r="A51" s="1"/>
      <c r="B51" s="41" t="s">
        <v>20</v>
      </c>
      <c r="C51" s="42"/>
      <c r="D51" s="43"/>
      <c r="E51" s="33"/>
      <c r="F51" s="33"/>
      <c r="G51" s="34">
        <f>G50+G41+G36+G32+G21+G15+G8</f>
        <v>20258.160000000003</v>
      </c>
      <c r="H51" s="1"/>
    </row>
  </sheetData>
  <mergeCells count="16">
    <mergeCell ref="A17:A21"/>
    <mergeCell ref="B21:D21"/>
    <mergeCell ref="A1:H1"/>
    <mergeCell ref="A3:A8"/>
    <mergeCell ref="B8:D8"/>
    <mergeCell ref="A10:A15"/>
    <mergeCell ref="B15:D15"/>
    <mergeCell ref="A43:A50"/>
    <mergeCell ref="B50:D50"/>
    <mergeCell ref="B51:D51"/>
    <mergeCell ref="A23:A32"/>
    <mergeCell ref="B32:D32"/>
    <mergeCell ref="A34:A36"/>
    <mergeCell ref="B36:D36"/>
    <mergeCell ref="A38:A41"/>
    <mergeCell ref="B41:D41"/>
  </mergeCells>
  <phoneticPr fontId="2" type="noConversion"/>
  <pageMargins left="0.7" right="0.7" top="0.75" bottom="0.75" header="0.3" footer="0.3"/>
  <pageSetup paperSize="9" scale="9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已命名的範圍</vt:lpstr>
      </vt:variant>
      <vt:variant>
        <vt:i4>4</vt:i4>
      </vt:variant>
    </vt:vector>
  </HeadingPairs>
  <TitlesOfParts>
    <vt:vector size="10" baseType="lpstr">
      <vt:lpstr>0708+</vt:lpstr>
      <vt:lpstr>0709+</vt:lpstr>
      <vt:lpstr>0710+</vt:lpstr>
      <vt:lpstr>0711+</vt:lpstr>
      <vt:lpstr>0712+</vt:lpstr>
      <vt:lpstr>工作表1</vt:lpstr>
      <vt:lpstr>'0708+'!Print_Area</vt:lpstr>
      <vt:lpstr>'0709+'!Print_Area</vt:lpstr>
      <vt:lpstr>'0710+'!Print_Area</vt:lpstr>
      <vt:lpstr>'0712+'!Print_Area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2024-07-09T02:23:37Z</cp:lastPrinted>
  <dcterms:created xsi:type="dcterms:W3CDTF">2024-06-27T13:47:41Z</dcterms:created>
  <dcterms:modified xsi:type="dcterms:W3CDTF">2024-07-30T01:37:34Z</dcterms:modified>
</cp:coreProperties>
</file>