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7月份\"/>
    </mc:Choice>
  </mc:AlternateContent>
  <bookViews>
    <workbookView xWindow="0" yWindow="0" windowWidth="28800" windowHeight="12255" activeTab="1"/>
  </bookViews>
  <sheets>
    <sheet name="0729" sheetId="1" r:id="rId1"/>
    <sheet name="0730" sheetId="2" r:id="rId2"/>
    <sheet name="0731" sheetId="3" r:id="rId3"/>
    <sheet name="0801+" sheetId="4" r:id="rId4"/>
    <sheet name="0802+" sheetId="5" r:id="rId5"/>
  </sheets>
  <definedNames>
    <definedName name="_xlnm.Print_Area" localSheetId="1">'0730'!$A$1:$H$48</definedName>
    <definedName name="_xlnm.Print_Area" localSheetId="2">'0731'!$A$1:$H$42</definedName>
    <definedName name="_xlnm.Print_Area" localSheetId="3">'0801+'!$A$1:$H$41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2" i="3" l="1"/>
  <c r="G52" i="5"/>
  <c r="G51" i="5"/>
  <c r="G45" i="5"/>
  <c r="G46" i="5"/>
  <c r="G47" i="5"/>
  <c r="G48" i="5"/>
  <c r="G49" i="5"/>
  <c r="G50" i="5"/>
  <c r="G44" i="5"/>
  <c r="G34" i="5"/>
  <c r="G33" i="5"/>
  <c r="G32" i="5"/>
  <c r="G20" i="5"/>
  <c r="G17" i="5"/>
  <c r="G18" i="5"/>
  <c r="G30" i="5"/>
  <c r="G23" i="5"/>
  <c r="G24" i="5"/>
  <c r="G25" i="5"/>
  <c r="G26" i="5"/>
  <c r="G27" i="5"/>
  <c r="G28" i="5"/>
  <c r="G29" i="5"/>
  <c r="G22" i="5"/>
  <c r="G16" i="5"/>
  <c r="G43" i="5"/>
  <c r="G42" i="5"/>
  <c r="G41" i="5"/>
  <c r="G40" i="5"/>
  <c r="G38" i="5"/>
  <c r="G37" i="5"/>
  <c r="G36" i="5"/>
  <c r="G10" i="5"/>
  <c r="G9" i="5"/>
  <c r="G4" i="5"/>
  <c r="G5" i="5"/>
  <c r="G7" i="5" s="1"/>
  <c r="G6" i="5"/>
  <c r="G3" i="5"/>
  <c r="G14" i="5" l="1"/>
  <c r="G26" i="4"/>
  <c r="G22" i="4"/>
  <c r="G30" i="4"/>
  <c r="G28" i="4"/>
  <c r="G20" i="4"/>
  <c r="G16" i="4"/>
  <c r="G17" i="4"/>
  <c r="G18" i="4"/>
  <c r="G19" i="4"/>
  <c r="G14" i="4"/>
  <c r="G10" i="4"/>
  <c r="G9" i="4"/>
  <c r="G7" i="4"/>
  <c r="G4" i="4"/>
  <c r="G5" i="4"/>
  <c r="G3" i="4"/>
  <c r="G40" i="4"/>
  <c r="G37" i="4"/>
  <c r="G36" i="4"/>
  <c r="G33" i="4"/>
  <c r="G34" i="4" s="1"/>
  <c r="G41" i="4" s="1"/>
  <c r="G32" i="4"/>
  <c r="G26" i="3" l="1"/>
  <c r="G23" i="3"/>
  <c r="G22" i="3"/>
  <c r="G14" i="3"/>
  <c r="G10" i="3"/>
  <c r="G7" i="3"/>
  <c r="G4" i="3"/>
  <c r="G34" i="3"/>
  <c r="G42" i="3" s="1"/>
  <c r="G33" i="3"/>
  <c r="G41" i="3"/>
  <c r="G37" i="3"/>
  <c r="G38" i="3"/>
  <c r="G39" i="3"/>
  <c r="G40" i="3"/>
  <c r="G36" i="3"/>
  <c r="G30" i="3"/>
  <c r="G29" i="3"/>
  <c r="G28" i="3"/>
  <c r="G9" i="3"/>
  <c r="G3" i="3"/>
  <c r="G35" i="2" l="1"/>
  <c r="G44" i="2"/>
  <c r="G45" i="2"/>
  <c r="G46" i="2"/>
  <c r="G38" i="2"/>
  <c r="G37" i="2"/>
  <c r="G39" i="2" s="1"/>
  <c r="G18" i="2"/>
  <c r="G21" i="2" s="1"/>
  <c r="G19" i="2"/>
  <c r="G17" i="2"/>
  <c r="G15" i="2"/>
  <c r="G10" i="2"/>
  <c r="G11" i="2"/>
  <c r="G12" i="2"/>
  <c r="G9" i="2"/>
  <c r="G7" i="2"/>
  <c r="G3" i="2"/>
  <c r="G31" i="2"/>
  <c r="G30" i="2"/>
  <c r="G29" i="2"/>
  <c r="G42" i="2"/>
  <c r="G43" i="2"/>
  <c r="G33" i="2"/>
  <c r="G14" i="2"/>
  <c r="G13" i="2"/>
  <c r="G48" i="2" l="1"/>
  <c r="G28" i="2"/>
  <c r="G24" i="2"/>
  <c r="G25" i="2"/>
  <c r="G26" i="2"/>
  <c r="G27" i="2"/>
  <c r="G23" i="2"/>
  <c r="G47" i="2" l="1"/>
  <c r="G41" i="2"/>
</calcChain>
</file>

<file path=xl/sharedStrings.xml><?xml version="1.0" encoding="utf-8"?>
<sst xmlns="http://schemas.openxmlformats.org/spreadsheetml/2006/main" count="531" uniqueCount="187">
  <si>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</si>
  <si>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</si>
  <si>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</si>
  <si>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</si>
  <si>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</si>
  <si>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</si>
  <si>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</si>
  <si>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</si>
  <si>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</si>
  <si>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</si>
  <si>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</si>
  <si>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青菜/水果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</si>
  <si>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</si>
  <si>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</si>
  <si>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 年      7月   29日      午餐明細表</t>
    <phoneticPr fontId="2" type="noConversion"/>
  </si>
  <si>
    <t>電訊科技中心(安康營區)     113 年      7月   30日      午餐明細表</t>
    <phoneticPr fontId="2" type="noConversion"/>
  </si>
  <si>
    <t>電訊科技中心(安康營區)     113 年      7月   31日      午餐明細表</t>
    <phoneticPr fontId="2" type="noConversion"/>
  </si>
  <si>
    <t>電訊科技中心(安康營區)     113 年      8月   1日      午餐明細表</t>
    <phoneticPr fontId="2" type="noConversion"/>
  </si>
  <si>
    <t>電訊科技中心(安康營區)     113 年      8月   2日      午餐明細表</t>
    <phoneticPr fontId="2" type="noConversion"/>
  </si>
  <si>
    <t>起司豬排</t>
    <phoneticPr fontId="2" type="noConversion"/>
  </si>
  <si>
    <t>240片</t>
    <phoneticPr fontId="2" type="noConversion"/>
  </si>
  <si>
    <t>洋蔥炒蛋</t>
    <phoneticPr fontId="2" type="noConversion"/>
  </si>
  <si>
    <t>蛋</t>
    <phoneticPr fontId="2" type="noConversion"/>
  </si>
  <si>
    <t>去皮洋蔥</t>
    <phoneticPr fontId="2" type="noConversion"/>
  </si>
  <si>
    <t>1件</t>
    <phoneticPr fontId="2" type="noConversion"/>
  </si>
  <si>
    <t>20斤</t>
    <phoneticPr fontId="2" type="noConversion"/>
  </si>
  <si>
    <t>麻婆豆腐</t>
    <phoneticPr fontId="2" type="noConversion"/>
  </si>
  <si>
    <t>4.3豆腐</t>
    <phoneticPr fontId="2" type="noConversion"/>
  </si>
  <si>
    <t>絞肉</t>
    <phoneticPr fontId="2" type="noConversion"/>
  </si>
  <si>
    <t>6板</t>
    <phoneticPr fontId="2" type="noConversion"/>
  </si>
  <si>
    <t>10斤</t>
    <phoneticPr fontId="2" type="noConversion"/>
  </si>
  <si>
    <t>榨菜筍片湯</t>
    <phoneticPr fontId="2" type="noConversion"/>
  </si>
  <si>
    <t>榨菜絲</t>
    <phoneticPr fontId="2" type="noConversion"/>
  </si>
  <si>
    <t>桶筍片</t>
    <phoneticPr fontId="2" type="noConversion"/>
  </si>
  <si>
    <t>5斤</t>
    <phoneticPr fontId="2" type="noConversion"/>
  </si>
  <si>
    <t>12斤</t>
    <phoneticPr fontId="2" type="noConversion"/>
  </si>
  <si>
    <t>烤雞翅</t>
    <phoneticPr fontId="2" type="noConversion"/>
  </si>
  <si>
    <t>雞翅</t>
    <phoneticPr fontId="2" type="noConversion"/>
  </si>
  <si>
    <t>280隻</t>
    <phoneticPr fontId="2" type="noConversion"/>
  </si>
  <si>
    <t>打拋豬</t>
    <phoneticPr fontId="2" type="noConversion"/>
  </si>
  <si>
    <t>牛番茄</t>
    <phoneticPr fontId="2" type="noConversion"/>
  </si>
  <si>
    <t>九層塔</t>
    <phoneticPr fontId="2" type="noConversion"/>
  </si>
  <si>
    <t>檸檬汁</t>
    <phoneticPr fontId="2" type="noConversion"/>
  </si>
  <si>
    <t>50斤</t>
    <phoneticPr fontId="2" type="noConversion"/>
  </si>
  <si>
    <t>1.5斤</t>
    <phoneticPr fontId="2" type="noConversion"/>
  </si>
  <si>
    <t>1瓶</t>
    <phoneticPr fontId="2" type="noConversion"/>
  </si>
  <si>
    <t>大黃瓜竹輪</t>
    <phoneticPr fontId="2" type="noConversion"/>
  </si>
  <si>
    <t>去皮大黃瓜</t>
    <phoneticPr fontId="2" type="noConversion"/>
  </si>
  <si>
    <t>竹輪</t>
    <phoneticPr fontId="2" type="noConversion"/>
  </si>
  <si>
    <t>川耳</t>
    <phoneticPr fontId="2" type="noConversion"/>
  </si>
  <si>
    <t>55斤</t>
    <phoneticPr fontId="2" type="noConversion"/>
  </si>
  <si>
    <t>8包</t>
    <phoneticPr fontId="2" type="noConversion"/>
  </si>
  <si>
    <t>4斤</t>
    <phoneticPr fontId="2" type="noConversion"/>
  </si>
  <si>
    <t>紫菜蛋花湯</t>
    <phoneticPr fontId="2" type="noConversion"/>
  </si>
  <si>
    <t>紫菜</t>
    <phoneticPr fontId="2" type="noConversion"/>
  </si>
  <si>
    <t>1包</t>
    <phoneticPr fontId="2" type="noConversion"/>
  </si>
  <si>
    <t>沙茶燴飯</t>
    <phoneticPr fontId="2" type="noConversion"/>
  </si>
  <si>
    <t>豬肉片</t>
    <phoneticPr fontId="2" type="noConversion"/>
  </si>
  <si>
    <t>木耳絲</t>
    <phoneticPr fontId="2" type="noConversion"/>
  </si>
  <si>
    <t>紅蘿蔔</t>
    <phoneticPr fontId="2" type="noConversion"/>
  </si>
  <si>
    <t>金針菇</t>
    <phoneticPr fontId="2" type="noConversion"/>
  </si>
  <si>
    <t>3斤</t>
    <phoneticPr fontId="2" type="noConversion"/>
  </si>
  <si>
    <t>白蘿蔔貢丸湯</t>
    <phoneticPr fontId="2" type="noConversion"/>
  </si>
  <si>
    <t>白蘿蔔</t>
    <phoneticPr fontId="2" type="noConversion"/>
  </si>
  <si>
    <t>小貢丸</t>
    <phoneticPr fontId="2" type="noConversion"/>
  </si>
  <si>
    <t>2包</t>
    <phoneticPr fontId="2" type="noConversion"/>
  </si>
  <si>
    <t>橙汁魚片</t>
    <phoneticPr fontId="2" type="noConversion"/>
  </si>
  <si>
    <t>鯛魚片</t>
    <phoneticPr fontId="2" type="noConversion"/>
  </si>
  <si>
    <t>香葵客</t>
    <phoneticPr fontId="2" type="noConversion"/>
  </si>
  <si>
    <t>145片</t>
    <phoneticPr fontId="2" type="noConversion"/>
  </si>
  <si>
    <t>皮蛋</t>
    <phoneticPr fontId="2" type="noConversion"/>
  </si>
  <si>
    <t>家常豆腐</t>
    <phoneticPr fontId="2" type="noConversion"/>
  </si>
  <si>
    <t>145粒</t>
    <phoneticPr fontId="2" type="noConversion"/>
  </si>
  <si>
    <t>50盒</t>
    <phoneticPr fontId="2" type="noConversion"/>
  </si>
  <si>
    <t>皮蛋豆腐</t>
    <phoneticPr fontId="2" type="noConversion"/>
  </si>
  <si>
    <t>腐乳雞</t>
    <phoneticPr fontId="2" type="noConversion"/>
  </si>
  <si>
    <t>骨腿丁</t>
    <phoneticPr fontId="2" type="noConversion"/>
  </si>
  <si>
    <t>豆腐乳(大)</t>
    <phoneticPr fontId="2" type="noConversion"/>
  </si>
  <si>
    <t>1罐</t>
    <phoneticPr fontId="2" type="noConversion"/>
  </si>
  <si>
    <t>70斤</t>
    <phoneticPr fontId="2" type="noConversion"/>
  </si>
  <si>
    <t>塔香茄子</t>
    <phoneticPr fontId="2" type="noConversion"/>
  </si>
  <si>
    <t>茄子</t>
    <phoneticPr fontId="2" type="noConversion"/>
  </si>
  <si>
    <t>8斤</t>
    <phoneticPr fontId="2" type="noConversion"/>
  </si>
  <si>
    <t>1斤</t>
    <phoneticPr fontId="2" type="noConversion"/>
  </si>
  <si>
    <t>炒三絲</t>
    <phoneticPr fontId="2" type="noConversion"/>
  </si>
  <si>
    <t>豬肉絲</t>
    <phoneticPr fontId="2" type="noConversion"/>
  </si>
  <si>
    <t>筍絲</t>
    <phoneticPr fontId="2" type="noConversion"/>
  </si>
  <si>
    <t>味增豆腐湯</t>
    <phoneticPr fontId="2" type="noConversion"/>
  </si>
  <si>
    <t>3板</t>
    <phoneticPr fontId="2" type="noConversion"/>
  </si>
  <si>
    <t>蒜泥白肉</t>
    <phoneticPr fontId="2" type="noConversion"/>
  </si>
  <si>
    <t>薑絲</t>
    <phoneticPr fontId="2" type="noConversion"/>
  </si>
  <si>
    <t>五花肉片</t>
    <phoneticPr fontId="2" type="noConversion"/>
  </si>
  <si>
    <t>蒜泥</t>
    <phoneticPr fontId="2" type="noConversion"/>
  </si>
  <si>
    <t>30斤</t>
    <phoneticPr fontId="2" type="noConversion"/>
  </si>
  <si>
    <t>15斤</t>
    <phoneticPr fontId="2" type="noConversion"/>
  </si>
  <si>
    <t>筍絲梅乾菜</t>
    <phoneticPr fontId="2" type="noConversion"/>
  </si>
  <si>
    <t>濕筍乾</t>
    <phoneticPr fontId="2" type="noConversion"/>
  </si>
  <si>
    <t>梅乾菜</t>
    <phoneticPr fontId="2" type="noConversion"/>
  </si>
  <si>
    <t>三層肉絲</t>
    <phoneticPr fontId="2" type="noConversion"/>
  </si>
  <si>
    <t>8球</t>
    <phoneticPr fontId="2" type="noConversion"/>
  </si>
  <si>
    <t>25斤</t>
    <phoneticPr fontId="2" type="noConversion"/>
  </si>
  <si>
    <t>冬瓜粉圓冰</t>
    <phoneticPr fontId="2" type="noConversion"/>
  </si>
  <si>
    <t>粉圓</t>
    <phoneticPr fontId="2" type="noConversion"/>
  </si>
  <si>
    <t>冬瓜磚</t>
    <phoneticPr fontId="2" type="noConversion"/>
  </si>
  <si>
    <t>訂貨數量</t>
    <phoneticPr fontId="2" type="noConversion"/>
  </si>
  <si>
    <t>香蕉</t>
    <phoneticPr fontId="2" type="noConversion"/>
  </si>
  <si>
    <t>260條</t>
    <phoneticPr fontId="2" type="noConversion"/>
  </si>
  <si>
    <t>斤</t>
    <phoneticPr fontId="2" type="noConversion"/>
  </si>
  <si>
    <t>其他</t>
    <phoneticPr fontId="2" type="noConversion"/>
  </si>
  <si>
    <t>小籠湯包</t>
    <phoneticPr fontId="2" type="noConversion"/>
  </si>
  <si>
    <t>個</t>
    <phoneticPr fontId="2" type="noConversion"/>
  </si>
  <si>
    <t>辣椒</t>
    <phoneticPr fontId="2" type="noConversion"/>
  </si>
  <si>
    <t>斤</t>
    <phoneticPr fontId="2" type="noConversion"/>
  </si>
  <si>
    <t>老薑</t>
    <phoneticPr fontId="2" type="noConversion"/>
  </si>
  <si>
    <t>蒜仁</t>
    <phoneticPr fontId="2" type="noConversion"/>
  </si>
  <si>
    <t>青蔥</t>
    <phoneticPr fontId="2" type="noConversion"/>
  </si>
  <si>
    <t>杏鮑菇</t>
    <phoneticPr fontId="2" type="noConversion"/>
  </si>
  <si>
    <t>洗選蛋</t>
    <phoneticPr fontId="2" type="noConversion"/>
  </si>
  <si>
    <t>魚露</t>
    <phoneticPr fontId="2" type="noConversion"/>
  </si>
  <si>
    <t>瓶</t>
    <phoneticPr fontId="2" type="noConversion"/>
  </si>
  <si>
    <t>包</t>
    <phoneticPr fontId="2" type="noConversion"/>
  </si>
  <si>
    <t>桂冠沙拉</t>
    <phoneticPr fontId="2" type="noConversion"/>
  </si>
  <si>
    <t>吐司火腿片</t>
    <phoneticPr fontId="2" type="noConversion"/>
  </si>
  <si>
    <t>五榖米</t>
    <phoneticPr fontId="2" type="noConversion"/>
  </si>
  <si>
    <t>沙拉油</t>
    <phoneticPr fontId="2" type="noConversion"/>
  </si>
  <si>
    <t>高麗菜</t>
    <phoneticPr fontId="2" type="noConversion"/>
  </si>
  <si>
    <t>立大前腿肉絲</t>
    <phoneticPr fontId="2" type="noConversion"/>
  </si>
  <si>
    <t>油麵</t>
    <phoneticPr fontId="2" type="noConversion"/>
  </si>
  <si>
    <t>吐司</t>
    <phoneticPr fontId="2" type="noConversion"/>
  </si>
  <si>
    <t>條</t>
    <phoneticPr fontId="2" type="noConversion"/>
  </si>
  <si>
    <t>訂貨數量</t>
    <phoneticPr fontId="2" type="noConversion"/>
  </si>
  <si>
    <t>香蕉</t>
    <phoneticPr fontId="2" type="noConversion"/>
  </si>
  <si>
    <t>斤</t>
    <phoneticPr fontId="2" type="noConversion"/>
  </si>
  <si>
    <t>包</t>
    <phoneticPr fontId="2" type="noConversion"/>
  </si>
  <si>
    <t>個</t>
    <phoneticPr fontId="2" type="noConversion"/>
  </si>
  <si>
    <t>高麗菜</t>
    <phoneticPr fontId="2" type="noConversion"/>
  </si>
  <si>
    <t>桶</t>
    <phoneticPr fontId="2" type="noConversion"/>
  </si>
  <si>
    <t>盒</t>
    <phoneticPr fontId="2" type="noConversion"/>
  </si>
  <si>
    <t>港式蘿蔔糕</t>
    <phoneticPr fontId="2" type="noConversion"/>
  </si>
  <si>
    <t>阿在伯水餃</t>
    <phoneticPr fontId="2" type="noConversion"/>
  </si>
  <si>
    <t>訂貨數量</t>
    <phoneticPr fontId="2" type="noConversion"/>
  </si>
  <si>
    <t>香蕉</t>
    <phoneticPr fontId="2" type="noConversion"/>
  </si>
  <si>
    <t>260根</t>
    <phoneticPr fontId="2" type="noConversion"/>
  </si>
  <si>
    <t>斤</t>
    <phoneticPr fontId="2" type="noConversion"/>
  </si>
  <si>
    <t>桶</t>
    <phoneticPr fontId="2" type="noConversion"/>
  </si>
  <si>
    <t>厚片土司</t>
    <phoneticPr fontId="2" type="noConversion"/>
  </si>
  <si>
    <t>早餐/其他</t>
    <phoneticPr fontId="2" type="noConversion"/>
  </si>
  <si>
    <t>條</t>
    <phoneticPr fontId="2" type="noConversion"/>
  </si>
  <si>
    <t>素肉排</t>
    <phoneticPr fontId="2" type="noConversion"/>
  </si>
  <si>
    <t>盤</t>
    <phoneticPr fontId="2" type="noConversion"/>
  </si>
  <si>
    <t>乾豆芽</t>
    <phoneticPr fontId="2" type="noConversion"/>
  </si>
  <si>
    <t>地瓜粉</t>
    <phoneticPr fontId="2" type="noConversion"/>
  </si>
  <si>
    <t>袋</t>
    <phoneticPr fontId="2" type="noConversion"/>
  </si>
  <si>
    <t>訂貨數量</t>
    <phoneticPr fontId="2" type="noConversion"/>
  </si>
  <si>
    <t>斤</t>
    <phoneticPr fontId="2" type="noConversion"/>
  </si>
  <si>
    <t>洋蔥炒蛋</t>
    <phoneticPr fontId="2" type="noConversion"/>
  </si>
  <si>
    <t>去皮洋蔥</t>
    <phoneticPr fontId="2" type="noConversion"/>
  </si>
  <si>
    <t>洗選蛋</t>
    <phoneticPr fontId="2" type="noConversion"/>
  </si>
  <si>
    <t>大白菜</t>
    <phoneticPr fontId="2" type="noConversion"/>
  </si>
  <si>
    <t>香蕉</t>
    <phoneticPr fontId="2" type="noConversion"/>
  </si>
  <si>
    <t>油麵</t>
    <phoneticPr fontId="2" type="noConversion"/>
  </si>
  <si>
    <t>滷蛋</t>
    <phoneticPr fontId="2" type="noConversion"/>
  </si>
  <si>
    <t>個</t>
    <phoneticPr fontId="2" type="noConversion"/>
  </si>
  <si>
    <t>海帶捲</t>
    <phoneticPr fontId="2" type="noConversion"/>
  </si>
  <si>
    <t>吐司</t>
    <phoneticPr fontId="2" type="noConversion"/>
  </si>
  <si>
    <t>條</t>
    <phoneticPr fontId="2" type="noConversion"/>
  </si>
  <si>
    <t>晚餐/其他</t>
    <phoneticPr fontId="2" type="noConversion"/>
  </si>
  <si>
    <t>太白粉</t>
    <phoneticPr fontId="2" type="noConversion"/>
  </si>
  <si>
    <t>袋</t>
    <phoneticPr fontId="2" type="noConversion"/>
  </si>
  <si>
    <t>沙拉油</t>
    <phoneticPr fontId="2" type="noConversion"/>
  </si>
  <si>
    <t>番茄醬</t>
    <phoneticPr fontId="2" type="noConversion"/>
  </si>
  <si>
    <t>金蘭醬油</t>
    <phoneticPr fontId="2" type="noConversion"/>
  </si>
  <si>
    <t>香菇素蠔油</t>
    <phoneticPr fontId="2" type="noConversion"/>
  </si>
  <si>
    <t>甘醇醬油</t>
    <phoneticPr fontId="2" type="noConversion"/>
  </si>
  <si>
    <t>非基改味噌</t>
    <phoneticPr fontId="2" type="noConversion"/>
  </si>
  <si>
    <t>香油</t>
    <phoneticPr fontId="2" type="noConversion"/>
  </si>
  <si>
    <t>桶</t>
    <phoneticPr fontId="2" type="noConversion"/>
  </si>
  <si>
    <t>件</t>
    <phoneticPr fontId="2" type="noConversion"/>
  </si>
  <si>
    <t>好熟鍋貼</t>
    <phoneticPr fontId="2" type="noConversion"/>
  </si>
  <si>
    <t>厚片土司</t>
    <phoneticPr fontId="2" type="noConversion"/>
  </si>
  <si>
    <t>紅豆芝麻球</t>
    <phoneticPr fontId="2" type="noConversion"/>
  </si>
  <si>
    <t>燒雞醬</t>
    <phoneticPr fontId="2" type="noConversion"/>
  </si>
  <si>
    <t>高鮮味素</t>
    <phoneticPr fontId="2" type="noConversion"/>
  </si>
  <si>
    <t>巧克力醬</t>
    <phoneticPr fontId="2" type="noConversion"/>
  </si>
  <si>
    <t>綠茶鋁箔包</t>
    <phoneticPr fontId="2" type="noConversion"/>
  </si>
  <si>
    <t>罐</t>
    <phoneticPr fontId="2" type="noConversion"/>
  </si>
  <si>
    <t>盒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</si>
</sst>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0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00B0F0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5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1" fontId="3" fillId="0" borderId="3" xfId="0" applyNumberFormat="1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C32" sqref="C32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43" t="s">
        <v>14</v>
      </c>
      <c r="B1" s="44"/>
      <c r="C1" s="44"/>
      <c r="D1" s="44"/>
      <c r="E1" s="44"/>
      <c r="F1" s="45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9" x14ac:dyDescent="0.25">
      <c r="A3" s="33" t="s">
        <v>19</v>
      </c>
      <c r="B3" s="1" t="s">
        <v>19</v>
      </c>
      <c r="C3" s="1" t="s">
        <v>20</v>
      </c>
      <c r="D3" s="1"/>
      <c r="E3" s="1"/>
      <c r="F3" s="1"/>
    </row>
    <row r="4" spans="1:9" x14ac:dyDescent="0.25">
      <c r="A4" s="33"/>
      <c r="B4" s="1"/>
      <c r="C4" s="1"/>
      <c r="D4" s="1"/>
      <c r="E4" s="1"/>
      <c r="F4" s="1"/>
    </row>
    <row r="5" spans="1:9" x14ac:dyDescent="0.25">
      <c r="A5" s="33"/>
      <c r="B5" s="1"/>
      <c r="C5" s="1"/>
      <c r="D5" s="1"/>
      <c r="E5" s="1"/>
      <c r="F5" s="1"/>
    </row>
    <row r="6" spans="1:9" x14ac:dyDescent="0.25">
      <c r="A6" s="33"/>
      <c r="B6" s="1"/>
      <c r="C6" s="1"/>
      <c r="D6" s="1"/>
      <c r="E6" s="3"/>
      <c r="F6" s="1"/>
    </row>
    <row r="7" spans="1:9" x14ac:dyDescent="0.25">
      <c r="A7" s="33"/>
      <c r="B7" s="34" t="s">
        <v>6</v>
      </c>
      <c r="C7" s="35"/>
      <c r="D7" s="36"/>
      <c r="E7" s="3"/>
      <c r="F7" s="1"/>
    </row>
    <row r="8" spans="1:9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I8" s="4"/>
    </row>
    <row r="9" spans="1:9" x14ac:dyDescent="0.25">
      <c r="A9" s="33" t="s">
        <v>21</v>
      </c>
      <c r="B9" s="1" t="s">
        <v>22</v>
      </c>
      <c r="C9" s="1" t="s">
        <v>24</v>
      </c>
      <c r="D9" s="1"/>
      <c r="E9" s="1"/>
      <c r="F9" s="1"/>
      <c r="I9" s="5"/>
    </row>
    <row r="10" spans="1:9" x14ac:dyDescent="0.25">
      <c r="A10" s="33"/>
      <c r="B10" s="1" t="s">
        <v>23</v>
      </c>
      <c r="C10" s="1" t="s">
        <v>25</v>
      </c>
      <c r="D10" s="1"/>
      <c r="E10" s="1"/>
      <c r="F10" s="1"/>
      <c r="I10" s="5"/>
    </row>
    <row r="11" spans="1:9" x14ac:dyDescent="0.25">
      <c r="A11" s="33"/>
      <c r="B11" s="1"/>
      <c r="C11" s="1"/>
      <c r="D11" s="1"/>
      <c r="E11" s="1"/>
      <c r="F11" s="1"/>
      <c r="I11" s="5"/>
    </row>
    <row r="12" spans="1:9" x14ac:dyDescent="0.25">
      <c r="A12" s="33"/>
      <c r="B12" s="1"/>
      <c r="C12" s="1"/>
      <c r="D12" s="1"/>
      <c r="E12" s="1"/>
      <c r="F12" s="1"/>
      <c r="I12" s="5"/>
    </row>
    <row r="13" spans="1:9" x14ac:dyDescent="0.25">
      <c r="A13" s="33"/>
      <c r="B13" s="1"/>
      <c r="C13" s="1"/>
      <c r="D13" s="1"/>
      <c r="E13" s="1"/>
      <c r="F13" s="1"/>
      <c r="I13" s="6"/>
    </row>
    <row r="14" spans="1:9" x14ac:dyDescent="0.25">
      <c r="A14" s="33"/>
      <c r="B14" s="34" t="s">
        <v>6</v>
      </c>
      <c r="C14" s="35"/>
      <c r="D14" s="36"/>
      <c r="E14" s="3"/>
      <c r="F14" s="1"/>
    </row>
    <row r="15" spans="1:9" x14ac:dyDescent="0.25">
      <c r="A15" s="1" t="s">
        <v>8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9" x14ac:dyDescent="0.25">
      <c r="A16" s="33" t="s">
        <v>26</v>
      </c>
      <c r="B16" s="1" t="s">
        <v>27</v>
      </c>
      <c r="C16" s="1" t="s">
        <v>29</v>
      </c>
      <c r="D16" s="1"/>
      <c r="E16" s="1"/>
      <c r="F16" s="1"/>
    </row>
    <row r="17" spans="1:6" x14ac:dyDescent="0.25">
      <c r="A17" s="33"/>
      <c r="B17" s="1" t="s">
        <v>28</v>
      </c>
      <c r="C17" s="1" t="s">
        <v>30</v>
      </c>
      <c r="D17" s="1"/>
      <c r="E17" s="1"/>
      <c r="F17" s="1"/>
    </row>
    <row r="18" spans="1:6" x14ac:dyDescent="0.25">
      <c r="A18" s="33"/>
      <c r="B18" s="1"/>
      <c r="C18" s="1"/>
      <c r="D18" s="1"/>
      <c r="E18" s="1"/>
      <c r="F18" s="1"/>
    </row>
    <row r="19" spans="1:6" x14ac:dyDescent="0.25">
      <c r="A19" s="33"/>
      <c r="B19" s="1"/>
      <c r="C19" s="1"/>
      <c r="D19" s="1"/>
      <c r="E19" s="3"/>
      <c r="F19" s="1"/>
    </row>
    <row r="20" spans="1:6" x14ac:dyDescent="0.25">
      <c r="A20" s="33"/>
      <c r="B20" s="34" t="s">
        <v>6</v>
      </c>
      <c r="C20" s="35"/>
      <c r="D20" s="36"/>
      <c r="E20" s="3"/>
      <c r="F20" s="1"/>
    </row>
    <row r="21" spans="1:6" x14ac:dyDescent="0.25">
      <c r="A21" s="7" t="s">
        <v>9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s="33"/>
      <c r="B22" s="1"/>
      <c r="C22" s="1"/>
      <c r="D22" s="1"/>
      <c r="E22" s="1"/>
      <c r="F22" s="1"/>
    </row>
    <row r="23" spans="1:6" x14ac:dyDescent="0.25">
      <c r="A23" s="33"/>
      <c r="B23" s="1"/>
      <c r="C23" s="1"/>
      <c r="D23" s="1"/>
      <c r="E23" s="1"/>
      <c r="F23" s="1"/>
    </row>
    <row r="24" spans="1:6" x14ac:dyDescent="0.25">
      <c r="A24" s="33"/>
      <c r="B24" s="1"/>
      <c r="C24" s="1"/>
      <c r="D24" s="1"/>
      <c r="E24" s="1"/>
      <c r="F24" s="1"/>
    </row>
    <row r="25" spans="1:6" x14ac:dyDescent="0.25">
      <c r="A25" s="33"/>
      <c r="B25" s="1"/>
      <c r="C25" s="1"/>
      <c r="D25" s="1"/>
      <c r="E25" s="1"/>
      <c r="F25" s="1"/>
    </row>
    <row r="26" spans="1:6" x14ac:dyDescent="0.25">
      <c r="A26" s="33"/>
      <c r="B26" s="34" t="s">
        <v>6</v>
      </c>
      <c r="C26" s="35"/>
      <c r="D26" s="36"/>
      <c r="E26" s="3"/>
      <c r="F26" s="1"/>
    </row>
    <row r="27" spans="1:6" x14ac:dyDescent="0.25">
      <c r="A27" s="1" t="s">
        <v>10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s="33" t="s">
        <v>31</v>
      </c>
      <c r="B28" s="1" t="s">
        <v>32</v>
      </c>
      <c r="C28" s="1" t="s">
        <v>34</v>
      </c>
      <c r="D28" s="1"/>
      <c r="E28" s="1"/>
      <c r="F28" s="1"/>
    </row>
    <row r="29" spans="1:6" x14ac:dyDescent="0.25">
      <c r="A29" s="33"/>
      <c r="B29" s="1" t="s">
        <v>33</v>
      </c>
      <c r="C29" s="1" t="s">
        <v>35</v>
      </c>
      <c r="D29" s="1"/>
      <c r="E29" s="1"/>
      <c r="F29" s="1"/>
    </row>
    <row r="30" spans="1:6" x14ac:dyDescent="0.25">
      <c r="A30" s="33"/>
      <c r="B30" s="34" t="s">
        <v>6</v>
      </c>
      <c r="C30" s="35"/>
      <c r="D30" s="36"/>
      <c r="E30" s="3"/>
      <c r="F30" s="1"/>
    </row>
    <row r="31" spans="1:6" x14ac:dyDescent="0.25">
      <c r="A31" s="1" t="s">
        <v>11</v>
      </c>
      <c r="B31" s="1" t="s">
        <v>1</v>
      </c>
      <c r="C31" s="1" t="s">
        <v>2</v>
      </c>
      <c r="D31" s="1" t="s">
        <v>3</v>
      </c>
      <c r="E31" s="3" t="s">
        <v>4</v>
      </c>
      <c r="F31" s="1" t="s">
        <v>5</v>
      </c>
    </row>
    <row r="32" spans="1:6" x14ac:dyDescent="0.25">
      <c r="A32" s="40"/>
      <c r="B32" s="1"/>
      <c r="C32" s="1"/>
      <c r="D32" s="1"/>
      <c r="E32" s="1"/>
      <c r="F32" s="1"/>
    </row>
    <row r="33" spans="1:6" x14ac:dyDescent="0.25">
      <c r="A33" s="41"/>
      <c r="B33" s="1"/>
      <c r="C33" s="1"/>
      <c r="D33" s="1"/>
      <c r="E33" s="1"/>
      <c r="F33" s="1"/>
    </row>
    <row r="34" spans="1:6" x14ac:dyDescent="0.25">
      <c r="A34" s="42"/>
      <c r="B34" s="34" t="s">
        <v>6</v>
      </c>
      <c r="C34" s="35"/>
      <c r="D34" s="36"/>
      <c r="E34" s="3"/>
      <c r="F34" s="8"/>
    </row>
    <row r="35" spans="1:6" x14ac:dyDescent="0.25">
      <c r="A35" s="9" t="s">
        <v>12</v>
      </c>
      <c r="B35" s="1" t="s">
        <v>1</v>
      </c>
      <c r="C35" s="1" t="s">
        <v>2</v>
      </c>
      <c r="D35" s="1" t="s">
        <v>3</v>
      </c>
      <c r="E35" s="1" t="s">
        <v>4</v>
      </c>
      <c r="F35" s="1"/>
    </row>
    <row r="36" spans="1:6" x14ac:dyDescent="0.25">
      <c r="A36" s="33"/>
      <c r="B36" s="1"/>
      <c r="C36" s="1"/>
      <c r="D36" s="1"/>
      <c r="E36" s="1"/>
      <c r="F36" s="1"/>
    </row>
    <row r="37" spans="1:6" x14ac:dyDescent="0.25">
      <c r="A37" s="33"/>
      <c r="B37" s="1"/>
      <c r="C37" s="1"/>
      <c r="D37" s="1"/>
      <c r="E37" s="1"/>
      <c r="F37" s="1"/>
    </row>
    <row r="38" spans="1:6" x14ac:dyDescent="0.25">
      <c r="A38" s="33"/>
      <c r="B38" s="1"/>
      <c r="C38" s="1"/>
      <c r="D38" s="1"/>
      <c r="E38" s="1"/>
      <c r="F38" s="1"/>
    </row>
    <row r="39" spans="1:6" x14ac:dyDescent="0.25">
      <c r="A39" s="33"/>
      <c r="B39" s="1"/>
      <c r="C39" s="1"/>
      <c r="D39" s="1"/>
      <c r="E39" s="1"/>
      <c r="F39" s="1"/>
    </row>
    <row r="40" spans="1:6" x14ac:dyDescent="0.25">
      <c r="A40" s="33"/>
      <c r="B40" s="34" t="s">
        <v>6</v>
      </c>
      <c r="C40" s="35"/>
      <c r="D40" s="36"/>
      <c r="E40" s="3"/>
      <c r="F40" s="1"/>
    </row>
    <row r="41" spans="1:6" x14ac:dyDescent="0.25">
      <c r="A41" s="1"/>
      <c r="B41" s="37" t="s">
        <v>13</v>
      </c>
      <c r="C41" s="38"/>
      <c r="D41" s="39"/>
      <c r="E41" s="10"/>
      <c r="F41" s="1"/>
    </row>
  </sheetData>
  <mergeCells count="16">
    <mergeCell ref="A16:A20"/>
    <mergeCell ref="B20:D20"/>
    <mergeCell ref="A1:F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8"/>
  <sheetViews>
    <sheetView tabSelected="1" topLeftCell="A19" workbookViewId="0">
      <selection activeCell="G42" sqref="G42:G4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43" t="s">
        <v>15</v>
      </c>
      <c r="B1" s="44"/>
      <c r="C1" s="44"/>
      <c r="D1" s="44"/>
      <c r="E1" s="44"/>
      <c r="F1" s="44"/>
      <c r="G1" s="44"/>
      <c r="H1" s="45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1" t="s">
        <v>104</v>
      </c>
      <c r="F2" s="11"/>
      <c r="G2" s="1" t="s">
        <v>4</v>
      </c>
      <c r="H2" s="1" t="s">
        <v>5</v>
      </c>
    </row>
    <row r="3" spans="1:11" x14ac:dyDescent="0.25">
      <c r="A3" s="33" t="s">
        <v>36</v>
      </c>
      <c r="B3" s="1" t="s">
        <v>37</v>
      </c>
      <c r="C3" s="1" t="s">
        <v>38</v>
      </c>
      <c r="D3" s="1">
        <v>78</v>
      </c>
      <c r="E3" s="11">
        <v>47.25</v>
      </c>
      <c r="F3" s="11" t="s">
        <v>107</v>
      </c>
      <c r="G3" s="26">
        <f>E3*D3</f>
        <v>3685.5</v>
      </c>
      <c r="H3" s="1"/>
    </row>
    <row r="4" spans="1:11" x14ac:dyDescent="0.25">
      <c r="A4" s="33"/>
      <c r="B4" s="1"/>
      <c r="C4" s="1"/>
      <c r="D4" s="1"/>
      <c r="E4" s="11"/>
      <c r="F4" s="11"/>
      <c r="G4" s="1"/>
      <c r="H4" s="1"/>
    </row>
    <row r="5" spans="1:11" x14ac:dyDescent="0.25">
      <c r="A5" s="33"/>
      <c r="B5" s="1"/>
      <c r="C5" s="1"/>
      <c r="D5" s="1"/>
      <c r="E5" s="11"/>
      <c r="F5" s="11"/>
      <c r="G5" s="1"/>
      <c r="H5" s="1"/>
    </row>
    <row r="6" spans="1:11" x14ac:dyDescent="0.25">
      <c r="A6" s="33"/>
      <c r="B6" s="1"/>
      <c r="C6" s="1"/>
      <c r="D6" s="1"/>
      <c r="E6" s="12"/>
      <c r="F6" s="12"/>
      <c r="G6" s="3"/>
      <c r="H6" s="1"/>
    </row>
    <row r="7" spans="1:11" x14ac:dyDescent="0.25">
      <c r="A7" s="33"/>
      <c r="B7" s="34" t="s">
        <v>6</v>
      </c>
      <c r="C7" s="35"/>
      <c r="D7" s="36"/>
      <c r="E7" s="12"/>
      <c r="F7" s="12"/>
      <c r="G7" s="20">
        <f>SUM(G3:G6)</f>
        <v>3685.5</v>
      </c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11" t="s">
        <v>104</v>
      </c>
      <c r="F8" s="11"/>
      <c r="G8" s="1" t="s">
        <v>4</v>
      </c>
      <c r="H8" s="1" t="s">
        <v>5</v>
      </c>
      <c r="K8" s="4"/>
    </row>
    <row r="9" spans="1:11" x14ac:dyDescent="0.25">
      <c r="A9" s="33" t="s">
        <v>39</v>
      </c>
      <c r="B9" s="1" t="s">
        <v>28</v>
      </c>
      <c r="C9" s="1" t="s">
        <v>43</v>
      </c>
      <c r="D9" s="1">
        <v>93</v>
      </c>
      <c r="E9" s="11">
        <v>50</v>
      </c>
      <c r="F9" s="11" t="s">
        <v>107</v>
      </c>
      <c r="G9" s="27">
        <f>E9*D9</f>
        <v>4650</v>
      </c>
      <c r="H9" s="1"/>
      <c r="K9" s="5"/>
    </row>
    <row r="10" spans="1:11" x14ac:dyDescent="0.25">
      <c r="A10" s="33"/>
      <c r="B10" s="1" t="s">
        <v>40</v>
      </c>
      <c r="C10" s="1" t="s">
        <v>30</v>
      </c>
      <c r="D10" s="1">
        <v>135</v>
      </c>
      <c r="E10" s="11">
        <v>10</v>
      </c>
      <c r="F10" s="11" t="s">
        <v>107</v>
      </c>
      <c r="G10" s="27">
        <f t="shared" ref="G10:G12" si="0">E10*D10</f>
        <v>1350</v>
      </c>
      <c r="H10" s="1"/>
      <c r="K10" s="5"/>
    </row>
    <row r="11" spans="1:11" x14ac:dyDescent="0.25">
      <c r="A11" s="33"/>
      <c r="B11" s="1" t="s">
        <v>23</v>
      </c>
      <c r="C11" s="1" t="s">
        <v>30</v>
      </c>
      <c r="D11" s="1">
        <v>25.5</v>
      </c>
      <c r="E11" s="11">
        <v>10</v>
      </c>
      <c r="F11" s="11" t="s">
        <v>107</v>
      </c>
      <c r="G11" s="27">
        <f t="shared" si="0"/>
        <v>255</v>
      </c>
      <c r="H11" s="1"/>
      <c r="K11" s="5"/>
    </row>
    <row r="12" spans="1:11" x14ac:dyDescent="0.25">
      <c r="A12" s="33"/>
      <c r="B12" s="1" t="s">
        <v>41</v>
      </c>
      <c r="C12" s="1" t="s">
        <v>44</v>
      </c>
      <c r="D12" s="1">
        <v>81.599999999999994</v>
      </c>
      <c r="E12" s="11">
        <v>1.5</v>
      </c>
      <c r="F12" s="11" t="s">
        <v>107</v>
      </c>
      <c r="G12" s="27">
        <f t="shared" si="0"/>
        <v>122.39999999999999</v>
      </c>
      <c r="H12" s="1"/>
      <c r="K12" s="5"/>
    </row>
    <row r="13" spans="1:11" x14ac:dyDescent="0.25">
      <c r="A13" s="33"/>
      <c r="B13" s="11" t="s">
        <v>118</v>
      </c>
      <c r="C13" s="11"/>
      <c r="D13" s="11">
        <v>100</v>
      </c>
      <c r="E13" s="11">
        <v>1</v>
      </c>
      <c r="F13" s="11" t="s">
        <v>119</v>
      </c>
      <c r="G13" s="27">
        <f>E13*D13</f>
        <v>100</v>
      </c>
      <c r="H13" s="2"/>
      <c r="K13" s="5"/>
    </row>
    <row r="14" spans="1:11" x14ac:dyDescent="0.25">
      <c r="A14" s="33"/>
      <c r="B14" s="1" t="s">
        <v>42</v>
      </c>
      <c r="C14" s="1" t="s">
        <v>45</v>
      </c>
      <c r="D14" s="1">
        <v>225</v>
      </c>
      <c r="E14" s="11">
        <v>1</v>
      </c>
      <c r="F14" s="11" t="s">
        <v>119</v>
      </c>
      <c r="G14" s="27">
        <f>E14*D14</f>
        <v>225</v>
      </c>
      <c r="H14" s="1"/>
      <c r="K14" s="6"/>
    </row>
    <row r="15" spans="1:11" x14ac:dyDescent="0.25">
      <c r="A15" s="33"/>
      <c r="B15" s="34" t="s">
        <v>6</v>
      </c>
      <c r="C15" s="35"/>
      <c r="D15" s="36"/>
      <c r="E15" s="12"/>
      <c r="F15" s="12"/>
      <c r="G15" s="20">
        <f>SUM(G9:G14)</f>
        <v>6702.4</v>
      </c>
      <c r="H15" s="1"/>
    </row>
    <row r="16" spans="1:11" x14ac:dyDescent="0.25">
      <c r="A16" s="1" t="s">
        <v>8</v>
      </c>
      <c r="B16" s="1" t="s">
        <v>1</v>
      </c>
      <c r="C16" s="1" t="s">
        <v>2</v>
      </c>
      <c r="D16" s="1" t="s">
        <v>3</v>
      </c>
      <c r="E16" s="11" t="s">
        <v>104</v>
      </c>
      <c r="F16" s="11"/>
      <c r="G16" s="1" t="s">
        <v>4</v>
      </c>
      <c r="H16" s="1" t="s">
        <v>5</v>
      </c>
    </row>
    <row r="17" spans="1:8" x14ac:dyDescent="0.25">
      <c r="A17" s="33" t="s">
        <v>46</v>
      </c>
      <c r="B17" s="1" t="s">
        <v>47</v>
      </c>
      <c r="C17" s="1" t="s">
        <v>50</v>
      </c>
      <c r="D17" s="1">
        <v>27.54</v>
      </c>
      <c r="E17" s="11">
        <v>55</v>
      </c>
      <c r="F17" s="11" t="s">
        <v>107</v>
      </c>
      <c r="G17" s="26">
        <f>E17*D17</f>
        <v>1514.7</v>
      </c>
      <c r="H17" s="1"/>
    </row>
    <row r="18" spans="1:8" x14ac:dyDescent="0.25">
      <c r="A18" s="33"/>
      <c r="B18" s="1" t="s">
        <v>48</v>
      </c>
      <c r="C18" s="1" t="s">
        <v>51</v>
      </c>
      <c r="D18" s="1">
        <v>85</v>
      </c>
      <c r="E18" s="11">
        <v>8</v>
      </c>
      <c r="F18" s="11" t="s">
        <v>107</v>
      </c>
      <c r="G18" s="26">
        <f t="shared" ref="G18:G19" si="1">E18*D18</f>
        <v>680</v>
      </c>
      <c r="H18" s="1"/>
    </row>
    <row r="19" spans="1:8" x14ac:dyDescent="0.25">
      <c r="A19" s="33"/>
      <c r="B19" s="1" t="s">
        <v>49</v>
      </c>
      <c r="C19" s="1" t="s">
        <v>52</v>
      </c>
      <c r="D19" s="1">
        <v>85</v>
      </c>
      <c r="E19" s="11">
        <v>4</v>
      </c>
      <c r="F19" s="11" t="s">
        <v>107</v>
      </c>
      <c r="G19" s="26">
        <f t="shared" si="1"/>
        <v>340</v>
      </c>
      <c r="H19" s="1"/>
    </row>
    <row r="20" spans="1:8" x14ac:dyDescent="0.25">
      <c r="A20" s="33"/>
      <c r="B20" s="1"/>
      <c r="C20" s="1"/>
      <c r="D20" s="1"/>
      <c r="E20" s="12"/>
      <c r="F20" s="12"/>
      <c r="G20" s="3"/>
      <c r="H20" s="1"/>
    </row>
    <row r="21" spans="1:8" x14ac:dyDescent="0.25">
      <c r="A21" s="33"/>
      <c r="B21" s="34" t="s">
        <v>6</v>
      </c>
      <c r="C21" s="35"/>
      <c r="D21" s="36"/>
      <c r="E21" s="12"/>
      <c r="F21" s="12"/>
      <c r="G21" s="20">
        <f>SUM(G17:G20)</f>
        <v>2534.6999999999998</v>
      </c>
      <c r="H21" s="1"/>
    </row>
    <row r="22" spans="1:8" x14ac:dyDescent="0.25">
      <c r="A22" s="7" t="s">
        <v>9</v>
      </c>
      <c r="B22" s="1" t="s">
        <v>1</v>
      </c>
      <c r="C22" s="1" t="s">
        <v>2</v>
      </c>
      <c r="D22" s="1" t="s">
        <v>3</v>
      </c>
      <c r="E22" s="11" t="s">
        <v>104</v>
      </c>
      <c r="F22" s="11"/>
      <c r="G22" s="1" t="s">
        <v>4</v>
      </c>
      <c r="H22" s="1" t="s">
        <v>5</v>
      </c>
    </row>
    <row r="23" spans="1:8" x14ac:dyDescent="0.25">
      <c r="A23" s="40"/>
      <c r="B23" s="11" t="s">
        <v>111</v>
      </c>
      <c r="C23" s="11"/>
      <c r="D23" s="11">
        <v>150</v>
      </c>
      <c r="E23" s="18">
        <v>2</v>
      </c>
      <c r="F23" s="11" t="s">
        <v>112</v>
      </c>
      <c r="G23" s="19">
        <f>E23*D23</f>
        <v>300</v>
      </c>
      <c r="H23" s="1"/>
    </row>
    <row r="24" spans="1:8" x14ac:dyDescent="0.25">
      <c r="A24" s="41"/>
      <c r="B24" s="11" t="s">
        <v>113</v>
      </c>
      <c r="C24" s="11"/>
      <c r="D24" s="11">
        <v>58.5</v>
      </c>
      <c r="E24" s="18">
        <v>0.5</v>
      </c>
      <c r="F24" s="11" t="s">
        <v>112</v>
      </c>
      <c r="G24" s="19">
        <f t="shared" ref="G24:G30" si="2">E24*D24</f>
        <v>29.25</v>
      </c>
      <c r="H24" s="1"/>
    </row>
    <row r="25" spans="1:8" x14ac:dyDescent="0.25">
      <c r="A25" s="41"/>
      <c r="B25" s="11" t="s">
        <v>114</v>
      </c>
      <c r="C25" s="11"/>
      <c r="D25" s="11">
        <v>132.6</v>
      </c>
      <c r="E25" s="18">
        <v>8</v>
      </c>
      <c r="F25" s="11" t="s">
        <v>112</v>
      </c>
      <c r="G25" s="19">
        <f t="shared" si="2"/>
        <v>1060.8</v>
      </c>
      <c r="H25" s="1"/>
    </row>
    <row r="26" spans="1:8" x14ac:dyDescent="0.25">
      <c r="A26" s="41"/>
      <c r="B26" s="11" t="s">
        <v>115</v>
      </c>
      <c r="C26" s="11"/>
      <c r="D26" s="11">
        <v>94.5</v>
      </c>
      <c r="E26" s="18">
        <v>4</v>
      </c>
      <c r="F26" s="11" t="s">
        <v>112</v>
      </c>
      <c r="G26" s="19">
        <f t="shared" si="2"/>
        <v>378</v>
      </c>
      <c r="H26" s="1"/>
    </row>
    <row r="27" spans="1:8" x14ac:dyDescent="0.25">
      <c r="A27" s="41"/>
      <c r="B27" s="11" t="s">
        <v>116</v>
      </c>
      <c r="C27" s="11"/>
      <c r="D27" s="11">
        <v>90</v>
      </c>
      <c r="E27" s="18">
        <v>4</v>
      </c>
      <c r="F27" s="11" t="s">
        <v>112</v>
      </c>
      <c r="G27" s="19">
        <f t="shared" si="2"/>
        <v>360</v>
      </c>
      <c r="H27" s="1"/>
    </row>
    <row r="28" spans="1:8" x14ac:dyDescent="0.25">
      <c r="A28" s="41"/>
      <c r="B28" s="11" t="s">
        <v>117</v>
      </c>
      <c r="C28" s="11"/>
      <c r="D28" s="11">
        <v>45.6</v>
      </c>
      <c r="E28" s="18">
        <v>20</v>
      </c>
      <c r="F28" s="11" t="s">
        <v>112</v>
      </c>
      <c r="G28" s="12">
        <f t="shared" si="2"/>
        <v>912</v>
      </c>
      <c r="H28" s="11"/>
    </row>
    <row r="29" spans="1:8" x14ac:dyDescent="0.25">
      <c r="A29" s="41"/>
      <c r="B29" s="11" t="s">
        <v>123</v>
      </c>
      <c r="C29" s="11"/>
      <c r="D29" s="11">
        <v>55</v>
      </c>
      <c r="E29" s="18">
        <v>20</v>
      </c>
      <c r="F29" s="11" t="s">
        <v>112</v>
      </c>
      <c r="G29" s="25">
        <f t="shared" si="2"/>
        <v>1100</v>
      </c>
      <c r="H29" s="11"/>
    </row>
    <row r="30" spans="1:8" x14ac:dyDescent="0.25">
      <c r="A30" s="41"/>
      <c r="B30" s="11" t="s">
        <v>124</v>
      </c>
      <c r="C30" s="11"/>
      <c r="D30" s="11">
        <v>1188</v>
      </c>
      <c r="E30" s="18">
        <v>2</v>
      </c>
      <c r="F30" s="11"/>
      <c r="G30" s="25">
        <f t="shared" si="2"/>
        <v>2376</v>
      </c>
      <c r="H30" s="11"/>
    </row>
    <row r="31" spans="1:8" x14ac:dyDescent="0.25">
      <c r="A31" s="42"/>
      <c r="B31" s="34" t="s">
        <v>6</v>
      </c>
      <c r="C31" s="35"/>
      <c r="D31" s="36"/>
      <c r="E31" s="18"/>
      <c r="F31" s="11"/>
      <c r="G31" s="20">
        <f>SUM(G23:G30)</f>
        <v>6516.05</v>
      </c>
      <c r="H31" s="11"/>
    </row>
    <row r="32" spans="1:8" x14ac:dyDescent="0.25">
      <c r="A32" s="1" t="s">
        <v>10</v>
      </c>
      <c r="B32" s="1" t="s">
        <v>1</v>
      </c>
      <c r="C32" s="1" t="s">
        <v>2</v>
      </c>
      <c r="D32" s="1" t="s">
        <v>3</v>
      </c>
      <c r="E32" s="11" t="s">
        <v>104</v>
      </c>
      <c r="F32" s="11"/>
      <c r="G32" s="1" t="s">
        <v>4</v>
      </c>
      <c r="H32" s="1" t="s">
        <v>5</v>
      </c>
    </row>
    <row r="33" spans="1:8" x14ac:dyDescent="0.25">
      <c r="A33" s="33" t="s">
        <v>53</v>
      </c>
      <c r="B33" s="1" t="s">
        <v>54</v>
      </c>
      <c r="C33" s="1" t="s">
        <v>55</v>
      </c>
      <c r="D33" s="1">
        <v>450</v>
      </c>
      <c r="E33" s="11">
        <v>1</v>
      </c>
      <c r="F33" s="11" t="s">
        <v>120</v>
      </c>
      <c r="G33" s="27">
        <f>E33*D33</f>
        <v>450</v>
      </c>
      <c r="H33" s="1"/>
    </row>
    <row r="34" spans="1:8" x14ac:dyDescent="0.25">
      <c r="A34" s="33"/>
      <c r="B34" s="1"/>
      <c r="C34" s="1"/>
      <c r="D34" s="1"/>
      <c r="E34" s="11"/>
      <c r="F34" s="11"/>
      <c r="G34" s="1"/>
      <c r="H34" s="1"/>
    </row>
    <row r="35" spans="1:8" x14ac:dyDescent="0.25">
      <c r="A35" s="33"/>
      <c r="B35" s="34" t="s">
        <v>6</v>
      </c>
      <c r="C35" s="35"/>
      <c r="D35" s="36"/>
      <c r="E35" s="12"/>
      <c r="F35" s="12"/>
      <c r="G35" s="17">
        <f>SUM(G33:G34)</f>
        <v>450</v>
      </c>
      <c r="H35" s="1"/>
    </row>
    <row r="36" spans="1:8" x14ac:dyDescent="0.25">
      <c r="A36" s="1" t="s">
        <v>11</v>
      </c>
      <c r="B36" s="1" t="s">
        <v>1</v>
      </c>
      <c r="C36" s="1" t="s">
        <v>2</v>
      </c>
      <c r="D36" s="1" t="s">
        <v>3</v>
      </c>
      <c r="E36" s="12" t="s">
        <v>104</v>
      </c>
      <c r="F36" s="12"/>
      <c r="G36" s="3" t="s">
        <v>4</v>
      </c>
      <c r="H36" s="1" t="s">
        <v>5</v>
      </c>
    </row>
    <row r="37" spans="1:8" x14ac:dyDescent="0.25">
      <c r="A37" s="40"/>
      <c r="B37" s="1" t="s">
        <v>105</v>
      </c>
      <c r="C37" s="1" t="s">
        <v>106</v>
      </c>
      <c r="D37" s="1">
        <v>32.64</v>
      </c>
      <c r="E37" s="11">
        <v>75</v>
      </c>
      <c r="F37" s="11" t="s">
        <v>107</v>
      </c>
      <c r="G37" s="27">
        <f>E37*D37</f>
        <v>2448</v>
      </c>
      <c r="H37" s="1"/>
    </row>
    <row r="38" spans="1:8" x14ac:dyDescent="0.25">
      <c r="A38" s="41"/>
      <c r="B38" s="1" t="s">
        <v>125</v>
      </c>
      <c r="C38" s="1"/>
      <c r="D38" s="1">
        <v>34.68</v>
      </c>
      <c r="E38" s="11">
        <v>65</v>
      </c>
      <c r="F38" s="11" t="s">
        <v>107</v>
      </c>
      <c r="G38" s="27">
        <f>E38*D38</f>
        <v>2254.1999999999998</v>
      </c>
      <c r="H38" s="1"/>
    </row>
    <row r="39" spans="1:8" x14ac:dyDescent="0.25">
      <c r="A39" s="42"/>
      <c r="B39" s="34" t="s">
        <v>6</v>
      </c>
      <c r="C39" s="35"/>
      <c r="D39" s="36"/>
      <c r="E39" s="12"/>
      <c r="F39" s="12"/>
      <c r="G39" s="20">
        <f>SUM(G37:G38)</f>
        <v>4702.2</v>
      </c>
      <c r="H39" s="8"/>
    </row>
    <row r="40" spans="1:8" x14ac:dyDescent="0.25">
      <c r="A40" s="9" t="s">
        <v>108</v>
      </c>
      <c r="B40" s="1" t="s">
        <v>1</v>
      </c>
      <c r="C40" s="1" t="s">
        <v>2</v>
      </c>
      <c r="D40" s="1" t="s">
        <v>3</v>
      </c>
      <c r="E40" s="12" t="s">
        <v>104</v>
      </c>
      <c r="F40" s="11"/>
      <c r="G40" s="1" t="s">
        <v>4</v>
      </c>
      <c r="H40" s="1"/>
    </row>
    <row r="41" spans="1:8" x14ac:dyDescent="0.25">
      <c r="A41" s="33"/>
      <c r="B41" s="1" t="s">
        <v>109</v>
      </c>
      <c r="C41" s="1"/>
      <c r="D41" s="1">
        <v>4.5</v>
      </c>
      <c r="E41" s="11">
        <v>50</v>
      </c>
      <c r="F41" s="11" t="s">
        <v>110</v>
      </c>
      <c r="G41" s="1">
        <f>E41*D41</f>
        <v>225</v>
      </c>
      <c r="H41" s="1"/>
    </row>
    <row r="42" spans="1:8" x14ac:dyDescent="0.25">
      <c r="A42" s="33"/>
      <c r="B42" s="1" t="s">
        <v>121</v>
      </c>
      <c r="C42" s="1"/>
      <c r="D42" s="1">
        <v>75</v>
      </c>
      <c r="E42" s="11">
        <v>1</v>
      </c>
      <c r="F42" s="11" t="s">
        <v>120</v>
      </c>
      <c r="G42" s="27">
        <f t="shared" ref="G42:G46" si="3">E42*D42</f>
        <v>75</v>
      </c>
      <c r="H42" s="1"/>
    </row>
    <row r="43" spans="1:8" x14ac:dyDescent="0.25">
      <c r="A43" s="33"/>
      <c r="B43" s="1" t="s">
        <v>122</v>
      </c>
      <c r="C43" s="1"/>
      <c r="D43" s="1">
        <v>540</v>
      </c>
      <c r="E43" s="11">
        <v>1</v>
      </c>
      <c r="F43" s="11" t="s">
        <v>120</v>
      </c>
      <c r="G43" s="27">
        <f t="shared" si="3"/>
        <v>540</v>
      </c>
      <c r="H43" s="1"/>
    </row>
    <row r="44" spans="1:8" x14ac:dyDescent="0.25">
      <c r="A44" s="33"/>
      <c r="B44" s="11" t="s">
        <v>126</v>
      </c>
      <c r="C44" s="11"/>
      <c r="D44" s="11">
        <v>99</v>
      </c>
      <c r="E44" s="11">
        <v>3</v>
      </c>
      <c r="F44" s="11" t="s">
        <v>107</v>
      </c>
      <c r="G44" s="27">
        <f t="shared" si="3"/>
        <v>297</v>
      </c>
      <c r="H44" s="1"/>
    </row>
    <row r="45" spans="1:8" x14ac:dyDescent="0.25">
      <c r="A45" s="33"/>
      <c r="B45" s="11" t="s">
        <v>127</v>
      </c>
      <c r="C45" s="11"/>
      <c r="D45" s="11">
        <v>19.8</v>
      </c>
      <c r="E45" s="11">
        <v>7</v>
      </c>
      <c r="F45" s="11" t="s">
        <v>107</v>
      </c>
      <c r="G45" s="26">
        <f t="shared" si="3"/>
        <v>138.6</v>
      </c>
      <c r="H45" s="11"/>
    </row>
    <row r="46" spans="1:8" x14ac:dyDescent="0.25">
      <c r="A46" s="33"/>
      <c r="B46" s="11" t="s">
        <v>128</v>
      </c>
      <c r="C46" s="11"/>
      <c r="D46" s="11">
        <v>50</v>
      </c>
      <c r="E46" s="11">
        <v>1</v>
      </c>
      <c r="F46" s="12" t="s">
        <v>129</v>
      </c>
      <c r="G46" s="27">
        <f t="shared" si="3"/>
        <v>50</v>
      </c>
      <c r="H46" s="11"/>
    </row>
    <row r="47" spans="1:8" x14ac:dyDescent="0.25">
      <c r="A47" s="33"/>
      <c r="B47" s="34" t="s">
        <v>6</v>
      </c>
      <c r="C47" s="35"/>
      <c r="D47" s="36"/>
      <c r="E47" s="12"/>
      <c r="F47" s="12"/>
      <c r="G47" s="17">
        <f>SUM(G41:G44)</f>
        <v>1137</v>
      </c>
      <c r="H47" s="1"/>
    </row>
    <row r="48" spans="1:8" x14ac:dyDescent="0.25">
      <c r="A48" s="1"/>
      <c r="B48" s="37" t="s">
        <v>13</v>
      </c>
      <c r="C48" s="38"/>
      <c r="D48" s="39"/>
      <c r="E48" s="13"/>
      <c r="F48" s="13"/>
      <c r="G48" s="21">
        <f>G47+G39+G35+G31+G21+G15+G7</f>
        <v>25727.85</v>
      </c>
      <c r="H48" s="1"/>
    </row>
  </sheetData>
  <mergeCells count="16">
    <mergeCell ref="A23:A31"/>
    <mergeCell ref="B31:D31"/>
    <mergeCell ref="A17:A21"/>
    <mergeCell ref="B21:D21"/>
    <mergeCell ref="A1:H1"/>
    <mergeCell ref="A3:A7"/>
    <mergeCell ref="B7:D7"/>
    <mergeCell ref="A9:A15"/>
    <mergeCell ref="B15:D15"/>
    <mergeCell ref="A41:A47"/>
    <mergeCell ref="B47:D47"/>
    <mergeCell ref="B48:D48"/>
    <mergeCell ref="A33:A35"/>
    <mergeCell ref="B35:D35"/>
    <mergeCell ref="A37:A39"/>
    <mergeCell ref="B39:D39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2"/>
  <sheetViews>
    <sheetView topLeftCell="A16" workbookViewId="0">
      <selection activeCell="G33" sqref="G32:G3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43" t="s">
        <v>16</v>
      </c>
      <c r="B1" s="44"/>
      <c r="C1" s="44"/>
      <c r="D1" s="44"/>
      <c r="E1" s="44"/>
      <c r="F1" s="44"/>
      <c r="G1" s="44"/>
      <c r="H1" s="45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4" t="s">
        <v>130</v>
      </c>
      <c r="F2" s="14"/>
      <c r="G2" s="1" t="s">
        <v>4</v>
      </c>
      <c r="H2" s="1" t="s">
        <v>5</v>
      </c>
    </row>
    <row r="3" spans="1:11" x14ac:dyDescent="0.25">
      <c r="A3" s="33" t="s">
        <v>66</v>
      </c>
      <c r="B3" s="1" t="s">
        <v>67</v>
      </c>
      <c r="C3" s="1" t="s">
        <v>69</v>
      </c>
      <c r="D3" s="1">
        <v>195</v>
      </c>
      <c r="E3" s="14">
        <v>29</v>
      </c>
      <c r="F3" s="14" t="s">
        <v>133</v>
      </c>
      <c r="G3" s="1">
        <f>E3*D3</f>
        <v>5655</v>
      </c>
      <c r="H3" s="1"/>
    </row>
    <row r="4" spans="1:11" x14ac:dyDescent="0.25">
      <c r="A4" s="33"/>
      <c r="B4" s="1" t="s">
        <v>68</v>
      </c>
      <c r="C4" s="1" t="s">
        <v>45</v>
      </c>
      <c r="D4" s="1">
        <v>525</v>
      </c>
      <c r="E4" s="14">
        <v>1</v>
      </c>
      <c r="F4" s="14" t="s">
        <v>136</v>
      </c>
      <c r="G4" s="14">
        <f>E4*D4</f>
        <v>525</v>
      </c>
      <c r="H4" s="1"/>
    </row>
    <row r="5" spans="1:11" x14ac:dyDescent="0.25">
      <c r="A5" s="33"/>
      <c r="B5" s="1"/>
      <c r="C5" s="1"/>
      <c r="D5" s="1"/>
      <c r="E5" s="14"/>
      <c r="F5" s="14"/>
      <c r="G5" s="1"/>
      <c r="H5" s="1"/>
    </row>
    <row r="6" spans="1:11" x14ac:dyDescent="0.25">
      <c r="A6" s="33"/>
      <c r="B6" s="1"/>
      <c r="C6" s="1"/>
      <c r="D6" s="1"/>
      <c r="E6" s="15"/>
      <c r="F6" s="15"/>
      <c r="G6" s="3"/>
      <c r="H6" s="1"/>
    </row>
    <row r="7" spans="1:11" x14ac:dyDescent="0.25">
      <c r="A7" s="33"/>
      <c r="B7" s="34" t="s">
        <v>6</v>
      </c>
      <c r="C7" s="35"/>
      <c r="D7" s="36"/>
      <c r="E7" s="15"/>
      <c r="F7" s="15"/>
      <c r="G7" s="17">
        <f>SUM(G3:G6)</f>
        <v>6180</v>
      </c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14" t="s">
        <v>130</v>
      </c>
      <c r="F8" s="14"/>
      <c r="G8" s="1" t="s">
        <v>4</v>
      </c>
      <c r="H8" s="1" t="s">
        <v>5</v>
      </c>
      <c r="K8" s="4"/>
    </row>
    <row r="9" spans="1:11" x14ac:dyDescent="0.25">
      <c r="A9" s="33" t="s">
        <v>74</v>
      </c>
      <c r="B9" s="1" t="s">
        <v>70</v>
      </c>
      <c r="C9" s="1" t="s">
        <v>72</v>
      </c>
      <c r="D9" s="1">
        <v>12</v>
      </c>
      <c r="E9" s="14">
        <v>145</v>
      </c>
      <c r="F9" s="14" t="s">
        <v>134</v>
      </c>
      <c r="G9" s="1">
        <f>E9*D9</f>
        <v>1740</v>
      </c>
      <c r="H9" s="1"/>
      <c r="K9" s="5"/>
    </row>
    <row r="10" spans="1:11" x14ac:dyDescent="0.25">
      <c r="A10" s="33"/>
      <c r="B10" s="1" t="s">
        <v>71</v>
      </c>
      <c r="C10" s="1" t="s">
        <v>73</v>
      </c>
      <c r="D10" s="1">
        <v>16</v>
      </c>
      <c r="E10" s="14">
        <v>50</v>
      </c>
      <c r="F10" s="14" t="s">
        <v>137</v>
      </c>
      <c r="G10" s="14">
        <f>E10*D10</f>
        <v>800</v>
      </c>
      <c r="H10" s="1"/>
      <c r="K10" s="5"/>
    </row>
    <row r="11" spans="1:11" x14ac:dyDescent="0.25">
      <c r="A11" s="33"/>
      <c r="B11" s="1"/>
      <c r="C11" s="1"/>
      <c r="D11" s="1"/>
      <c r="E11" s="14"/>
      <c r="F11" s="14"/>
      <c r="G11" s="1"/>
      <c r="H11" s="1"/>
      <c r="K11" s="5"/>
    </row>
    <row r="12" spans="1:11" x14ac:dyDescent="0.25">
      <c r="A12" s="33"/>
      <c r="B12" s="1"/>
      <c r="C12" s="1"/>
      <c r="D12" s="1"/>
      <c r="E12" s="14"/>
      <c r="F12" s="14"/>
      <c r="G12" s="1"/>
      <c r="H12" s="1"/>
      <c r="K12" s="5"/>
    </row>
    <row r="13" spans="1:11" x14ac:dyDescent="0.25">
      <c r="A13" s="33"/>
      <c r="B13" s="1"/>
      <c r="C13" s="1"/>
      <c r="D13" s="1"/>
      <c r="E13" s="14"/>
      <c r="F13" s="14"/>
      <c r="G13" s="1"/>
      <c r="H13" s="1"/>
      <c r="K13" s="6"/>
    </row>
    <row r="14" spans="1:11" x14ac:dyDescent="0.25">
      <c r="A14" s="33"/>
      <c r="B14" s="34" t="s">
        <v>6</v>
      </c>
      <c r="C14" s="35"/>
      <c r="D14" s="36"/>
      <c r="E14" s="15"/>
      <c r="F14" s="15"/>
      <c r="G14" s="17">
        <f>SUM(G9:G13)</f>
        <v>2540</v>
      </c>
      <c r="H14" s="1"/>
    </row>
    <row r="15" spans="1:11" x14ac:dyDescent="0.25">
      <c r="A15" s="1" t="s">
        <v>8</v>
      </c>
      <c r="B15" s="1" t="s">
        <v>1</v>
      </c>
      <c r="C15" s="1" t="s">
        <v>2</v>
      </c>
      <c r="D15" s="1" t="s">
        <v>3</v>
      </c>
      <c r="E15" s="14" t="s">
        <v>130</v>
      </c>
      <c r="F15" s="14"/>
      <c r="G15" s="1" t="s">
        <v>4</v>
      </c>
      <c r="H15" s="1" t="s">
        <v>5</v>
      </c>
    </row>
    <row r="16" spans="1:11" x14ac:dyDescent="0.25">
      <c r="A16" s="33"/>
      <c r="B16" s="1"/>
      <c r="C16" s="1"/>
      <c r="D16" s="1"/>
      <c r="E16" s="14"/>
      <c r="F16" s="14"/>
      <c r="G16" s="1"/>
      <c r="H16" s="1"/>
    </row>
    <row r="17" spans="1:8" x14ac:dyDescent="0.25">
      <c r="A17" s="33"/>
      <c r="B17" s="1"/>
      <c r="C17" s="1"/>
      <c r="D17" s="1"/>
      <c r="E17" s="14"/>
      <c r="F17" s="14"/>
      <c r="G17" s="1"/>
      <c r="H17" s="1"/>
    </row>
    <row r="18" spans="1:8" x14ac:dyDescent="0.25">
      <c r="A18" s="33"/>
      <c r="B18" s="1"/>
      <c r="C18" s="1"/>
      <c r="D18" s="1"/>
      <c r="E18" s="14"/>
      <c r="F18" s="14"/>
      <c r="G18" s="1"/>
      <c r="H18" s="1"/>
    </row>
    <row r="19" spans="1:8" x14ac:dyDescent="0.25">
      <c r="A19" s="33"/>
      <c r="B19" s="1"/>
      <c r="C19" s="1"/>
      <c r="D19" s="1"/>
      <c r="E19" s="15"/>
      <c r="F19" s="15"/>
      <c r="G19" s="3"/>
      <c r="H19" s="1"/>
    </row>
    <row r="20" spans="1:8" x14ac:dyDescent="0.25">
      <c r="A20" s="33"/>
      <c r="B20" s="34" t="s">
        <v>6</v>
      </c>
      <c r="C20" s="35"/>
      <c r="D20" s="36"/>
      <c r="E20" s="15"/>
      <c r="F20" s="15"/>
      <c r="G20" s="3"/>
      <c r="H20" s="1"/>
    </row>
    <row r="21" spans="1:8" x14ac:dyDescent="0.25">
      <c r="A21" s="7" t="s">
        <v>9</v>
      </c>
      <c r="B21" s="1" t="s">
        <v>1</v>
      </c>
      <c r="C21" s="1" t="s">
        <v>2</v>
      </c>
      <c r="D21" s="1" t="s">
        <v>3</v>
      </c>
      <c r="E21" s="14" t="s">
        <v>130</v>
      </c>
      <c r="F21" s="14"/>
      <c r="G21" s="1" t="s">
        <v>4</v>
      </c>
      <c r="H21" s="1" t="s">
        <v>5</v>
      </c>
    </row>
    <row r="22" spans="1:8" x14ac:dyDescent="0.25">
      <c r="A22" s="33"/>
      <c r="B22" s="1" t="s">
        <v>138</v>
      </c>
      <c r="C22" s="1"/>
      <c r="D22" s="1">
        <v>210</v>
      </c>
      <c r="E22" s="14">
        <v>1</v>
      </c>
      <c r="F22" s="14" t="s">
        <v>133</v>
      </c>
      <c r="G22" s="1">
        <f>E22*D22</f>
        <v>210</v>
      </c>
      <c r="H22" s="1"/>
    </row>
    <row r="23" spans="1:8" x14ac:dyDescent="0.25">
      <c r="A23" s="33"/>
      <c r="B23" s="1" t="s">
        <v>139</v>
      </c>
      <c r="C23" s="1"/>
      <c r="D23" s="1">
        <v>125</v>
      </c>
      <c r="E23" s="14">
        <v>12</v>
      </c>
      <c r="F23" s="14" t="s">
        <v>133</v>
      </c>
      <c r="G23" s="14">
        <f>E23*D23</f>
        <v>1500</v>
      </c>
      <c r="H23" s="1"/>
    </row>
    <row r="24" spans="1:8" x14ac:dyDescent="0.25">
      <c r="A24" s="33"/>
      <c r="B24" s="1"/>
      <c r="C24" s="1"/>
      <c r="D24" s="1"/>
      <c r="E24" s="14"/>
      <c r="F24" s="14"/>
      <c r="G24" s="1"/>
      <c r="H24" s="1"/>
    </row>
    <row r="25" spans="1:8" x14ac:dyDescent="0.25">
      <c r="A25" s="33"/>
      <c r="B25" s="1"/>
      <c r="C25" s="1"/>
      <c r="D25" s="1"/>
      <c r="E25" s="14"/>
      <c r="F25" s="14"/>
      <c r="G25" s="1"/>
      <c r="H25" s="1"/>
    </row>
    <row r="26" spans="1:8" x14ac:dyDescent="0.25">
      <c r="A26" s="33"/>
      <c r="B26" s="34" t="s">
        <v>6</v>
      </c>
      <c r="C26" s="35"/>
      <c r="D26" s="36"/>
      <c r="E26" s="15"/>
      <c r="F26" s="15"/>
      <c r="G26" s="17">
        <f>SUM(G22:G25)</f>
        <v>1710</v>
      </c>
      <c r="H26" s="1"/>
    </row>
    <row r="27" spans="1:8" x14ac:dyDescent="0.25">
      <c r="A27" s="1" t="s">
        <v>10</v>
      </c>
      <c r="B27" s="1" t="s">
        <v>1</v>
      </c>
      <c r="C27" s="1" t="s">
        <v>2</v>
      </c>
      <c r="D27" s="1" t="s">
        <v>3</v>
      </c>
      <c r="E27" s="14" t="s">
        <v>130</v>
      </c>
      <c r="F27" s="14"/>
      <c r="G27" s="1" t="s">
        <v>4</v>
      </c>
      <c r="H27" s="1" t="s">
        <v>5</v>
      </c>
    </row>
    <row r="28" spans="1:8" x14ac:dyDescent="0.25">
      <c r="A28" s="33" t="s">
        <v>62</v>
      </c>
      <c r="B28" s="1" t="s">
        <v>63</v>
      </c>
      <c r="C28" s="1" t="s">
        <v>35</v>
      </c>
      <c r="D28" s="1">
        <v>14.4</v>
      </c>
      <c r="E28" s="14">
        <v>12</v>
      </c>
      <c r="F28" s="14" t="s">
        <v>132</v>
      </c>
      <c r="G28" s="19">
        <f>E28*D28</f>
        <v>172.8</v>
      </c>
      <c r="H28" s="1"/>
    </row>
    <row r="29" spans="1:8" x14ac:dyDescent="0.25">
      <c r="A29" s="33"/>
      <c r="B29" s="1" t="s">
        <v>64</v>
      </c>
      <c r="C29" s="1" t="s">
        <v>65</v>
      </c>
      <c r="D29" s="1">
        <v>98.4</v>
      </c>
      <c r="E29" s="14">
        <v>10</v>
      </c>
      <c r="F29" s="14" t="s">
        <v>132</v>
      </c>
      <c r="G29" s="19">
        <f>E29*D29</f>
        <v>984</v>
      </c>
      <c r="H29" s="1"/>
    </row>
    <row r="30" spans="1:8" x14ac:dyDescent="0.25">
      <c r="A30" s="33"/>
      <c r="B30" s="34" t="s">
        <v>6</v>
      </c>
      <c r="C30" s="35"/>
      <c r="D30" s="36"/>
      <c r="E30" s="15"/>
      <c r="F30" s="15"/>
      <c r="G30" s="20">
        <f>SUM(G28:G29)</f>
        <v>1156.8</v>
      </c>
      <c r="H30" s="1"/>
    </row>
    <row r="31" spans="1:8" x14ac:dyDescent="0.25">
      <c r="A31" s="1" t="s">
        <v>11</v>
      </c>
      <c r="B31" s="1" t="s">
        <v>1</v>
      </c>
      <c r="C31" s="1" t="s">
        <v>2</v>
      </c>
      <c r="D31" s="1" t="s">
        <v>3</v>
      </c>
      <c r="E31" s="15" t="s">
        <v>130</v>
      </c>
      <c r="F31" s="15"/>
      <c r="G31" s="3" t="s">
        <v>4</v>
      </c>
      <c r="H31" s="1" t="s">
        <v>5</v>
      </c>
    </row>
    <row r="32" spans="1:8" x14ac:dyDescent="0.25">
      <c r="A32" s="40"/>
      <c r="B32" s="1" t="s">
        <v>131</v>
      </c>
      <c r="C32" s="1"/>
      <c r="D32" s="1">
        <v>37.44</v>
      </c>
      <c r="E32" s="14">
        <v>75</v>
      </c>
      <c r="F32" s="14" t="s">
        <v>132</v>
      </c>
      <c r="G32" s="19">
        <f>E32*D32</f>
        <v>2808</v>
      </c>
      <c r="H32" s="1"/>
    </row>
    <row r="33" spans="1:8" x14ac:dyDescent="0.25">
      <c r="A33" s="41"/>
      <c r="B33" s="1" t="s">
        <v>135</v>
      </c>
      <c r="C33" s="1"/>
      <c r="D33" s="1">
        <v>31.62</v>
      </c>
      <c r="E33" s="14">
        <v>15</v>
      </c>
      <c r="F33" s="14" t="s">
        <v>132</v>
      </c>
      <c r="G33" s="19">
        <f>E33*D33</f>
        <v>474.3</v>
      </c>
      <c r="H33" s="1"/>
    </row>
    <row r="34" spans="1:8" x14ac:dyDescent="0.25">
      <c r="A34" s="42"/>
      <c r="B34" s="34" t="s">
        <v>6</v>
      </c>
      <c r="C34" s="35"/>
      <c r="D34" s="36"/>
      <c r="E34" s="15"/>
      <c r="F34" s="15"/>
      <c r="G34" s="20">
        <f>SUM(G32:G33)</f>
        <v>3282.3</v>
      </c>
      <c r="H34" s="8"/>
    </row>
    <row r="35" spans="1:8" x14ac:dyDescent="0.25">
      <c r="A35" s="9" t="s">
        <v>12</v>
      </c>
      <c r="B35" s="1" t="s">
        <v>1</v>
      </c>
      <c r="C35" s="1" t="s">
        <v>2</v>
      </c>
      <c r="D35" s="1" t="s">
        <v>3</v>
      </c>
      <c r="E35" s="14" t="s">
        <v>130</v>
      </c>
      <c r="F35" s="14"/>
      <c r="G35" s="1" t="s">
        <v>4</v>
      </c>
      <c r="H35" s="1"/>
    </row>
    <row r="36" spans="1:8" x14ac:dyDescent="0.25">
      <c r="A36" s="33" t="s">
        <v>56</v>
      </c>
      <c r="B36" s="1" t="s">
        <v>57</v>
      </c>
      <c r="C36" s="1" t="s">
        <v>25</v>
      </c>
      <c r="D36" s="1">
        <v>99</v>
      </c>
      <c r="E36" s="14">
        <v>20</v>
      </c>
      <c r="F36" s="14" t="s">
        <v>132</v>
      </c>
      <c r="G36" s="1">
        <f>E36*D36</f>
        <v>1980</v>
      </c>
      <c r="H36" s="1"/>
    </row>
    <row r="37" spans="1:8" x14ac:dyDescent="0.25">
      <c r="A37" s="33"/>
      <c r="B37" s="1" t="s">
        <v>23</v>
      </c>
      <c r="C37" s="1" t="s">
        <v>30</v>
      </c>
      <c r="D37" s="1">
        <v>25.5</v>
      </c>
      <c r="E37" s="14">
        <v>10</v>
      </c>
      <c r="F37" s="14" t="s">
        <v>132</v>
      </c>
      <c r="G37" s="14">
        <f t="shared" ref="G37:G40" si="0">E37*D37</f>
        <v>255</v>
      </c>
      <c r="H37" s="1"/>
    </row>
    <row r="38" spans="1:8" x14ac:dyDescent="0.25">
      <c r="A38" s="33"/>
      <c r="B38" s="2" t="s">
        <v>58</v>
      </c>
      <c r="C38" s="2" t="s">
        <v>52</v>
      </c>
      <c r="D38" s="2">
        <v>45</v>
      </c>
      <c r="E38" s="14">
        <v>4</v>
      </c>
      <c r="F38" s="14" t="s">
        <v>132</v>
      </c>
      <c r="G38" s="14">
        <f t="shared" si="0"/>
        <v>180</v>
      </c>
      <c r="H38" s="2"/>
    </row>
    <row r="39" spans="1:8" x14ac:dyDescent="0.25">
      <c r="A39" s="33"/>
      <c r="B39" s="1" t="s">
        <v>59</v>
      </c>
      <c r="C39" s="1" t="s">
        <v>61</v>
      </c>
      <c r="D39" s="1">
        <v>11.7</v>
      </c>
      <c r="E39" s="14">
        <v>3</v>
      </c>
      <c r="F39" s="14" t="s">
        <v>132</v>
      </c>
      <c r="G39" s="14">
        <f t="shared" si="0"/>
        <v>35.099999999999994</v>
      </c>
      <c r="H39" s="1"/>
    </row>
    <row r="40" spans="1:8" x14ac:dyDescent="0.25">
      <c r="A40" s="33"/>
      <c r="B40" s="1" t="s">
        <v>60</v>
      </c>
      <c r="C40" s="1" t="s">
        <v>34</v>
      </c>
      <c r="D40" s="1">
        <v>52.5</v>
      </c>
      <c r="E40" s="14">
        <v>5</v>
      </c>
      <c r="F40" s="14" t="s">
        <v>132</v>
      </c>
      <c r="G40" s="14">
        <f t="shared" si="0"/>
        <v>262.5</v>
      </c>
      <c r="H40" s="1"/>
    </row>
    <row r="41" spans="1:8" x14ac:dyDescent="0.25">
      <c r="A41" s="33"/>
      <c r="B41" s="34" t="s">
        <v>6</v>
      </c>
      <c r="C41" s="35"/>
      <c r="D41" s="36"/>
      <c r="E41" s="15"/>
      <c r="F41" s="15"/>
      <c r="G41" s="20">
        <f>SUM(G36:G40)</f>
        <v>2712.6</v>
      </c>
      <c r="H41" s="1"/>
    </row>
    <row r="42" spans="1:8" x14ac:dyDescent="0.25">
      <c r="A42" s="1"/>
      <c r="B42" s="37" t="s">
        <v>13</v>
      </c>
      <c r="C42" s="38"/>
      <c r="D42" s="39"/>
      <c r="E42" s="16"/>
      <c r="F42" s="16"/>
      <c r="G42" s="28">
        <f>G41+G34+G30+G26+G14+G7</f>
        <v>17581.7</v>
      </c>
      <c r="H42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6:A41"/>
    <mergeCell ref="B41:D41"/>
    <mergeCell ref="B42:D42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1"/>
  <sheetViews>
    <sheetView topLeftCell="A16" workbookViewId="0">
      <selection activeCell="A27" sqref="A2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43" t="s">
        <v>17</v>
      </c>
      <c r="B1" s="44"/>
      <c r="C1" s="44"/>
      <c r="D1" s="44"/>
      <c r="E1" s="44"/>
      <c r="F1" s="44"/>
      <c r="G1" s="44"/>
      <c r="H1" s="45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22" t="s">
        <v>140</v>
      </c>
      <c r="F2" s="22"/>
      <c r="G2" s="1" t="s">
        <v>4</v>
      </c>
      <c r="H2" s="1" t="s">
        <v>5</v>
      </c>
    </row>
    <row r="3" spans="1:11" x14ac:dyDescent="0.25">
      <c r="A3" s="33" t="s">
        <v>75</v>
      </c>
      <c r="B3" s="1" t="s">
        <v>76</v>
      </c>
      <c r="C3" s="1" t="s">
        <v>79</v>
      </c>
      <c r="D3" s="1">
        <v>75</v>
      </c>
      <c r="E3" s="22">
        <v>70</v>
      </c>
      <c r="F3" s="22" t="s">
        <v>143</v>
      </c>
      <c r="G3" s="1">
        <f>E3*D3</f>
        <v>5250</v>
      </c>
      <c r="H3" s="1"/>
    </row>
    <row r="4" spans="1:11" x14ac:dyDescent="0.25">
      <c r="A4" s="33"/>
      <c r="B4" s="1" t="s">
        <v>23</v>
      </c>
      <c r="C4" s="1" t="s">
        <v>25</v>
      </c>
      <c r="D4" s="1">
        <v>25.5</v>
      </c>
      <c r="E4" s="22">
        <v>20</v>
      </c>
      <c r="F4" s="22" t="s">
        <v>143</v>
      </c>
      <c r="G4" s="22">
        <f t="shared" ref="G4:G5" si="0">E4*D4</f>
        <v>510</v>
      </c>
      <c r="H4" s="1"/>
    </row>
    <row r="5" spans="1:11" x14ac:dyDescent="0.25">
      <c r="A5" s="33"/>
      <c r="B5" s="1" t="s">
        <v>77</v>
      </c>
      <c r="C5" s="1" t="s">
        <v>78</v>
      </c>
      <c r="D5" s="1">
        <v>400</v>
      </c>
      <c r="E5" s="22">
        <v>1</v>
      </c>
      <c r="F5" s="22" t="s">
        <v>144</v>
      </c>
      <c r="G5" s="22">
        <f t="shared" si="0"/>
        <v>400</v>
      </c>
      <c r="H5" s="1"/>
    </row>
    <row r="6" spans="1:11" x14ac:dyDescent="0.25">
      <c r="A6" s="33"/>
      <c r="B6" s="1"/>
      <c r="C6" s="1"/>
      <c r="D6" s="1"/>
      <c r="E6" s="23"/>
      <c r="F6" s="23"/>
      <c r="G6" s="3"/>
      <c r="H6" s="1"/>
    </row>
    <row r="7" spans="1:11" x14ac:dyDescent="0.25">
      <c r="A7" s="33"/>
      <c r="B7" s="34" t="s">
        <v>6</v>
      </c>
      <c r="C7" s="35"/>
      <c r="D7" s="36"/>
      <c r="E7" s="23"/>
      <c r="F7" s="23"/>
      <c r="G7" s="17">
        <f>SUM(G3:G6)</f>
        <v>6160</v>
      </c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22" t="s">
        <v>140</v>
      </c>
      <c r="F8" s="22"/>
      <c r="G8" s="1" t="s">
        <v>4</v>
      </c>
      <c r="H8" s="1" t="s">
        <v>5</v>
      </c>
      <c r="K8" s="4"/>
    </row>
    <row r="9" spans="1:11" x14ac:dyDescent="0.25">
      <c r="A9" s="33" t="s">
        <v>80</v>
      </c>
      <c r="B9" s="1" t="s">
        <v>81</v>
      </c>
      <c r="C9" s="1" t="s">
        <v>50</v>
      </c>
      <c r="D9" s="1">
        <v>24.3</v>
      </c>
      <c r="E9" s="22">
        <v>55</v>
      </c>
      <c r="F9" s="22" t="s">
        <v>143</v>
      </c>
      <c r="G9" s="19">
        <f>E9*D9</f>
        <v>1336.5</v>
      </c>
      <c r="H9" s="1"/>
      <c r="K9" s="5"/>
    </row>
    <row r="10" spans="1:11" x14ac:dyDescent="0.25">
      <c r="A10" s="33"/>
      <c r="B10" s="1" t="s">
        <v>28</v>
      </c>
      <c r="C10" s="1" t="s">
        <v>82</v>
      </c>
      <c r="D10" s="1">
        <v>93</v>
      </c>
      <c r="E10" s="22">
        <v>8</v>
      </c>
      <c r="F10" s="22" t="s">
        <v>143</v>
      </c>
      <c r="G10" s="19">
        <f t="shared" ref="G10" si="1">E10*D10</f>
        <v>744</v>
      </c>
      <c r="H10" s="1"/>
      <c r="K10" s="5"/>
    </row>
    <row r="11" spans="1:11" x14ac:dyDescent="0.25">
      <c r="A11" s="33"/>
      <c r="B11" s="1"/>
      <c r="C11" s="1"/>
      <c r="D11" s="1"/>
      <c r="E11" s="22"/>
      <c r="F11" s="22"/>
      <c r="G11" s="19"/>
      <c r="H11" s="1"/>
      <c r="K11" s="5"/>
    </row>
    <row r="12" spans="1:11" x14ac:dyDescent="0.25">
      <c r="A12" s="33"/>
      <c r="B12" s="1"/>
      <c r="C12" s="1"/>
      <c r="D12" s="1"/>
      <c r="E12" s="22"/>
      <c r="F12" s="22"/>
      <c r="G12" s="1"/>
      <c r="H12" s="1"/>
      <c r="K12" s="5"/>
    </row>
    <row r="13" spans="1:11" x14ac:dyDescent="0.25">
      <c r="A13" s="33"/>
      <c r="B13" s="1"/>
      <c r="C13" s="1"/>
      <c r="D13" s="1"/>
      <c r="E13" s="22"/>
      <c r="F13" s="22"/>
      <c r="G13" s="1"/>
      <c r="H13" s="1"/>
      <c r="K13" s="6"/>
    </row>
    <row r="14" spans="1:11" x14ac:dyDescent="0.25">
      <c r="A14" s="33"/>
      <c r="B14" s="34" t="s">
        <v>6</v>
      </c>
      <c r="C14" s="35"/>
      <c r="D14" s="36"/>
      <c r="E14" s="23"/>
      <c r="F14" s="23"/>
      <c r="G14" s="20">
        <f>SUM(G9:G13)</f>
        <v>2080.5</v>
      </c>
      <c r="H14" s="1"/>
    </row>
    <row r="15" spans="1:11" x14ac:dyDescent="0.25">
      <c r="A15" s="1" t="s">
        <v>8</v>
      </c>
      <c r="B15" s="1" t="s">
        <v>1</v>
      </c>
      <c r="C15" s="1" t="s">
        <v>2</v>
      </c>
      <c r="D15" s="1" t="s">
        <v>3</v>
      </c>
      <c r="E15" s="22" t="s">
        <v>140</v>
      </c>
      <c r="F15" s="22"/>
      <c r="G15" s="1" t="s">
        <v>4</v>
      </c>
      <c r="H15" s="1" t="s">
        <v>5</v>
      </c>
    </row>
    <row r="16" spans="1:11" x14ac:dyDescent="0.25">
      <c r="A16" s="33" t="s">
        <v>84</v>
      </c>
      <c r="B16" s="1" t="s">
        <v>85</v>
      </c>
      <c r="C16" s="1" t="s">
        <v>25</v>
      </c>
      <c r="D16" s="1">
        <v>99</v>
      </c>
      <c r="E16" s="22">
        <v>20</v>
      </c>
      <c r="F16" s="23" t="s">
        <v>143</v>
      </c>
      <c r="G16" s="32">
        <f t="shared" ref="G16:G18" si="2">E16*D16</f>
        <v>1980</v>
      </c>
      <c r="H16" s="1"/>
    </row>
    <row r="17" spans="1:8" x14ac:dyDescent="0.25">
      <c r="A17" s="33"/>
      <c r="B17" s="1" t="s">
        <v>58</v>
      </c>
      <c r="C17" s="1" t="s">
        <v>82</v>
      </c>
      <c r="D17" s="1">
        <v>45</v>
      </c>
      <c r="E17" s="22">
        <v>8</v>
      </c>
      <c r="F17" s="23" t="s">
        <v>143</v>
      </c>
      <c r="G17" s="32">
        <f t="shared" si="2"/>
        <v>360</v>
      </c>
      <c r="H17" s="1"/>
    </row>
    <row r="18" spans="1:8" x14ac:dyDescent="0.25">
      <c r="A18" s="33"/>
      <c r="B18" s="1" t="s">
        <v>86</v>
      </c>
      <c r="C18" s="1" t="s">
        <v>35</v>
      </c>
      <c r="D18" s="1">
        <v>59.28</v>
      </c>
      <c r="E18" s="22">
        <v>12</v>
      </c>
      <c r="F18" s="23" t="s">
        <v>143</v>
      </c>
      <c r="G18" s="32">
        <f t="shared" si="2"/>
        <v>711.36</v>
      </c>
      <c r="H18" s="1"/>
    </row>
    <row r="19" spans="1:8" x14ac:dyDescent="0.25">
      <c r="A19" s="33"/>
      <c r="B19" s="1" t="s">
        <v>59</v>
      </c>
      <c r="C19" s="1" t="s">
        <v>52</v>
      </c>
      <c r="D19" s="1">
        <v>14.4</v>
      </c>
      <c r="E19" s="23">
        <v>4</v>
      </c>
      <c r="F19" s="23" t="s">
        <v>143</v>
      </c>
      <c r="G19" s="32">
        <f>E19*D19</f>
        <v>57.6</v>
      </c>
      <c r="H19" s="1"/>
    </row>
    <row r="20" spans="1:8" x14ac:dyDescent="0.25">
      <c r="A20" s="33"/>
      <c r="B20" s="34" t="s">
        <v>6</v>
      </c>
      <c r="C20" s="35"/>
      <c r="D20" s="36"/>
      <c r="E20" s="23"/>
      <c r="F20" s="23"/>
      <c r="G20" s="20">
        <f>SUM(G16:G19)</f>
        <v>3108.96</v>
      </c>
      <c r="H20" s="1"/>
    </row>
    <row r="21" spans="1:8" x14ac:dyDescent="0.25">
      <c r="A21" s="7" t="s">
        <v>9</v>
      </c>
      <c r="B21" s="1" t="s">
        <v>1</v>
      </c>
      <c r="C21" s="1" t="s">
        <v>2</v>
      </c>
      <c r="D21" s="1" t="s">
        <v>3</v>
      </c>
      <c r="E21" s="22" t="s">
        <v>140</v>
      </c>
      <c r="F21" s="22"/>
      <c r="G21" s="1" t="s">
        <v>4</v>
      </c>
      <c r="H21" s="1" t="s">
        <v>5</v>
      </c>
    </row>
    <row r="22" spans="1:8" x14ac:dyDescent="0.25">
      <c r="A22" s="33"/>
      <c r="B22" s="1" t="s">
        <v>151</v>
      </c>
      <c r="C22" s="1"/>
      <c r="D22" s="1">
        <v>688</v>
      </c>
      <c r="E22" s="22">
        <v>1</v>
      </c>
      <c r="F22" s="22" t="s">
        <v>152</v>
      </c>
      <c r="G22" s="1">
        <f>E22*D22</f>
        <v>688</v>
      </c>
      <c r="H22" s="1"/>
    </row>
    <row r="23" spans="1:8" x14ac:dyDescent="0.25">
      <c r="A23" s="33"/>
      <c r="B23" s="1"/>
      <c r="C23" s="1"/>
      <c r="D23" s="1"/>
      <c r="E23" s="22"/>
      <c r="F23" s="22"/>
      <c r="G23" s="1"/>
      <c r="H23" s="1"/>
    </row>
    <row r="24" spans="1:8" x14ac:dyDescent="0.25">
      <c r="A24" s="33"/>
      <c r="B24" s="1"/>
      <c r="C24" s="1"/>
      <c r="D24" s="1"/>
      <c r="E24" s="22"/>
      <c r="F24" s="22"/>
      <c r="G24" s="1"/>
      <c r="H24" s="1"/>
    </row>
    <row r="25" spans="1:8" x14ac:dyDescent="0.25">
      <c r="A25" s="33"/>
      <c r="B25" s="1"/>
      <c r="C25" s="1"/>
      <c r="D25" s="1"/>
      <c r="E25" s="22"/>
      <c r="F25" s="22"/>
      <c r="G25" s="1"/>
      <c r="H25" s="1"/>
    </row>
    <row r="26" spans="1:8" x14ac:dyDescent="0.25">
      <c r="A26" s="33"/>
      <c r="B26" s="34" t="s">
        <v>6</v>
      </c>
      <c r="C26" s="35"/>
      <c r="D26" s="36"/>
      <c r="E26" s="23"/>
      <c r="F26" s="23"/>
      <c r="G26" s="17">
        <f>SUM(G22:G25)</f>
        <v>688</v>
      </c>
      <c r="H26" s="1"/>
    </row>
    <row r="27" spans="1:8" x14ac:dyDescent="0.25">
      <c r="A27" s="1" t="s">
        <v>10</v>
      </c>
      <c r="B27" s="1" t="s">
        <v>1</v>
      </c>
      <c r="C27" s="1" t="s">
        <v>2</v>
      </c>
      <c r="D27" s="1" t="s">
        <v>3</v>
      </c>
      <c r="E27" s="22" t="s">
        <v>140</v>
      </c>
      <c r="F27" s="22"/>
      <c r="G27" s="1" t="s">
        <v>4</v>
      </c>
      <c r="H27" s="1" t="s">
        <v>5</v>
      </c>
    </row>
    <row r="28" spans="1:8" x14ac:dyDescent="0.25">
      <c r="A28" s="33" t="s">
        <v>87</v>
      </c>
      <c r="B28" s="1" t="s">
        <v>27</v>
      </c>
      <c r="C28" s="1" t="s">
        <v>88</v>
      </c>
      <c r="D28" s="1">
        <v>150</v>
      </c>
      <c r="E28" s="22">
        <v>3</v>
      </c>
      <c r="F28" s="22" t="s">
        <v>149</v>
      </c>
      <c r="G28" s="1">
        <f>E28*D28</f>
        <v>450</v>
      </c>
      <c r="H28" s="1"/>
    </row>
    <row r="29" spans="1:8" x14ac:dyDescent="0.25">
      <c r="A29" s="33"/>
      <c r="B29" s="1"/>
      <c r="C29" s="1"/>
      <c r="D29" s="1"/>
      <c r="E29" s="22"/>
      <c r="F29" s="22"/>
      <c r="G29" s="1"/>
      <c r="H29" s="1"/>
    </row>
    <row r="30" spans="1:8" x14ac:dyDescent="0.25">
      <c r="A30" s="33"/>
      <c r="B30" s="34" t="s">
        <v>6</v>
      </c>
      <c r="C30" s="35"/>
      <c r="D30" s="36"/>
      <c r="E30" s="23"/>
      <c r="F30" s="23"/>
      <c r="G30" s="17">
        <f>SUM(G28:G29)</f>
        <v>450</v>
      </c>
      <c r="H30" s="1"/>
    </row>
    <row r="31" spans="1:8" x14ac:dyDescent="0.25">
      <c r="A31" s="1" t="s">
        <v>11</v>
      </c>
      <c r="B31" s="1" t="s">
        <v>1</v>
      </c>
      <c r="C31" s="1" t="s">
        <v>2</v>
      </c>
      <c r="D31" s="1" t="s">
        <v>3</v>
      </c>
      <c r="E31" s="23" t="s">
        <v>140</v>
      </c>
      <c r="F31" s="23"/>
      <c r="G31" s="3" t="s">
        <v>4</v>
      </c>
      <c r="H31" s="1" t="s">
        <v>5</v>
      </c>
    </row>
    <row r="32" spans="1:8" x14ac:dyDescent="0.25">
      <c r="A32" s="40"/>
      <c r="B32" s="1" t="s">
        <v>141</v>
      </c>
      <c r="C32" s="1" t="s">
        <v>142</v>
      </c>
      <c r="D32" s="1">
        <v>32.64</v>
      </c>
      <c r="E32" s="22">
        <v>75</v>
      </c>
      <c r="F32" s="22" t="s">
        <v>143</v>
      </c>
      <c r="G32" s="1">
        <f>E32*D32</f>
        <v>2448</v>
      </c>
      <c r="H32" s="1"/>
    </row>
    <row r="33" spans="1:8" x14ac:dyDescent="0.25">
      <c r="A33" s="41"/>
      <c r="B33" s="1" t="s">
        <v>150</v>
      </c>
      <c r="C33" s="1"/>
      <c r="D33" s="1">
        <v>30</v>
      </c>
      <c r="E33" s="22">
        <v>55</v>
      </c>
      <c r="F33" s="22" t="s">
        <v>143</v>
      </c>
      <c r="G33" s="22">
        <f>E33*D33</f>
        <v>1650</v>
      </c>
      <c r="H33" s="1"/>
    </row>
    <row r="34" spans="1:8" x14ac:dyDescent="0.25">
      <c r="A34" s="42"/>
      <c r="B34" s="34" t="s">
        <v>6</v>
      </c>
      <c r="C34" s="35"/>
      <c r="D34" s="36"/>
      <c r="E34" s="23"/>
      <c r="F34" s="23"/>
      <c r="G34" s="17">
        <f>SUM(G32:G33)</f>
        <v>4098</v>
      </c>
      <c r="H34" s="8"/>
    </row>
    <row r="35" spans="1:8" x14ac:dyDescent="0.25">
      <c r="A35" s="9" t="s">
        <v>146</v>
      </c>
      <c r="B35" s="1" t="s">
        <v>1</v>
      </c>
      <c r="C35" s="1" t="s">
        <v>2</v>
      </c>
      <c r="D35" s="1" t="s">
        <v>3</v>
      </c>
      <c r="E35" s="22" t="s">
        <v>140</v>
      </c>
      <c r="F35" s="22"/>
      <c r="G35" s="1" t="s">
        <v>4</v>
      </c>
      <c r="H35" s="1"/>
    </row>
    <row r="36" spans="1:8" x14ac:dyDescent="0.25">
      <c r="A36" s="33"/>
      <c r="B36" s="1" t="s">
        <v>145</v>
      </c>
      <c r="C36" s="1"/>
      <c r="D36" s="1">
        <v>60</v>
      </c>
      <c r="E36" s="22">
        <v>1</v>
      </c>
      <c r="F36" s="22" t="s">
        <v>147</v>
      </c>
      <c r="G36" s="1">
        <f>E36*D36</f>
        <v>60</v>
      </c>
      <c r="H36" s="1"/>
    </row>
    <row r="37" spans="1:8" x14ac:dyDescent="0.25">
      <c r="A37" s="33"/>
      <c r="B37" s="1" t="s">
        <v>148</v>
      </c>
      <c r="C37" s="1"/>
      <c r="D37" s="1">
        <v>140</v>
      </c>
      <c r="E37" s="22">
        <v>5</v>
      </c>
      <c r="F37" s="22" t="s">
        <v>143</v>
      </c>
      <c r="G37" s="22">
        <f>E37*D37</f>
        <v>700</v>
      </c>
      <c r="H37" s="1"/>
    </row>
    <row r="38" spans="1:8" x14ac:dyDescent="0.25">
      <c r="A38" s="33"/>
      <c r="B38" s="1"/>
      <c r="C38" s="1"/>
      <c r="D38" s="1"/>
      <c r="E38" s="22"/>
      <c r="F38" s="22"/>
      <c r="G38" s="1"/>
      <c r="H38" s="1"/>
    </row>
    <row r="39" spans="1:8" x14ac:dyDescent="0.25">
      <c r="A39" s="33"/>
      <c r="B39" s="1"/>
      <c r="C39" s="1"/>
      <c r="D39" s="1"/>
      <c r="E39" s="22"/>
      <c r="F39" s="22"/>
      <c r="G39" s="1"/>
      <c r="H39" s="1"/>
    </row>
    <row r="40" spans="1:8" x14ac:dyDescent="0.25">
      <c r="A40" s="33"/>
      <c r="B40" s="34" t="s">
        <v>6</v>
      </c>
      <c r="C40" s="35"/>
      <c r="D40" s="36"/>
      <c r="E40" s="23"/>
      <c r="F40" s="23"/>
      <c r="G40" s="17">
        <f>SUM(G36:G39)</f>
        <v>760</v>
      </c>
      <c r="H40" s="1"/>
    </row>
    <row r="41" spans="1:8" x14ac:dyDescent="0.25">
      <c r="A41" s="1"/>
      <c r="B41" s="37" t="s">
        <v>13</v>
      </c>
      <c r="C41" s="38"/>
      <c r="D41" s="39"/>
      <c r="E41" s="24"/>
      <c r="F41" s="24"/>
      <c r="G41" s="28">
        <f>G40+G34+G30+G26+G20+G14+G7</f>
        <v>17345.46</v>
      </c>
      <c r="H41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opLeftCell="A20" workbookViewId="0">
      <selection activeCell="G53" sqref="G5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43" t="s">
        <v>18</v>
      </c>
      <c r="B1" s="44"/>
      <c r="C1" s="44"/>
      <c r="D1" s="44"/>
      <c r="E1" s="44"/>
      <c r="F1" s="44"/>
      <c r="G1" s="44"/>
      <c r="H1" s="45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29" t="s">
        <v>153</v>
      </c>
      <c r="F2" s="29"/>
      <c r="G2" s="1" t="s">
        <v>4</v>
      </c>
      <c r="H2" s="1" t="s">
        <v>5</v>
      </c>
    </row>
    <row r="3" spans="1:11" x14ac:dyDescent="0.25">
      <c r="A3" s="33" t="s">
        <v>89</v>
      </c>
      <c r="B3" s="1" t="s">
        <v>90</v>
      </c>
      <c r="C3" s="1" t="s">
        <v>83</v>
      </c>
      <c r="D3" s="1">
        <v>74.099999999999994</v>
      </c>
      <c r="E3" s="29">
        <v>1</v>
      </c>
      <c r="F3" s="29" t="s">
        <v>154</v>
      </c>
      <c r="G3" s="19">
        <f>E3*D3</f>
        <v>74.099999999999994</v>
      </c>
      <c r="H3" s="1"/>
    </row>
    <row r="4" spans="1:11" x14ac:dyDescent="0.25">
      <c r="A4" s="33"/>
      <c r="B4" s="1" t="s">
        <v>57</v>
      </c>
      <c r="C4" s="1" t="s">
        <v>93</v>
      </c>
      <c r="D4" s="1">
        <v>99</v>
      </c>
      <c r="E4" s="29">
        <v>30</v>
      </c>
      <c r="F4" s="29" t="s">
        <v>154</v>
      </c>
      <c r="G4" s="19">
        <f t="shared" ref="G4:G6" si="0">E4*D4</f>
        <v>2970</v>
      </c>
      <c r="H4" s="1"/>
    </row>
    <row r="5" spans="1:11" x14ac:dyDescent="0.25">
      <c r="A5" s="33"/>
      <c r="B5" s="1" t="s">
        <v>91</v>
      </c>
      <c r="C5" s="1" t="s">
        <v>94</v>
      </c>
      <c r="D5" s="1">
        <v>168</v>
      </c>
      <c r="E5" s="29">
        <v>15</v>
      </c>
      <c r="F5" s="29" t="s">
        <v>154</v>
      </c>
      <c r="G5" s="19">
        <f t="shared" si="0"/>
        <v>2520</v>
      </c>
      <c r="H5" s="1"/>
    </row>
    <row r="6" spans="1:11" x14ac:dyDescent="0.25">
      <c r="A6" s="33"/>
      <c r="B6" s="1" t="s">
        <v>92</v>
      </c>
      <c r="C6" s="1" t="s">
        <v>83</v>
      </c>
      <c r="D6" s="1">
        <v>159.6</v>
      </c>
      <c r="E6" s="30">
        <v>1</v>
      </c>
      <c r="F6" s="29" t="s">
        <v>154</v>
      </c>
      <c r="G6" s="19">
        <f t="shared" si="0"/>
        <v>159.6</v>
      </c>
      <c r="H6" s="1"/>
    </row>
    <row r="7" spans="1:11" x14ac:dyDescent="0.25">
      <c r="A7" s="33"/>
      <c r="B7" s="34" t="s">
        <v>6</v>
      </c>
      <c r="C7" s="35"/>
      <c r="D7" s="36"/>
      <c r="E7" s="30"/>
      <c r="F7" s="30"/>
      <c r="G7" s="20">
        <f>SUM(G3:G6)</f>
        <v>5723.7000000000007</v>
      </c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29" t="s">
        <v>153</v>
      </c>
      <c r="F8" s="29"/>
      <c r="G8" s="1" t="s">
        <v>4</v>
      </c>
      <c r="H8" s="1" t="s">
        <v>5</v>
      </c>
      <c r="K8" s="4"/>
    </row>
    <row r="9" spans="1:11" x14ac:dyDescent="0.25">
      <c r="A9" s="33" t="s">
        <v>155</v>
      </c>
      <c r="B9" s="1" t="s">
        <v>156</v>
      </c>
      <c r="C9" s="1"/>
      <c r="D9" s="1">
        <v>25.5</v>
      </c>
      <c r="E9" s="29">
        <v>35</v>
      </c>
      <c r="F9" s="29" t="s">
        <v>154</v>
      </c>
      <c r="G9" s="19">
        <f>E9*D9</f>
        <v>892.5</v>
      </c>
      <c r="H9" s="1"/>
      <c r="K9" s="5"/>
    </row>
    <row r="10" spans="1:11" x14ac:dyDescent="0.25">
      <c r="A10" s="33"/>
      <c r="B10" s="1" t="s">
        <v>157</v>
      </c>
      <c r="C10" s="1"/>
      <c r="D10" s="1">
        <v>49.2</v>
      </c>
      <c r="E10" s="29">
        <v>40</v>
      </c>
      <c r="F10" s="29" t="s">
        <v>154</v>
      </c>
      <c r="G10" s="19">
        <f>E10*D10</f>
        <v>1968</v>
      </c>
      <c r="H10" s="1"/>
      <c r="K10" s="5"/>
    </row>
    <row r="11" spans="1:11" x14ac:dyDescent="0.25">
      <c r="A11" s="33"/>
      <c r="B11" s="1"/>
      <c r="C11" s="1"/>
      <c r="D11" s="1"/>
      <c r="E11" s="29"/>
      <c r="F11" s="29"/>
      <c r="G11" s="1"/>
      <c r="H11" s="1"/>
      <c r="K11" s="5"/>
    </row>
    <row r="12" spans="1:11" x14ac:dyDescent="0.25">
      <c r="A12" s="33"/>
      <c r="B12" s="1"/>
      <c r="C12" s="1"/>
      <c r="D12" s="1"/>
      <c r="E12" s="29"/>
      <c r="F12" s="29"/>
      <c r="G12" s="1"/>
      <c r="H12" s="1"/>
      <c r="K12" s="5"/>
    </row>
    <row r="13" spans="1:11" x14ac:dyDescent="0.25">
      <c r="A13" s="33"/>
      <c r="B13" s="1"/>
      <c r="C13" s="1"/>
      <c r="D13" s="1"/>
      <c r="E13" s="29"/>
      <c r="F13" s="29"/>
      <c r="G13" s="1"/>
      <c r="H13" s="1"/>
      <c r="K13" s="6"/>
    </row>
    <row r="14" spans="1:11" x14ac:dyDescent="0.25">
      <c r="A14" s="33"/>
      <c r="B14" s="34" t="s">
        <v>6</v>
      </c>
      <c r="C14" s="35"/>
      <c r="D14" s="36"/>
      <c r="E14" s="30"/>
      <c r="F14" s="30"/>
      <c r="G14" s="20">
        <f>SUM(G9:G13)</f>
        <v>2860.5</v>
      </c>
      <c r="H14" s="1"/>
    </row>
    <row r="15" spans="1:11" x14ac:dyDescent="0.25">
      <c r="A15" s="1" t="s">
        <v>8</v>
      </c>
      <c r="B15" s="1" t="s">
        <v>1</v>
      </c>
      <c r="C15" s="1" t="s">
        <v>2</v>
      </c>
      <c r="D15" s="1" t="s">
        <v>3</v>
      </c>
      <c r="E15" s="29" t="s">
        <v>153</v>
      </c>
      <c r="F15" s="29"/>
      <c r="G15" s="1" t="s">
        <v>4</v>
      </c>
      <c r="H15" s="1" t="s">
        <v>5</v>
      </c>
    </row>
    <row r="16" spans="1:11" x14ac:dyDescent="0.25">
      <c r="A16" s="33" t="s">
        <v>95</v>
      </c>
      <c r="B16" s="1" t="s">
        <v>96</v>
      </c>
      <c r="C16" s="1" t="s">
        <v>100</v>
      </c>
      <c r="D16" s="1">
        <v>63</v>
      </c>
      <c r="E16" s="29">
        <v>25</v>
      </c>
      <c r="F16" s="29" t="s">
        <v>154</v>
      </c>
      <c r="G16" s="1">
        <f>E16*D16</f>
        <v>1575</v>
      </c>
      <c r="H16" s="1"/>
    </row>
    <row r="17" spans="1:8" x14ac:dyDescent="0.25">
      <c r="A17" s="33"/>
      <c r="B17" s="1" t="s">
        <v>97</v>
      </c>
      <c r="C17" s="1" t="s">
        <v>99</v>
      </c>
      <c r="D17" s="1">
        <v>60</v>
      </c>
      <c r="E17" s="29">
        <v>2</v>
      </c>
      <c r="F17" s="29" t="s">
        <v>154</v>
      </c>
      <c r="G17" s="29">
        <f t="shared" ref="G17:G18" si="1">E17*D17</f>
        <v>120</v>
      </c>
      <c r="H17" s="1"/>
    </row>
    <row r="18" spans="1:8" x14ac:dyDescent="0.25">
      <c r="A18" s="33"/>
      <c r="B18" s="1" t="s">
        <v>98</v>
      </c>
      <c r="C18" s="1" t="s">
        <v>82</v>
      </c>
      <c r="D18" s="1">
        <v>168</v>
      </c>
      <c r="E18" s="29">
        <v>8</v>
      </c>
      <c r="F18" s="29" t="s">
        <v>154</v>
      </c>
      <c r="G18" s="29">
        <f t="shared" si="1"/>
        <v>1344</v>
      </c>
      <c r="H18" s="1"/>
    </row>
    <row r="19" spans="1:8" x14ac:dyDescent="0.25">
      <c r="A19" s="33"/>
      <c r="B19" s="1"/>
      <c r="C19" s="1"/>
      <c r="D19" s="1"/>
      <c r="E19" s="30"/>
      <c r="F19" s="30"/>
      <c r="G19" s="3"/>
      <c r="H19" s="1"/>
    </row>
    <row r="20" spans="1:8" x14ac:dyDescent="0.25">
      <c r="A20" s="33"/>
      <c r="B20" s="34" t="s">
        <v>6</v>
      </c>
      <c r="C20" s="35"/>
      <c r="D20" s="36"/>
      <c r="E20" s="30"/>
      <c r="F20" s="30"/>
      <c r="G20" s="17">
        <f>SUM(G16:G19)</f>
        <v>3039</v>
      </c>
      <c r="H20" s="1"/>
    </row>
    <row r="21" spans="1:8" x14ac:dyDescent="0.25">
      <c r="A21" s="7" t="s">
        <v>9</v>
      </c>
      <c r="B21" s="1" t="s">
        <v>1</v>
      </c>
      <c r="C21" s="1" t="s">
        <v>2</v>
      </c>
      <c r="D21" s="1" t="s">
        <v>3</v>
      </c>
      <c r="E21" s="29" t="s">
        <v>153</v>
      </c>
      <c r="F21" s="29"/>
      <c r="G21" s="1" t="s">
        <v>4</v>
      </c>
      <c r="H21" s="1" t="s">
        <v>5</v>
      </c>
    </row>
    <row r="22" spans="1:8" x14ac:dyDescent="0.25">
      <c r="A22" s="33"/>
      <c r="B22" s="1" t="s">
        <v>167</v>
      </c>
      <c r="C22" s="1"/>
      <c r="D22" s="1">
        <v>630</v>
      </c>
      <c r="E22" s="29">
        <v>1</v>
      </c>
      <c r="F22" s="29" t="s">
        <v>168</v>
      </c>
      <c r="G22" s="1">
        <f>E22*D22</f>
        <v>630</v>
      </c>
      <c r="H22" s="1"/>
    </row>
    <row r="23" spans="1:8" x14ac:dyDescent="0.25">
      <c r="A23" s="33"/>
      <c r="B23" s="1" t="s">
        <v>169</v>
      </c>
      <c r="C23" s="1"/>
      <c r="D23" s="1">
        <v>1188</v>
      </c>
      <c r="E23" s="29">
        <v>1</v>
      </c>
      <c r="F23" s="29" t="s">
        <v>176</v>
      </c>
      <c r="G23" s="29">
        <f t="shared" ref="G23:G29" si="2">E23*D23</f>
        <v>1188</v>
      </c>
      <c r="H23" s="1"/>
    </row>
    <row r="24" spans="1:8" x14ac:dyDescent="0.25">
      <c r="A24" s="33"/>
      <c r="B24" s="1" t="s">
        <v>170</v>
      </c>
      <c r="C24" s="1"/>
      <c r="D24" s="1">
        <v>219</v>
      </c>
      <c r="E24" s="29">
        <v>2</v>
      </c>
      <c r="F24" s="29" t="s">
        <v>176</v>
      </c>
      <c r="G24" s="29">
        <f t="shared" si="2"/>
        <v>438</v>
      </c>
      <c r="H24" s="1"/>
    </row>
    <row r="25" spans="1:8" x14ac:dyDescent="0.25">
      <c r="A25" s="33"/>
      <c r="B25" s="29" t="s">
        <v>171</v>
      </c>
      <c r="C25" s="29"/>
      <c r="D25" s="29">
        <v>225</v>
      </c>
      <c r="E25" s="29">
        <v>2</v>
      </c>
      <c r="F25" s="29" t="s">
        <v>176</v>
      </c>
      <c r="G25" s="29">
        <f t="shared" si="2"/>
        <v>450</v>
      </c>
      <c r="H25" s="29"/>
    </row>
    <row r="26" spans="1:8" x14ac:dyDescent="0.25">
      <c r="A26" s="33"/>
      <c r="B26" s="29" t="s">
        <v>172</v>
      </c>
      <c r="C26" s="29"/>
      <c r="D26" s="29">
        <v>291</v>
      </c>
      <c r="E26" s="29">
        <v>1</v>
      </c>
      <c r="F26" s="29" t="s">
        <v>176</v>
      </c>
      <c r="G26" s="29">
        <f t="shared" si="2"/>
        <v>291</v>
      </c>
      <c r="H26" s="29"/>
    </row>
    <row r="27" spans="1:8" x14ac:dyDescent="0.25">
      <c r="A27" s="33"/>
      <c r="B27" s="29" t="s">
        <v>173</v>
      </c>
      <c r="C27" s="29"/>
      <c r="D27" s="29">
        <v>235</v>
      </c>
      <c r="E27" s="29">
        <v>1</v>
      </c>
      <c r="F27" s="29" t="s">
        <v>176</v>
      </c>
      <c r="G27" s="29">
        <f t="shared" si="2"/>
        <v>235</v>
      </c>
      <c r="H27" s="1"/>
    </row>
    <row r="28" spans="1:8" x14ac:dyDescent="0.25">
      <c r="A28" s="33"/>
      <c r="B28" s="29" t="s">
        <v>174</v>
      </c>
      <c r="C28" s="29"/>
      <c r="D28" s="29">
        <v>175</v>
      </c>
      <c r="E28" s="30">
        <v>1</v>
      </c>
      <c r="F28" s="30" t="s">
        <v>177</v>
      </c>
      <c r="G28" s="29">
        <f t="shared" si="2"/>
        <v>175</v>
      </c>
      <c r="H28" s="29"/>
    </row>
    <row r="29" spans="1:8" x14ac:dyDescent="0.25">
      <c r="A29" s="33"/>
      <c r="B29" s="29" t="s">
        <v>175</v>
      </c>
      <c r="C29" s="29"/>
      <c r="D29" s="29">
        <v>339</v>
      </c>
      <c r="E29" s="30">
        <v>2</v>
      </c>
      <c r="F29" s="30" t="s">
        <v>176</v>
      </c>
      <c r="G29" s="29">
        <f t="shared" si="2"/>
        <v>678</v>
      </c>
      <c r="H29" s="29"/>
    </row>
    <row r="30" spans="1:8" x14ac:dyDescent="0.25">
      <c r="A30" s="33"/>
      <c r="B30" s="34" t="s">
        <v>6</v>
      </c>
      <c r="C30" s="35"/>
      <c r="D30" s="36"/>
      <c r="E30" s="30"/>
      <c r="F30" s="30"/>
      <c r="G30" s="17">
        <f>SUM(G22:G29)</f>
        <v>4085</v>
      </c>
      <c r="H30" s="1"/>
    </row>
    <row r="31" spans="1:8" x14ac:dyDescent="0.25">
      <c r="A31" s="1" t="s">
        <v>10</v>
      </c>
      <c r="B31" s="1" t="s">
        <v>1</v>
      </c>
      <c r="C31" s="1" t="s">
        <v>2</v>
      </c>
      <c r="D31" s="1" t="s">
        <v>3</v>
      </c>
      <c r="E31" s="29" t="s">
        <v>153</v>
      </c>
      <c r="F31" s="29"/>
      <c r="G31" s="1" t="s">
        <v>4</v>
      </c>
      <c r="H31" s="1" t="s">
        <v>5</v>
      </c>
    </row>
    <row r="32" spans="1:8" x14ac:dyDescent="0.25">
      <c r="A32" s="33" t="s">
        <v>101</v>
      </c>
      <c r="B32" s="1" t="s">
        <v>102</v>
      </c>
      <c r="C32" s="1" t="s">
        <v>30</v>
      </c>
      <c r="D32" s="1">
        <v>30</v>
      </c>
      <c r="E32" s="29">
        <v>10</v>
      </c>
      <c r="F32" s="29" t="s">
        <v>154</v>
      </c>
      <c r="G32" s="1">
        <f>E32*D32</f>
        <v>300</v>
      </c>
      <c r="H32" s="1"/>
    </row>
    <row r="33" spans="1:8" x14ac:dyDescent="0.25">
      <c r="A33" s="33"/>
      <c r="B33" s="1" t="s">
        <v>103</v>
      </c>
      <c r="C33" s="1" t="s">
        <v>55</v>
      </c>
      <c r="D33" s="1">
        <v>35.4</v>
      </c>
      <c r="E33" s="29">
        <v>1</v>
      </c>
      <c r="F33" s="29" t="s">
        <v>154</v>
      </c>
      <c r="G33" s="19">
        <f>E33*D33</f>
        <v>35.4</v>
      </c>
      <c r="H33" s="1"/>
    </row>
    <row r="34" spans="1:8" x14ac:dyDescent="0.25">
      <c r="A34" s="33"/>
      <c r="B34" s="34" t="s">
        <v>6</v>
      </c>
      <c r="C34" s="35"/>
      <c r="D34" s="36"/>
      <c r="E34" s="30"/>
      <c r="F34" s="30"/>
      <c r="G34" s="20">
        <f>SUM(G32:G33)</f>
        <v>335.4</v>
      </c>
      <c r="H34" s="1"/>
    </row>
    <row r="35" spans="1:8" x14ac:dyDescent="0.25">
      <c r="A35" s="1" t="s">
        <v>11</v>
      </c>
      <c r="B35" s="1" t="s">
        <v>1</v>
      </c>
      <c r="C35" s="1" t="s">
        <v>2</v>
      </c>
      <c r="D35" s="1" t="s">
        <v>3</v>
      </c>
      <c r="E35" s="30" t="s">
        <v>153</v>
      </c>
      <c r="F35" s="30"/>
      <c r="G35" s="3" t="s">
        <v>4</v>
      </c>
      <c r="H35" s="1" t="s">
        <v>5</v>
      </c>
    </row>
    <row r="36" spans="1:8" x14ac:dyDescent="0.25">
      <c r="A36" s="40"/>
      <c r="B36" s="1" t="s">
        <v>158</v>
      </c>
      <c r="C36" s="1"/>
      <c r="D36" s="1">
        <v>30.6</v>
      </c>
      <c r="E36" s="29">
        <v>60</v>
      </c>
      <c r="F36" s="29" t="s">
        <v>154</v>
      </c>
      <c r="G36" s="1">
        <f>E36*D36</f>
        <v>1836</v>
      </c>
      <c r="H36" s="1"/>
    </row>
    <row r="37" spans="1:8" x14ac:dyDescent="0.25">
      <c r="A37" s="41"/>
      <c r="B37" s="1" t="s">
        <v>159</v>
      </c>
      <c r="C37" s="1"/>
      <c r="D37" s="1">
        <v>32.64</v>
      </c>
      <c r="E37" s="29">
        <v>75</v>
      </c>
      <c r="F37" s="29" t="s">
        <v>154</v>
      </c>
      <c r="G37" s="29">
        <f>E37*D37</f>
        <v>2448</v>
      </c>
      <c r="H37" s="1"/>
    </row>
    <row r="38" spans="1:8" x14ac:dyDescent="0.25">
      <c r="A38" s="42"/>
      <c r="B38" s="34" t="s">
        <v>6</v>
      </c>
      <c r="C38" s="35"/>
      <c r="D38" s="36"/>
      <c r="E38" s="30"/>
      <c r="F38" s="30"/>
      <c r="G38" s="17">
        <f>SUM(G36:G37)</f>
        <v>4284</v>
      </c>
      <c r="H38" s="8"/>
    </row>
    <row r="39" spans="1:8" x14ac:dyDescent="0.25">
      <c r="A39" s="9" t="s">
        <v>166</v>
      </c>
      <c r="B39" s="1" t="s">
        <v>1</v>
      </c>
      <c r="C39" s="1" t="s">
        <v>2</v>
      </c>
      <c r="D39" s="1" t="s">
        <v>3</v>
      </c>
      <c r="E39" s="29" t="s">
        <v>153</v>
      </c>
      <c r="F39" s="29"/>
      <c r="G39" s="1" t="s">
        <v>4</v>
      </c>
      <c r="H39" s="1"/>
    </row>
    <row r="40" spans="1:8" x14ac:dyDescent="0.25">
      <c r="A40" s="33"/>
      <c r="B40" s="1" t="s">
        <v>160</v>
      </c>
      <c r="C40" s="1"/>
      <c r="D40" s="1">
        <v>19.8</v>
      </c>
      <c r="E40" s="29">
        <v>7</v>
      </c>
      <c r="F40" s="29" t="s">
        <v>154</v>
      </c>
      <c r="G40" s="19">
        <f>E40*D40</f>
        <v>138.6</v>
      </c>
      <c r="H40" s="1"/>
    </row>
    <row r="41" spans="1:8" x14ac:dyDescent="0.25">
      <c r="A41" s="33"/>
      <c r="B41" s="1" t="s">
        <v>161</v>
      </c>
      <c r="C41" s="1"/>
      <c r="D41" s="1">
        <v>10</v>
      </c>
      <c r="E41" s="29">
        <v>25</v>
      </c>
      <c r="F41" s="29" t="s">
        <v>162</v>
      </c>
      <c r="G41" s="19">
        <f>E41*D41</f>
        <v>250</v>
      </c>
      <c r="H41" s="1"/>
    </row>
    <row r="42" spans="1:8" x14ac:dyDescent="0.25">
      <c r="A42" s="33"/>
      <c r="B42" s="1" t="s">
        <v>163</v>
      </c>
      <c r="C42" s="1"/>
      <c r="D42" s="1">
        <v>69</v>
      </c>
      <c r="E42" s="29">
        <v>2</v>
      </c>
      <c r="F42" s="29" t="s">
        <v>154</v>
      </c>
      <c r="G42" s="19">
        <f>E42*D42</f>
        <v>138</v>
      </c>
      <c r="H42" s="1"/>
    </row>
    <row r="43" spans="1:8" x14ac:dyDescent="0.25">
      <c r="A43" s="33"/>
      <c r="B43" s="1" t="s">
        <v>164</v>
      </c>
      <c r="C43" s="1"/>
      <c r="D43" s="1">
        <v>50</v>
      </c>
      <c r="E43" s="29">
        <v>1</v>
      </c>
      <c r="F43" s="29" t="s">
        <v>165</v>
      </c>
      <c r="G43" s="19">
        <f>E43*D43</f>
        <v>50</v>
      </c>
      <c r="H43" s="1"/>
    </row>
    <row r="44" spans="1:8" x14ac:dyDescent="0.25">
      <c r="A44" s="33"/>
      <c r="B44" s="29" t="s">
        <v>178</v>
      </c>
      <c r="C44" s="29"/>
      <c r="D44" s="29">
        <v>4.5</v>
      </c>
      <c r="E44" s="30">
        <v>50</v>
      </c>
      <c r="F44" s="30" t="s">
        <v>162</v>
      </c>
      <c r="G44" s="32">
        <f>E44*D44</f>
        <v>225</v>
      </c>
      <c r="H44" s="29"/>
    </row>
    <row r="45" spans="1:8" x14ac:dyDescent="0.25">
      <c r="A45" s="33"/>
      <c r="B45" s="29" t="s">
        <v>179</v>
      </c>
      <c r="C45" s="29"/>
      <c r="D45" s="29">
        <v>60</v>
      </c>
      <c r="E45" s="30">
        <v>1</v>
      </c>
      <c r="F45" s="30" t="s">
        <v>165</v>
      </c>
      <c r="G45" s="32">
        <f t="shared" ref="G45:G50" si="3">E45*D45</f>
        <v>60</v>
      </c>
      <c r="H45" s="29"/>
    </row>
    <row r="46" spans="1:8" x14ac:dyDescent="0.25">
      <c r="A46" s="33"/>
      <c r="B46" s="29" t="s">
        <v>180</v>
      </c>
      <c r="C46" s="29"/>
      <c r="D46" s="29">
        <v>300</v>
      </c>
      <c r="E46" s="30">
        <v>1</v>
      </c>
      <c r="F46" s="30" t="s">
        <v>177</v>
      </c>
      <c r="G46" s="32">
        <f t="shared" si="3"/>
        <v>300</v>
      </c>
      <c r="H46" s="29"/>
    </row>
    <row r="47" spans="1:8" x14ac:dyDescent="0.25">
      <c r="A47" s="33"/>
      <c r="B47" s="29" t="s">
        <v>181</v>
      </c>
      <c r="C47" s="29"/>
      <c r="D47" s="29">
        <v>95</v>
      </c>
      <c r="E47" s="30">
        <v>1</v>
      </c>
      <c r="F47" s="30" t="s">
        <v>185</v>
      </c>
      <c r="G47" s="32">
        <f t="shared" si="3"/>
        <v>95</v>
      </c>
      <c r="H47" s="29"/>
    </row>
    <row r="48" spans="1:8" x14ac:dyDescent="0.25">
      <c r="A48" s="33"/>
      <c r="B48" s="29" t="s">
        <v>182</v>
      </c>
      <c r="C48" s="29"/>
      <c r="D48" s="29">
        <v>235</v>
      </c>
      <c r="E48" s="30">
        <v>2</v>
      </c>
      <c r="F48" s="30" t="s">
        <v>186</v>
      </c>
      <c r="G48" s="32">
        <f t="shared" si="3"/>
        <v>470</v>
      </c>
      <c r="H48" s="29"/>
    </row>
    <row r="49" spans="1:8" x14ac:dyDescent="0.25">
      <c r="A49" s="33"/>
      <c r="B49" s="29" t="s">
        <v>184</v>
      </c>
      <c r="C49" s="29"/>
      <c r="D49" s="29">
        <v>240</v>
      </c>
      <c r="E49" s="30">
        <v>1</v>
      </c>
      <c r="F49" s="30" t="s">
        <v>177</v>
      </c>
      <c r="G49" s="32">
        <f t="shared" si="3"/>
        <v>240</v>
      </c>
      <c r="H49" s="29"/>
    </row>
    <row r="50" spans="1:8" x14ac:dyDescent="0.25">
      <c r="A50" s="33"/>
      <c r="B50" s="29" t="s">
        <v>183</v>
      </c>
      <c r="C50" s="29"/>
      <c r="D50" s="29">
        <v>250</v>
      </c>
      <c r="E50" s="30">
        <v>1</v>
      </c>
      <c r="F50" s="30" t="s">
        <v>185</v>
      </c>
      <c r="G50" s="32">
        <f t="shared" si="3"/>
        <v>250</v>
      </c>
      <c r="H50" s="29"/>
    </row>
    <row r="51" spans="1:8" x14ac:dyDescent="0.25">
      <c r="A51" s="33"/>
      <c r="B51" s="34" t="s">
        <v>6</v>
      </c>
      <c r="C51" s="35"/>
      <c r="D51" s="36"/>
      <c r="E51" s="30"/>
      <c r="F51" s="30"/>
      <c r="G51" s="20">
        <f>SUM(G40:G50)</f>
        <v>2216.6</v>
      </c>
      <c r="H51" s="1"/>
    </row>
    <row r="52" spans="1:8" x14ac:dyDescent="0.25">
      <c r="A52" s="1"/>
      <c r="B52" s="37" t="s">
        <v>13</v>
      </c>
      <c r="C52" s="38"/>
      <c r="D52" s="39"/>
      <c r="E52" s="31"/>
      <c r="F52" s="31"/>
      <c r="G52" s="28">
        <f>G51+G38+G34+G30++G14+G7+G20</f>
        <v>22544.2</v>
      </c>
      <c r="H52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40:A51"/>
    <mergeCell ref="B51:D51"/>
    <mergeCell ref="B52:D52"/>
    <mergeCell ref="A22:A30"/>
    <mergeCell ref="B30:D30"/>
    <mergeCell ref="A32:A34"/>
    <mergeCell ref="B34:D34"/>
    <mergeCell ref="A36:A38"/>
    <mergeCell ref="B38:D3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3</vt:i4>
      </vt:variant>
    </vt:vector>
  </HeadingPairs>
  <TitlesOfParts>
    <vt:vector size="8" baseType="lpstr">
      <vt:lpstr>0729</vt:lpstr>
      <vt:lpstr>0730</vt:lpstr>
      <vt:lpstr>0731</vt:lpstr>
      <vt:lpstr>0801+</vt:lpstr>
      <vt:lpstr>0802+</vt:lpstr>
      <vt:lpstr>'0730'!Print_Area</vt:lpstr>
      <vt:lpstr>'0731'!Print_Area</vt:lpstr>
      <vt:lpstr>'0801+'!Print_Area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2024-08-01T04:43:31Z</cp:lastPrinted>
  <dcterms:created xsi:type="dcterms:W3CDTF">2024-07-15T08:56:51Z</dcterms:created>
  <dcterms:modified xsi:type="dcterms:W3CDTF">2024-08-05T05:52:19Z</dcterms:modified>
</cp:coreProperties>
</file>