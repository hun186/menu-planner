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8月份\"/>
    </mc:Choice>
  </mc:AlternateContent>
  <bookViews>
    <workbookView xWindow="0" yWindow="0" windowWidth="28800" windowHeight="12255"/>
  </bookViews>
  <sheets>
    <sheet name="0812+" sheetId="1" r:id="rId1"/>
    <sheet name="0813+" sheetId="2" r:id="rId2"/>
    <sheet name="0814" sheetId="3" r:id="rId3"/>
    <sheet name="0815" sheetId="4" r:id="rId4"/>
    <sheet name="0816" sheetId="5" r:id="rId5"/>
  </sheets>
  <definedNames>
    <definedName name="_xlnm.Print_Area" localSheetId="0">'0812+'!$A$1:$H$45</definedName>
    <definedName name="_xlnm.Print_Area" localSheetId="1">'0813+'!$A$1:$H$41</definedName>
    <definedName name="_xlnm.Print_Area" localSheetId="2">'0814'!$A$1:$H$49</definedName>
    <definedName name="_xlnm.Print_Area" localSheetId="3">'0815'!$A$1:$H$43</definedName>
    <definedName name="_xlnm.Print_Area" localSheetId="4">'0816'!$A$1:$H$46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6" i="5" l="1"/>
  <c r="G45" i="5"/>
  <c r="G39" i="5"/>
  <c r="G29" i="5"/>
  <c r="G23" i="5"/>
  <c r="G24" i="5"/>
  <c r="G25" i="5"/>
  <c r="G26" i="5"/>
  <c r="G27" i="5"/>
  <c r="G28" i="5"/>
  <c r="G22" i="5"/>
  <c r="G44" i="5"/>
  <c r="G43" i="5"/>
  <c r="G42" i="5"/>
  <c r="G20" i="5"/>
  <c r="G17" i="5"/>
  <c r="G16" i="5"/>
  <c r="G14" i="5"/>
  <c r="G10" i="5"/>
  <c r="G11" i="5"/>
  <c r="G12" i="5"/>
  <c r="G9" i="5"/>
  <c r="G7" i="5"/>
  <c r="G4" i="5"/>
  <c r="G5" i="5"/>
  <c r="G3" i="5"/>
  <c r="G41" i="5"/>
  <c r="G35" i="5"/>
  <c r="G43" i="4" l="1"/>
  <c r="G36" i="4"/>
  <c r="G33" i="4"/>
  <c r="G34" i="4"/>
  <c r="G32" i="4"/>
  <c r="G29" i="4"/>
  <c r="G30" i="4" s="1"/>
  <c r="G28" i="4"/>
  <c r="G20" i="4"/>
  <c r="G17" i="4"/>
  <c r="G16" i="4"/>
  <c r="G11" i="4"/>
  <c r="G10" i="4"/>
  <c r="G14" i="4" s="1"/>
  <c r="G9" i="4"/>
  <c r="G7" i="4"/>
  <c r="G4" i="4"/>
  <c r="G5" i="4"/>
  <c r="G3" i="4"/>
  <c r="G49" i="3" l="1"/>
  <c r="G48" i="3"/>
  <c r="G31" i="3"/>
  <c r="G29" i="3"/>
  <c r="G28" i="3"/>
  <c r="G27" i="3"/>
  <c r="G26" i="3"/>
  <c r="G41" i="3"/>
  <c r="G37" i="3"/>
  <c r="G25" i="3"/>
  <c r="G24" i="3"/>
  <c r="G23" i="3"/>
  <c r="G44" i="3"/>
  <c r="G45" i="3"/>
  <c r="G46" i="3"/>
  <c r="G43" i="3"/>
  <c r="G38" i="3"/>
  <c r="G39" i="3"/>
  <c r="G22" i="3"/>
  <c r="G4" i="3"/>
  <c r="G5" i="3"/>
  <c r="G33" i="3"/>
  <c r="G34" i="3"/>
  <c r="G10" i="3"/>
  <c r="G11" i="3"/>
  <c r="G12" i="3"/>
  <c r="G13" i="3"/>
  <c r="G3" i="3"/>
  <c r="G7" i="3" s="1"/>
  <c r="G9" i="3"/>
  <c r="G14" i="3" l="1"/>
  <c r="G40" i="2"/>
  <c r="G37" i="2"/>
  <c r="G36" i="2"/>
  <c r="G19" i="2"/>
  <c r="G20" i="2"/>
  <c r="G17" i="2"/>
  <c r="G18" i="2"/>
  <c r="G16" i="2"/>
  <c r="G26" i="2"/>
  <c r="G34" i="2"/>
  <c r="G41" i="2" s="1"/>
  <c r="G33" i="2"/>
  <c r="G32" i="2"/>
  <c r="G30" i="2"/>
  <c r="G29" i="2"/>
  <c r="G28" i="2"/>
  <c r="G10" i="2"/>
  <c r="G11" i="2"/>
  <c r="G14" i="2"/>
  <c r="G7" i="2"/>
  <c r="G4" i="2"/>
  <c r="G24" i="2"/>
  <c r="G23" i="2"/>
  <c r="G22" i="2"/>
  <c r="G9" i="2" l="1"/>
  <c r="G3" i="2"/>
  <c r="G45" i="1" l="1"/>
  <c r="G7" i="1"/>
  <c r="G3" i="1"/>
  <c r="G32" i="1"/>
  <c r="G30" i="1"/>
  <c r="G37" i="1"/>
  <c r="G38" i="1"/>
  <c r="G35" i="1"/>
  <c r="G36" i="1"/>
  <c r="G34" i="1"/>
  <c r="G20" i="1"/>
  <c r="G17" i="1"/>
  <c r="G16" i="1"/>
  <c r="G14" i="1"/>
  <c r="G11" i="1"/>
  <c r="G10" i="1"/>
  <c r="G9" i="1"/>
  <c r="G28" i="1"/>
  <c r="G27" i="1"/>
  <c r="G26" i="1"/>
  <c r="G25" i="1"/>
  <c r="G24" i="1"/>
  <c r="G23" i="1"/>
  <c r="G22" i="1"/>
</calcChain>
</file>

<file path=xl/sharedStrings.xml><?xml version="1.0" encoding="utf-8"?>
<sst xmlns="http://schemas.openxmlformats.org/spreadsheetml/2006/main" count="553" uniqueCount="192">
  <si>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</si>
  <si>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</si>
  <si>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</si>
  <si>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</si>
  <si>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</si>
  <si>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</si>
  <si>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40斤</t>
    <phoneticPr fontId="2" type="noConversion"/>
  </si>
  <si>
    <t>25斤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</si>
  <si>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</si>
  <si>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</si>
  <si>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4.3豆腐</t>
    <phoneticPr fontId="2" type="noConversion"/>
  </si>
  <si>
    <t>6板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</si>
  <si>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</si>
  <si>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10斤</t>
    <phoneticPr fontId="2" type="noConversion"/>
  </si>
  <si>
    <t>去皮洋蔥</t>
    <phoneticPr fontId="2" type="noConversion"/>
  </si>
  <si>
    <t>5斤</t>
    <phoneticPr fontId="2" type="noConversion"/>
  </si>
  <si>
    <t>川耳</t>
    <phoneticPr fontId="2" type="noConversion"/>
  </si>
  <si>
    <t>4斤</t>
    <phoneticPr fontId="2" type="noConversion"/>
  </si>
  <si>
    <t>雜貨</t>
    <phoneticPr fontId="2" type="noConversion"/>
  </si>
  <si>
    <t>湯品</t>
    <phoneticPr fontId="2" type="noConversion"/>
  </si>
  <si>
    <t>蛋</t>
    <phoneticPr fontId="2" type="noConversion"/>
  </si>
  <si>
    <t>庫存</t>
    <phoneticPr fontId="2" type="noConversion"/>
  </si>
  <si>
    <t>青菜/水果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</si>
  <si>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</si>
  <si>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</si>
  <si>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 年      8月   12日      午餐明細表</t>
    <phoneticPr fontId="2" type="noConversion"/>
  </si>
  <si>
    <t>電訊科技中心(安康營區)     113 年      8月   13日      午餐明細表</t>
    <phoneticPr fontId="2" type="noConversion"/>
  </si>
  <si>
    <t>電訊科技中心(安康營區)     113 年      8月   14日      午餐明細表</t>
    <phoneticPr fontId="2" type="noConversion"/>
  </si>
  <si>
    <t>電訊科技中心(安康營區)     113 年      8月   15日      午餐明細表</t>
    <phoneticPr fontId="2" type="noConversion"/>
  </si>
  <si>
    <t>電訊科技中心(安康營區)     113 年      8月   16日      午餐明細表</t>
    <phoneticPr fontId="2" type="noConversion"/>
  </si>
  <si>
    <t>起司豬排</t>
    <phoneticPr fontId="2" type="noConversion"/>
  </si>
  <si>
    <t>薑絲南瓜</t>
    <phoneticPr fontId="2" type="noConversion"/>
  </si>
  <si>
    <t>豆干炒肉絲</t>
    <phoneticPr fontId="2" type="noConversion"/>
  </si>
  <si>
    <t>海帶芽蛋花湯</t>
    <phoneticPr fontId="2" type="noConversion"/>
  </si>
  <si>
    <t>乾海帶芽</t>
    <phoneticPr fontId="2" type="noConversion"/>
  </si>
  <si>
    <t>半斤</t>
    <phoneticPr fontId="2" type="noConversion"/>
  </si>
  <si>
    <t>豬肉絲</t>
    <phoneticPr fontId="2" type="noConversion"/>
  </si>
  <si>
    <t>豆干切片</t>
    <phoneticPr fontId="2" type="noConversion"/>
  </si>
  <si>
    <t>15斤</t>
    <phoneticPr fontId="2" type="noConversion"/>
  </si>
  <si>
    <t>南瓜塊</t>
    <phoneticPr fontId="2" type="noConversion"/>
  </si>
  <si>
    <t>薑絲</t>
    <phoneticPr fontId="2" type="noConversion"/>
  </si>
  <si>
    <t>薑</t>
    <phoneticPr fontId="2" type="noConversion"/>
  </si>
  <si>
    <t>1斤</t>
    <phoneticPr fontId="2" type="noConversion"/>
  </si>
  <si>
    <t>4件</t>
    <phoneticPr fontId="2" type="noConversion"/>
  </si>
  <si>
    <t>腐乳肉片</t>
    <phoneticPr fontId="2" type="noConversion"/>
  </si>
  <si>
    <t>宮保素腰花</t>
    <phoneticPr fontId="2" type="noConversion"/>
  </si>
  <si>
    <t>冬瓜海結湯</t>
    <phoneticPr fontId="2" type="noConversion"/>
  </si>
  <si>
    <t>去皮冬瓜</t>
    <phoneticPr fontId="2" type="noConversion"/>
  </si>
  <si>
    <t>海帶結</t>
    <phoneticPr fontId="2" type="noConversion"/>
  </si>
  <si>
    <t>紅蘿蔔</t>
    <phoneticPr fontId="2" type="noConversion"/>
  </si>
  <si>
    <t>素腰花</t>
    <phoneticPr fontId="2" type="noConversion"/>
  </si>
  <si>
    <t>冷凍四季豆</t>
    <phoneticPr fontId="2" type="noConversion"/>
  </si>
  <si>
    <t>20斤</t>
    <phoneticPr fontId="2" type="noConversion"/>
  </si>
  <si>
    <t>1件</t>
    <phoneticPr fontId="2" type="noConversion"/>
  </si>
  <si>
    <t>豆腐乳(大)</t>
    <phoneticPr fontId="2" type="noConversion"/>
  </si>
  <si>
    <t>豬肉片</t>
    <phoneticPr fontId="2" type="noConversion"/>
  </si>
  <si>
    <t>1罐</t>
    <phoneticPr fontId="2" type="noConversion"/>
  </si>
  <si>
    <t>45斤</t>
    <phoneticPr fontId="2" type="noConversion"/>
  </si>
  <si>
    <t>涼麵</t>
    <phoneticPr fontId="2" type="noConversion"/>
  </si>
  <si>
    <t>芝麻醬</t>
    <phoneticPr fontId="2" type="noConversion"/>
  </si>
  <si>
    <t>檸檬汁</t>
    <phoneticPr fontId="2" type="noConversion"/>
  </si>
  <si>
    <t>小黃瓜</t>
    <phoneticPr fontId="2" type="noConversion"/>
  </si>
  <si>
    <t>60斤</t>
    <phoneticPr fontId="2" type="noConversion"/>
  </si>
  <si>
    <t>3桶</t>
    <phoneticPr fontId="2" type="noConversion"/>
  </si>
  <si>
    <t>2瓶</t>
    <phoneticPr fontId="2" type="noConversion"/>
  </si>
  <si>
    <t>味增豆腐湯</t>
    <phoneticPr fontId="2" type="noConversion"/>
  </si>
  <si>
    <t>味增</t>
    <phoneticPr fontId="2" type="noConversion"/>
  </si>
  <si>
    <t>3板</t>
    <phoneticPr fontId="2" type="noConversion"/>
  </si>
  <si>
    <t>1箱</t>
    <phoneticPr fontId="2" type="noConversion"/>
  </si>
  <si>
    <t>蔥油雞</t>
    <phoneticPr fontId="2" type="noConversion"/>
  </si>
  <si>
    <t>棒腿</t>
    <phoneticPr fontId="2" type="noConversion"/>
  </si>
  <si>
    <t>蔥</t>
    <phoneticPr fontId="2" type="noConversion"/>
  </si>
  <si>
    <t>3斤</t>
    <phoneticPr fontId="2" type="noConversion"/>
  </si>
  <si>
    <t>260隻</t>
    <phoneticPr fontId="2" type="noConversion"/>
  </si>
  <si>
    <t>滷味拼盤</t>
    <phoneticPr fontId="2" type="noConversion"/>
  </si>
  <si>
    <t>2X2豆干</t>
    <phoneticPr fontId="2" type="noConversion"/>
  </si>
  <si>
    <t>鳥蛋</t>
    <phoneticPr fontId="2" type="noConversion"/>
  </si>
  <si>
    <t>米血丁</t>
    <phoneticPr fontId="2" type="noConversion"/>
  </si>
  <si>
    <t>甜不辣條</t>
    <phoneticPr fontId="2" type="noConversion"/>
  </si>
  <si>
    <t>700粒</t>
    <phoneticPr fontId="2" type="noConversion"/>
  </si>
  <si>
    <t>紅燒豬腳</t>
    <phoneticPr fontId="2" type="noConversion"/>
  </si>
  <si>
    <t>香菇筍干</t>
    <phoneticPr fontId="2" type="noConversion"/>
  </si>
  <si>
    <t>玉米蒸蛋</t>
    <phoneticPr fontId="2" type="noConversion"/>
  </si>
  <si>
    <t>白蘿蔔貢丸湯</t>
    <phoneticPr fontId="2" type="noConversion"/>
  </si>
  <si>
    <t>白蘿蔔</t>
    <phoneticPr fontId="2" type="noConversion"/>
  </si>
  <si>
    <t>小貢丸</t>
    <phoneticPr fontId="2" type="noConversion"/>
  </si>
  <si>
    <t>2包</t>
    <phoneticPr fontId="2" type="noConversion"/>
  </si>
  <si>
    <t>冷凍玉米粒</t>
    <phoneticPr fontId="2" type="noConversion"/>
  </si>
  <si>
    <t>豬腳丁</t>
    <phoneticPr fontId="2" type="noConversion"/>
  </si>
  <si>
    <t>6斤</t>
    <phoneticPr fontId="2" type="noConversion"/>
  </si>
  <si>
    <t>70斤</t>
    <phoneticPr fontId="2" type="noConversion"/>
  </si>
  <si>
    <t>濕筍干</t>
    <phoneticPr fontId="2" type="noConversion"/>
  </si>
  <si>
    <t>生香菇</t>
    <phoneticPr fontId="2" type="noConversion"/>
  </si>
  <si>
    <t>五花肉絲</t>
    <phoneticPr fontId="2" type="noConversion"/>
  </si>
  <si>
    <t>花雕雞</t>
    <phoneticPr fontId="2" type="noConversion"/>
  </si>
  <si>
    <t>紅燒豆腐</t>
    <phoneticPr fontId="2" type="noConversion"/>
  </si>
  <si>
    <t>絲瓜粉絲</t>
    <phoneticPr fontId="2" type="noConversion"/>
  </si>
  <si>
    <t>紅豆湯</t>
    <phoneticPr fontId="2" type="noConversion"/>
  </si>
  <si>
    <t>紅豆</t>
    <phoneticPr fontId="2" type="noConversion"/>
  </si>
  <si>
    <t>骨腿丁</t>
    <phoneticPr fontId="2" type="noConversion"/>
  </si>
  <si>
    <t>花雕酒</t>
    <phoneticPr fontId="2" type="noConversion"/>
  </si>
  <si>
    <t>去皮絲瓜</t>
    <phoneticPr fontId="2" type="noConversion"/>
  </si>
  <si>
    <t>冬粉</t>
    <phoneticPr fontId="2" type="noConversion"/>
  </si>
  <si>
    <t>50斤</t>
    <phoneticPr fontId="2" type="noConversion"/>
  </si>
  <si>
    <t>4瓶</t>
    <phoneticPr fontId="2" type="noConversion"/>
  </si>
  <si>
    <t>65斤</t>
    <phoneticPr fontId="2" type="noConversion"/>
  </si>
  <si>
    <t>訂貨數量</t>
    <phoneticPr fontId="2" type="noConversion"/>
  </si>
  <si>
    <t>辣椒</t>
    <phoneticPr fontId="2" type="noConversion"/>
  </si>
  <si>
    <t>斤</t>
    <phoneticPr fontId="2" type="noConversion"/>
  </si>
  <si>
    <t>老薑</t>
    <phoneticPr fontId="2" type="noConversion"/>
  </si>
  <si>
    <t>蒜仁</t>
    <phoneticPr fontId="2" type="noConversion"/>
  </si>
  <si>
    <t>青蔥</t>
    <phoneticPr fontId="2" type="noConversion"/>
  </si>
  <si>
    <t>杏鮑菇</t>
    <phoneticPr fontId="2" type="noConversion"/>
  </si>
  <si>
    <t>洗選蛋</t>
    <phoneticPr fontId="2" type="noConversion"/>
  </si>
  <si>
    <t>斤</t>
    <phoneticPr fontId="2" type="noConversion"/>
  </si>
  <si>
    <t>大白菜</t>
    <phoneticPr fontId="2" type="noConversion"/>
  </si>
  <si>
    <t>紅蘿蔔</t>
    <phoneticPr fontId="2" type="noConversion"/>
  </si>
  <si>
    <t>鮮木耳</t>
    <phoneticPr fontId="2" type="noConversion"/>
  </si>
  <si>
    <t>香蕉</t>
    <phoneticPr fontId="2" type="noConversion"/>
  </si>
  <si>
    <t>件</t>
    <phoneticPr fontId="2" type="noConversion"/>
  </si>
  <si>
    <t>訂貨數量</t>
    <phoneticPr fontId="2" type="noConversion"/>
  </si>
  <si>
    <t>香蕉</t>
    <phoneticPr fontId="2" type="noConversion"/>
  </si>
  <si>
    <t>斤</t>
    <phoneticPr fontId="2" type="noConversion"/>
  </si>
  <si>
    <t>桶</t>
    <phoneticPr fontId="2" type="noConversion"/>
  </si>
  <si>
    <t>非合約品項</t>
    <phoneticPr fontId="2" type="noConversion"/>
  </si>
  <si>
    <t>包</t>
    <phoneticPr fontId="2" type="noConversion"/>
  </si>
  <si>
    <t>五穀米</t>
    <phoneticPr fontId="2" type="noConversion"/>
  </si>
  <si>
    <t>三好米</t>
    <phoneticPr fontId="2" type="noConversion"/>
  </si>
  <si>
    <t>沙拉油</t>
    <phoneticPr fontId="2" type="noConversion"/>
  </si>
  <si>
    <t>桶</t>
    <phoneticPr fontId="2" type="noConversion"/>
  </si>
  <si>
    <t>木耳薑絲</t>
    <phoneticPr fontId="2" type="noConversion"/>
  </si>
  <si>
    <t>木耳</t>
    <phoneticPr fontId="2" type="noConversion"/>
  </si>
  <si>
    <t>老薑</t>
    <phoneticPr fontId="2" type="noConversion"/>
  </si>
  <si>
    <t>薑絲</t>
    <phoneticPr fontId="2" type="noConversion"/>
  </si>
  <si>
    <t>乾豆芽</t>
    <phoneticPr fontId="2" type="noConversion"/>
  </si>
  <si>
    <t>美白菇</t>
    <phoneticPr fontId="2" type="noConversion"/>
  </si>
  <si>
    <t>黑干絲</t>
    <phoneticPr fontId="2" type="noConversion"/>
  </si>
  <si>
    <t>油麵</t>
    <phoneticPr fontId="2" type="noConversion"/>
  </si>
  <si>
    <t>訂貨數量</t>
    <phoneticPr fontId="2" type="noConversion"/>
  </si>
  <si>
    <t>斤</t>
    <phoneticPr fontId="2" type="noConversion"/>
  </si>
  <si>
    <t>盤</t>
    <phoneticPr fontId="2" type="noConversion"/>
  </si>
  <si>
    <t>去皮洋蔥</t>
    <phoneticPr fontId="2" type="noConversion"/>
  </si>
  <si>
    <t>件</t>
    <phoneticPr fontId="2" type="noConversion"/>
  </si>
  <si>
    <t>水餃</t>
    <phoneticPr fontId="2" type="noConversion"/>
  </si>
  <si>
    <t>包</t>
    <phoneticPr fontId="2" type="noConversion"/>
  </si>
  <si>
    <t>紅蘿蔔</t>
    <phoneticPr fontId="2" type="noConversion"/>
  </si>
  <si>
    <t>鮮木耳</t>
    <phoneticPr fontId="2" type="noConversion"/>
  </si>
  <si>
    <t>無骨香雞排</t>
    <phoneticPr fontId="2" type="noConversion"/>
  </si>
  <si>
    <t>花枝排</t>
    <phoneticPr fontId="2" type="noConversion"/>
  </si>
  <si>
    <t>台糖二砂</t>
    <phoneticPr fontId="2" type="noConversion"/>
  </si>
  <si>
    <t>袋</t>
    <phoneticPr fontId="2" type="noConversion"/>
  </si>
  <si>
    <t>桶</t>
    <phoneticPr fontId="2" type="noConversion"/>
  </si>
  <si>
    <t>罐</t>
    <phoneticPr fontId="2" type="noConversion"/>
  </si>
  <si>
    <t>冷凍青花菜</t>
    <phoneticPr fontId="2" type="noConversion"/>
  </si>
  <si>
    <t>香蕉</t>
    <phoneticPr fontId="2" type="noConversion"/>
  </si>
  <si>
    <t>260條</t>
    <phoneticPr fontId="2" type="noConversion"/>
  </si>
  <si>
    <t>乾辣椒</t>
    <phoneticPr fontId="2" type="noConversion"/>
  </si>
  <si>
    <t>高鮮味素</t>
    <phoneticPr fontId="2" type="noConversion"/>
  </si>
  <si>
    <t>禾味蛋餅皮</t>
    <phoneticPr fontId="2" type="noConversion"/>
  </si>
  <si>
    <t>中筋麵粉</t>
    <phoneticPr fontId="2" type="noConversion"/>
  </si>
  <si>
    <t>盒</t>
    <phoneticPr fontId="2" type="noConversion"/>
  </si>
  <si>
    <t>訂貨數量</t>
    <phoneticPr fontId="2" type="noConversion"/>
  </si>
  <si>
    <t>斤</t>
    <phoneticPr fontId="2" type="noConversion"/>
  </si>
  <si>
    <t>包</t>
    <phoneticPr fontId="2" type="noConversion"/>
  </si>
  <si>
    <t>大白菜</t>
    <phoneticPr fontId="2" type="noConversion"/>
  </si>
  <si>
    <t>紅蘿蔔</t>
    <phoneticPr fontId="2" type="noConversion"/>
  </si>
  <si>
    <t>鮮木耳</t>
    <phoneticPr fontId="2" type="noConversion"/>
  </si>
  <si>
    <t>香蕉</t>
    <phoneticPr fontId="2" type="noConversion"/>
  </si>
  <si>
    <t>220條</t>
    <phoneticPr fontId="2" type="noConversion"/>
  </si>
  <si>
    <t>罐</t>
    <phoneticPr fontId="2" type="noConversion"/>
  </si>
  <si>
    <t>訂貨數量</t>
    <phoneticPr fontId="2" type="noConversion"/>
  </si>
  <si>
    <t>冷凍青花菜</t>
    <phoneticPr fontId="2" type="noConversion"/>
  </si>
  <si>
    <t>包</t>
    <phoneticPr fontId="2" type="noConversion"/>
  </si>
  <si>
    <t>芭芒柳果汁</t>
    <phoneticPr fontId="2" type="noConversion"/>
  </si>
  <si>
    <t>瓶</t>
    <phoneticPr fontId="2" type="noConversion"/>
  </si>
  <si>
    <t>安佳奶油</t>
    <phoneticPr fontId="2" type="noConversion"/>
  </si>
  <si>
    <t>條</t>
    <phoneticPr fontId="2" type="noConversion"/>
  </si>
  <si>
    <t>斤</t>
    <phoneticPr fontId="2" type="noConversion"/>
  </si>
  <si>
    <t>盤</t>
    <phoneticPr fontId="2" type="noConversion"/>
  </si>
  <si>
    <t>香蕉</t>
    <phoneticPr fontId="2" type="noConversion"/>
  </si>
  <si>
    <t>海帶捲</t>
    <phoneticPr fontId="2" type="noConversion"/>
  </si>
  <si>
    <t>30個</t>
    <phoneticPr fontId="2" type="noConversion"/>
  </si>
  <si>
    <t>滷蛋</t>
    <phoneticPr fontId="2" type="noConversion"/>
  </si>
  <si>
    <t>個</t>
    <phoneticPr fontId="2" type="noConversion"/>
  </si>
  <si>
    <t>甘醇醬油</t>
    <phoneticPr fontId="2" type="noConversion"/>
  </si>
  <si>
    <t>金蘭醬油</t>
    <phoneticPr fontId="2" type="noConversion"/>
  </si>
  <si>
    <t>香菇素蠔油</t>
    <phoneticPr fontId="2" type="noConversion"/>
  </si>
  <si>
    <t>洗選蛋</t>
    <phoneticPr fontId="2" type="noConversion"/>
  </si>
  <si>
    <t>馬鈴薯</t>
    <phoneticPr fontId="2" type="noConversion"/>
  </si>
  <si>
    <t>小黃瓜</t>
    <phoneticPr fontId="2" type="noConversion"/>
  </si>
  <si>
    <t>紅蘿蔔</t>
    <phoneticPr fontId="2" type="noConversion"/>
  </si>
  <si>
    <t>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</si>
</sst>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1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00B0F0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2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5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1" fontId="3" fillId="0" borderId="3" xfId="0" applyNumberFormat="1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5"/>
  <sheetViews>
    <sheetView tabSelected="1" workbookViewId="0">
      <selection activeCell="B22" sqref="B22:G2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43" t="s">
        <v>25</v>
      </c>
      <c r="B1" s="44"/>
      <c r="C1" s="44"/>
      <c r="D1" s="44"/>
      <c r="E1" s="44"/>
      <c r="F1" s="44"/>
      <c r="G1" s="44"/>
      <c r="H1" s="45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2" t="s">
        <v>106</v>
      </c>
      <c r="F2" s="12"/>
      <c r="G2" s="1" t="s">
        <v>4</v>
      </c>
      <c r="H2" s="1" t="s">
        <v>5</v>
      </c>
    </row>
    <row r="3" spans="1:11" x14ac:dyDescent="0.25">
      <c r="A3" s="39" t="s">
        <v>30</v>
      </c>
      <c r="B3" s="1" t="s">
        <v>30</v>
      </c>
      <c r="C3" s="1" t="s">
        <v>43</v>
      </c>
      <c r="D3" s="1">
        <v>1250</v>
      </c>
      <c r="E3" s="12">
        <v>4</v>
      </c>
      <c r="F3" s="12" t="s">
        <v>119</v>
      </c>
      <c r="G3" s="1">
        <f>E3*D3</f>
        <v>5000</v>
      </c>
      <c r="H3" s="1"/>
    </row>
    <row r="4" spans="1:11" x14ac:dyDescent="0.25">
      <c r="A4" s="39"/>
      <c r="B4" s="1"/>
      <c r="C4" s="1"/>
      <c r="D4" s="1"/>
      <c r="E4" s="12"/>
      <c r="F4" s="12"/>
      <c r="G4" s="1"/>
      <c r="H4" s="1"/>
    </row>
    <row r="5" spans="1:11" x14ac:dyDescent="0.25">
      <c r="A5" s="39"/>
      <c r="B5" s="1"/>
      <c r="C5" s="1"/>
      <c r="D5" s="1"/>
      <c r="E5" s="12"/>
      <c r="F5" s="12"/>
      <c r="G5" s="1"/>
      <c r="H5" s="1"/>
    </row>
    <row r="6" spans="1:11" x14ac:dyDescent="0.25">
      <c r="A6" s="39"/>
      <c r="B6" s="1"/>
      <c r="C6" s="1"/>
      <c r="D6" s="1"/>
      <c r="E6" s="13"/>
      <c r="F6" s="13"/>
      <c r="G6" s="3"/>
      <c r="H6" s="1"/>
    </row>
    <row r="7" spans="1:11" x14ac:dyDescent="0.25">
      <c r="A7" s="39"/>
      <c r="B7" s="40" t="s">
        <v>8</v>
      </c>
      <c r="C7" s="41"/>
      <c r="D7" s="42"/>
      <c r="E7" s="13"/>
      <c r="F7" s="13"/>
      <c r="G7" s="19">
        <f>SUM(G3:G6)</f>
        <v>5000</v>
      </c>
      <c r="H7" s="1"/>
    </row>
    <row r="8" spans="1:11" x14ac:dyDescent="0.25">
      <c r="A8" s="1" t="s">
        <v>9</v>
      </c>
      <c r="B8" s="1" t="s">
        <v>1</v>
      </c>
      <c r="C8" s="1" t="s">
        <v>2</v>
      </c>
      <c r="D8" s="1" t="s">
        <v>3</v>
      </c>
      <c r="E8" s="12" t="s">
        <v>106</v>
      </c>
      <c r="F8" s="12"/>
      <c r="G8" s="1" t="s">
        <v>4</v>
      </c>
      <c r="H8" s="1" t="s">
        <v>5</v>
      </c>
      <c r="K8" s="5"/>
    </row>
    <row r="9" spans="1:11" x14ac:dyDescent="0.25">
      <c r="A9" s="39" t="s">
        <v>31</v>
      </c>
      <c r="B9" s="1" t="s">
        <v>39</v>
      </c>
      <c r="C9" s="1" t="s">
        <v>6</v>
      </c>
      <c r="D9" s="1">
        <v>52.44</v>
      </c>
      <c r="E9" s="12">
        <v>40</v>
      </c>
      <c r="F9" s="12" t="s">
        <v>114</v>
      </c>
      <c r="G9" s="17">
        <f>E9*D9</f>
        <v>2097.6</v>
      </c>
      <c r="H9" s="1"/>
      <c r="K9" s="6"/>
    </row>
    <row r="10" spans="1:11" x14ac:dyDescent="0.25">
      <c r="A10" s="39"/>
      <c r="B10" s="1" t="s">
        <v>40</v>
      </c>
      <c r="C10" s="1" t="s">
        <v>42</v>
      </c>
      <c r="D10" s="1">
        <v>74.099999999999994</v>
      </c>
      <c r="E10" s="12">
        <v>1</v>
      </c>
      <c r="F10" s="12" t="s">
        <v>114</v>
      </c>
      <c r="G10" s="17">
        <f>E10*D10</f>
        <v>74.099999999999994</v>
      </c>
      <c r="H10" s="1"/>
      <c r="K10" s="6"/>
    </row>
    <row r="11" spans="1:11" x14ac:dyDescent="0.25">
      <c r="A11" s="39"/>
      <c r="B11" s="1" t="s">
        <v>41</v>
      </c>
      <c r="C11" s="1" t="s">
        <v>35</v>
      </c>
      <c r="D11" s="1">
        <v>58.5</v>
      </c>
      <c r="E11" s="12">
        <v>0.5</v>
      </c>
      <c r="F11" s="12" t="s">
        <v>114</v>
      </c>
      <c r="G11" s="17">
        <f>E11*D11</f>
        <v>29.25</v>
      </c>
      <c r="H11" s="1"/>
      <c r="K11" s="6"/>
    </row>
    <row r="12" spans="1:11" x14ac:dyDescent="0.25">
      <c r="A12" s="39"/>
      <c r="B12" s="1"/>
      <c r="C12" s="1"/>
      <c r="D12" s="1"/>
      <c r="E12" s="12"/>
      <c r="F12" s="12"/>
      <c r="G12" s="1"/>
      <c r="H12" s="1"/>
      <c r="K12" s="6"/>
    </row>
    <row r="13" spans="1:11" x14ac:dyDescent="0.25">
      <c r="A13" s="39"/>
      <c r="B13" s="1"/>
      <c r="C13" s="1"/>
      <c r="D13" s="1"/>
      <c r="E13" s="12"/>
      <c r="F13" s="12"/>
      <c r="G13" s="1"/>
      <c r="H13" s="1"/>
      <c r="K13" s="7"/>
    </row>
    <row r="14" spans="1:11" x14ac:dyDescent="0.25">
      <c r="A14" s="39"/>
      <c r="B14" s="40" t="s">
        <v>8</v>
      </c>
      <c r="C14" s="41"/>
      <c r="D14" s="42"/>
      <c r="E14" s="13"/>
      <c r="F14" s="13"/>
      <c r="G14" s="18">
        <f>SUM(G9:G13)</f>
        <v>2200.9499999999998</v>
      </c>
      <c r="H14" s="1"/>
    </row>
    <row r="15" spans="1:11" x14ac:dyDescent="0.25">
      <c r="A15" s="1" t="s">
        <v>12</v>
      </c>
      <c r="B15" s="1" t="s">
        <v>1</v>
      </c>
      <c r="C15" s="1" t="s">
        <v>2</v>
      </c>
      <c r="D15" s="1" t="s">
        <v>3</v>
      </c>
      <c r="E15" s="12" t="s">
        <v>106</v>
      </c>
      <c r="F15" s="12"/>
      <c r="G15" s="1" t="s">
        <v>4</v>
      </c>
      <c r="H15" s="1" t="s">
        <v>5</v>
      </c>
    </row>
    <row r="16" spans="1:11" x14ac:dyDescent="0.25">
      <c r="A16" s="39" t="s">
        <v>32</v>
      </c>
      <c r="B16" s="1" t="s">
        <v>36</v>
      </c>
      <c r="C16" s="1" t="s">
        <v>38</v>
      </c>
      <c r="D16" s="1">
        <v>99</v>
      </c>
      <c r="E16" s="12">
        <v>15</v>
      </c>
      <c r="F16" s="12" t="s">
        <v>114</v>
      </c>
      <c r="G16" s="1">
        <f>E16*D16</f>
        <v>1485</v>
      </c>
      <c r="H16" s="1"/>
    </row>
    <row r="17" spans="1:8" x14ac:dyDescent="0.25">
      <c r="A17" s="39"/>
      <c r="B17" s="1" t="s">
        <v>37</v>
      </c>
      <c r="C17" s="1" t="s">
        <v>7</v>
      </c>
      <c r="D17" s="1">
        <v>43.8</v>
      </c>
      <c r="E17" s="12">
        <v>25</v>
      </c>
      <c r="F17" s="12" t="s">
        <v>114</v>
      </c>
      <c r="G17" s="12">
        <f>E17*D17</f>
        <v>1095</v>
      </c>
      <c r="H17" s="1"/>
    </row>
    <row r="18" spans="1:8" x14ac:dyDescent="0.25">
      <c r="A18" s="39"/>
      <c r="B18" s="1"/>
      <c r="C18" s="1"/>
      <c r="D18" s="1"/>
      <c r="E18" s="12"/>
      <c r="F18" s="12"/>
      <c r="G18" s="1"/>
      <c r="H18" s="1"/>
    </row>
    <row r="19" spans="1:8" x14ac:dyDescent="0.25">
      <c r="A19" s="39"/>
      <c r="B19" s="1"/>
      <c r="C19" s="1"/>
      <c r="D19" s="1"/>
      <c r="E19" s="13"/>
      <c r="F19" s="13"/>
      <c r="G19" s="3"/>
      <c r="H19" s="1"/>
    </row>
    <row r="20" spans="1:8" x14ac:dyDescent="0.25">
      <c r="A20" s="39"/>
      <c r="B20" s="40" t="s">
        <v>8</v>
      </c>
      <c r="C20" s="41"/>
      <c r="D20" s="42"/>
      <c r="E20" s="13"/>
      <c r="F20" s="13"/>
      <c r="G20" s="19">
        <f>SUM(G16:G19)</f>
        <v>2580</v>
      </c>
      <c r="H20" s="1"/>
    </row>
    <row r="21" spans="1:8" x14ac:dyDescent="0.25">
      <c r="A21" s="8" t="s">
        <v>18</v>
      </c>
      <c r="B21" s="1" t="s">
        <v>1</v>
      </c>
      <c r="C21" s="1" t="s">
        <v>2</v>
      </c>
      <c r="D21" s="1" t="s">
        <v>3</v>
      </c>
      <c r="E21" s="12" t="s">
        <v>106</v>
      </c>
      <c r="F21" s="12"/>
      <c r="G21" s="1" t="s">
        <v>4</v>
      </c>
      <c r="H21" s="1" t="s">
        <v>5</v>
      </c>
    </row>
    <row r="22" spans="1:8" x14ac:dyDescent="0.25">
      <c r="A22" s="39"/>
      <c r="B22" s="12" t="s">
        <v>107</v>
      </c>
      <c r="C22" s="12"/>
      <c r="D22" s="12">
        <v>150</v>
      </c>
      <c r="E22" s="16">
        <v>2</v>
      </c>
      <c r="F22" s="12" t="s">
        <v>108</v>
      </c>
      <c r="G22" s="17">
        <f>E22*D22</f>
        <v>300</v>
      </c>
      <c r="H22" s="1"/>
    </row>
    <row r="23" spans="1:8" x14ac:dyDescent="0.25">
      <c r="A23" s="39"/>
      <c r="B23" s="12" t="s">
        <v>109</v>
      </c>
      <c r="C23" s="12"/>
      <c r="D23" s="12">
        <v>58.5</v>
      </c>
      <c r="E23" s="16">
        <v>0.5</v>
      </c>
      <c r="F23" s="12" t="s">
        <v>108</v>
      </c>
      <c r="G23" s="17">
        <f t="shared" ref="G23:G27" si="0">E23*D23</f>
        <v>29.25</v>
      </c>
      <c r="H23" s="1"/>
    </row>
    <row r="24" spans="1:8" x14ac:dyDescent="0.25">
      <c r="A24" s="39"/>
      <c r="B24" s="12" t="s">
        <v>110</v>
      </c>
      <c r="C24" s="12"/>
      <c r="D24" s="12">
        <v>142.80000000000001</v>
      </c>
      <c r="E24" s="16">
        <v>8</v>
      </c>
      <c r="F24" s="12" t="s">
        <v>108</v>
      </c>
      <c r="G24" s="17">
        <f t="shared" si="0"/>
        <v>1142.4000000000001</v>
      </c>
      <c r="H24" s="1"/>
    </row>
    <row r="25" spans="1:8" x14ac:dyDescent="0.25">
      <c r="A25" s="39"/>
      <c r="B25" s="12" t="s">
        <v>111</v>
      </c>
      <c r="C25" s="12"/>
      <c r="D25" s="12">
        <v>157.5</v>
      </c>
      <c r="E25" s="16">
        <v>4</v>
      </c>
      <c r="F25" s="12" t="s">
        <v>108</v>
      </c>
      <c r="G25" s="17">
        <f t="shared" si="0"/>
        <v>630</v>
      </c>
      <c r="H25" s="1"/>
    </row>
    <row r="26" spans="1:8" x14ac:dyDescent="0.25">
      <c r="A26" s="39"/>
      <c r="B26" s="12" t="s">
        <v>112</v>
      </c>
      <c r="C26" s="12"/>
      <c r="D26" s="12">
        <v>105</v>
      </c>
      <c r="E26" s="16">
        <v>4</v>
      </c>
      <c r="F26" s="12" t="s">
        <v>108</v>
      </c>
      <c r="G26" s="17">
        <f t="shared" si="0"/>
        <v>420</v>
      </c>
      <c r="H26" s="12"/>
    </row>
    <row r="27" spans="1:8" x14ac:dyDescent="0.25">
      <c r="A27" s="39"/>
      <c r="B27" s="12" t="s">
        <v>113</v>
      </c>
      <c r="C27" s="12"/>
      <c r="D27" s="12">
        <v>49.2</v>
      </c>
      <c r="E27" s="16">
        <v>20</v>
      </c>
      <c r="F27" s="12" t="s">
        <v>108</v>
      </c>
      <c r="G27" s="17">
        <f t="shared" si="0"/>
        <v>984</v>
      </c>
      <c r="H27" s="12"/>
    </row>
    <row r="28" spans="1:8" x14ac:dyDescent="0.25">
      <c r="A28" s="39"/>
      <c r="B28" s="40" t="s">
        <v>8</v>
      </c>
      <c r="C28" s="41"/>
      <c r="D28" s="42"/>
      <c r="E28" s="13"/>
      <c r="F28" s="13"/>
      <c r="G28" s="18">
        <f>SUM(G22:G27)</f>
        <v>3505.65</v>
      </c>
      <c r="H28" s="1"/>
    </row>
    <row r="29" spans="1:8" x14ac:dyDescent="0.25">
      <c r="A29" s="1" t="s">
        <v>19</v>
      </c>
      <c r="B29" s="1" t="s">
        <v>1</v>
      </c>
      <c r="C29" s="1" t="s">
        <v>2</v>
      </c>
      <c r="D29" s="1" t="s">
        <v>3</v>
      </c>
      <c r="E29" s="12" t="s">
        <v>106</v>
      </c>
      <c r="F29" s="12"/>
      <c r="G29" s="1" t="s">
        <v>4</v>
      </c>
      <c r="H29" s="1" t="s">
        <v>5</v>
      </c>
    </row>
    <row r="30" spans="1:8" x14ac:dyDescent="0.25">
      <c r="A30" s="39" t="s">
        <v>33</v>
      </c>
      <c r="B30" s="1" t="s">
        <v>34</v>
      </c>
      <c r="C30" s="1" t="s">
        <v>35</v>
      </c>
      <c r="D30" s="1">
        <v>265</v>
      </c>
      <c r="E30" s="12">
        <v>0.5</v>
      </c>
      <c r="F30" s="12" t="s">
        <v>114</v>
      </c>
      <c r="G30" s="17">
        <f>E30*D30</f>
        <v>132.5</v>
      </c>
      <c r="H30" s="1"/>
    </row>
    <row r="31" spans="1:8" x14ac:dyDescent="0.25">
      <c r="A31" s="39"/>
      <c r="B31" s="1" t="s">
        <v>20</v>
      </c>
      <c r="C31" s="1"/>
      <c r="D31" s="1"/>
      <c r="E31" s="12"/>
      <c r="F31" s="12"/>
      <c r="G31" s="1"/>
      <c r="H31" s="1" t="s">
        <v>21</v>
      </c>
    </row>
    <row r="32" spans="1:8" x14ac:dyDescent="0.25">
      <c r="A32" s="39"/>
      <c r="B32" s="40" t="s">
        <v>8</v>
      </c>
      <c r="C32" s="41"/>
      <c r="D32" s="42"/>
      <c r="E32" s="13"/>
      <c r="F32" s="13"/>
      <c r="G32" s="18">
        <f>SUM(G30:G31)</f>
        <v>132.5</v>
      </c>
      <c r="H32" s="1"/>
    </row>
    <row r="33" spans="1:8" x14ac:dyDescent="0.25">
      <c r="A33" s="1" t="s">
        <v>22</v>
      </c>
      <c r="B33" s="1" t="s">
        <v>1</v>
      </c>
      <c r="C33" s="1" t="s">
        <v>2</v>
      </c>
      <c r="D33" s="1" t="s">
        <v>3</v>
      </c>
      <c r="E33" s="13" t="s">
        <v>106</v>
      </c>
      <c r="F33" s="13"/>
      <c r="G33" s="3" t="s">
        <v>4</v>
      </c>
      <c r="H33" s="1" t="s">
        <v>5</v>
      </c>
    </row>
    <row r="34" spans="1:8" x14ac:dyDescent="0.25">
      <c r="A34" s="49"/>
      <c r="B34" s="1" t="s">
        <v>115</v>
      </c>
      <c r="C34" s="1"/>
      <c r="D34" s="1">
        <v>30.6</v>
      </c>
      <c r="E34" s="12">
        <v>65</v>
      </c>
      <c r="F34" s="12" t="s">
        <v>114</v>
      </c>
      <c r="G34" s="1">
        <f>E34*D34</f>
        <v>1989</v>
      </c>
      <c r="H34" s="1"/>
    </row>
    <row r="35" spans="1:8" x14ac:dyDescent="0.25">
      <c r="A35" s="50"/>
      <c r="B35" s="12" t="s">
        <v>116</v>
      </c>
      <c r="C35" s="12"/>
      <c r="D35" s="12">
        <v>13.5</v>
      </c>
      <c r="E35" s="12">
        <v>2</v>
      </c>
      <c r="F35" s="12" t="s">
        <v>114</v>
      </c>
      <c r="G35" s="12">
        <f t="shared" ref="G35:G37" si="1">E35*D35</f>
        <v>27</v>
      </c>
      <c r="H35" s="1"/>
    </row>
    <row r="36" spans="1:8" x14ac:dyDescent="0.25">
      <c r="A36" s="50"/>
      <c r="B36" s="12" t="s">
        <v>117</v>
      </c>
      <c r="C36" s="12"/>
      <c r="D36" s="12">
        <v>85</v>
      </c>
      <c r="E36" s="12">
        <v>4</v>
      </c>
      <c r="F36" s="12" t="s">
        <v>114</v>
      </c>
      <c r="G36" s="12">
        <f t="shared" si="1"/>
        <v>340</v>
      </c>
      <c r="H36" s="12"/>
    </row>
    <row r="37" spans="1:8" x14ac:dyDescent="0.25">
      <c r="A37" s="50"/>
      <c r="B37" s="12" t="s">
        <v>118</v>
      </c>
      <c r="C37" s="12"/>
      <c r="D37" s="12">
        <v>37.44</v>
      </c>
      <c r="E37" s="12">
        <v>75</v>
      </c>
      <c r="F37" s="12" t="s">
        <v>114</v>
      </c>
      <c r="G37" s="12">
        <f t="shared" si="1"/>
        <v>2808</v>
      </c>
      <c r="H37" s="12"/>
    </row>
    <row r="38" spans="1:8" x14ac:dyDescent="0.25">
      <c r="A38" s="51"/>
      <c r="B38" s="40" t="s">
        <v>8</v>
      </c>
      <c r="C38" s="41"/>
      <c r="D38" s="42"/>
      <c r="E38" s="13"/>
      <c r="F38" s="13"/>
      <c r="G38" s="19">
        <f>SUM(G34:G37)</f>
        <v>5164</v>
      </c>
      <c r="H38" s="9"/>
    </row>
    <row r="39" spans="1:8" x14ac:dyDescent="0.25">
      <c r="A39" s="10" t="s">
        <v>23</v>
      </c>
      <c r="B39" s="1" t="s">
        <v>1</v>
      </c>
      <c r="C39" s="1" t="s">
        <v>2</v>
      </c>
      <c r="D39" s="1" t="s">
        <v>3</v>
      </c>
      <c r="E39" s="12" t="s">
        <v>106</v>
      </c>
      <c r="F39" s="12"/>
      <c r="G39" s="1" t="s">
        <v>4</v>
      </c>
      <c r="H39" s="1"/>
    </row>
    <row r="40" spans="1:8" x14ac:dyDescent="0.25">
      <c r="A40" s="39"/>
      <c r="B40" s="1"/>
      <c r="C40" s="1"/>
      <c r="D40" s="1"/>
      <c r="E40" s="12"/>
      <c r="F40" s="12"/>
      <c r="G40" s="1"/>
      <c r="H40" s="1"/>
    </row>
    <row r="41" spans="1:8" x14ac:dyDescent="0.25">
      <c r="A41" s="39"/>
      <c r="B41" s="1"/>
      <c r="C41" s="1"/>
      <c r="D41" s="1"/>
      <c r="E41" s="12"/>
      <c r="F41" s="12"/>
      <c r="G41" s="1"/>
      <c r="H41" s="1"/>
    </row>
    <row r="42" spans="1:8" x14ac:dyDescent="0.25">
      <c r="A42" s="39"/>
      <c r="B42" s="1"/>
      <c r="C42" s="1"/>
      <c r="D42" s="1"/>
      <c r="E42" s="12"/>
      <c r="F42" s="12"/>
      <c r="G42" s="1"/>
      <c r="H42" s="1"/>
    </row>
    <row r="43" spans="1:8" x14ac:dyDescent="0.25">
      <c r="A43" s="39"/>
      <c r="B43" s="1"/>
      <c r="C43" s="1"/>
      <c r="D43" s="1"/>
      <c r="E43" s="12"/>
      <c r="F43" s="12"/>
      <c r="G43" s="1"/>
      <c r="H43" s="1"/>
    </row>
    <row r="44" spans="1:8" x14ac:dyDescent="0.25">
      <c r="A44" s="39"/>
      <c r="B44" s="40" t="s">
        <v>8</v>
      </c>
      <c r="C44" s="41"/>
      <c r="D44" s="42"/>
      <c r="E44" s="13"/>
      <c r="F44" s="13"/>
      <c r="G44" s="3"/>
      <c r="H44" s="1"/>
    </row>
    <row r="45" spans="1:8" x14ac:dyDescent="0.25">
      <c r="A45" s="1"/>
      <c r="B45" s="46" t="s">
        <v>24</v>
      </c>
      <c r="C45" s="47"/>
      <c r="D45" s="48"/>
      <c r="E45" s="14"/>
      <c r="F45" s="14"/>
      <c r="G45" s="20">
        <f>G38+G32+G28+G20+G14+G7</f>
        <v>18583.099999999999</v>
      </c>
      <c r="H45" s="1"/>
    </row>
  </sheetData>
  <mergeCells count="16">
    <mergeCell ref="A40:A44"/>
    <mergeCell ref="B44:D44"/>
    <mergeCell ref="B45:D45"/>
    <mergeCell ref="A22:A28"/>
    <mergeCell ref="B28:D28"/>
    <mergeCell ref="A30:A32"/>
    <mergeCell ref="B32:D32"/>
    <mergeCell ref="A34:A38"/>
    <mergeCell ref="B38:D38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1"/>
  <sheetViews>
    <sheetView topLeftCell="A24" workbookViewId="0">
      <selection activeCell="G33" sqref="G3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43" t="s">
        <v>26</v>
      </c>
      <c r="B1" s="44"/>
      <c r="C1" s="44"/>
      <c r="D1" s="44"/>
      <c r="E1" s="44"/>
      <c r="F1" s="44"/>
      <c r="G1" s="44"/>
      <c r="H1" s="45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120</v>
      </c>
      <c r="F2" s="2"/>
      <c r="G2" s="1" t="s">
        <v>4</v>
      </c>
      <c r="H2" s="1" t="s">
        <v>5</v>
      </c>
    </row>
    <row r="3" spans="1:11" x14ac:dyDescent="0.25">
      <c r="A3" s="39" t="s">
        <v>44</v>
      </c>
      <c r="B3" s="1" t="s">
        <v>54</v>
      </c>
      <c r="C3" s="1" t="s">
        <v>56</v>
      </c>
      <c r="D3" s="1">
        <v>400</v>
      </c>
      <c r="E3" s="2">
        <v>1</v>
      </c>
      <c r="F3" s="2" t="s">
        <v>123</v>
      </c>
      <c r="G3" s="1">
        <f>E3*D3</f>
        <v>400</v>
      </c>
      <c r="H3" s="24" t="s">
        <v>124</v>
      </c>
    </row>
    <row r="4" spans="1:11" x14ac:dyDescent="0.25">
      <c r="A4" s="39"/>
      <c r="B4" s="1" t="s">
        <v>55</v>
      </c>
      <c r="C4" s="1" t="s">
        <v>57</v>
      </c>
      <c r="D4" s="1">
        <v>99</v>
      </c>
      <c r="E4" s="2">
        <v>45</v>
      </c>
      <c r="F4" s="2" t="s">
        <v>122</v>
      </c>
      <c r="G4" s="15">
        <f>E4*D4</f>
        <v>4455</v>
      </c>
      <c r="H4" s="1"/>
    </row>
    <row r="5" spans="1:11" x14ac:dyDescent="0.25">
      <c r="A5" s="39"/>
      <c r="B5" s="1"/>
      <c r="C5" s="1"/>
      <c r="D5" s="1"/>
      <c r="E5" s="2"/>
      <c r="F5" s="2"/>
      <c r="G5" s="1"/>
      <c r="H5" s="1"/>
    </row>
    <row r="6" spans="1:11" x14ac:dyDescent="0.25">
      <c r="A6" s="39"/>
      <c r="B6" s="1"/>
      <c r="C6" s="1"/>
      <c r="D6" s="1"/>
      <c r="E6" s="4"/>
      <c r="F6" s="4"/>
      <c r="G6" s="3"/>
      <c r="H6" s="1"/>
    </row>
    <row r="7" spans="1:11" x14ac:dyDescent="0.25">
      <c r="A7" s="39"/>
      <c r="B7" s="40" t="s">
        <v>8</v>
      </c>
      <c r="C7" s="41"/>
      <c r="D7" s="42"/>
      <c r="E7" s="4"/>
      <c r="F7" s="4"/>
      <c r="G7" s="19">
        <f>SUM(G3:G6)</f>
        <v>4855</v>
      </c>
      <c r="H7" s="1"/>
    </row>
    <row r="8" spans="1:11" x14ac:dyDescent="0.25">
      <c r="A8" s="1" t="s">
        <v>9</v>
      </c>
      <c r="B8" s="1" t="s">
        <v>1</v>
      </c>
      <c r="C8" s="1" t="s">
        <v>2</v>
      </c>
      <c r="D8" s="1" t="s">
        <v>3</v>
      </c>
      <c r="E8" s="2" t="s">
        <v>120</v>
      </c>
      <c r="F8" s="2"/>
      <c r="G8" s="1" t="s">
        <v>4</v>
      </c>
      <c r="H8" s="1" t="s">
        <v>5</v>
      </c>
      <c r="K8" s="5"/>
    </row>
    <row r="9" spans="1:11" x14ac:dyDescent="0.25">
      <c r="A9" s="39" t="s">
        <v>45</v>
      </c>
      <c r="B9" s="1" t="s">
        <v>50</v>
      </c>
      <c r="C9" s="1" t="s">
        <v>52</v>
      </c>
      <c r="D9" s="1">
        <v>75</v>
      </c>
      <c r="E9" s="2">
        <v>20</v>
      </c>
      <c r="F9" s="2" t="s">
        <v>122</v>
      </c>
      <c r="G9" s="1">
        <f>E9*D9</f>
        <v>1500</v>
      </c>
      <c r="H9" s="24" t="s">
        <v>124</v>
      </c>
      <c r="K9" s="6"/>
    </row>
    <row r="10" spans="1:11" x14ac:dyDescent="0.25">
      <c r="A10" s="39"/>
      <c r="B10" s="1" t="s">
        <v>51</v>
      </c>
      <c r="C10" s="1" t="s">
        <v>53</v>
      </c>
      <c r="D10" s="1">
        <v>82</v>
      </c>
      <c r="E10" s="2">
        <v>12</v>
      </c>
      <c r="F10" s="2" t="s">
        <v>125</v>
      </c>
      <c r="G10" s="15">
        <f t="shared" ref="G10:G11" si="0">E10*D10</f>
        <v>984</v>
      </c>
      <c r="H10" s="24" t="s">
        <v>124</v>
      </c>
      <c r="K10" s="6"/>
    </row>
    <row r="11" spans="1:11" x14ac:dyDescent="0.25">
      <c r="A11" s="39"/>
      <c r="B11" s="1" t="s">
        <v>14</v>
      </c>
      <c r="C11" s="1" t="s">
        <v>13</v>
      </c>
      <c r="D11" s="1">
        <v>25.5</v>
      </c>
      <c r="E11" s="2">
        <v>15</v>
      </c>
      <c r="F11" s="15" t="s">
        <v>122</v>
      </c>
      <c r="G11" s="17">
        <f t="shared" si="0"/>
        <v>382.5</v>
      </c>
      <c r="H11" s="1"/>
      <c r="K11" s="6"/>
    </row>
    <row r="12" spans="1:11" x14ac:dyDescent="0.25">
      <c r="A12" s="39"/>
      <c r="B12" s="1"/>
      <c r="C12" s="1"/>
      <c r="D12" s="1"/>
      <c r="E12" s="2"/>
      <c r="F12" s="2"/>
      <c r="G12" s="1"/>
      <c r="H12" s="1"/>
      <c r="K12" s="6"/>
    </row>
    <row r="13" spans="1:11" x14ac:dyDescent="0.25">
      <c r="A13" s="39"/>
      <c r="B13" s="1"/>
      <c r="C13" s="1"/>
      <c r="D13" s="1"/>
      <c r="E13" s="2"/>
      <c r="F13" s="2"/>
      <c r="G13" s="1"/>
      <c r="H13" s="1"/>
      <c r="K13" s="7"/>
    </row>
    <row r="14" spans="1:11" x14ac:dyDescent="0.25">
      <c r="A14" s="39"/>
      <c r="B14" s="40" t="s">
        <v>8</v>
      </c>
      <c r="C14" s="41"/>
      <c r="D14" s="42"/>
      <c r="E14" s="4"/>
      <c r="F14" s="4"/>
      <c r="G14" s="18">
        <f>SUM(G9:G13)</f>
        <v>2866.5</v>
      </c>
      <c r="H14" s="1"/>
    </row>
    <row r="15" spans="1:11" x14ac:dyDescent="0.25">
      <c r="A15" s="1" t="s">
        <v>12</v>
      </c>
      <c r="B15" s="1" t="s">
        <v>1</v>
      </c>
      <c r="C15" s="1" t="s">
        <v>2</v>
      </c>
      <c r="D15" s="1" t="s">
        <v>3</v>
      </c>
      <c r="E15" s="2" t="s">
        <v>120</v>
      </c>
      <c r="F15" s="2"/>
      <c r="G15" s="1" t="s">
        <v>4</v>
      </c>
      <c r="H15" s="1" t="s">
        <v>5</v>
      </c>
    </row>
    <row r="16" spans="1:11" x14ac:dyDescent="0.25">
      <c r="A16" s="39" t="s">
        <v>130</v>
      </c>
      <c r="B16" s="1" t="s">
        <v>131</v>
      </c>
      <c r="C16" s="1"/>
      <c r="D16" s="1">
        <v>54</v>
      </c>
      <c r="E16" s="2">
        <v>20</v>
      </c>
      <c r="F16" s="2" t="s">
        <v>122</v>
      </c>
      <c r="G16" s="17">
        <f>E16*D16</f>
        <v>1080</v>
      </c>
      <c r="H16" s="1"/>
    </row>
    <row r="17" spans="1:8" x14ac:dyDescent="0.25">
      <c r="A17" s="39"/>
      <c r="B17" s="1" t="s">
        <v>132</v>
      </c>
      <c r="C17" s="1"/>
      <c r="D17" s="1">
        <v>58.5</v>
      </c>
      <c r="E17" s="2">
        <v>0.5</v>
      </c>
      <c r="F17" s="15" t="s">
        <v>122</v>
      </c>
      <c r="G17" s="17">
        <f t="shared" ref="G17:G19" si="1">E17*D17</f>
        <v>29.25</v>
      </c>
      <c r="H17" s="1"/>
    </row>
    <row r="18" spans="1:8" x14ac:dyDescent="0.25">
      <c r="A18" s="39"/>
      <c r="B18" s="1" t="s">
        <v>133</v>
      </c>
      <c r="C18" s="1"/>
      <c r="D18" s="1">
        <v>74.099999999999994</v>
      </c>
      <c r="E18" s="2">
        <v>1</v>
      </c>
      <c r="F18" s="15" t="s">
        <v>122</v>
      </c>
      <c r="G18" s="17">
        <f t="shared" si="1"/>
        <v>74.099999999999994</v>
      </c>
      <c r="H18" s="1"/>
    </row>
    <row r="19" spans="1:8" x14ac:dyDescent="0.25">
      <c r="A19" s="39"/>
      <c r="B19" s="1" t="s">
        <v>135</v>
      </c>
      <c r="C19" s="1"/>
      <c r="D19" s="1">
        <v>120</v>
      </c>
      <c r="E19" s="4">
        <v>8</v>
      </c>
      <c r="F19" s="15" t="s">
        <v>122</v>
      </c>
      <c r="G19" s="17">
        <f t="shared" si="1"/>
        <v>960</v>
      </c>
      <c r="H19" s="1"/>
    </row>
    <row r="20" spans="1:8" x14ac:dyDescent="0.25">
      <c r="A20" s="39"/>
      <c r="B20" s="40" t="s">
        <v>8</v>
      </c>
      <c r="C20" s="41"/>
      <c r="D20" s="42"/>
      <c r="E20" s="4"/>
      <c r="F20" s="4"/>
      <c r="G20" s="18">
        <f>SUM(G16:G19)</f>
        <v>2143.35</v>
      </c>
      <c r="H20" s="1"/>
    </row>
    <row r="21" spans="1:8" x14ac:dyDescent="0.25">
      <c r="A21" s="8" t="s">
        <v>18</v>
      </c>
      <c r="B21" s="1" t="s">
        <v>1</v>
      </c>
      <c r="C21" s="1" t="s">
        <v>2</v>
      </c>
      <c r="D21" s="1" t="s">
        <v>3</v>
      </c>
      <c r="E21" s="2" t="s">
        <v>120</v>
      </c>
      <c r="F21" s="2"/>
      <c r="G21" s="1" t="s">
        <v>4</v>
      </c>
      <c r="H21" s="1" t="s">
        <v>5</v>
      </c>
    </row>
    <row r="22" spans="1:8" x14ac:dyDescent="0.25">
      <c r="A22" s="39"/>
      <c r="B22" s="15" t="s">
        <v>126</v>
      </c>
      <c r="C22" s="15"/>
      <c r="D22" s="15">
        <v>55</v>
      </c>
      <c r="E22" s="15">
        <v>20</v>
      </c>
      <c r="F22" s="15" t="s">
        <v>108</v>
      </c>
      <c r="G22" s="25">
        <f>E22*D22</f>
        <v>1100</v>
      </c>
      <c r="H22" s="1"/>
    </row>
    <row r="23" spans="1:8" x14ac:dyDescent="0.25">
      <c r="A23" s="39"/>
      <c r="B23" s="15" t="s">
        <v>127</v>
      </c>
      <c r="C23" s="15"/>
      <c r="D23" s="15">
        <v>29.38</v>
      </c>
      <c r="E23" s="15">
        <v>100</v>
      </c>
      <c r="F23" s="15" t="s">
        <v>108</v>
      </c>
      <c r="G23" s="25">
        <f t="shared" ref="G23:G24" si="2">E23*D23</f>
        <v>2938</v>
      </c>
      <c r="H23" s="1"/>
    </row>
    <row r="24" spans="1:8" x14ac:dyDescent="0.25">
      <c r="A24" s="39"/>
      <c r="B24" s="15" t="s">
        <v>128</v>
      </c>
      <c r="C24" s="15"/>
      <c r="D24" s="15">
        <v>1188</v>
      </c>
      <c r="E24" s="15">
        <v>2</v>
      </c>
      <c r="F24" s="15" t="s">
        <v>129</v>
      </c>
      <c r="G24" s="25">
        <f t="shared" si="2"/>
        <v>2376</v>
      </c>
      <c r="H24" s="1"/>
    </row>
    <row r="25" spans="1:8" x14ac:dyDescent="0.25">
      <c r="A25" s="39"/>
      <c r="B25" s="1"/>
      <c r="C25" s="1"/>
      <c r="D25" s="1"/>
      <c r="E25" s="2"/>
      <c r="F25" s="2"/>
      <c r="G25" s="1"/>
      <c r="H25" s="1"/>
    </row>
    <row r="26" spans="1:8" x14ac:dyDescent="0.25">
      <c r="A26" s="39"/>
      <c r="B26" s="40" t="s">
        <v>8</v>
      </c>
      <c r="C26" s="41"/>
      <c r="D26" s="42"/>
      <c r="E26" s="4"/>
      <c r="F26" s="4"/>
      <c r="G26" s="19">
        <f>SUM(G22:G25)</f>
        <v>6414</v>
      </c>
      <c r="H26" s="1"/>
    </row>
    <row r="27" spans="1:8" x14ac:dyDescent="0.25">
      <c r="A27" s="1" t="s">
        <v>19</v>
      </c>
      <c r="B27" s="1" t="s">
        <v>1</v>
      </c>
      <c r="C27" s="1" t="s">
        <v>2</v>
      </c>
      <c r="D27" s="1" t="s">
        <v>3</v>
      </c>
      <c r="E27" s="2" t="s">
        <v>120</v>
      </c>
      <c r="F27" s="2"/>
      <c r="G27" s="1" t="s">
        <v>4</v>
      </c>
      <c r="H27" s="1" t="s">
        <v>5</v>
      </c>
    </row>
    <row r="28" spans="1:8" x14ac:dyDescent="0.25">
      <c r="A28" s="39" t="s">
        <v>46</v>
      </c>
      <c r="B28" s="1" t="s">
        <v>47</v>
      </c>
      <c r="C28" s="1" t="s">
        <v>38</v>
      </c>
      <c r="D28" s="1">
        <v>20.399999999999999</v>
      </c>
      <c r="E28" s="2">
        <v>15</v>
      </c>
      <c r="F28" s="2" t="s">
        <v>122</v>
      </c>
      <c r="G28" s="1">
        <f>E28*D28</f>
        <v>306</v>
      </c>
      <c r="H28" s="1"/>
    </row>
    <row r="29" spans="1:8" x14ac:dyDescent="0.25">
      <c r="A29" s="39"/>
      <c r="B29" s="1" t="s">
        <v>48</v>
      </c>
      <c r="C29" s="1" t="s">
        <v>15</v>
      </c>
      <c r="D29" s="1">
        <v>63</v>
      </c>
      <c r="E29" s="2">
        <v>5</v>
      </c>
      <c r="F29" s="15" t="s">
        <v>122</v>
      </c>
      <c r="G29" s="15">
        <f>E29*D29</f>
        <v>315</v>
      </c>
      <c r="H29" s="1"/>
    </row>
    <row r="30" spans="1:8" x14ac:dyDescent="0.25">
      <c r="A30" s="39"/>
      <c r="B30" s="40" t="s">
        <v>8</v>
      </c>
      <c r="C30" s="41"/>
      <c r="D30" s="42"/>
      <c r="E30" s="4"/>
      <c r="F30" s="4"/>
      <c r="G30" s="19">
        <f>SUM(G28:G29)</f>
        <v>621</v>
      </c>
      <c r="H30" s="1"/>
    </row>
    <row r="31" spans="1:8" x14ac:dyDescent="0.25">
      <c r="A31" s="1" t="s">
        <v>22</v>
      </c>
      <c r="B31" s="1" t="s">
        <v>1</v>
      </c>
      <c r="C31" s="1" t="s">
        <v>2</v>
      </c>
      <c r="D31" s="1" t="s">
        <v>3</v>
      </c>
      <c r="E31" s="4" t="s">
        <v>120</v>
      </c>
      <c r="F31" s="4"/>
      <c r="G31" s="3" t="s">
        <v>4</v>
      </c>
      <c r="H31" s="1" t="s">
        <v>5</v>
      </c>
    </row>
    <row r="32" spans="1:8" x14ac:dyDescent="0.25">
      <c r="A32" s="49"/>
      <c r="B32" s="1" t="s">
        <v>121</v>
      </c>
      <c r="C32" s="1"/>
      <c r="D32" s="1">
        <v>35.520000000000003</v>
      </c>
      <c r="E32" s="2">
        <v>75</v>
      </c>
      <c r="F32" s="2" t="s">
        <v>122</v>
      </c>
      <c r="G32" s="1">
        <f>E32*D32</f>
        <v>2664.0000000000005</v>
      </c>
      <c r="H32" s="1"/>
    </row>
    <row r="33" spans="1:8" x14ac:dyDescent="0.25">
      <c r="A33" s="50"/>
      <c r="B33" s="1" t="s">
        <v>134</v>
      </c>
      <c r="C33" s="1"/>
      <c r="D33" s="1">
        <v>30</v>
      </c>
      <c r="E33" s="2">
        <v>45</v>
      </c>
      <c r="F33" s="15" t="s">
        <v>122</v>
      </c>
      <c r="G33" s="15">
        <f>E33*D33</f>
        <v>1350</v>
      </c>
      <c r="H33" s="1"/>
    </row>
    <row r="34" spans="1:8" x14ac:dyDescent="0.25">
      <c r="A34" s="51"/>
      <c r="B34" s="40" t="s">
        <v>8</v>
      </c>
      <c r="C34" s="41"/>
      <c r="D34" s="42"/>
      <c r="E34" s="4"/>
      <c r="F34" s="4"/>
      <c r="G34" s="19">
        <f>SUM(G32:G33)</f>
        <v>4014.0000000000005</v>
      </c>
      <c r="H34" s="9"/>
    </row>
    <row r="35" spans="1:8" x14ac:dyDescent="0.25">
      <c r="A35" s="10" t="s">
        <v>23</v>
      </c>
      <c r="B35" s="1" t="s">
        <v>1</v>
      </c>
      <c r="C35" s="1" t="s">
        <v>2</v>
      </c>
      <c r="D35" s="1" t="s">
        <v>3</v>
      </c>
      <c r="E35" s="2" t="s">
        <v>120</v>
      </c>
      <c r="F35" s="2"/>
      <c r="G35" s="1" t="s">
        <v>4</v>
      </c>
      <c r="H35" s="1"/>
    </row>
    <row r="36" spans="1:8" x14ac:dyDescent="0.25">
      <c r="A36" s="39"/>
      <c r="B36" s="1" t="s">
        <v>136</v>
      </c>
      <c r="C36" s="1"/>
      <c r="D36" s="1">
        <v>56.4</v>
      </c>
      <c r="E36" s="2">
        <v>8</v>
      </c>
      <c r="F36" s="15" t="s">
        <v>122</v>
      </c>
      <c r="G36" s="17">
        <f>E36*D36</f>
        <v>451.2</v>
      </c>
      <c r="H36" s="1"/>
    </row>
    <row r="37" spans="1:8" x14ac:dyDescent="0.25">
      <c r="A37" s="39"/>
      <c r="B37" s="1" t="s">
        <v>137</v>
      </c>
      <c r="C37" s="1"/>
      <c r="D37" s="1">
        <v>19.8</v>
      </c>
      <c r="E37" s="2">
        <v>8</v>
      </c>
      <c r="F37" s="15" t="s">
        <v>122</v>
      </c>
      <c r="G37" s="17">
        <f>E37*D37</f>
        <v>158.4</v>
      </c>
      <c r="H37" s="1"/>
    </row>
    <row r="38" spans="1:8" x14ac:dyDescent="0.25">
      <c r="A38" s="39"/>
      <c r="B38" s="1"/>
      <c r="C38" s="1"/>
      <c r="D38" s="1"/>
      <c r="E38" s="2"/>
      <c r="F38" s="2"/>
      <c r="G38" s="1"/>
      <c r="H38" s="1"/>
    </row>
    <row r="39" spans="1:8" x14ac:dyDescent="0.25">
      <c r="A39" s="39"/>
      <c r="B39" s="1"/>
      <c r="C39" s="1"/>
      <c r="D39" s="1"/>
      <c r="E39" s="2"/>
      <c r="F39" s="2"/>
      <c r="G39" s="1"/>
      <c r="H39" s="1"/>
    </row>
    <row r="40" spans="1:8" x14ac:dyDescent="0.25">
      <c r="A40" s="39"/>
      <c r="B40" s="40" t="s">
        <v>8</v>
      </c>
      <c r="C40" s="41"/>
      <c r="D40" s="42"/>
      <c r="E40" s="4"/>
      <c r="F40" s="4"/>
      <c r="G40" s="18">
        <f>SUM(G36:G39)</f>
        <v>609.6</v>
      </c>
      <c r="H40" s="1"/>
    </row>
    <row r="41" spans="1:8" x14ac:dyDescent="0.25">
      <c r="A41" s="1"/>
      <c r="B41" s="46" t="s">
        <v>24</v>
      </c>
      <c r="C41" s="47"/>
      <c r="D41" s="48"/>
      <c r="E41" s="11"/>
      <c r="F41" s="11"/>
      <c r="G41" s="20">
        <f>G40+G34+G30+G26+G20+G14+G7</f>
        <v>21523.45</v>
      </c>
      <c r="H41" s="1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9"/>
  <sheetViews>
    <sheetView workbookViewId="0">
      <selection activeCell="B40" sqref="B40:D4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43" t="s">
        <v>27</v>
      </c>
      <c r="B1" s="44"/>
      <c r="C1" s="44"/>
      <c r="D1" s="44"/>
      <c r="E1" s="44"/>
      <c r="F1" s="44"/>
      <c r="G1" s="44"/>
      <c r="H1" s="45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21" t="s">
        <v>138</v>
      </c>
      <c r="F2" s="21"/>
      <c r="G2" s="1" t="s">
        <v>4</v>
      </c>
      <c r="H2" s="1" t="s">
        <v>5</v>
      </c>
    </row>
    <row r="3" spans="1:11" x14ac:dyDescent="0.25">
      <c r="A3" s="39" t="s">
        <v>69</v>
      </c>
      <c r="B3" s="1" t="s">
        <v>70</v>
      </c>
      <c r="C3" s="1" t="s">
        <v>73</v>
      </c>
      <c r="D3" s="1">
        <v>99</v>
      </c>
      <c r="E3" s="21">
        <v>63.23</v>
      </c>
      <c r="F3" s="21" t="s">
        <v>139</v>
      </c>
      <c r="G3" s="17">
        <f>E3*D3</f>
        <v>6259.7699999999995</v>
      </c>
      <c r="H3" s="1"/>
    </row>
    <row r="4" spans="1:11" x14ac:dyDescent="0.25">
      <c r="A4" s="39"/>
      <c r="B4" s="1" t="s">
        <v>71</v>
      </c>
      <c r="C4" s="1" t="s">
        <v>72</v>
      </c>
      <c r="D4" s="1">
        <v>139.5</v>
      </c>
      <c r="E4" s="21">
        <v>3</v>
      </c>
      <c r="F4" s="21" t="s">
        <v>139</v>
      </c>
      <c r="G4" s="17">
        <f t="shared" ref="G4:G5" si="0">E4*D4</f>
        <v>418.5</v>
      </c>
      <c r="H4" s="1"/>
    </row>
    <row r="5" spans="1:11" x14ac:dyDescent="0.25">
      <c r="A5" s="39"/>
      <c r="B5" s="1" t="s">
        <v>40</v>
      </c>
      <c r="C5" s="1" t="s">
        <v>42</v>
      </c>
      <c r="D5" s="1">
        <v>74.099999999999994</v>
      </c>
      <c r="E5" s="21">
        <v>1</v>
      </c>
      <c r="F5" s="21" t="s">
        <v>139</v>
      </c>
      <c r="G5" s="17">
        <f t="shared" si="0"/>
        <v>74.099999999999994</v>
      </c>
      <c r="H5" s="1"/>
    </row>
    <row r="6" spans="1:11" x14ac:dyDescent="0.25">
      <c r="A6" s="39"/>
      <c r="B6" s="1"/>
      <c r="C6" s="1"/>
      <c r="D6" s="1"/>
      <c r="E6" s="22"/>
      <c r="F6" s="22"/>
      <c r="G6" s="3"/>
      <c r="H6" s="1"/>
    </row>
    <row r="7" spans="1:11" x14ac:dyDescent="0.25">
      <c r="A7" s="39"/>
      <c r="B7" s="40" t="s">
        <v>8</v>
      </c>
      <c r="C7" s="41"/>
      <c r="D7" s="42"/>
      <c r="E7" s="22"/>
      <c r="F7" s="22"/>
      <c r="G7" s="18">
        <f>SUM(G3:G6)</f>
        <v>6752.37</v>
      </c>
      <c r="H7" s="1"/>
    </row>
    <row r="8" spans="1:11" x14ac:dyDescent="0.25">
      <c r="A8" s="1" t="s">
        <v>9</v>
      </c>
      <c r="B8" s="1" t="s">
        <v>1</v>
      </c>
      <c r="C8" s="1" t="s">
        <v>2</v>
      </c>
      <c r="D8" s="1" t="s">
        <v>3</v>
      </c>
      <c r="E8" s="21" t="s">
        <v>138</v>
      </c>
      <c r="F8" s="21"/>
      <c r="G8" s="1" t="s">
        <v>4</v>
      </c>
      <c r="H8" s="1" t="s">
        <v>5</v>
      </c>
      <c r="K8" s="5"/>
    </row>
    <row r="9" spans="1:11" x14ac:dyDescent="0.25">
      <c r="A9" s="39" t="s">
        <v>74</v>
      </c>
      <c r="B9" s="1" t="s">
        <v>75</v>
      </c>
      <c r="C9" s="1" t="s">
        <v>52</v>
      </c>
      <c r="D9" s="1">
        <v>48</v>
      </c>
      <c r="E9" s="21">
        <v>20</v>
      </c>
      <c r="F9" s="21" t="s">
        <v>139</v>
      </c>
      <c r="G9" s="1">
        <f>E9*D9</f>
        <v>960</v>
      </c>
      <c r="H9" s="1"/>
      <c r="K9" s="6"/>
    </row>
    <row r="10" spans="1:11" x14ac:dyDescent="0.25">
      <c r="A10" s="39"/>
      <c r="B10" s="1" t="s">
        <v>76</v>
      </c>
      <c r="C10" s="1" t="s">
        <v>79</v>
      </c>
      <c r="D10" s="1"/>
      <c r="E10" s="21"/>
      <c r="F10" s="21" t="s">
        <v>139</v>
      </c>
      <c r="G10" s="21">
        <f t="shared" ref="G10:G13" si="1">E10*D10</f>
        <v>0</v>
      </c>
      <c r="H10" s="1"/>
      <c r="K10" s="6"/>
    </row>
    <row r="11" spans="1:11" x14ac:dyDescent="0.25">
      <c r="A11" s="39"/>
      <c r="B11" s="1" t="s">
        <v>77</v>
      </c>
      <c r="C11" s="1" t="s">
        <v>13</v>
      </c>
      <c r="D11" s="1">
        <v>42</v>
      </c>
      <c r="E11" s="21">
        <v>10</v>
      </c>
      <c r="F11" s="21" t="s">
        <v>139</v>
      </c>
      <c r="G11" s="21">
        <f t="shared" si="1"/>
        <v>420</v>
      </c>
      <c r="H11" s="1"/>
      <c r="K11" s="6"/>
    </row>
    <row r="12" spans="1:11" x14ac:dyDescent="0.25">
      <c r="A12" s="39"/>
      <c r="B12" s="1" t="s">
        <v>78</v>
      </c>
      <c r="C12" s="1" t="s">
        <v>13</v>
      </c>
      <c r="D12" s="1">
        <v>48</v>
      </c>
      <c r="E12" s="21">
        <v>10</v>
      </c>
      <c r="F12" s="21" t="s">
        <v>139</v>
      </c>
      <c r="G12" s="21">
        <f t="shared" si="1"/>
        <v>480</v>
      </c>
      <c r="H12" s="1"/>
      <c r="K12" s="6"/>
    </row>
    <row r="13" spans="1:11" x14ac:dyDescent="0.25">
      <c r="A13" s="39"/>
      <c r="B13" s="1" t="s">
        <v>141</v>
      </c>
      <c r="C13" s="21" t="s">
        <v>13</v>
      </c>
      <c r="D13" s="1">
        <v>25.5</v>
      </c>
      <c r="E13" s="21">
        <v>10</v>
      </c>
      <c r="F13" s="21" t="s">
        <v>139</v>
      </c>
      <c r="G13" s="21">
        <f t="shared" si="1"/>
        <v>255</v>
      </c>
      <c r="H13" s="1"/>
      <c r="K13" s="7"/>
    </row>
    <row r="14" spans="1:11" x14ac:dyDescent="0.25">
      <c r="A14" s="39"/>
      <c r="B14" s="40" t="s">
        <v>8</v>
      </c>
      <c r="C14" s="41"/>
      <c r="D14" s="42"/>
      <c r="E14" s="22"/>
      <c r="F14" s="22"/>
      <c r="G14" s="19">
        <f>SUM(G9:G13)</f>
        <v>2115</v>
      </c>
      <c r="H14" s="1"/>
    </row>
    <row r="15" spans="1:11" x14ac:dyDescent="0.25">
      <c r="A15" s="1" t="s">
        <v>12</v>
      </c>
      <c r="B15" s="1" t="s">
        <v>1</v>
      </c>
      <c r="C15" s="1" t="s">
        <v>2</v>
      </c>
      <c r="D15" s="1" t="s">
        <v>3</v>
      </c>
      <c r="E15" s="21" t="s">
        <v>138</v>
      </c>
      <c r="F15" s="21"/>
      <c r="G15" s="1" t="s">
        <v>4</v>
      </c>
      <c r="H15" s="1" t="s">
        <v>5</v>
      </c>
    </row>
    <row r="16" spans="1:11" x14ac:dyDescent="0.25">
      <c r="A16" s="39"/>
      <c r="B16" s="1"/>
      <c r="C16" s="1"/>
      <c r="D16" s="1"/>
      <c r="E16" s="21"/>
      <c r="F16" s="21"/>
      <c r="G16" s="1"/>
      <c r="H16" s="1"/>
    </row>
    <row r="17" spans="1:8" x14ac:dyDescent="0.25">
      <c r="A17" s="39"/>
      <c r="B17" s="1"/>
      <c r="C17" s="1"/>
      <c r="D17" s="1"/>
      <c r="E17" s="21"/>
      <c r="F17" s="21"/>
      <c r="G17" s="1"/>
      <c r="H17" s="1"/>
    </row>
    <row r="18" spans="1:8" x14ac:dyDescent="0.25">
      <c r="A18" s="39"/>
      <c r="B18" s="1"/>
      <c r="C18" s="1"/>
      <c r="D18" s="1"/>
      <c r="E18" s="21"/>
      <c r="F18" s="21"/>
      <c r="G18" s="1"/>
      <c r="H18" s="1"/>
    </row>
    <row r="19" spans="1:8" x14ac:dyDescent="0.25">
      <c r="A19" s="39"/>
      <c r="B19" s="1"/>
      <c r="C19" s="1"/>
      <c r="D19" s="1"/>
      <c r="E19" s="22"/>
      <c r="F19" s="22"/>
      <c r="G19" s="3"/>
      <c r="H19" s="1"/>
    </row>
    <row r="20" spans="1:8" x14ac:dyDescent="0.25">
      <c r="A20" s="39"/>
      <c r="B20" s="40" t="s">
        <v>8</v>
      </c>
      <c r="C20" s="41"/>
      <c r="D20" s="42"/>
      <c r="E20" s="22"/>
      <c r="F20" s="22"/>
      <c r="G20" s="3"/>
      <c r="H20" s="1"/>
    </row>
    <row r="21" spans="1:8" x14ac:dyDescent="0.25">
      <c r="A21" s="8" t="s">
        <v>18</v>
      </c>
      <c r="B21" s="1" t="s">
        <v>1</v>
      </c>
      <c r="C21" s="1" t="s">
        <v>2</v>
      </c>
      <c r="D21" s="1" t="s">
        <v>3</v>
      </c>
      <c r="E21" s="21" t="s">
        <v>138</v>
      </c>
      <c r="F21" s="21"/>
      <c r="G21" s="1" t="s">
        <v>4</v>
      </c>
      <c r="H21" s="1" t="s">
        <v>5</v>
      </c>
    </row>
    <row r="22" spans="1:8" x14ac:dyDescent="0.25">
      <c r="A22" s="39"/>
      <c r="B22" s="1" t="s">
        <v>143</v>
      </c>
      <c r="C22" s="1"/>
      <c r="D22" s="1">
        <v>125</v>
      </c>
      <c r="E22" s="21">
        <v>12</v>
      </c>
      <c r="F22" s="21" t="s">
        <v>144</v>
      </c>
      <c r="G22" s="17">
        <f>E22*D22</f>
        <v>1500</v>
      </c>
      <c r="H22" s="1"/>
    </row>
    <row r="23" spans="1:8" x14ac:dyDescent="0.25">
      <c r="A23" s="39"/>
      <c r="B23" s="1" t="s">
        <v>147</v>
      </c>
      <c r="C23" s="1"/>
      <c r="D23" s="1">
        <v>1164</v>
      </c>
      <c r="E23" s="21">
        <v>1</v>
      </c>
      <c r="F23" s="21" t="s">
        <v>142</v>
      </c>
      <c r="G23" s="17">
        <f t="shared" ref="G23:G29" si="2">E23*D23</f>
        <v>1164</v>
      </c>
      <c r="H23" s="1"/>
    </row>
    <row r="24" spans="1:8" x14ac:dyDescent="0.25">
      <c r="A24" s="39"/>
      <c r="B24" s="21" t="s">
        <v>148</v>
      </c>
      <c r="C24" s="21"/>
      <c r="D24" s="21">
        <v>750</v>
      </c>
      <c r="E24" s="21">
        <v>1</v>
      </c>
      <c r="F24" s="21" t="s">
        <v>142</v>
      </c>
      <c r="G24" s="17">
        <f t="shared" si="2"/>
        <v>750</v>
      </c>
      <c r="H24" s="21"/>
    </row>
    <row r="25" spans="1:8" x14ac:dyDescent="0.25">
      <c r="A25" s="39"/>
      <c r="B25" s="21" t="s">
        <v>149</v>
      </c>
      <c r="C25" s="21"/>
      <c r="D25" s="21">
        <v>844</v>
      </c>
      <c r="E25" s="22">
        <v>1</v>
      </c>
      <c r="F25" s="22" t="s">
        <v>150</v>
      </c>
      <c r="G25" s="27">
        <f t="shared" si="2"/>
        <v>844</v>
      </c>
      <c r="H25" s="21"/>
    </row>
    <row r="26" spans="1:8" x14ac:dyDescent="0.25">
      <c r="A26" s="39"/>
      <c r="B26" s="21" t="s">
        <v>156</v>
      </c>
      <c r="C26" s="21"/>
      <c r="D26" s="21">
        <v>350</v>
      </c>
      <c r="E26" s="22">
        <v>1</v>
      </c>
      <c r="F26" s="22" t="s">
        <v>139</v>
      </c>
      <c r="G26" s="27">
        <f t="shared" si="2"/>
        <v>350</v>
      </c>
      <c r="H26" s="21"/>
    </row>
    <row r="27" spans="1:8" x14ac:dyDescent="0.25">
      <c r="A27" s="39"/>
      <c r="B27" s="21" t="s">
        <v>157</v>
      </c>
      <c r="C27" s="21"/>
      <c r="D27" s="21">
        <v>235</v>
      </c>
      <c r="E27" s="22">
        <v>2</v>
      </c>
      <c r="F27" s="22" t="s">
        <v>160</v>
      </c>
      <c r="G27" s="27">
        <f t="shared" si="2"/>
        <v>470</v>
      </c>
      <c r="H27" s="21"/>
    </row>
    <row r="28" spans="1:8" x14ac:dyDescent="0.25">
      <c r="A28" s="39"/>
      <c r="B28" s="21" t="s">
        <v>158</v>
      </c>
      <c r="C28" s="21"/>
      <c r="D28" s="21">
        <v>50</v>
      </c>
      <c r="E28" s="22">
        <v>1</v>
      </c>
      <c r="F28" s="21" t="s">
        <v>144</v>
      </c>
      <c r="G28" s="27">
        <f t="shared" si="2"/>
        <v>50</v>
      </c>
      <c r="H28" s="21"/>
    </row>
    <row r="29" spans="1:8" x14ac:dyDescent="0.25">
      <c r="A29" s="39"/>
      <c r="B29" s="21" t="s">
        <v>159</v>
      </c>
      <c r="C29" s="21"/>
      <c r="D29" s="21">
        <v>90</v>
      </c>
      <c r="E29" s="22">
        <v>2</v>
      </c>
      <c r="F29" s="21" t="s">
        <v>144</v>
      </c>
      <c r="G29" s="27">
        <f t="shared" si="2"/>
        <v>180</v>
      </c>
      <c r="H29" s="21"/>
    </row>
    <row r="30" spans="1:8" x14ac:dyDescent="0.25">
      <c r="A30" s="39"/>
      <c r="B30" s="21"/>
      <c r="C30" s="21"/>
      <c r="D30" s="21"/>
      <c r="E30" s="21"/>
      <c r="F30" s="22"/>
      <c r="G30" s="27"/>
      <c r="H30" s="21"/>
    </row>
    <row r="31" spans="1:8" x14ac:dyDescent="0.25">
      <c r="A31" s="39"/>
      <c r="B31" s="39" t="s">
        <v>8</v>
      </c>
      <c r="C31" s="39"/>
      <c r="D31" s="39"/>
      <c r="E31" s="21"/>
      <c r="F31" s="22"/>
      <c r="G31" s="18">
        <f>SUM(G22:G29)</f>
        <v>5308</v>
      </c>
      <c r="H31" s="1"/>
    </row>
    <row r="32" spans="1:8" x14ac:dyDescent="0.25">
      <c r="A32" s="1" t="s">
        <v>19</v>
      </c>
      <c r="B32" s="1" t="s">
        <v>1</v>
      </c>
      <c r="C32" s="1" t="s">
        <v>2</v>
      </c>
      <c r="D32" s="1" t="s">
        <v>3</v>
      </c>
      <c r="E32" s="21" t="s">
        <v>138</v>
      </c>
      <c r="F32" s="21"/>
      <c r="G32" s="1" t="s">
        <v>4</v>
      </c>
      <c r="H32" s="1" t="s">
        <v>5</v>
      </c>
    </row>
    <row r="33" spans="1:8" x14ac:dyDescent="0.25">
      <c r="A33" s="39" t="s">
        <v>65</v>
      </c>
      <c r="B33" s="1" t="s">
        <v>66</v>
      </c>
      <c r="C33" s="1" t="s">
        <v>68</v>
      </c>
      <c r="D33" s="21">
        <v>175</v>
      </c>
      <c r="E33" s="21">
        <v>1</v>
      </c>
      <c r="F33" s="21" t="s">
        <v>142</v>
      </c>
      <c r="G33" s="21">
        <f>D33*E33</f>
        <v>175</v>
      </c>
      <c r="H33" s="1"/>
    </row>
    <row r="34" spans="1:8" x14ac:dyDescent="0.25">
      <c r="A34" s="39"/>
      <c r="B34" s="1" t="s">
        <v>10</v>
      </c>
      <c r="C34" s="1" t="s">
        <v>67</v>
      </c>
      <c r="D34" s="1">
        <v>150</v>
      </c>
      <c r="E34" s="21">
        <v>3</v>
      </c>
      <c r="F34" s="21" t="s">
        <v>140</v>
      </c>
      <c r="G34" s="21">
        <f>D34*E34</f>
        <v>450</v>
      </c>
      <c r="H34" s="1"/>
    </row>
    <row r="35" spans="1:8" x14ac:dyDescent="0.25">
      <c r="A35" s="39"/>
      <c r="B35" s="40" t="s">
        <v>8</v>
      </c>
      <c r="C35" s="41"/>
      <c r="D35" s="42"/>
      <c r="E35" s="22"/>
      <c r="F35" s="22"/>
      <c r="G35" s="3"/>
      <c r="H35" s="1"/>
    </row>
    <row r="36" spans="1:8" x14ac:dyDescent="0.25">
      <c r="A36" s="1" t="s">
        <v>22</v>
      </c>
      <c r="B36" s="1" t="s">
        <v>1</v>
      </c>
      <c r="C36" s="1" t="s">
        <v>2</v>
      </c>
      <c r="D36" s="1" t="s">
        <v>3</v>
      </c>
      <c r="E36" s="22" t="s">
        <v>138</v>
      </c>
      <c r="F36" s="22"/>
      <c r="G36" s="3" t="s">
        <v>4</v>
      </c>
      <c r="H36" s="1" t="s">
        <v>5</v>
      </c>
    </row>
    <row r="37" spans="1:8" x14ac:dyDescent="0.25">
      <c r="A37" s="49"/>
      <c r="B37" s="1" t="s">
        <v>153</v>
      </c>
      <c r="C37" s="1"/>
      <c r="D37" s="1">
        <v>70</v>
      </c>
      <c r="E37" s="21">
        <v>40</v>
      </c>
      <c r="F37" s="21" t="s">
        <v>144</v>
      </c>
      <c r="G37" s="1">
        <f>E37*D37</f>
        <v>2800</v>
      </c>
      <c r="H37" s="1"/>
    </row>
    <row r="38" spans="1:8" x14ac:dyDescent="0.25">
      <c r="A38" s="50"/>
      <c r="B38" s="1" t="s">
        <v>145</v>
      </c>
      <c r="C38" s="1"/>
      <c r="D38" s="1">
        <v>12.6</v>
      </c>
      <c r="E38" s="21">
        <v>2</v>
      </c>
      <c r="F38" s="21" t="s">
        <v>139</v>
      </c>
      <c r="G38" s="17">
        <f>E38*D38</f>
        <v>25.2</v>
      </c>
      <c r="H38" s="1"/>
    </row>
    <row r="39" spans="1:8" x14ac:dyDescent="0.25">
      <c r="A39" s="50"/>
      <c r="B39" s="1" t="s">
        <v>146</v>
      </c>
      <c r="C39" s="1"/>
      <c r="D39" s="1">
        <v>85</v>
      </c>
      <c r="E39" s="21">
        <v>4</v>
      </c>
      <c r="F39" s="21" t="s">
        <v>139</v>
      </c>
      <c r="G39" s="17">
        <f>E39*D39</f>
        <v>340</v>
      </c>
      <c r="H39" s="21"/>
    </row>
    <row r="40" spans="1:8" x14ac:dyDescent="0.25">
      <c r="A40" s="50"/>
      <c r="B40" s="26" t="s">
        <v>154</v>
      </c>
      <c r="C40" s="26" t="s">
        <v>155</v>
      </c>
      <c r="D40" s="26">
        <v>32.64</v>
      </c>
      <c r="E40" s="22"/>
      <c r="F40" s="22"/>
      <c r="G40" s="22"/>
      <c r="H40" s="21"/>
    </row>
    <row r="41" spans="1:8" x14ac:dyDescent="0.25">
      <c r="A41" s="51"/>
      <c r="B41" s="40" t="s">
        <v>8</v>
      </c>
      <c r="C41" s="41"/>
      <c r="D41" s="42"/>
      <c r="E41" s="22"/>
      <c r="F41" s="22"/>
      <c r="G41" s="18">
        <f>SUM(G37:G40)</f>
        <v>3165.2</v>
      </c>
      <c r="H41" s="9"/>
    </row>
    <row r="42" spans="1:8" x14ac:dyDescent="0.25">
      <c r="A42" s="10" t="s">
        <v>23</v>
      </c>
      <c r="B42" s="1" t="s">
        <v>1</v>
      </c>
      <c r="C42" s="1" t="s">
        <v>2</v>
      </c>
      <c r="D42" s="1" t="s">
        <v>3</v>
      </c>
      <c r="E42" s="21" t="s">
        <v>138</v>
      </c>
      <c r="F42" s="21"/>
      <c r="G42" s="1" t="s">
        <v>4</v>
      </c>
      <c r="H42" s="1"/>
    </row>
    <row r="43" spans="1:8" x14ac:dyDescent="0.25">
      <c r="A43" s="39" t="s">
        <v>58</v>
      </c>
      <c r="B43" s="1" t="s">
        <v>58</v>
      </c>
      <c r="C43" s="1" t="s">
        <v>62</v>
      </c>
      <c r="D43" s="1">
        <v>21</v>
      </c>
      <c r="E43" s="21">
        <v>60</v>
      </c>
      <c r="F43" s="21" t="s">
        <v>139</v>
      </c>
      <c r="G43" s="1">
        <f>E43*D43</f>
        <v>1260</v>
      </c>
      <c r="H43" s="1"/>
    </row>
    <row r="44" spans="1:8" x14ac:dyDescent="0.25">
      <c r="A44" s="39"/>
      <c r="B44" s="1" t="s">
        <v>59</v>
      </c>
      <c r="C44" s="1" t="s">
        <v>63</v>
      </c>
      <c r="D44" s="1">
        <v>360</v>
      </c>
      <c r="E44" s="21">
        <v>3</v>
      </c>
      <c r="F44" s="21" t="s">
        <v>151</v>
      </c>
      <c r="G44" s="21">
        <f t="shared" ref="G44:G46" si="3">E44*D44</f>
        <v>1080</v>
      </c>
      <c r="H44" s="1"/>
    </row>
    <row r="45" spans="1:8" x14ac:dyDescent="0.25">
      <c r="A45" s="39"/>
      <c r="B45" s="1" t="s">
        <v>60</v>
      </c>
      <c r="C45" s="1" t="s">
        <v>64</v>
      </c>
      <c r="D45" s="1">
        <v>225</v>
      </c>
      <c r="E45" s="21">
        <v>2</v>
      </c>
      <c r="F45" s="21" t="s">
        <v>152</v>
      </c>
      <c r="G45" s="21">
        <f t="shared" si="3"/>
        <v>450</v>
      </c>
      <c r="H45" s="1"/>
    </row>
    <row r="46" spans="1:8" x14ac:dyDescent="0.25">
      <c r="A46" s="39"/>
      <c r="B46" s="1" t="s">
        <v>61</v>
      </c>
      <c r="C46" s="1" t="s">
        <v>13</v>
      </c>
      <c r="D46" s="1">
        <v>75.599999999999994</v>
      </c>
      <c r="E46" s="21">
        <v>10</v>
      </c>
      <c r="F46" s="21" t="s">
        <v>139</v>
      </c>
      <c r="G46" s="21">
        <f t="shared" si="3"/>
        <v>756</v>
      </c>
      <c r="H46" s="1"/>
    </row>
    <row r="47" spans="1:8" x14ac:dyDescent="0.25">
      <c r="A47" s="39"/>
      <c r="B47" s="1"/>
      <c r="C47" s="1"/>
      <c r="D47" s="1"/>
      <c r="E47" s="21"/>
      <c r="F47" s="21"/>
      <c r="G47" s="1"/>
      <c r="H47" s="1"/>
    </row>
    <row r="48" spans="1:8" x14ac:dyDescent="0.25">
      <c r="A48" s="39"/>
      <c r="B48" s="40" t="s">
        <v>8</v>
      </c>
      <c r="C48" s="41"/>
      <c r="D48" s="42"/>
      <c r="E48" s="22"/>
      <c r="F48" s="22"/>
      <c r="G48" s="19">
        <f>SUM(G43:G47)</f>
        <v>3546</v>
      </c>
      <c r="H48" s="1"/>
    </row>
    <row r="49" spans="1:8" x14ac:dyDescent="0.25">
      <c r="A49" s="1"/>
      <c r="B49" s="46" t="s">
        <v>24</v>
      </c>
      <c r="C49" s="47"/>
      <c r="D49" s="48"/>
      <c r="E49" s="23"/>
      <c r="F49" s="23"/>
      <c r="G49" s="20">
        <f>G48+G41+G31+G14+G7</f>
        <v>20886.57</v>
      </c>
      <c r="H49" s="1"/>
    </row>
  </sheetData>
  <mergeCells count="16">
    <mergeCell ref="A43:A48"/>
    <mergeCell ref="B48:D48"/>
    <mergeCell ref="B49:D49"/>
    <mergeCell ref="A22:A31"/>
    <mergeCell ref="B31:D31"/>
    <mergeCell ref="A33:A35"/>
    <mergeCell ref="B35:D35"/>
    <mergeCell ref="A37:A41"/>
    <mergeCell ref="B41:D41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Views>
    <sheetView topLeftCell="A26" workbookViewId="0">
      <selection activeCell="H43" sqref="H4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43" t="s">
        <v>28</v>
      </c>
      <c r="B1" s="44"/>
      <c r="C1" s="44"/>
      <c r="D1" s="44"/>
      <c r="E1" s="44"/>
      <c r="F1" s="44"/>
      <c r="G1" s="44"/>
      <c r="H1" s="45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28" t="s">
        <v>161</v>
      </c>
      <c r="F2" s="28"/>
      <c r="G2" s="1" t="s">
        <v>4</v>
      </c>
      <c r="H2" s="1" t="s">
        <v>5</v>
      </c>
    </row>
    <row r="3" spans="1:11" x14ac:dyDescent="0.25">
      <c r="A3" s="39" t="s">
        <v>80</v>
      </c>
      <c r="B3" s="1" t="s">
        <v>88</v>
      </c>
      <c r="C3" s="1" t="s">
        <v>90</v>
      </c>
      <c r="D3" s="1">
        <v>87</v>
      </c>
      <c r="E3" s="28">
        <v>70</v>
      </c>
      <c r="F3" s="28" t="s">
        <v>162</v>
      </c>
      <c r="G3" s="1">
        <f>E3*D3</f>
        <v>6090</v>
      </c>
      <c r="H3" s="1"/>
    </row>
    <row r="4" spans="1:11" x14ac:dyDescent="0.25">
      <c r="A4" s="39"/>
      <c r="B4" s="1" t="s">
        <v>84</v>
      </c>
      <c r="C4" s="1" t="s">
        <v>89</v>
      </c>
      <c r="D4" s="1">
        <v>25.2</v>
      </c>
      <c r="E4" s="28">
        <v>6</v>
      </c>
      <c r="F4" s="28" t="s">
        <v>162</v>
      </c>
      <c r="G4" s="28">
        <f t="shared" ref="G4:G5" si="0">E4*D4</f>
        <v>151.19999999999999</v>
      </c>
      <c r="H4" s="1"/>
    </row>
    <row r="5" spans="1:11" x14ac:dyDescent="0.25">
      <c r="A5" s="39"/>
      <c r="B5" s="1" t="s">
        <v>49</v>
      </c>
      <c r="C5" s="1" t="s">
        <v>89</v>
      </c>
      <c r="D5" s="1">
        <v>12.6</v>
      </c>
      <c r="E5" s="28">
        <v>6</v>
      </c>
      <c r="F5" s="28" t="s">
        <v>162</v>
      </c>
      <c r="G5" s="28">
        <f t="shared" si="0"/>
        <v>75.599999999999994</v>
      </c>
      <c r="H5" s="1"/>
    </row>
    <row r="6" spans="1:11" x14ac:dyDescent="0.25">
      <c r="A6" s="39"/>
      <c r="B6" s="1"/>
      <c r="C6" s="1"/>
      <c r="D6" s="1"/>
      <c r="E6" s="29"/>
      <c r="F6" s="29"/>
      <c r="G6" s="3"/>
      <c r="H6" s="1"/>
    </row>
    <row r="7" spans="1:11" x14ac:dyDescent="0.25">
      <c r="A7" s="39"/>
      <c r="B7" s="40" t="s">
        <v>8</v>
      </c>
      <c r="C7" s="41"/>
      <c r="D7" s="42"/>
      <c r="E7" s="29"/>
      <c r="F7" s="29"/>
      <c r="G7" s="18">
        <f>SUM(G3:G6)</f>
        <v>6316.8</v>
      </c>
      <c r="H7" s="1"/>
    </row>
    <row r="8" spans="1:11" x14ac:dyDescent="0.25">
      <c r="A8" s="1" t="s">
        <v>9</v>
      </c>
      <c r="B8" s="1" t="s">
        <v>1</v>
      </c>
      <c r="C8" s="1" t="s">
        <v>2</v>
      </c>
      <c r="D8" s="1" t="s">
        <v>3</v>
      </c>
      <c r="E8" s="28" t="s">
        <v>161</v>
      </c>
      <c r="F8" s="28"/>
      <c r="G8" s="1" t="s">
        <v>4</v>
      </c>
      <c r="H8" s="1" t="s">
        <v>5</v>
      </c>
      <c r="K8" s="5"/>
    </row>
    <row r="9" spans="1:11" x14ac:dyDescent="0.25">
      <c r="A9" s="39" t="s">
        <v>81</v>
      </c>
      <c r="B9" s="1" t="s">
        <v>91</v>
      </c>
      <c r="C9" s="1" t="s">
        <v>7</v>
      </c>
      <c r="D9" s="1">
        <v>58.8</v>
      </c>
      <c r="E9" s="28">
        <v>25</v>
      </c>
      <c r="F9" s="28" t="s">
        <v>162</v>
      </c>
      <c r="G9" s="1">
        <f>E9*D9</f>
        <v>1470</v>
      </c>
      <c r="H9" s="1"/>
      <c r="K9" s="6"/>
    </row>
    <row r="10" spans="1:11" x14ac:dyDescent="0.25">
      <c r="A10" s="39"/>
      <c r="B10" s="1" t="s">
        <v>92</v>
      </c>
      <c r="C10" s="1" t="s">
        <v>89</v>
      </c>
      <c r="D10" s="1">
        <v>135</v>
      </c>
      <c r="E10" s="28">
        <v>6</v>
      </c>
      <c r="F10" s="28" t="s">
        <v>162</v>
      </c>
      <c r="G10" s="28">
        <f>E10*D10</f>
        <v>810</v>
      </c>
      <c r="H10" s="1"/>
      <c r="K10" s="6"/>
    </row>
    <row r="11" spans="1:11" x14ac:dyDescent="0.25">
      <c r="A11" s="39"/>
      <c r="B11" s="1" t="s">
        <v>93</v>
      </c>
      <c r="C11" s="1" t="s">
        <v>15</v>
      </c>
      <c r="D11" s="1">
        <v>168</v>
      </c>
      <c r="E11" s="28">
        <v>5</v>
      </c>
      <c r="F11" s="28" t="s">
        <v>162</v>
      </c>
      <c r="G11" s="28">
        <f>E11*D11</f>
        <v>840</v>
      </c>
      <c r="H11" s="1"/>
      <c r="K11" s="6"/>
    </row>
    <row r="12" spans="1:11" x14ac:dyDescent="0.25">
      <c r="A12" s="39"/>
      <c r="B12" s="1"/>
      <c r="C12" s="1"/>
      <c r="D12" s="1"/>
      <c r="E12" s="28"/>
      <c r="F12" s="28"/>
      <c r="G12" s="1"/>
      <c r="H12" s="1"/>
      <c r="K12" s="6"/>
    </row>
    <row r="13" spans="1:11" x14ac:dyDescent="0.25">
      <c r="A13" s="39"/>
      <c r="B13" s="1"/>
      <c r="C13" s="1"/>
      <c r="D13" s="1"/>
      <c r="E13" s="28"/>
      <c r="F13" s="28"/>
      <c r="G13" s="1"/>
      <c r="H13" s="1"/>
      <c r="K13" s="7"/>
    </row>
    <row r="14" spans="1:11" x14ac:dyDescent="0.25">
      <c r="A14" s="39"/>
      <c r="B14" s="40" t="s">
        <v>8</v>
      </c>
      <c r="C14" s="41"/>
      <c r="D14" s="42"/>
      <c r="E14" s="29"/>
      <c r="F14" s="29"/>
      <c r="G14" s="19">
        <f>SUM(G9:G13)</f>
        <v>3120</v>
      </c>
      <c r="H14" s="1"/>
    </row>
    <row r="15" spans="1:11" x14ac:dyDescent="0.25">
      <c r="A15" s="1" t="s">
        <v>12</v>
      </c>
      <c r="B15" s="1" t="s">
        <v>1</v>
      </c>
      <c r="C15" s="1" t="s">
        <v>2</v>
      </c>
      <c r="D15" s="1" t="s">
        <v>3</v>
      </c>
      <c r="E15" s="28" t="s">
        <v>161</v>
      </c>
      <c r="F15" s="28"/>
      <c r="G15" s="1" t="s">
        <v>4</v>
      </c>
      <c r="H15" s="1" t="s">
        <v>5</v>
      </c>
    </row>
    <row r="16" spans="1:11" x14ac:dyDescent="0.25">
      <c r="A16" s="39" t="s">
        <v>82</v>
      </c>
      <c r="B16" s="1" t="s">
        <v>87</v>
      </c>
      <c r="C16" s="1" t="s">
        <v>53</v>
      </c>
      <c r="D16" s="1">
        <v>75</v>
      </c>
      <c r="E16" s="28">
        <v>15</v>
      </c>
      <c r="F16" s="28" t="s">
        <v>163</v>
      </c>
      <c r="G16" s="1">
        <f>E16*D16</f>
        <v>1125</v>
      </c>
      <c r="H16" s="1"/>
    </row>
    <row r="17" spans="1:8" x14ac:dyDescent="0.25">
      <c r="A17" s="39"/>
      <c r="B17" s="1" t="s">
        <v>20</v>
      </c>
      <c r="C17" s="1" t="s">
        <v>53</v>
      </c>
      <c r="D17" s="1">
        <v>49.2</v>
      </c>
      <c r="E17" s="28">
        <v>20</v>
      </c>
      <c r="F17" s="28" t="s">
        <v>162</v>
      </c>
      <c r="G17" s="28">
        <f>E17*D17</f>
        <v>984</v>
      </c>
      <c r="H17" s="1"/>
    </row>
    <row r="18" spans="1:8" x14ac:dyDescent="0.25">
      <c r="A18" s="39"/>
      <c r="B18" s="1"/>
      <c r="C18" s="1"/>
      <c r="D18" s="1"/>
      <c r="E18" s="28"/>
      <c r="F18" s="28"/>
      <c r="G18" s="1"/>
      <c r="H18" s="1"/>
    </row>
    <row r="19" spans="1:8" x14ac:dyDescent="0.25">
      <c r="A19" s="39"/>
      <c r="B19" s="1"/>
      <c r="C19" s="1"/>
      <c r="D19" s="1"/>
      <c r="E19" s="29"/>
      <c r="F19" s="29"/>
      <c r="G19" s="3"/>
      <c r="H19" s="1"/>
    </row>
    <row r="20" spans="1:8" x14ac:dyDescent="0.25">
      <c r="A20" s="39"/>
      <c r="B20" s="40" t="s">
        <v>8</v>
      </c>
      <c r="C20" s="41"/>
      <c r="D20" s="42"/>
      <c r="E20" s="29"/>
      <c r="F20" s="29"/>
      <c r="G20" s="19">
        <f>SUM(G16:G19)</f>
        <v>2109</v>
      </c>
      <c r="H20" s="1"/>
    </row>
    <row r="21" spans="1:8" x14ac:dyDescent="0.25">
      <c r="A21" s="8" t="s">
        <v>18</v>
      </c>
      <c r="B21" s="1" t="s">
        <v>1</v>
      </c>
      <c r="C21" s="1" t="s">
        <v>2</v>
      </c>
      <c r="D21" s="1" t="s">
        <v>3</v>
      </c>
      <c r="E21" s="28" t="s">
        <v>161</v>
      </c>
      <c r="F21" s="28"/>
      <c r="G21" s="1" t="s">
        <v>4</v>
      </c>
      <c r="H21" s="1" t="s">
        <v>5</v>
      </c>
    </row>
    <row r="22" spans="1:8" x14ac:dyDescent="0.25">
      <c r="A22" s="39"/>
      <c r="B22" s="1"/>
      <c r="C22" s="1"/>
      <c r="D22" s="1"/>
      <c r="E22" s="28"/>
      <c r="F22" s="28"/>
      <c r="G22" s="1"/>
      <c r="H22" s="1"/>
    </row>
    <row r="23" spans="1:8" x14ac:dyDescent="0.25">
      <c r="A23" s="39"/>
      <c r="B23" s="1"/>
      <c r="C23" s="1"/>
      <c r="D23" s="1"/>
      <c r="E23" s="28"/>
      <c r="F23" s="28"/>
      <c r="G23" s="1"/>
      <c r="H23" s="1"/>
    </row>
    <row r="24" spans="1:8" x14ac:dyDescent="0.25">
      <c r="A24" s="39"/>
      <c r="B24" s="1"/>
      <c r="C24" s="1"/>
      <c r="D24" s="1"/>
      <c r="E24" s="28"/>
      <c r="F24" s="28"/>
      <c r="G24" s="1"/>
      <c r="H24" s="1"/>
    </row>
    <row r="25" spans="1:8" x14ac:dyDescent="0.25">
      <c r="A25" s="39"/>
      <c r="B25" s="1"/>
      <c r="C25" s="1"/>
      <c r="D25" s="1"/>
      <c r="E25" s="28"/>
      <c r="F25" s="28"/>
      <c r="G25" s="1"/>
      <c r="H25" s="1"/>
    </row>
    <row r="26" spans="1:8" x14ac:dyDescent="0.25">
      <c r="A26" s="39"/>
      <c r="B26" s="40" t="s">
        <v>8</v>
      </c>
      <c r="C26" s="41"/>
      <c r="D26" s="42"/>
      <c r="E26" s="29"/>
      <c r="F26" s="29"/>
      <c r="G26" s="3"/>
      <c r="H26" s="1"/>
    </row>
    <row r="27" spans="1:8" x14ac:dyDescent="0.25">
      <c r="A27" s="1" t="s">
        <v>19</v>
      </c>
      <c r="B27" s="1" t="s">
        <v>1</v>
      </c>
      <c r="C27" s="1" t="s">
        <v>2</v>
      </c>
      <c r="D27" s="1" t="s">
        <v>3</v>
      </c>
      <c r="E27" s="28" t="s">
        <v>161</v>
      </c>
      <c r="F27" s="28"/>
      <c r="G27" s="1" t="s">
        <v>4</v>
      </c>
      <c r="H27" s="1" t="s">
        <v>5</v>
      </c>
    </row>
    <row r="28" spans="1:8" x14ac:dyDescent="0.25">
      <c r="A28" s="39" t="s">
        <v>83</v>
      </c>
      <c r="B28" s="1" t="s">
        <v>84</v>
      </c>
      <c r="C28" s="1" t="s">
        <v>38</v>
      </c>
      <c r="D28" s="1">
        <v>25.2</v>
      </c>
      <c r="E28" s="28">
        <v>15</v>
      </c>
      <c r="F28" s="28" t="s">
        <v>162</v>
      </c>
      <c r="G28" s="1">
        <f>E28*D28</f>
        <v>378</v>
      </c>
      <c r="H28" s="1"/>
    </row>
    <row r="29" spans="1:8" x14ac:dyDescent="0.25">
      <c r="A29" s="39"/>
      <c r="B29" s="1" t="s">
        <v>85</v>
      </c>
      <c r="C29" s="1" t="s">
        <v>86</v>
      </c>
      <c r="D29" s="1">
        <v>98.4</v>
      </c>
      <c r="E29" s="28">
        <v>10</v>
      </c>
      <c r="F29" s="28" t="s">
        <v>162</v>
      </c>
      <c r="G29" s="28">
        <f>E29*D29</f>
        <v>984</v>
      </c>
      <c r="H29" s="1"/>
    </row>
    <row r="30" spans="1:8" x14ac:dyDescent="0.25">
      <c r="A30" s="39"/>
      <c r="B30" s="40" t="s">
        <v>8</v>
      </c>
      <c r="C30" s="41"/>
      <c r="D30" s="42"/>
      <c r="E30" s="29"/>
      <c r="F30" s="29"/>
      <c r="G30" s="19">
        <f>SUM(G28:G29)</f>
        <v>1362</v>
      </c>
      <c r="H30" s="1"/>
    </row>
    <row r="31" spans="1:8" x14ac:dyDescent="0.25">
      <c r="A31" s="1" t="s">
        <v>22</v>
      </c>
      <c r="B31" s="1" t="s">
        <v>1</v>
      </c>
      <c r="C31" s="1" t="s">
        <v>2</v>
      </c>
      <c r="D31" s="1" t="s">
        <v>3</v>
      </c>
      <c r="E31" s="29" t="s">
        <v>161</v>
      </c>
      <c r="F31" s="29"/>
      <c r="G31" s="3" t="s">
        <v>4</v>
      </c>
      <c r="H31" s="1" t="s">
        <v>5</v>
      </c>
    </row>
    <row r="32" spans="1:8" x14ac:dyDescent="0.25">
      <c r="A32" s="49"/>
      <c r="B32" s="1" t="s">
        <v>164</v>
      </c>
      <c r="C32" s="1"/>
      <c r="D32" s="1">
        <v>30.6</v>
      </c>
      <c r="E32" s="28">
        <v>65</v>
      </c>
      <c r="F32" s="28" t="s">
        <v>162</v>
      </c>
      <c r="G32" s="1">
        <f>E32*D32</f>
        <v>1989</v>
      </c>
      <c r="H32" s="1"/>
    </row>
    <row r="33" spans="1:8" x14ac:dyDescent="0.25">
      <c r="A33" s="50"/>
      <c r="B33" s="28" t="s">
        <v>165</v>
      </c>
      <c r="C33" s="28"/>
      <c r="D33" s="28">
        <v>12.6</v>
      </c>
      <c r="E33" s="28">
        <v>2</v>
      </c>
      <c r="F33" s="28" t="s">
        <v>162</v>
      </c>
      <c r="G33" s="28">
        <f t="shared" ref="G33:G34" si="1">E33*D33</f>
        <v>25.2</v>
      </c>
      <c r="H33" s="28"/>
    </row>
    <row r="34" spans="1:8" x14ac:dyDescent="0.25">
      <c r="A34" s="50"/>
      <c r="B34" s="28" t="s">
        <v>166</v>
      </c>
      <c r="C34" s="28"/>
      <c r="D34" s="28">
        <v>85</v>
      </c>
      <c r="E34" s="28">
        <v>4</v>
      </c>
      <c r="F34" s="28" t="s">
        <v>162</v>
      </c>
      <c r="G34" s="28">
        <f t="shared" si="1"/>
        <v>340</v>
      </c>
      <c r="H34" s="28"/>
    </row>
    <row r="35" spans="1:8" x14ac:dyDescent="0.25">
      <c r="A35" s="50"/>
      <c r="B35" s="1" t="s">
        <v>167</v>
      </c>
      <c r="C35" s="1" t="s">
        <v>168</v>
      </c>
      <c r="D35" s="1">
        <v>36.479999999999997</v>
      </c>
      <c r="E35" s="28"/>
      <c r="F35" s="28"/>
      <c r="G35" s="34"/>
      <c r="H35" s="1"/>
    </row>
    <row r="36" spans="1:8" x14ac:dyDescent="0.25">
      <c r="A36" s="51"/>
      <c r="B36" s="40" t="s">
        <v>8</v>
      </c>
      <c r="C36" s="41"/>
      <c r="D36" s="42"/>
      <c r="E36" s="29"/>
      <c r="F36" s="29"/>
      <c r="G36" s="18">
        <f>SUM(G32:G35)</f>
        <v>2354.1999999999998</v>
      </c>
      <c r="H36" s="9"/>
    </row>
    <row r="37" spans="1:8" x14ac:dyDescent="0.25">
      <c r="A37" s="10" t="s">
        <v>23</v>
      </c>
      <c r="B37" s="1" t="s">
        <v>1</v>
      </c>
      <c r="C37" s="1" t="s">
        <v>2</v>
      </c>
      <c r="D37" s="1" t="s">
        <v>3</v>
      </c>
      <c r="E37" s="28" t="s">
        <v>161</v>
      </c>
      <c r="F37" s="28"/>
      <c r="G37" s="1" t="s">
        <v>4</v>
      </c>
      <c r="H37" s="1"/>
    </row>
    <row r="38" spans="1:8" x14ac:dyDescent="0.25">
      <c r="A38" s="39"/>
      <c r="B38" s="1"/>
      <c r="C38" s="1"/>
      <c r="D38" s="1"/>
      <c r="E38" s="28"/>
      <c r="F38" s="28"/>
      <c r="G38" s="1"/>
      <c r="H38" s="1"/>
    </row>
    <row r="39" spans="1:8" x14ac:dyDescent="0.25">
      <c r="A39" s="39"/>
      <c r="B39" s="1"/>
      <c r="C39" s="1"/>
      <c r="D39" s="1"/>
      <c r="E39" s="28"/>
      <c r="F39" s="28"/>
      <c r="G39" s="1"/>
      <c r="H39" s="1"/>
    </row>
    <row r="40" spans="1:8" x14ac:dyDescent="0.25">
      <c r="A40" s="39"/>
      <c r="B40" s="1"/>
      <c r="C40" s="1"/>
      <c r="D40" s="1"/>
      <c r="E40" s="28"/>
      <c r="F40" s="28"/>
      <c r="G40" s="1"/>
      <c r="H40" s="1"/>
    </row>
    <row r="41" spans="1:8" x14ac:dyDescent="0.25">
      <c r="A41" s="39"/>
      <c r="B41" s="1"/>
      <c r="C41" s="1"/>
      <c r="D41" s="1"/>
      <c r="E41" s="28"/>
      <c r="F41" s="28"/>
      <c r="G41" s="1"/>
      <c r="H41" s="1"/>
    </row>
    <row r="42" spans="1:8" x14ac:dyDescent="0.25">
      <c r="A42" s="39"/>
      <c r="B42" s="40" t="s">
        <v>8</v>
      </c>
      <c r="C42" s="41"/>
      <c r="D42" s="42"/>
      <c r="E42" s="29"/>
      <c r="F42" s="29"/>
      <c r="G42" s="3"/>
      <c r="H42" s="1"/>
    </row>
    <row r="43" spans="1:8" x14ac:dyDescent="0.25">
      <c r="A43" s="1"/>
      <c r="B43" s="46" t="s">
        <v>24</v>
      </c>
      <c r="C43" s="47"/>
      <c r="D43" s="48"/>
      <c r="E43" s="30"/>
      <c r="F43" s="30"/>
      <c r="G43" s="35">
        <f>G36+G30+G20+G14+G7</f>
        <v>15262</v>
      </c>
      <c r="H43" s="1"/>
    </row>
  </sheetData>
  <mergeCells count="16">
    <mergeCell ref="A38:A42"/>
    <mergeCell ref="B42:D42"/>
    <mergeCell ref="B43:D43"/>
    <mergeCell ref="A22:A26"/>
    <mergeCell ref="B26:D26"/>
    <mergeCell ref="A28:A30"/>
    <mergeCell ref="B30:D30"/>
    <mergeCell ref="A32:A36"/>
    <mergeCell ref="B36:D36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6"/>
  <sheetViews>
    <sheetView topLeftCell="A32" workbookViewId="0">
      <selection activeCell="H46" sqref="H4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43" t="s">
        <v>29</v>
      </c>
      <c r="B1" s="44"/>
      <c r="C1" s="44"/>
      <c r="D1" s="44"/>
      <c r="E1" s="44"/>
      <c r="F1" s="44"/>
      <c r="G1" s="44"/>
      <c r="H1" s="45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31" t="s">
        <v>170</v>
      </c>
      <c r="F2" s="31"/>
      <c r="G2" s="1" t="s">
        <v>4</v>
      </c>
      <c r="H2" s="1" t="s">
        <v>5</v>
      </c>
    </row>
    <row r="3" spans="1:11" x14ac:dyDescent="0.25">
      <c r="A3" s="39" t="s">
        <v>94</v>
      </c>
      <c r="B3" s="1" t="s">
        <v>99</v>
      </c>
      <c r="C3" s="1" t="s">
        <v>105</v>
      </c>
      <c r="D3" s="1">
        <v>75</v>
      </c>
      <c r="E3" s="31">
        <v>65</v>
      </c>
      <c r="F3" s="31" t="s">
        <v>177</v>
      </c>
      <c r="G3" s="1">
        <f>E3*D3</f>
        <v>4875</v>
      </c>
      <c r="H3" s="1"/>
    </row>
    <row r="4" spans="1:11" x14ac:dyDescent="0.25">
      <c r="A4" s="39"/>
      <c r="B4" s="1" t="s">
        <v>100</v>
      </c>
      <c r="C4" s="1" t="s">
        <v>104</v>
      </c>
      <c r="D4" s="1">
        <v>271</v>
      </c>
      <c r="E4" s="31">
        <v>4</v>
      </c>
      <c r="F4" s="31" t="s">
        <v>169</v>
      </c>
      <c r="G4" s="31">
        <f t="shared" ref="G4:G5" si="0">E4*D4</f>
        <v>1084</v>
      </c>
      <c r="H4" s="1"/>
    </row>
    <row r="5" spans="1:11" x14ac:dyDescent="0.25">
      <c r="A5" s="39"/>
      <c r="B5" s="1" t="s">
        <v>14</v>
      </c>
      <c r="C5" s="1" t="s">
        <v>15</v>
      </c>
      <c r="D5" s="1">
        <v>25.5</v>
      </c>
      <c r="E5" s="31">
        <v>5</v>
      </c>
      <c r="F5" s="31" t="s">
        <v>177</v>
      </c>
      <c r="G5" s="31">
        <f t="shared" si="0"/>
        <v>127.5</v>
      </c>
      <c r="H5" s="1"/>
    </row>
    <row r="6" spans="1:11" x14ac:dyDescent="0.25">
      <c r="A6" s="39"/>
      <c r="B6" s="1"/>
      <c r="C6" s="1"/>
      <c r="D6" s="1"/>
      <c r="E6" s="32"/>
      <c r="F6" s="32"/>
      <c r="G6" s="3"/>
      <c r="H6" s="1"/>
    </row>
    <row r="7" spans="1:11" x14ac:dyDescent="0.25">
      <c r="A7" s="39"/>
      <c r="B7" s="40" t="s">
        <v>8</v>
      </c>
      <c r="C7" s="41"/>
      <c r="D7" s="42"/>
      <c r="E7" s="32"/>
      <c r="F7" s="32"/>
      <c r="G7" s="18">
        <f>SUM(G3:G6)</f>
        <v>6086.5</v>
      </c>
      <c r="H7" s="1"/>
    </row>
    <row r="8" spans="1:11" x14ac:dyDescent="0.25">
      <c r="A8" s="1" t="s">
        <v>9</v>
      </c>
      <c r="B8" s="1" t="s">
        <v>1</v>
      </c>
      <c r="C8" s="1" t="s">
        <v>2</v>
      </c>
      <c r="D8" s="1" t="s">
        <v>3</v>
      </c>
      <c r="E8" s="31" t="s">
        <v>170</v>
      </c>
      <c r="F8" s="31"/>
      <c r="G8" s="1" t="s">
        <v>4</v>
      </c>
      <c r="H8" s="1" t="s">
        <v>5</v>
      </c>
      <c r="K8" s="5"/>
    </row>
    <row r="9" spans="1:11" x14ac:dyDescent="0.25">
      <c r="A9" s="39" t="s">
        <v>95</v>
      </c>
      <c r="B9" s="1" t="s">
        <v>14</v>
      </c>
      <c r="C9" s="1" t="s">
        <v>15</v>
      </c>
      <c r="D9" s="1">
        <v>25.5</v>
      </c>
      <c r="E9" s="31">
        <v>5</v>
      </c>
      <c r="F9" s="31" t="s">
        <v>177</v>
      </c>
      <c r="G9" s="17">
        <f>E9*D9</f>
        <v>127.5</v>
      </c>
      <c r="H9" s="1"/>
      <c r="K9" s="6"/>
    </row>
    <row r="10" spans="1:11" x14ac:dyDescent="0.25">
      <c r="A10" s="39"/>
      <c r="B10" s="1" t="s">
        <v>10</v>
      </c>
      <c r="C10" s="1" t="s">
        <v>11</v>
      </c>
      <c r="D10" s="1">
        <v>150</v>
      </c>
      <c r="E10" s="31">
        <v>6</v>
      </c>
      <c r="F10" s="31" t="s">
        <v>178</v>
      </c>
      <c r="G10" s="17">
        <f t="shared" ref="G10:G12" si="1">E10*D10</f>
        <v>900</v>
      </c>
      <c r="H10" s="1"/>
      <c r="K10" s="6"/>
    </row>
    <row r="11" spans="1:11" x14ac:dyDescent="0.25">
      <c r="A11" s="39"/>
      <c r="B11" s="1" t="s">
        <v>16</v>
      </c>
      <c r="C11" s="1" t="s">
        <v>15</v>
      </c>
      <c r="D11" s="1">
        <v>85</v>
      </c>
      <c r="E11" s="31">
        <v>5</v>
      </c>
      <c r="F11" s="31" t="s">
        <v>177</v>
      </c>
      <c r="G11" s="17">
        <f t="shared" si="1"/>
        <v>425</v>
      </c>
      <c r="H11" s="1"/>
      <c r="K11" s="6"/>
    </row>
    <row r="12" spans="1:11" x14ac:dyDescent="0.25">
      <c r="A12" s="39"/>
      <c r="B12" s="1" t="s">
        <v>49</v>
      </c>
      <c r="C12" s="1" t="s">
        <v>17</v>
      </c>
      <c r="D12" s="1">
        <v>12.6</v>
      </c>
      <c r="E12" s="31">
        <v>4</v>
      </c>
      <c r="F12" s="31" t="s">
        <v>177</v>
      </c>
      <c r="G12" s="17">
        <f t="shared" si="1"/>
        <v>50.4</v>
      </c>
      <c r="H12" s="1"/>
      <c r="K12" s="6"/>
    </row>
    <row r="13" spans="1:11" x14ac:dyDescent="0.25">
      <c r="A13" s="39"/>
      <c r="B13" s="1"/>
      <c r="C13" s="1"/>
      <c r="D13" s="1"/>
      <c r="E13" s="31"/>
      <c r="F13" s="31"/>
      <c r="G13" s="1"/>
      <c r="H13" s="1"/>
      <c r="K13" s="7"/>
    </row>
    <row r="14" spans="1:11" x14ac:dyDescent="0.25">
      <c r="A14" s="39"/>
      <c r="B14" s="40" t="s">
        <v>8</v>
      </c>
      <c r="C14" s="41"/>
      <c r="D14" s="42"/>
      <c r="E14" s="32"/>
      <c r="F14" s="32"/>
      <c r="G14" s="18">
        <f>SUM(G9:G13)</f>
        <v>1502.9</v>
      </c>
      <c r="H14" s="1"/>
    </row>
    <row r="15" spans="1:11" x14ac:dyDescent="0.25">
      <c r="A15" s="1" t="s">
        <v>12</v>
      </c>
      <c r="B15" s="1" t="s">
        <v>1</v>
      </c>
      <c r="C15" s="1" t="s">
        <v>2</v>
      </c>
      <c r="D15" s="1" t="s">
        <v>3</v>
      </c>
      <c r="E15" s="31" t="s">
        <v>170</v>
      </c>
      <c r="F15" s="31"/>
      <c r="G15" s="1" t="s">
        <v>4</v>
      </c>
      <c r="H15" s="1" t="s">
        <v>5</v>
      </c>
    </row>
    <row r="16" spans="1:11" x14ac:dyDescent="0.25">
      <c r="A16" s="39" t="s">
        <v>96</v>
      </c>
      <c r="B16" s="1" t="s">
        <v>101</v>
      </c>
      <c r="C16" s="1" t="s">
        <v>103</v>
      </c>
      <c r="D16" s="1">
        <v>49.98</v>
      </c>
      <c r="E16" s="31">
        <v>50</v>
      </c>
      <c r="F16" s="31" t="s">
        <v>177</v>
      </c>
      <c r="G16" s="1">
        <f>E16*D16</f>
        <v>2499</v>
      </c>
      <c r="H16" s="1"/>
    </row>
    <row r="17" spans="1:8" x14ac:dyDescent="0.25">
      <c r="A17" s="39"/>
      <c r="B17" s="1" t="s">
        <v>102</v>
      </c>
      <c r="C17" s="1" t="s">
        <v>15</v>
      </c>
      <c r="D17" s="1">
        <v>93</v>
      </c>
      <c r="E17" s="31">
        <v>5</v>
      </c>
      <c r="F17" s="31" t="s">
        <v>177</v>
      </c>
      <c r="G17" s="31">
        <f>E17*D17</f>
        <v>465</v>
      </c>
      <c r="H17" s="1"/>
    </row>
    <row r="18" spans="1:8" x14ac:dyDescent="0.25">
      <c r="A18" s="39"/>
      <c r="B18" s="1"/>
      <c r="C18" s="1"/>
      <c r="D18" s="1"/>
      <c r="E18" s="31"/>
      <c r="F18" s="31"/>
      <c r="G18" s="1"/>
      <c r="H18" s="1"/>
    </row>
    <row r="19" spans="1:8" x14ac:dyDescent="0.25">
      <c r="A19" s="39"/>
      <c r="B19" s="1"/>
      <c r="C19" s="1"/>
      <c r="D19" s="1"/>
      <c r="E19" s="32"/>
      <c r="F19" s="32"/>
      <c r="G19" s="3"/>
      <c r="H19" s="1"/>
    </row>
    <row r="20" spans="1:8" x14ac:dyDescent="0.25">
      <c r="A20" s="39"/>
      <c r="B20" s="40" t="s">
        <v>8</v>
      </c>
      <c r="C20" s="41"/>
      <c r="D20" s="42"/>
      <c r="E20" s="32"/>
      <c r="F20" s="32"/>
      <c r="G20" s="19">
        <f>SUM(G16:G19)</f>
        <v>2964</v>
      </c>
      <c r="H20" s="1"/>
    </row>
    <row r="21" spans="1:8" x14ac:dyDescent="0.25">
      <c r="A21" s="8" t="s">
        <v>18</v>
      </c>
      <c r="B21" s="1" t="s">
        <v>1</v>
      </c>
      <c r="C21" s="1" t="s">
        <v>2</v>
      </c>
      <c r="D21" s="1" t="s">
        <v>3</v>
      </c>
      <c r="E21" s="31" t="s">
        <v>170</v>
      </c>
      <c r="F21" s="31"/>
      <c r="G21" s="1" t="s">
        <v>4</v>
      </c>
      <c r="H21" s="1" t="s">
        <v>5</v>
      </c>
    </row>
    <row r="22" spans="1:8" x14ac:dyDescent="0.25">
      <c r="A22" s="39"/>
      <c r="B22" s="1" t="s">
        <v>184</v>
      </c>
      <c r="C22" s="1"/>
      <c r="D22" s="1">
        <v>235</v>
      </c>
      <c r="E22" s="31">
        <v>1</v>
      </c>
      <c r="F22" s="31" t="s">
        <v>191</v>
      </c>
      <c r="G22" s="1">
        <f>E22*D22</f>
        <v>235</v>
      </c>
      <c r="H22" s="1"/>
    </row>
    <row r="23" spans="1:8" x14ac:dyDescent="0.25">
      <c r="A23" s="39"/>
      <c r="B23" s="1" t="s">
        <v>185</v>
      </c>
      <c r="C23" s="1"/>
      <c r="D23" s="1">
        <v>225</v>
      </c>
      <c r="E23" s="38">
        <v>2</v>
      </c>
      <c r="F23" s="31" t="s">
        <v>191</v>
      </c>
      <c r="G23" s="31">
        <f t="shared" ref="G23:G28" si="2">E23*D23</f>
        <v>450</v>
      </c>
      <c r="H23" s="1"/>
    </row>
    <row r="24" spans="1:8" x14ac:dyDescent="0.25">
      <c r="A24" s="39"/>
      <c r="B24" s="1" t="s">
        <v>186</v>
      </c>
      <c r="C24" s="1"/>
      <c r="D24" s="1">
        <v>291</v>
      </c>
      <c r="E24" s="31">
        <v>2</v>
      </c>
      <c r="F24" s="31" t="s">
        <v>191</v>
      </c>
      <c r="G24" s="31">
        <f t="shared" si="2"/>
        <v>582</v>
      </c>
      <c r="H24" s="1"/>
    </row>
    <row r="25" spans="1:8" x14ac:dyDescent="0.25">
      <c r="A25" s="39"/>
      <c r="B25" s="1" t="s">
        <v>187</v>
      </c>
      <c r="C25" s="1"/>
      <c r="D25" s="1">
        <v>49.2</v>
      </c>
      <c r="E25" s="31">
        <v>20</v>
      </c>
      <c r="F25" s="31" t="s">
        <v>177</v>
      </c>
      <c r="G25" s="31">
        <f t="shared" si="2"/>
        <v>984</v>
      </c>
      <c r="H25" s="1"/>
    </row>
    <row r="26" spans="1:8" x14ac:dyDescent="0.25">
      <c r="A26" s="39"/>
      <c r="B26" s="31" t="s">
        <v>188</v>
      </c>
      <c r="C26" s="31"/>
      <c r="D26" s="31">
        <v>24.3</v>
      </c>
      <c r="E26" s="32">
        <v>6</v>
      </c>
      <c r="F26" s="31" t="s">
        <v>177</v>
      </c>
      <c r="G26" s="31">
        <f t="shared" si="2"/>
        <v>145.80000000000001</v>
      </c>
      <c r="H26" s="31"/>
    </row>
    <row r="27" spans="1:8" x14ac:dyDescent="0.25">
      <c r="A27" s="39"/>
      <c r="B27" s="31" t="s">
        <v>189</v>
      </c>
      <c r="C27" s="31"/>
      <c r="D27" s="31">
        <v>62.1</v>
      </c>
      <c r="E27" s="32">
        <v>3</v>
      </c>
      <c r="F27" s="31" t="s">
        <v>177</v>
      </c>
      <c r="G27" s="31">
        <f t="shared" si="2"/>
        <v>186.3</v>
      </c>
      <c r="H27" s="31"/>
    </row>
    <row r="28" spans="1:8" x14ac:dyDescent="0.25">
      <c r="A28" s="39"/>
      <c r="B28" s="31" t="s">
        <v>190</v>
      </c>
      <c r="C28" s="31"/>
      <c r="D28" s="31">
        <v>12.6</v>
      </c>
      <c r="E28" s="32">
        <v>0.5</v>
      </c>
      <c r="F28" s="31" t="s">
        <v>177</v>
      </c>
      <c r="G28" s="31">
        <f t="shared" si="2"/>
        <v>6.3</v>
      </c>
      <c r="H28" s="31"/>
    </row>
    <row r="29" spans="1:8" x14ac:dyDescent="0.25">
      <c r="A29" s="39"/>
      <c r="B29" s="40" t="s">
        <v>8</v>
      </c>
      <c r="C29" s="41"/>
      <c r="D29" s="42"/>
      <c r="E29" s="32"/>
      <c r="F29" s="32"/>
      <c r="G29" s="18">
        <f>SUM(G22:G28)</f>
        <v>2589.4000000000005</v>
      </c>
      <c r="H29" s="1"/>
    </row>
    <row r="30" spans="1:8" x14ac:dyDescent="0.25">
      <c r="A30" s="1" t="s">
        <v>19</v>
      </c>
      <c r="B30" s="1" t="s">
        <v>1</v>
      </c>
      <c r="C30" s="1" t="s">
        <v>2</v>
      </c>
      <c r="D30" s="1" t="s">
        <v>3</v>
      </c>
      <c r="E30" s="31" t="s">
        <v>170</v>
      </c>
      <c r="F30" s="31"/>
      <c r="G30" s="1" t="s">
        <v>4</v>
      </c>
      <c r="H30" s="1" t="s">
        <v>5</v>
      </c>
    </row>
    <row r="31" spans="1:8" x14ac:dyDescent="0.25">
      <c r="A31" s="39" t="s">
        <v>97</v>
      </c>
      <c r="B31" s="1" t="s">
        <v>98</v>
      </c>
      <c r="C31" s="1"/>
      <c r="D31" s="1"/>
      <c r="E31" s="31"/>
      <c r="F31" s="31"/>
      <c r="G31" s="1"/>
      <c r="H31" s="1" t="s">
        <v>21</v>
      </c>
    </row>
    <row r="32" spans="1:8" x14ac:dyDescent="0.25">
      <c r="A32" s="39"/>
      <c r="B32" s="1"/>
      <c r="C32" s="1"/>
      <c r="D32" s="1"/>
      <c r="E32" s="31"/>
      <c r="F32" s="31"/>
      <c r="G32" s="1"/>
      <c r="H32" s="1"/>
    </row>
    <row r="33" spans="1:8" x14ac:dyDescent="0.25">
      <c r="A33" s="39"/>
      <c r="B33" s="40" t="s">
        <v>8</v>
      </c>
      <c r="C33" s="41"/>
      <c r="D33" s="42"/>
      <c r="E33" s="32"/>
      <c r="F33" s="32"/>
      <c r="G33" s="3"/>
      <c r="H33" s="1"/>
    </row>
    <row r="34" spans="1:8" x14ac:dyDescent="0.25">
      <c r="A34" s="1" t="s">
        <v>22</v>
      </c>
      <c r="B34" s="1" t="s">
        <v>1</v>
      </c>
      <c r="C34" s="1" t="s">
        <v>2</v>
      </c>
      <c r="D34" s="1" t="s">
        <v>3</v>
      </c>
      <c r="E34" s="32" t="s">
        <v>170</v>
      </c>
      <c r="F34" s="32"/>
      <c r="G34" s="3" t="s">
        <v>4</v>
      </c>
      <c r="H34" s="1" t="s">
        <v>5</v>
      </c>
    </row>
    <row r="35" spans="1:8" x14ac:dyDescent="0.25">
      <c r="A35" s="49"/>
      <c r="B35" s="1" t="s">
        <v>171</v>
      </c>
      <c r="C35" s="1"/>
      <c r="D35" s="1">
        <v>70</v>
      </c>
      <c r="E35" s="31">
        <v>30</v>
      </c>
      <c r="F35" s="31" t="s">
        <v>172</v>
      </c>
      <c r="G35" s="1">
        <f>D35*E35</f>
        <v>2100</v>
      </c>
      <c r="H35" s="1"/>
    </row>
    <row r="36" spans="1:8" x14ac:dyDescent="0.25">
      <c r="A36" s="50"/>
      <c r="B36" s="36" t="s">
        <v>179</v>
      </c>
      <c r="C36" s="31"/>
      <c r="D36" s="31">
        <v>36.479999999999997</v>
      </c>
      <c r="E36" s="37"/>
      <c r="H36" s="31"/>
    </row>
    <row r="37" spans="1:8" x14ac:dyDescent="0.25">
      <c r="A37" s="50"/>
      <c r="B37" s="31"/>
      <c r="C37" s="31"/>
      <c r="D37" s="31"/>
      <c r="E37" s="31"/>
      <c r="F37" s="31"/>
      <c r="G37" s="31"/>
      <c r="H37" s="31"/>
    </row>
    <row r="38" spans="1:8" x14ac:dyDescent="0.25">
      <c r="A38" s="50"/>
      <c r="B38" s="1"/>
      <c r="C38" s="1"/>
      <c r="D38" s="1"/>
      <c r="E38" s="31"/>
      <c r="F38" s="31"/>
      <c r="G38" s="1"/>
      <c r="H38" s="1"/>
    </row>
    <row r="39" spans="1:8" x14ac:dyDescent="0.25">
      <c r="A39" s="51"/>
      <c r="B39" s="40" t="s">
        <v>8</v>
      </c>
      <c r="C39" s="41"/>
      <c r="D39" s="42"/>
      <c r="E39" s="32"/>
      <c r="F39" s="32"/>
      <c r="G39" s="19">
        <f>SUM(G35:G38)</f>
        <v>2100</v>
      </c>
      <c r="H39" s="9"/>
    </row>
    <row r="40" spans="1:8" x14ac:dyDescent="0.25">
      <c r="A40" s="10" t="s">
        <v>23</v>
      </c>
      <c r="B40" s="1" t="s">
        <v>1</v>
      </c>
      <c r="C40" s="1" t="s">
        <v>2</v>
      </c>
      <c r="D40" s="1" t="s">
        <v>3</v>
      </c>
      <c r="E40" s="31" t="s">
        <v>170</v>
      </c>
      <c r="F40" s="31"/>
      <c r="G40" s="1" t="s">
        <v>4</v>
      </c>
      <c r="H40" s="1"/>
    </row>
    <row r="41" spans="1:8" x14ac:dyDescent="0.25">
      <c r="A41" s="39"/>
      <c r="B41" s="31" t="s">
        <v>173</v>
      </c>
      <c r="C41" s="1"/>
      <c r="D41" s="31">
        <v>10</v>
      </c>
      <c r="E41" s="31">
        <v>24</v>
      </c>
      <c r="F41" s="31" t="s">
        <v>174</v>
      </c>
      <c r="G41" s="31">
        <f>D41*E41</f>
        <v>240</v>
      </c>
      <c r="H41" s="1"/>
    </row>
    <row r="42" spans="1:8" x14ac:dyDescent="0.25">
      <c r="A42" s="39"/>
      <c r="B42" s="31" t="s">
        <v>175</v>
      </c>
      <c r="C42" s="31"/>
      <c r="D42" s="31">
        <v>226</v>
      </c>
      <c r="E42" s="31">
        <v>1</v>
      </c>
      <c r="F42" s="31" t="s">
        <v>176</v>
      </c>
      <c r="G42" s="31">
        <f>E42*D42</f>
        <v>226</v>
      </c>
      <c r="H42" s="1"/>
    </row>
    <row r="43" spans="1:8" x14ac:dyDescent="0.25">
      <c r="A43" s="39"/>
      <c r="B43" s="31" t="s">
        <v>180</v>
      </c>
      <c r="C43" s="31" t="s">
        <v>181</v>
      </c>
      <c r="D43" s="31">
        <v>69</v>
      </c>
      <c r="E43" s="37"/>
      <c r="F43" s="31"/>
      <c r="G43" s="31">
        <f t="shared" ref="G43:G44" si="3">E43*D43</f>
        <v>0</v>
      </c>
      <c r="H43" s="1"/>
    </row>
    <row r="44" spans="1:8" x14ac:dyDescent="0.25">
      <c r="A44" s="39"/>
      <c r="B44" s="31" t="s">
        <v>182</v>
      </c>
      <c r="C44" s="31" t="s">
        <v>181</v>
      </c>
      <c r="D44" s="31">
        <v>10</v>
      </c>
      <c r="E44" s="31">
        <v>30</v>
      </c>
      <c r="F44" s="31" t="s">
        <v>183</v>
      </c>
      <c r="G44" s="31">
        <f t="shared" si="3"/>
        <v>300</v>
      </c>
      <c r="H44" s="1"/>
    </row>
    <row r="45" spans="1:8" x14ac:dyDescent="0.25">
      <c r="A45" s="39"/>
      <c r="B45" s="40" t="s">
        <v>8</v>
      </c>
      <c r="C45" s="41"/>
      <c r="D45" s="42"/>
      <c r="E45" s="32"/>
      <c r="F45" s="32"/>
      <c r="G45" s="19">
        <f>SUM(G41:G44)</f>
        <v>766</v>
      </c>
      <c r="H45" s="1"/>
    </row>
    <row r="46" spans="1:8" x14ac:dyDescent="0.25">
      <c r="A46" s="1"/>
      <c r="B46" s="46" t="s">
        <v>24</v>
      </c>
      <c r="C46" s="47"/>
      <c r="D46" s="48"/>
      <c r="E46" s="33"/>
      <c r="F46" s="33"/>
      <c r="G46" s="35">
        <f>G45+G39+G29+G20+G14+G7</f>
        <v>16008.800000000001</v>
      </c>
      <c r="H46" s="1"/>
    </row>
  </sheetData>
  <mergeCells count="16">
    <mergeCell ref="A41:A45"/>
    <mergeCell ref="B45:D45"/>
    <mergeCell ref="B46:D46"/>
    <mergeCell ref="A22:A29"/>
    <mergeCell ref="B29:D29"/>
    <mergeCell ref="A31:A33"/>
    <mergeCell ref="B33:D33"/>
    <mergeCell ref="A35:A39"/>
    <mergeCell ref="B39:D39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0812+</vt:lpstr>
      <vt:lpstr>0813+</vt:lpstr>
      <vt:lpstr>0814</vt:lpstr>
      <vt:lpstr>0815</vt:lpstr>
      <vt:lpstr>0816</vt:lpstr>
      <vt:lpstr>'0812+'!Print_Area</vt:lpstr>
      <vt:lpstr>'0813+'!Print_Area</vt:lpstr>
      <vt:lpstr>'0814'!Print_Area</vt:lpstr>
      <vt:lpstr>'0815'!Print_Area</vt:lpstr>
      <vt:lpstr>'0816'!Print_Area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2024-08-16T07:34:45Z</cp:lastPrinted>
  <dcterms:created xsi:type="dcterms:W3CDTF">2024-07-31T07:33:42Z</dcterms:created>
  <dcterms:modified xsi:type="dcterms:W3CDTF">2024-08-20T01:15:44Z</dcterms:modified>
</cp:coreProperties>
</file>