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9月份\"/>
    </mc:Choice>
  </mc:AlternateContent>
  <bookViews>
    <workbookView xWindow="0" yWindow="0" windowWidth="28800" windowHeight="12255" activeTab="3"/>
  </bookViews>
  <sheets>
    <sheet name="0916" sheetId="1" r:id="rId1"/>
    <sheet name="0918" sheetId="2" r:id="rId2"/>
    <sheet name="0919" sheetId="3" r:id="rId3"/>
    <sheet name="0920" sheetId="4" r:id="rId4"/>
  </sheets>
  <definedNames>
    <definedName name="_xlnm.Print_Area" localSheetId="0">'0916'!$A$1:$H$42</definedName>
    <definedName name="_xlnm.Print_Area" localSheetId="1">'0918'!$A$1:$H$44</definedName>
    <definedName name="_xlnm.Print_Area" localSheetId="2">'0919'!$A$1:$H$40</definedName>
    <definedName name="_xlnm.Print_Area" localSheetId="3">'0920'!$A$1:$H$47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4" l="1"/>
  <c r="G46" i="4"/>
  <c r="G30" i="4"/>
  <c r="G29" i="4"/>
  <c r="G23" i="4"/>
  <c r="G24" i="4"/>
  <c r="G25" i="4"/>
  <c r="G26" i="4"/>
  <c r="G27" i="4"/>
  <c r="G28" i="4"/>
  <c r="G45" i="4"/>
  <c r="G41" i="4"/>
  <c r="G42" i="4"/>
  <c r="G43" i="4"/>
  <c r="G44" i="4"/>
  <c r="G40" i="4"/>
  <c r="G38" i="4" l="1"/>
  <c r="G37" i="4"/>
  <c r="G36" i="4"/>
  <c r="G22" i="4"/>
  <c r="G21" i="4"/>
  <c r="G19" i="4"/>
  <c r="G16" i="4"/>
  <c r="G15" i="4"/>
  <c r="G13" i="4"/>
  <c r="G10" i="4"/>
  <c r="G11" i="4"/>
  <c r="G12" i="4"/>
  <c r="G9" i="4"/>
  <c r="G4" i="4"/>
  <c r="G5" i="4"/>
  <c r="G7" i="4" s="1"/>
  <c r="G3" i="4"/>
  <c r="G40" i="3" l="1"/>
  <c r="G39" i="3"/>
  <c r="G33" i="3"/>
  <c r="G32" i="3"/>
  <c r="G19" i="3"/>
  <c r="G15" i="3"/>
  <c r="G16" i="3"/>
  <c r="G29" i="3"/>
  <c r="G27" i="3"/>
  <c r="G28" i="3"/>
  <c r="G13" i="3"/>
  <c r="G10" i="3"/>
  <c r="G11" i="3"/>
  <c r="G9" i="3"/>
  <c r="G7" i="3"/>
  <c r="G4" i="3"/>
  <c r="G5" i="3"/>
  <c r="G3" i="3"/>
  <c r="G31" i="3"/>
  <c r="G44" i="2" l="1"/>
  <c r="G43" i="2"/>
  <c r="G33" i="2"/>
  <c r="G10" i="2"/>
  <c r="G14" i="2" s="1"/>
  <c r="G11" i="2"/>
  <c r="G9" i="2"/>
  <c r="G29" i="2"/>
  <c r="G28" i="2"/>
  <c r="G27" i="2"/>
  <c r="G26" i="2"/>
  <c r="G37" i="2"/>
  <c r="G36" i="2"/>
  <c r="G32" i="2"/>
  <c r="G7" i="2"/>
  <c r="G3" i="2"/>
  <c r="G40" i="2"/>
  <c r="G41" i="2"/>
  <c r="G42" i="2"/>
  <c r="G23" i="2"/>
  <c r="G24" i="2"/>
  <c r="G25" i="2"/>
  <c r="G22" i="2"/>
  <c r="G35" i="2"/>
  <c r="G39" i="2"/>
  <c r="G42" i="1" l="1"/>
  <c r="G41" i="1"/>
  <c r="G38" i="1"/>
  <c r="G39" i="1"/>
  <c r="G35" i="1"/>
  <c r="G34" i="1"/>
  <c r="G27" i="1"/>
  <c r="G19" i="1"/>
  <c r="G16" i="1"/>
  <c r="G15" i="1"/>
  <c r="G13" i="1"/>
  <c r="G10" i="1"/>
  <c r="G11" i="1"/>
  <c r="G9" i="1"/>
  <c r="G26" i="1"/>
  <c r="G25" i="1"/>
  <c r="G24" i="1"/>
  <c r="G23" i="1"/>
  <c r="G22" i="1"/>
  <c r="G21" i="1"/>
  <c r="G7" i="1" l="1"/>
  <c r="G3" i="1"/>
  <c r="G37" i="1"/>
  <c r="G31" i="1"/>
  <c r="G29" i="1"/>
  <c r="G33" i="1"/>
</calcChain>
</file>

<file path=xl/sharedStrings.xml><?xml version="1.0" encoding="utf-8"?>
<sst xmlns="http://schemas.openxmlformats.org/spreadsheetml/2006/main" count="433" uniqueCount="157">
  <si>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</si>
  <si>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</si>
  <si>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</si>
  <si>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</si>
  <si>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</si>
  <si>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</si>
  <si>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240片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</si>
  <si>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</si>
  <si>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</si>
  <si>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去皮洋蔥</t>
    <phoneticPr fontId="2" type="noConversion"/>
  </si>
  <si>
    <t>蛋</t>
    <phoneticPr fontId="2" type="noConversion"/>
  </si>
  <si>
    <t>1件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</si>
  <si>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</si>
  <si>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4.3豆腐</t>
    <phoneticPr fontId="2" type="noConversion"/>
  </si>
  <si>
    <t>6板</t>
    <phoneticPr fontId="2" type="noConversion"/>
  </si>
  <si>
    <t>10斤</t>
    <phoneticPr fontId="2" type="noConversion"/>
  </si>
  <si>
    <t>雜貨</t>
    <phoneticPr fontId="2" type="noConversion"/>
  </si>
  <si>
    <t>湯品</t>
    <phoneticPr fontId="2" type="noConversion"/>
  </si>
  <si>
    <t>5斤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</si>
  <si>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</si>
  <si>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</si>
  <si>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</si>
  <si>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9月   16日      午餐明細表</t>
    <phoneticPr fontId="2" type="noConversion"/>
  </si>
  <si>
    <t>電訊科技中心(安康營區)     113年      9月   18日      午餐明細表</t>
    <phoneticPr fontId="2" type="noConversion"/>
  </si>
  <si>
    <t>電訊科技中心(安康營區)     113年      9月  19日      午餐明細表</t>
    <phoneticPr fontId="2" type="noConversion"/>
  </si>
  <si>
    <t>電訊科技中心(安康營區)     113年      9月   20日      午餐明細表</t>
    <phoneticPr fontId="2" type="noConversion"/>
  </si>
  <si>
    <t>卡拉雞排</t>
    <phoneticPr fontId="2" type="noConversion"/>
  </si>
  <si>
    <t>薑絲南瓜</t>
    <phoneticPr fontId="2" type="noConversion"/>
  </si>
  <si>
    <t>豆干炒肉絲</t>
    <phoneticPr fontId="2" type="noConversion"/>
  </si>
  <si>
    <t>海帶芽蛋花湯</t>
    <phoneticPr fontId="2" type="noConversion"/>
  </si>
  <si>
    <t>乾海帶芽</t>
    <phoneticPr fontId="2" type="noConversion"/>
  </si>
  <si>
    <t>庫存</t>
    <phoneticPr fontId="2" type="noConversion"/>
  </si>
  <si>
    <t>半斤</t>
    <phoneticPr fontId="2" type="noConversion"/>
  </si>
  <si>
    <t>南瓜塊3X3</t>
    <phoneticPr fontId="2" type="noConversion"/>
  </si>
  <si>
    <t>40斤</t>
    <phoneticPr fontId="2" type="noConversion"/>
  </si>
  <si>
    <t>薑絲</t>
    <phoneticPr fontId="2" type="noConversion"/>
  </si>
  <si>
    <t>薑</t>
    <phoneticPr fontId="2" type="noConversion"/>
  </si>
  <si>
    <t>1斤</t>
    <phoneticPr fontId="2" type="noConversion"/>
  </si>
  <si>
    <t>豆干切片</t>
    <phoneticPr fontId="2" type="noConversion"/>
  </si>
  <si>
    <t>豬肉絲</t>
    <phoneticPr fontId="2" type="noConversion"/>
  </si>
  <si>
    <t>15斤</t>
    <phoneticPr fontId="2" type="noConversion"/>
  </si>
  <si>
    <t>25斤</t>
    <phoneticPr fontId="2" type="noConversion"/>
  </si>
  <si>
    <t>滷雞腿</t>
    <phoneticPr fontId="2" type="noConversion"/>
  </si>
  <si>
    <t>滷味拼盤</t>
    <phoneticPr fontId="2" type="noConversion"/>
  </si>
  <si>
    <t>涼麵</t>
    <phoneticPr fontId="2" type="noConversion"/>
  </si>
  <si>
    <t>60斤</t>
    <phoneticPr fontId="2" type="noConversion"/>
  </si>
  <si>
    <t>芝麻醬</t>
    <phoneticPr fontId="2" type="noConversion"/>
  </si>
  <si>
    <t>檸檬汁</t>
    <phoneticPr fontId="2" type="noConversion"/>
  </si>
  <si>
    <t>小黃瓜</t>
    <phoneticPr fontId="2" type="noConversion"/>
  </si>
  <si>
    <t>2瓶</t>
    <phoneticPr fontId="2" type="noConversion"/>
  </si>
  <si>
    <t>3桶</t>
    <phoneticPr fontId="2" type="noConversion"/>
  </si>
  <si>
    <t>1箱</t>
    <phoneticPr fontId="2" type="noConversion"/>
  </si>
  <si>
    <t>棒腿</t>
    <phoneticPr fontId="2" type="noConversion"/>
  </si>
  <si>
    <t>260隻</t>
    <phoneticPr fontId="2" type="noConversion"/>
  </si>
  <si>
    <t>2X2豆干</t>
    <phoneticPr fontId="2" type="noConversion"/>
  </si>
  <si>
    <t>紅燒豬腳</t>
    <phoneticPr fontId="2" type="noConversion"/>
  </si>
  <si>
    <t>香菇筍干</t>
    <phoneticPr fontId="2" type="noConversion"/>
  </si>
  <si>
    <t>玉米蒸蛋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</si>
  <si>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</si>
  <si>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</si>
  <si>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</si>
  <si>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</si>
  <si>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冷凍玉米粒</t>
    <phoneticPr fontId="2" type="noConversion"/>
  </si>
  <si>
    <t>豬腳丁</t>
    <phoneticPr fontId="2" type="noConversion"/>
  </si>
  <si>
    <t>紅蘿蔔</t>
    <phoneticPr fontId="2" type="noConversion"/>
  </si>
  <si>
    <t>70斤</t>
    <phoneticPr fontId="2" type="noConversion"/>
  </si>
  <si>
    <t>6斤</t>
    <phoneticPr fontId="2" type="noConversion"/>
  </si>
  <si>
    <t>濕筍干</t>
    <phoneticPr fontId="2" type="noConversion"/>
  </si>
  <si>
    <t>生香菇</t>
    <phoneticPr fontId="2" type="noConversion"/>
  </si>
  <si>
    <t>五花肉絲</t>
    <phoneticPr fontId="2" type="noConversion"/>
  </si>
  <si>
    <t>花雕雞</t>
    <phoneticPr fontId="2" type="noConversion"/>
  </si>
  <si>
    <t>紅燒豆腐</t>
    <phoneticPr fontId="2" type="noConversion"/>
  </si>
  <si>
    <t>青椒竹輪</t>
    <phoneticPr fontId="2" type="noConversion"/>
  </si>
  <si>
    <t>紅豆湯</t>
    <phoneticPr fontId="2" type="noConversion"/>
  </si>
  <si>
    <t>紅豆</t>
    <phoneticPr fontId="2" type="noConversion"/>
  </si>
  <si>
    <t>骨腿丁</t>
    <phoneticPr fontId="2" type="noConversion"/>
  </si>
  <si>
    <t>花雕酒</t>
    <phoneticPr fontId="2" type="noConversion"/>
  </si>
  <si>
    <t>65斤</t>
    <phoneticPr fontId="2" type="noConversion"/>
  </si>
  <si>
    <t>4瓶</t>
    <phoneticPr fontId="2" type="noConversion"/>
  </si>
  <si>
    <t>川耳</t>
    <phoneticPr fontId="2" type="noConversion"/>
  </si>
  <si>
    <t>4斤</t>
    <phoneticPr fontId="2" type="noConversion"/>
  </si>
  <si>
    <t>青椒絲</t>
    <phoneticPr fontId="2" type="noConversion"/>
  </si>
  <si>
    <t>竹輪</t>
    <phoneticPr fontId="2" type="noConversion"/>
  </si>
  <si>
    <t>8包</t>
    <phoneticPr fontId="2" type="noConversion"/>
  </si>
  <si>
    <t>訂貨數量</t>
    <phoneticPr fontId="2" type="noConversion"/>
  </si>
  <si>
    <t>大西瓜</t>
    <phoneticPr fontId="2" type="noConversion"/>
  </si>
  <si>
    <t>斤</t>
  </si>
  <si>
    <t>斤</t>
    <phoneticPr fontId="2" type="noConversion"/>
  </si>
  <si>
    <t>小籠湯包</t>
    <phoneticPr fontId="2" type="noConversion"/>
  </si>
  <si>
    <t>個</t>
    <phoneticPr fontId="2" type="noConversion"/>
  </si>
  <si>
    <t>片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</si>
  <si>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</si>
  <si>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</si>
  <si>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</si>
  <si>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</si>
  <si>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</si>
  <si>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</si>
  <si>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</si>
  <si>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鵝白菜</t>
    <phoneticPr fontId="2" type="noConversion"/>
  </si>
  <si>
    <t>骨腿塊</t>
    <phoneticPr fontId="2" type="noConversion"/>
  </si>
  <si>
    <t>起司片</t>
    <phoneticPr fontId="2" type="noConversion"/>
  </si>
  <si>
    <t>包</t>
    <phoneticPr fontId="2" type="noConversion"/>
  </si>
  <si>
    <t>訂貨數量</t>
    <phoneticPr fontId="2" type="noConversion"/>
  </si>
  <si>
    <t>斤</t>
    <phoneticPr fontId="2" type="noConversion"/>
  </si>
  <si>
    <t>大西瓜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</si>
  <si>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</si>
  <si>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</si>
  <si>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</si>
  <si>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</si>
  <si>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金菇肉絲湯</t>
    <phoneticPr fontId="2" type="noConversion"/>
  </si>
  <si>
    <t>金針菇</t>
    <phoneticPr fontId="2" type="noConversion"/>
  </si>
  <si>
    <t>肉絲</t>
    <phoneticPr fontId="2" type="noConversion"/>
  </si>
  <si>
    <t>油菜</t>
    <phoneticPr fontId="2" type="noConversion"/>
  </si>
  <si>
    <t>青蔥</t>
    <phoneticPr fontId="2" type="noConversion"/>
  </si>
  <si>
    <t>薑絲</t>
    <phoneticPr fontId="2" type="noConversion"/>
  </si>
  <si>
    <t>水餃</t>
    <phoneticPr fontId="2" type="noConversion"/>
  </si>
  <si>
    <t>包</t>
    <phoneticPr fontId="2" type="noConversion"/>
  </si>
  <si>
    <t>土司</t>
    <phoneticPr fontId="2" type="noConversion"/>
  </si>
  <si>
    <t>條</t>
    <phoneticPr fontId="2" type="noConversion"/>
  </si>
  <si>
    <t>罐</t>
    <phoneticPr fontId="2" type="noConversion"/>
  </si>
  <si>
    <t>米血丁</t>
    <phoneticPr fontId="2" type="noConversion"/>
  </si>
  <si>
    <t>訂貨數量</t>
    <phoneticPr fontId="2" type="noConversion"/>
  </si>
  <si>
    <t>大西瓜</t>
    <phoneticPr fontId="2" type="noConversion"/>
  </si>
  <si>
    <t>斤</t>
    <phoneticPr fontId="2" type="noConversion"/>
  </si>
  <si>
    <t>包</t>
    <phoneticPr fontId="2" type="noConversion"/>
  </si>
  <si>
    <t>高麗菜</t>
    <phoneticPr fontId="2" type="noConversion"/>
  </si>
  <si>
    <t>厚片土司</t>
    <phoneticPr fontId="2" type="noConversion"/>
  </si>
  <si>
    <t>條</t>
    <phoneticPr fontId="2" type="noConversion"/>
  </si>
  <si>
    <t>訂貨數量</t>
    <phoneticPr fontId="2" type="noConversion"/>
  </si>
  <si>
    <t>罐</t>
    <phoneticPr fontId="2" type="noConversion"/>
  </si>
  <si>
    <t>包</t>
    <phoneticPr fontId="2" type="noConversion"/>
  </si>
  <si>
    <t>厚片吐司</t>
    <phoneticPr fontId="2" type="noConversion"/>
  </si>
  <si>
    <t>好熟鍋貼</t>
    <phoneticPr fontId="2" type="noConversion"/>
  </si>
  <si>
    <t>條</t>
    <phoneticPr fontId="2" type="noConversion"/>
  </si>
  <si>
    <t>個</t>
    <phoneticPr fontId="2" type="noConversion"/>
  </si>
  <si>
    <t>綠茶鋁箔包</t>
    <phoneticPr fontId="2" type="noConversion"/>
  </si>
  <si>
    <t>件</t>
    <phoneticPr fontId="2" type="noConversion"/>
  </si>
  <si>
    <t>辣豆瓣</t>
    <phoneticPr fontId="2" type="noConversion"/>
  </si>
  <si>
    <t>高鮮味素</t>
    <phoneticPr fontId="2" type="noConversion"/>
  </si>
  <si>
    <t>桶</t>
    <phoneticPr fontId="2" type="noConversion"/>
  </si>
  <si>
    <t>盒</t>
    <phoneticPr fontId="2" type="noConversion"/>
  </si>
  <si>
    <t>斤</t>
    <phoneticPr fontId="2" type="noConversion"/>
  </si>
  <si>
    <t>盤</t>
    <phoneticPr fontId="2" type="noConversion"/>
  </si>
  <si>
    <t>鵝白菜</t>
    <phoneticPr fontId="2" type="noConversion"/>
  </si>
  <si>
    <t>大西瓜</t>
    <phoneticPr fontId="2" type="noConversion"/>
  </si>
  <si>
    <t>海帶捲</t>
    <phoneticPr fontId="2" type="noConversion"/>
  </si>
  <si>
    <t>滷蛋</t>
    <phoneticPr fontId="2" type="noConversion"/>
  </si>
  <si>
    <t>吐司</t>
    <phoneticPr fontId="2" type="noConversion"/>
  </si>
  <si>
    <t>鹽</t>
    <phoneticPr fontId="2" type="noConversion"/>
  </si>
  <si>
    <t>貢丸</t>
    <phoneticPr fontId="2" type="noConversion"/>
  </si>
  <si>
    <t>香油</t>
    <phoneticPr fontId="2" type="noConversion"/>
  </si>
  <si>
    <t>調理米酒</t>
    <phoneticPr fontId="2" type="noConversion"/>
  </si>
  <si>
    <t>瓶</t>
    <phoneticPr fontId="2" type="noConversion"/>
  </si>
  <si>
    <t>二砂</t>
    <phoneticPr fontId="2" type="noConversion"/>
  </si>
  <si>
    <t>袋</t>
    <phoneticPr fontId="2" type="noConversion"/>
  </si>
  <si>
    <t>金蘭醬油</t>
    <phoneticPr fontId="2" type="noConversion"/>
  </si>
  <si>
    <t>素蠔油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</si>
</sst>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9" t="s">
        <v>22</v>
      </c>
      <c r="B1" s="30"/>
      <c r="C1" s="30"/>
      <c r="D1" s="30"/>
      <c r="E1" s="30"/>
      <c r="F1" s="30"/>
      <c r="G1" s="30"/>
      <c r="H1" s="3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84</v>
      </c>
      <c r="F2" s="2"/>
      <c r="G2" s="1" t="s">
        <v>4</v>
      </c>
      <c r="H2" s="1" t="s">
        <v>5</v>
      </c>
    </row>
    <row r="3" spans="1:8" x14ac:dyDescent="0.25">
      <c r="A3" s="25" t="s">
        <v>26</v>
      </c>
      <c r="B3" s="1" t="s">
        <v>26</v>
      </c>
      <c r="C3" s="1" t="s">
        <v>6</v>
      </c>
      <c r="D3" s="1">
        <v>24</v>
      </c>
      <c r="E3" s="2">
        <v>240</v>
      </c>
      <c r="F3" s="2" t="s">
        <v>90</v>
      </c>
      <c r="G3" s="1">
        <f>E3*D3</f>
        <v>5760</v>
      </c>
      <c r="H3" s="1"/>
    </row>
    <row r="4" spans="1:8" x14ac:dyDescent="0.25">
      <c r="A4" s="25"/>
      <c r="B4" s="1"/>
      <c r="C4" s="1"/>
      <c r="D4" s="1"/>
      <c r="E4" s="2"/>
      <c r="F4" s="2"/>
      <c r="G4" s="1"/>
      <c r="H4" s="1"/>
    </row>
    <row r="5" spans="1:8" x14ac:dyDescent="0.25">
      <c r="A5" s="25"/>
      <c r="B5" s="1"/>
      <c r="C5" s="1"/>
      <c r="D5" s="1"/>
      <c r="E5" s="2"/>
      <c r="F5" s="2"/>
      <c r="G5" s="1"/>
      <c r="H5" s="1"/>
    </row>
    <row r="6" spans="1:8" x14ac:dyDescent="0.25">
      <c r="A6" s="25"/>
      <c r="B6" s="1"/>
      <c r="C6" s="1"/>
      <c r="D6" s="1"/>
      <c r="E6" s="4"/>
      <c r="F6" s="4"/>
      <c r="G6" s="3"/>
      <c r="H6" s="1"/>
    </row>
    <row r="7" spans="1:8" x14ac:dyDescent="0.25">
      <c r="A7" s="25"/>
      <c r="B7" s="26" t="s">
        <v>7</v>
      </c>
      <c r="C7" s="27"/>
      <c r="D7" s="28"/>
      <c r="E7" s="4"/>
      <c r="F7" s="4"/>
      <c r="G7" s="14">
        <f>SUM(G3:G6)</f>
        <v>5760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2" t="s">
        <v>84</v>
      </c>
      <c r="F8" s="2"/>
      <c r="G8" s="1" t="s">
        <v>4</v>
      </c>
      <c r="H8" s="1" t="s">
        <v>5</v>
      </c>
    </row>
    <row r="9" spans="1:8" x14ac:dyDescent="0.25">
      <c r="A9" s="25" t="s">
        <v>27</v>
      </c>
      <c r="B9" s="1" t="s">
        <v>33</v>
      </c>
      <c r="C9" s="1" t="s">
        <v>34</v>
      </c>
      <c r="D9" s="1">
        <v>37.619999999999997</v>
      </c>
      <c r="E9" s="2">
        <v>40</v>
      </c>
      <c r="F9" s="2" t="s">
        <v>86</v>
      </c>
      <c r="G9" s="12">
        <f>E9*D9</f>
        <v>1504.8</v>
      </c>
      <c r="H9" s="1"/>
    </row>
    <row r="10" spans="1:8" x14ac:dyDescent="0.25">
      <c r="A10" s="25"/>
      <c r="B10" s="1" t="s">
        <v>35</v>
      </c>
      <c r="C10" s="1" t="s">
        <v>37</v>
      </c>
      <c r="D10" s="1">
        <v>85.5</v>
      </c>
      <c r="E10" s="2">
        <v>1</v>
      </c>
      <c r="F10" s="2" t="s">
        <v>86</v>
      </c>
      <c r="G10" s="12">
        <f t="shared" ref="G10:G11" si="0">E10*D10</f>
        <v>85.5</v>
      </c>
      <c r="H10" s="1"/>
    </row>
    <row r="11" spans="1:8" x14ac:dyDescent="0.25">
      <c r="A11" s="25"/>
      <c r="B11" s="1" t="s">
        <v>36</v>
      </c>
      <c r="C11" s="1" t="s">
        <v>32</v>
      </c>
      <c r="D11" s="1">
        <v>67.5</v>
      </c>
      <c r="E11" s="2">
        <v>0.5</v>
      </c>
      <c r="F11" s="2" t="s">
        <v>86</v>
      </c>
      <c r="G11" s="12">
        <f t="shared" si="0"/>
        <v>33.75</v>
      </c>
      <c r="H11" s="1"/>
    </row>
    <row r="12" spans="1:8" x14ac:dyDescent="0.25">
      <c r="A12" s="25"/>
      <c r="B12" s="1"/>
      <c r="C12" s="1"/>
      <c r="D12" s="1"/>
      <c r="E12" s="2"/>
      <c r="F12" s="2"/>
      <c r="G12" s="1"/>
      <c r="H12" s="1"/>
    </row>
    <row r="13" spans="1:8" x14ac:dyDescent="0.25">
      <c r="A13" s="25"/>
      <c r="B13" s="26" t="s">
        <v>7</v>
      </c>
      <c r="C13" s="27"/>
      <c r="D13" s="28"/>
      <c r="E13" s="4"/>
      <c r="F13" s="4"/>
      <c r="G13" s="13">
        <f>SUM(G9:G12)</f>
        <v>1624.05</v>
      </c>
      <c r="H13" s="1"/>
    </row>
    <row r="14" spans="1:8" x14ac:dyDescent="0.25">
      <c r="A14" s="1" t="s">
        <v>12</v>
      </c>
      <c r="B14" s="1" t="s">
        <v>1</v>
      </c>
      <c r="C14" s="1" t="s">
        <v>2</v>
      </c>
      <c r="D14" s="1" t="s">
        <v>3</v>
      </c>
      <c r="E14" s="2" t="s">
        <v>84</v>
      </c>
      <c r="F14" s="2"/>
      <c r="G14" s="1" t="s">
        <v>4</v>
      </c>
      <c r="H14" s="1" t="s">
        <v>5</v>
      </c>
    </row>
    <row r="15" spans="1:8" x14ac:dyDescent="0.25">
      <c r="A15" s="25" t="s">
        <v>28</v>
      </c>
      <c r="B15" s="1" t="s">
        <v>38</v>
      </c>
      <c r="C15" s="1" t="s">
        <v>41</v>
      </c>
      <c r="D15" s="1">
        <v>43.8</v>
      </c>
      <c r="E15" s="2">
        <v>25</v>
      </c>
      <c r="F15" s="2" t="s">
        <v>86</v>
      </c>
      <c r="G15" s="1">
        <f>E15*D15</f>
        <v>1095</v>
      </c>
      <c r="H15" s="1"/>
    </row>
    <row r="16" spans="1:8" x14ac:dyDescent="0.25">
      <c r="A16" s="25"/>
      <c r="B16" s="1" t="s">
        <v>39</v>
      </c>
      <c r="C16" s="1" t="s">
        <v>40</v>
      </c>
      <c r="D16" s="1">
        <v>99</v>
      </c>
      <c r="E16" s="2">
        <v>15</v>
      </c>
      <c r="F16" s="2" t="s">
        <v>86</v>
      </c>
      <c r="G16" s="2">
        <f>E16*D16</f>
        <v>1485</v>
      </c>
      <c r="H16" s="1"/>
    </row>
    <row r="17" spans="1:8" x14ac:dyDescent="0.25">
      <c r="A17" s="25"/>
      <c r="B17" s="1"/>
      <c r="C17" s="1"/>
      <c r="D17" s="1"/>
      <c r="E17" s="2"/>
      <c r="F17" s="2"/>
      <c r="G17" s="1"/>
      <c r="H17" s="1"/>
    </row>
    <row r="18" spans="1:8" x14ac:dyDescent="0.25">
      <c r="A18" s="25"/>
      <c r="B18" s="1"/>
      <c r="C18" s="1"/>
      <c r="D18" s="1"/>
      <c r="E18" s="4"/>
      <c r="F18" s="4"/>
      <c r="G18" s="3"/>
      <c r="H18" s="1"/>
    </row>
    <row r="19" spans="1:8" x14ac:dyDescent="0.25">
      <c r="A19" s="25"/>
      <c r="B19" s="26" t="s">
        <v>7</v>
      </c>
      <c r="C19" s="27"/>
      <c r="D19" s="28"/>
      <c r="E19" s="4"/>
      <c r="F19" s="4"/>
      <c r="G19" s="14">
        <f>SUM(G15:G18)</f>
        <v>2580</v>
      </c>
      <c r="H19" s="1"/>
    </row>
    <row r="20" spans="1:8" x14ac:dyDescent="0.25">
      <c r="A20" s="5" t="s">
        <v>16</v>
      </c>
      <c r="B20" s="1" t="s">
        <v>1</v>
      </c>
      <c r="C20" s="1" t="s">
        <v>2</v>
      </c>
      <c r="D20" s="1" t="s">
        <v>3</v>
      </c>
      <c r="E20" s="2" t="s">
        <v>84</v>
      </c>
      <c r="F20" s="2"/>
      <c r="G20" s="1" t="s">
        <v>4</v>
      </c>
      <c r="H20" s="1" t="s">
        <v>5</v>
      </c>
    </row>
    <row r="21" spans="1:8" x14ac:dyDescent="0.25">
      <c r="A21" s="25"/>
      <c r="B21" s="2" t="s">
        <v>91</v>
      </c>
      <c r="C21" s="2"/>
      <c r="D21" s="2">
        <v>150</v>
      </c>
      <c r="E21" s="15">
        <v>2</v>
      </c>
      <c r="F21" s="2" t="s">
        <v>92</v>
      </c>
      <c r="G21" s="12">
        <f>D21*E21</f>
        <v>300</v>
      </c>
      <c r="H21" s="1"/>
    </row>
    <row r="22" spans="1:8" x14ac:dyDescent="0.25">
      <c r="A22" s="25"/>
      <c r="B22" s="2" t="s">
        <v>93</v>
      </c>
      <c r="C22" s="2"/>
      <c r="D22" s="2">
        <v>67.5</v>
      </c>
      <c r="E22" s="15">
        <v>0.5</v>
      </c>
      <c r="F22" s="2" t="s">
        <v>92</v>
      </c>
      <c r="G22" s="12">
        <f t="shared" ref="G22:G26" si="1">D22*E22</f>
        <v>33.75</v>
      </c>
      <c r="H22" s="1"/>
    </row>
    <row r="23" spans="1:8" x14ac:dyDescent="0.25">
      <c r="A23" s="25"/>
      <c r="B23" s="2" t="s">
        <v>94</v>
      </c>
      <c r="C23" s="2"/>
      <c r="D23" s="2">
        <v>158.1</v>
      </c>
      <c r="E23" s="15">
        <v>8</v>
      </c>
      <c r="F23" s="2" t="s">
        <v>92</v>
      </c>
      <c r="G23" s="12">
        <f t="shared" si="1"/>
        <v>1264.8</v>
      </c>
      <c r="H23" s="1"/>
    </row>
    <row r="24" spans="1:8" x14ac:dyDescent="0.25">
      <c r="A24" s="25"/>
      <c r="B24" s="2" t="s">
        <v>95</v>
      </c>
      <c r="C24" s="2"/>
      <c r="D24" s="2">
        <v>103.5</v>
      </c>
      <c r="E24" s="15">
        <v>4</v>
      </c>
      <c r="F24" s="2" t="s">
        <v>92</v>
      </c>
      <c r="G24" s="12">
        <f t="shared" si="1"/>
        <v>414</v>
      </c>
      <c r="H24" s="2"/>
    </row>
    <row r="25" spans="1:8" x14ac:dyDescent="0.25">
      <c r="A25" s="25"/>
      <c r="B25" s="2" t="s">
        <v>96</v>
      </c>
      <c r="C25" s="2"/>
      <c r="D25" s="2">
        <v>112.5</v>
      </c>
      <c r="E25" s="15">
        <v>4</v>
      </c>
      <c r="F25" s="2" t="s">
        <v>92</v>
      </c>
      <c r="G25" s="12">
        <f t="shared" si="1"/>
        <v>450</v>
      </c>
      <c r="H25" s="1"/>
    </row>
    <row r="26" spans="1:8" x14ac:dyDescent="0.25">
      <c r="A26" s="25"/>
      <c r="B26" s="2" t="s">
        <v>97</v>
      </c>
      <c r="C26" s="2"/>
      <c r="D26" s="2">
        <v>45.6</v>
      </c>
      <c r="E26" s="15">
        <v>20</v>
      </c>
      <c r="F26" s="2" t="s">
        <v>92</v>
      </c>
      <c r="G26" s="12">
        <f t="shared" si="1"/>
        <v>912</v>
      </c>
      <c r="H26" s="2"/>
    </row>
    <row r="27" spans="1:8" x14ac:dyDescent="0.25">
      <c r="A27" s="25"/>
      <c r="B27" s="26" t="s">
        <v>7</v>
      </c>
      <c r="C27" s="27"/>
      <c r="D27" s="28"/>
      <c r="E27" s="4"/>
      <c r="F27" s="4"/>
      <c r="G27" s="13">
        <f>SUM(G21:G26)</f>
        <v>3374.55</v>
      </c>
      <c r="H27" s="1"/>
    </row>
    <row r="28" spans="1:8" x14ac:dyDescent="0.25">
      <c r="A28" s="1" t="s">
        <v>17</v>
      </c>
      <c r="B28" s="1" t="s">
        <v>1</v>
      </c>
      <c r="C28" s="1" t="s">
        <v>2</v>
      </c>
      <c r="D28" s="1" t="s">
        <v>3</v>
      </c>
      <c r="E28" s="2" t="s">
        <v>84</v>
      </c>
      <c r="F28" s="2"/>
      <c r="G28" s="1" t="s">
        <v>4</v>
      </c>
      <c r="H28" s="1" t="s">
        <v>5</v>
      </c>
    </row>
    <row r="29" spans="1:8" x14ac:dyDescent="0.25">
      <c r="A29" s="25" t="s">
        <v>29</v>
      </c>
      <c r="B29" s="1" t="s">
        <v>30</v>
      </c>
      <c r="C29" s="1" t="s">
        <v>32</v>
      </c>
      <c r="D29" s="1">
        <v>265</v>
      </c>
      <c r="E29" s="2">
        <v>0.5</v>
      </c>
      <c r="F29" s="2" t="s">
        <v>87</v>
      </c>
      <c r="G29" s="12">
        <f>E29*D29</f>
        <v>132.5</v>
      </c>
      <c r="H29" s="1"/>
    </row>
    <row r="30" spans="1:8" x14ac:dyDescent="0.25">
      <c r="A30" s="25"/>
      <c r="B30" s="1" t="s">
        <v>10</v>
      </c>
      <c r="C30" s="1"/>
      <c r="D30" s="1"/>
      <c r="E30" s="2"/>
      <c r="F30" s="2"/>
      <c r="G30" s="1"/>
      <c r="H30" s="1" t="s">
        <v>31</v>
      </c>
    </row>
    <row r="31" spans="1:8" x14ac:dyDescent="0.25">
      <c r="A31" s="25"/>
      <c r="B31" s="26" t="s">
        <v>7</v>
      </c>
      <c r="C31" s="27"/>
      <c r="D31" s="28"/>
      <c r="E31" s="4"/>
      <c r="F31" s="4"/>
      <c r="G31" s="13">
        <f>SUM(G29:G30)</f>
        <v>132.5</v>
      </c>
      <c r="H31" s="1"/>
    </row>
    <row r="32" spans="1:8" x14ac:dyDescent="0.25">
      <c r="A32" s="1" t="s">
        <v>19</v>
      </c>
      <c r="B32" s="1" t="s">
        <v>1</v>
      </c>
      <c r="C32" s="1" t="s">
        <v>2</v>
      </c>
      <c r="D32" s="1" t="s">
        <v>3</v>
      </c>
      <c r="E32" s="4" t="s">
        <v>84</v>
      </c>
      <c r="F32" s="4"/>
      <c r="G32" s="3" t="s">
        <v>4</v>
      </c>
      <c r="H32" s="1" t="s">
        <v>5</v>
      </c>
    </row>
    <row r="33" spans="1:8" x14ac:dyDescent="0.25">
      <c r="A33" s="35"/>
      <c r="B33" s="1" t="s">
        <v>85</v>
      </c>
      <c r="C33" s="1"/>
      <c r="D33" s="1">
        <v>27.84</v>
      </c>
      <c r="E33" s="2">
        <v>84.83</v>
      </c>
      <c r="F33" s="2" t="s">
        <v>87</v>
      </c>
      <c r="G33" s="12">
        <f>D33*E33</f>
        <v>2361.6671999999999</v>
      </c>
      <c r="H33" s="1"/>
    </row>
    <row r="34" spans="1:8" x14ac:dyDescent="0.25">
      <c r="A34" s="36"/>
      <c r="B34" s="1" t="s">
        <v>98</v>
      </c>
      <c r="C34" s="1"/>
      <c r="D34" s="1">
        <v>18.899999999999999</v>
      </c>
      <c r="E34" s="2">
        <v>65</v>
      </c>
      <c r="F34" s="2" t="s">
        <v>87</v>
      </c>
      <c r="G34" s="12">
        <f>D34*E34</f>
        <v>1228.5</v>
      </c>
      <c r="H34" s="1"/>
    </row>
    <row r="35" spans="1:8" x14ac:dyDescent="0.25">
      <c r="A35" s="37"/>
      <c r="B35" s="26" t="s">
        <v>7</v>
      </c>
      <c r="C35" s="27"/>
      <c r="D35" s="28"/>
      <c r="E35" s="4"/>
      <c r="F35" s="4"/>
      <c r="G35" s="13">
        <f>SUM(G33:G34)</f>
        <v>3590.1671999999999</v>
      </c>
      <c r="H35" s="6"/>
    </row>
    <row r="36" spans="1:8" x14ac:dyDescent="0.25">
      <c r="A36" s="7" t="s">
        <v>20</v>
      </c>
      <c r="B36" s="1" t="s">
        <v>1</v>
      </c>
      <c r="C36" s="1" t="s">
        <v>2</v>
      </c>
      <c r="D36" s="1" t="s">
        <v>3</v>
      </c>
      <c r="E36" s="2" t="s">
        <v>84</v>
      </c>
      <c r="F36" s="2"/>
      <c r="G36" s="1" t="s">
        <v>4</v>
      </c>
      <c r="H36" s="1"/>
    </row>
    <row r="37" spans="1:8" x14ac:dyDescent="0.25">
      <c r="A37" s="25"/>
      <c r="B37" s="1" t="s">
        <v>88</v>
      </c>
      <c r="C37" s="1"/>
      <c r="D37" s="1">
        <v>4.5</v>
      </c>
      <c r="E37" s="2">
        <v>50</v>
      </c>
      <c r="F37" s="2" t="s">
        <v>89</v>
      </c>
      <c r="G37" s="1">
        <f>D37*E37</f>
        <v>225</v>
      </c>
      <c r="H37" s="1"/>
    </row>
    <row r="38" spans="1:8" x14ac:dyDescent="0.25">
      <c r="A38" s="25"/>
      <c r="B38" s="1" t="s">
        <v>99</v>
      </c>
      <c r="C38" s="1"/>
      <c r="D38" s="1">
        <v>75</v>
      </c>
      <c r="E38" s="2">
        <v>5</v>
      </c>
      <c r="F38" s="2" t="s">
        <v>87</v>
      </c>
      <c r="G38" s="2">
        <f t="shared" ref="G38:G39" si="2">D38*E38</f>
        <v>375</v>
      </c>
      <c r="H38" s="1"/>
    </row>
    <row r="39" spans="1:8" x14ac:dyDescent="0.25">
      <c r="A39" s="25"/>
      <c r="B39" s="1" t="s">
        <v>100</v>
      </c>
      <c r="C39" s="1"/>
      <c r="D39" s="1">
        <v>378</v>
      </c>
      <c r="E39" s="2">
        <v>1</v>
      </c>
      <c r="F39" s="2" t="s">
        <v>101</v>
      </c>
      <c r="G39" s="2">
        <f t="shared" si="2"/>
        <v>378</v>
      </c>
      <c r="H39" s="1"/>
    </row>
    <row r="40" spans="1:8" x14ac:dyDescent="0.25">
      <c r="A40" s="25"/>
      <c r="B40" s="1"/>
      <c r="C40" s="1"/>
      <c r="D40" s="1"/>
      <c r="E40" s="2"/>
      <c r="F40" s="2"/>
      <c r="G40" s="1"/>
      <c r="H40" s="1"/>
    </row>
    <row r="41" spans="1:8" x14ac:dyDescent="0.25">
      <c r="A41" s="25"/>
      <c r="B41" s="26" t="s">
        <v>7</v>
      </c>
      <c r="C41" s="27"/>
      <c r="D41" s="28"/>
      <c r="E41" s="4"/>
      <c r="F41" s="4"/>
      <c r="G41" s="14">
        <f>SUM(G37:G40)</f>
        <v>978</v>
      </c>
      <c r="H41" s="1"/>
    </row>
    <row r="42" spans="1:8" x14ac:dyDescent="0.25">
      <c r="A42" s="1"/>
      <c r="B42" s="32" t="s">
        <v>21</v>
      </c>
      <c r="C42" s="33"/>
      <c r="D42" s="34"/>
      <c r="E42" s="8"/>
      <c r="F42" s="8"/>
      <c r="G42" s="16">
        <f>G41+G35+G31+G27+G19+G13+G7</f>
        <v>18039.267199999998</v>
      </c>
      <c r="H42" s="1"/>
    </row>
  </sheetData>
  <mergeCells count="16">
    <mergeCell ref="A37:A41"/>
    <mergeCell ref="B41:D41"/>
    <mergeCell ref="B42:D42"/>
    <mergeCell ref="A21:A27"/>
    <mergeCell ref="B27:D27"/>
    <mergeCell ref="A29:A31"/>
    <mergeCell ref="B31:D31"/>
    <mergeCell ref="A33:A35"/>
    <mergeCell ref="B35:D35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27" workbookViewId="0">
      <selection activeCell="H44" sqref="H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9" t="s">
        <v>23</v>
      </c>
      <c r="B1" s="30"/>
      <c r="C1" s="30"/>
      <c r="D1" s="30"/>
      <c r="E1" s="30"/>
      <c r="F1" s="30"/>
      <c r="G1" s="30"/>
      <c r="H1" s="3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102</v>
      </c>
      <c r="F2" s="9"/>
      <c r="G2" s="1" t="s">
        <v>4</v>
      </c>
      <c r="H2" s="1" t="s">
        <v>5</v>
      </c>
    </row>
    <row r="3" spans="1:8" x14ac:dyDescent="0.25">
      <c r="A3" s="25" t="s">
        <v>42</v>
      </c>
      <c r="B3" s="1" t="s">
        <v>52</v>
      </c>
      <c r="C3" s="1" t="s">
        <v>53</v>
      </c>
      <c r="D3" s="1">
        <v>99</v>
      </c>
      <c r="E3" s="9">
        <v>63.42</v>
      </c>
      <c r="F3" s="9" t="s">
        <v>103</v>
      </c>
      <c r="G3" s="12">
        <f>D3*E3</f>
        <v>6278.58</v>
      </c>
      <c r="H3" s="1"/>
    </row>
    <row r="4" spans="1:8" x14ac:dyDescent="0.25">
      <c r="A4" s="25"/>
      <c r="B4" s="1"/>
      <c r="C4" s="1"/>
      <c r="D4" s="1"/>
      <c r="E4" s="9"/>
      <c r="F4" s="9"/>
      <c r="G4" s="1"/>
      <c r="H4" s="1"/>
    </row>
    <row r="5" spans="1:8" x14ac:dyDescent="0.25">
      <c r="A5" s="25"/>
      <c r="B5" s="1"/>
      <c r="C5" s="1"/>
      <c r="D5" s="1"/>
      <c r="E5" s="9"/>
      <c r="F5" s="9"/>
      <c r="G5" s="1"/>
      <c r="H5" s="1"/>
    </row>
    <row r="6" spans="1:8" x14ac:dyDescent="0.25">
      <c r="A6" s="25"/>
      <c r="B6" s="1"/>
      <c r="C6" s="1"/>
      <c r="D6" s="1"/>
      <c r="E6" s="10"/>
      <c r="F6" s="10"/>
      <c r="G6" s="3"/>
      <c r="H6" s="1"/>
    </row>
    <row r="7" spans="1:8" x14ac:dyDescent="0.25">
      <c r="A7" s="25"/>
      <c r="B7" s="26" t="s">
        <v>7</v>
      </c>
      <c r="C7" s="27"/>
      <c r="D7" s="28"/>
      <c r="E7" s="10"/>
      <c r="F7" s="10"/>
      <c r="G7" s="13">
        <f>SUM(G3:G6)</f>
        <v>6278.58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9" t="s">
        <v>102</v>
      </c>
      <c r="F8" s="9"/>
      <c r="G8" s="1" t="s">
        <v>4</v>
      </c>
      <c r="H8" s="1" t="s">
        <v>5</v>
      </c>
    </row>
    <row r="9" spans="1:8" x14ac:dyDescent="0.25">
      <c r="A9" s="25" t="s">
        <v>43</v>
      </c>
      <c r="B9" s="1" t="s">
        <v>54</v>
      </c>
      <c r="C9" s="1" t="s">
        <v>40</v>
      </c>
      <c r="D9" s="1">
        <v>48</v>
      </c>
      <c r="E9" s="9">
        <v>15</v>
      </c>
      <c r="F9" s="9" t="s">
        <v>103</v>
      </c>
      <c r="G9" s="1">
        <f>D9*E9</f>
        <v>720</v>
      </c>
      <c r="H9" s="1"/>
    </row>
    <row r="10" spans="1:8" x14ac:dyDescent="0.25">
      <c r="A10" s="25"/>
      <c r="B10" s="1" t="s">
        <v>120</v>
      </c>
      <c r="C10" s="1"/>
      <c r="D10" s="1">
        <v>42</v>
      </c>
      <c r="E10" s="9">
        <v>10</v>
      </c>
      <c r="F10" s="9" t="s">
        <v>103</v>
      </c>
      <c r="G10" s="9">
        <f t="shared" ref="G10:G11" si="0">D10*E10</f>
        <v>420</v>
      </c>
      <c r="H10" s="1"/>
    </row>
    <row r="11" spans="1:8" x14ac:dyDescent="0.25">
      <c r="A11" s="25"/>
      <c r="B11" s="1" t="s">
        <v>9</v>
      </c>
      <c r="C11" s="1" t="s">
        <v>15</v>
      </c>
      <c r="D11" s="1">
        <v>25.5</v>
      </c>
      <c r="E11" s="9">
        <v>10</v>
      </c>
      <c r="F11" s="9" t="s">
        <v>103</v>
      </c>
      <c r="G11" s="9">
        <f t="shared" si="0"/>
        <v>255</v>
      </c>
      <c r="H11" s="1"/>
    </row>
    <row r="12" spans="1:8" x14ac:dyDescent="0.25">
      <c r="A12" s="25"/>
      <c r="B12" s="1"/>
      <c r="C12" s="1"/>
      <c r="D12" s="1"/>
      <c r="E12" s="9"/>
      <c r="F12" s="9"/>
      <c r="G12" s="9"/>
      <c r="H12" s="1"/>
    </row>
    <row r="13" spans="1:8" x14ac:dyDescent="0.25">
      <c r="A13" s="25"/>
      <c r="B13" s="1"/>
      <c r="C13" s="1"/>
      <c r="D13" s="1"/>
      <c r="E13" s="9"/>
      <c r="F13" s="9"/>
      <c r="G13" s="9"/>
      <c r="H13" s="1"/>
    </row>
    <row r="14" spans="1:8" x14ac:dyDescent="0.25">
      <c r="A14" s="25"/>
      <c r="B14" s="26" t="s">
        <v>7</v>
      </c>
      <c r="C14" s="27"/>
      <c r="D14" s="28"/>
      <c r="E14" s="10"/>
      <c r="F14" s="10"/>
      <c r="G14" s="14">
        <f>SUM(G9:G13)</f>
        <v>1395</v>
      </c>
      <c r="H14" s="1"/>
    </row>
    <row r="15" spans="1:8" x14ac:dyDescent="0.25">
      <c r="A15" s="1" t="s">
        <v>12</v>
      </c>
      <c r="B15" s="1" t="s">
        <v>1</v>
      </c>
      <c r="C15" s="1" t="s">
        <v>2</v>
      </c>
      <c r="D15" s="1" t="s">
        <v>3</v>
      </c>
      <c r="E15" s="9" t="s">
        <v>102</v>
      </c>
      <c r="F15" s="9"/>
      <c r="G15" s="1" t="s">
        <v>4</v>
      </c>
      <c r="H15" s="1" t="s">
        <v>5</v>
      </c>
    </row>
    <row r="16" spans="1:8" x14ac:dyDescent="0.25">
      <c r="A16" s="25"/>
      <c r="B16" s="1"/>
      <c r="C16" s="1"/>
      <c r="D16" s="1"/>
      <c r="E16" s="9"/>
      <c r="F16" s="9"/>
      <c r="G16" s="1"/>
      <c r="H16" s="1"/>
    </row>
    <row r="17" spans="1:8" x14ac:dyDescent="0.25">
      <c r="A17" s="25"/>
      <c r="B17" s="1"/>
      <c r="C17" s="1"/>
      <c r="D17" s="1"/>
      <c r="E17" s="9"/>
      <c r="F17" s="9"/>
      <c r="G17" s="1"/>
      <c r="H17" s="1"/>
    </row>
    <row r="18" spans="1:8" x14ac:dyDescent="0.25">
      <c r="A18" s="25"/>
      <c r="B18" s="1"/>
      <c r="C18" s="1"/>
      <c r="D18" s="1"/>
      <c r="E18" s="9"/>
      <c r="F18" s="9"/>
      <c r="G18" s="1"/>
      <c r="H18" s="1"/>
    </row>
    <row r="19" spans="1:8" x14ac:dyDescent="0.25">
      <c r="A19" s="25"/>
      <c r="B19" s="1"/>
      <c r="C19" s="1"/>
      <c r="D19" s="1"/>
      <c r="E19" s="10"/>
      <c r="F19" s="10"/>
      <c r="G19" s="3"/>
      <c r="H19" s="1"/>
    </row>
    <row r="20" spans="1:8" x14ac:dyDescent="0.25">
      <c r="A20" s="25"/>
      <c r="B20" s="26" t="s">
        <v>7</v>
      </c>
      <c r="C20" s="27"/>
      <c r="D20" s="28"/>
      <c r="E20" s="10"/>
      <c r="F20" s="10"/>
      <c r="G20" s="3"/>
      <c r="H20" s="1"/>
    </row>
    <row r="21" spans="1:8" x14ac:dyDescent="0.25">
      <c r="A21" s="5" t="s">
        <v>16</v>
      </c>
      <c r="B21" s="1" t="s">
        <v>1</v>
      </c>
      <c r="C21" s="1" t="s">
        <v>2</v>
      </c>
      <c r="D21" s="1" t="s">
        <v>3</v>
      </c>
      <c r="E21" s="9" t="s">
        <v>102</v>
      </c>
      <c r="F21" s="9"/>
      <c r="G21" s="1" t="s">
        <v>4</v>
      </c>
      <c r="H21" s="1" t="s">
        <v>5</v>
      </c>
    </row>
    <row r="22" spans="1:8" x14ac:dyDescent="0.25">
      <c r="A22" s="25"/>
      <c r="B22" s="1" t="s">
        <v>105</v>
      </c>
      <c r="C22" s="1"/>
      <c r="D22" s="1">
        <v>55</v>
      </c>
      <c r="E22" s="9">
        <v>20</v>
      </c>
      <c r="F22" s="9" t="s">
        <v>103</v>
      </c>
      <c r="G22" s="1">
        <f>E22*D22</f>
        <v>1100</v>
      </c>
      <c r="H22" s="1"/>
    </row>
    <row r="23" spans="1:8" x14ac:dyDescent="0.25">
      <c r="A23" s="25"/>
      <c r="B23" s="1" t="s">
        <v>106</v>
      </c>
      <c r="C23" s="1"/>
      <c r="D23" s="1">
        <v>29.38</v>
      </c>
      <c r="E23" s="9">
        <v>100</v>
      </c>
      <c r="F23" s="9" t="s">
        <v>103</v>
      </c>
      <c r="G23" s="9">
        <f t="shared" ref="G23:G28" si="1">E23*D23</f>
        <v>2938</v>
      </c>
      <c r="H23" s="1"/>
    </row>
    <row r="24" spans="1:8" x14ac:dyDescent="0.25">
      <c r="A24" s="25"/>
      <c r="B24" s="1" t="s">
        <v>107</v>
      </c>
      <c r="C24" s="1"/>
      <c r="D24" s="1">
        <v>1188</v>
      </c>
      <c r="E24" s="9">
        <v>2</v>
      </c>
      <c r="F24" s="9" t="s">
        <v>108</v>
      </c>
      <c r="G24" s="9">
        <f t="shared" si="1"/>
        <v>2376</v>
      </c>
      <c r="H24" s="1"/>
    </row>
    <row r="25" spans="1:8" x14ac:dyDescent="0.25">
      <c r="A25" s="25"/>
      <c r="B25" s="9" t="s">
        <v>113</v>
      </c>
      <c r="C25" s="9"/>
      <c r="D25" s="9">
        <v>103.5</v>
      </c>
      <c r="E25" s="9">
        <v>3</v>
      </c>
      <c r="F25" s="9" t="s">
        <v>103</v>
      </c>
      <c r="G25" s="9">
        <f t="shared" si="1"/>
        <v>310.5</v>
      </c>
      <c r="H25" s="1"/>
    </row>
    <row r="26" spans="1:8" x14ac:dyDescent="0.25">
      <c r="A26" s="25"/>
      <c r="B26" s="9" t="s">
        <v>114</v>
      </c>
      <c r="C26" s="9"/>
      <c r="D26" s="9">
        <v>85.5</v>
      </c>
      <c r="E26" s="10">
        <v>1</v>
      </c>
      <c r="F26" s="9" t="s">
        <v>103</v>
      </c>
      <c r="G26" s="10">
        <f t="shared" si="1"/>
        <v>85.5</v>
      </c>
      <c r="H26" s="9"/>
    </row>
    <row r="27" spans="1:8" x14ac:dyDescent="0.25">
      <c r="A27" s="25"/>
      <c r="B27" s="9" t="s">
        <v>115</v>
      </c>
      <c r="C27" s="9"/>
      <c r="D27" s="9">
        <v>125</v>
      </c>
      <c r="E27" s="10">
        <v>12</v>
      </c>
      <c r="F27" s="10" t="s">
        <v>116</v>
      </c>
      <c r="G27" s="10">
        <f t="shared" si="1"/>
        <v>1500</v>
      </c>
      <c r="H27" s="9"/>
    </row>
    <row r="28" spans="1:8" x14ac:dyDescent="0.25">
      <c r="A28" s="25"/>
      <c r="B28" s="9" t="s">
        <v>117</v>
      </c>
      <c r="C28" s="9"/>
      <c r="D28" s="9">
        <v>50</v>
      </c>
      <c r="E28" s="10">
        <v>1</v>
      </c>
      <c r="F28" s="10" t="s">
        <v>118</v>
      </c>
      <c r="G28" s="10">
        <f t="shared" si="1"/>
        <v>50</v>
      </c>
      <c r="H28" s="9"/>
    </row>
    <row r="29" spans="1:8" x14ac:dyDescent="0.25">
      <c r="A29" s="25"/>
      <c r="B29" s="26" t="s">
        <v>7</v>
      </c>
      <c r="C29" s="27"/>
      <c r="D29" s="28"/>
      <c r="E29" s="10"/>
      <c r="F29" s="10"/>
      <c r="G29" s="14">
        <f>SUM(G22:G28)</f>
        <v>8360</v>
      </c>
      <c r="H29" s="1"/>
    </row>
    <row r="30" spans="1:8" x14ac:dyDescent="0.25">
      <c r="A30" s="1" t="s">
        <v>17</v>
      </c>
      <c r="B30" s="1" t="s">
        <v>1</v>
      </c>
      <c r="C30" s="1" t="s">
        <v>2</v>
      </c>
      <c r="D30" s="1" t="s">
        <v>3</v>
      </c>
      <c r="E30" s="9" t="s">
        <v>102</v>
      </c>
      <c r="F30" s="9"/>
      <c r="G30" s="1" t="s">
        <v>4</v>
      </c>
      <c r="H30" s="1" t="s">
        <v>5</v>
      </c>
    </row>
    <row r="31" spans="1:8" x14ac:dyDescent="0.25">
      <c r="A31" s="25" t="s">
        <v>109</v>
      </c>
      <c r="B31" s="1" t="s">
        <v>110</v>
      </c>
      <c r="C31" s="1" t="s">
        <v>51</v>
      </c>
      <c r="D31" s="1"/>
      <c r="E31" s="9"/>
      <c r="F31" s="9"/>
      <c r="G31" s="1"/>
      <c r="H31" s="1"/>
    </row>
    <row r="32" spans="1:8" x14ac:dyDescent="0.25">
      <c r="A32" s="25"/>
      <c r="B32" s="1" t="s">
        <v>111</v>
      </c>
      <c r="C32" s="1"/>
      <c r="D32" s="1">
        <v>99</v>
      </c>
      <c r="E32" s="9">
        <v>8</v>
      </c>
      <c r="F32" s="9" t="s">
        <v>103</v>
      </c>
      <c r="G32" s="20">
        <f>E32*D32</f>
        <v>792</v>
      </c>
      <c r="H32" s="1"/>
    </row>
    <row r="33" spans="1:8" x14ac:dyDescent="0.25">
      <c r="A33" s="25"/>
      <c r="B33" s="26" t="s">
        <v>7</v>
      </c>
      <c r="C33" s="27"/>
      <c r="D33" s="28"/>
      <c r="E33" s="10"/>
      <c r="F33" s="10"/>
      <c r="G33" s="3">
        <f>SUM(G32)</f>
        <v>792</v>
      </c>
      <c r="H33" s="1"/>
    </row>
    <row r="34" spans="1:8" x14ac:dyDescent="0.25">
      <c r="A34" s="1" t="s">
        <v>19</v>
      </c>
      <c r="B34" s="1" t="s">
        <v>1</v>
      </c>
      <c r="C34" s="1" t="s">
        <v>2</v>
      </c>
      <c r="D34" s="1" t="s">
        <v>3</v>
      </c>
      <c r="E34" s="10" t="s">
        <v>102</v>
      </c>
      <c r="F34" s="10"/>
      <c r="G34" s="3" t="s">
        <v>4</v>
      </c>
      <c r="H34" s="1" t="s">
        <v>5</v>
      </c>
    </row>
    <row r="35" spans="1:8" x14ac:dyDescent="0.25">
      <c r="A35" s="35"/>
      <c r="B35" s="1" t="s">
        <v>104</v>
      </c>
      <c r="C35" s="1"/>
      <c r="D35" s="1">
        <v>27.84</v>
      </c>
      <c r="E35" s="9">
        <v>89.67</v>
      </c>
      <c r="F35" s="9" t="s">
        <v>103</v>
      </c>
      <c r="G35" s="12">
        <f>E35*D35</f>
        <v>2496.4128000000001</v>
      </c>
      <c r="H35" s="1"/>
    </row>
    <row r="36" spans="1:8" x14ac:dyDescent="0.25">
      <c r="A36" s="36"/>
      <c r="B36" s="1" t="s">
        <v>112</v>
      </c>
      <c r="C36" s="1"/>
      <c r="D36" s="1">
        <v>14.4</v>
      </c>
      <c r="E36" s="9">
        <v>65</v>
      </c>
      <c r="F36" s="9" t="s">
        <v>103</v>
      </c>
      <c r="G36" s="12">
        <f>E36*D36</f>
        <v>936</v>
      </c>
      <c r="H36" s="1"/>
    </row>
    <row r="37" spans="1:8" x14ac:dyDescent="0.25">
      <c r="A37" s="37"/>
      <c r="B37" s="26" t="s">
        <v>7</v>
      </c>
      <c r="C37" s="27"/>
      <c r="D37" s="28"/>
      <c r="E37" s="10"/>
      <c r="F37" s="10"/>
      <c r="G37" s="13">
        <f>SUM(G35:G36)</f>
        <v>3432.4128000000001</v>
      </c>
      <c r="H37" s="6"/>
    </row>
    <row r="38" spans="1:8" x14ac:dyDescent="0.25">
      <c r="A38" s="7" t="s">
        <v>20</v>
      </c>
      <c r="B38" s="1" t="s">
        <v>1</v>
      </c>
      <c r="C38" s="1" t="s">
        <v>2</v>
      </c>
      <c r="D38" s="1" t="s">
        <v>3</v>
      </c>
      <c r="E38" s="9" t="s">
        <v>102</v>
      </c>
      <c r="F38" s="9"/>
      <c r="G38" s="1" t="s">
        <v>4</v>
      </c>
      <c r="H38" s="1"/>
    </row>
    <row r="39" spans="1:8" x14ac:dyDescent="0.25">
      <c r="A39" s="25" t="s">
        <v>44</v>
      </c>
      <c r="B39" s="1" t="s">
        <v>44</v>
      </c>
      <c r="C39" s="1" t="s">
        <v>45</v>
      </c>
      <c r="D39" s="1">
        <v>21</v>
      </c>
      <c r="E39" s="9">
        <v>60</v>
      </c>
      <c r="F39" s="9" t="s">
        <v>103</v>
      </c>
      <c r="G39" s="1">
        <f>D39*E39</f>
        <v>1260</v>
      </c>
      <c r="H39" s="1"/>
    </row>
    <row r="40" spans="1:8" x14ac:dyDescent="0.25">
      <c r="A40" s="25"/>
      <c r="B40" s="1" t="s">
        <v>46</v>
      </c>
      <c r="C40" s="1" t="s">
        <v>50</v>
      </c>
      <c r="D40" s="1">
        <v>360</v>
      </c>
      <c r="E40" s="9">
        <v>3</v>
      </c>
      <c r="F40" s="9" t="s">
        <v>108</v>
      </c>
      <c r="G40" s="9">
        <f t="shared" ref="G40:G42" si="2">D40*E40</f>
        <v>1080</v>
      </c>
      <c r="H40" s="1"/>
    </row>
    <row r="41" spans="1:8" x14ac:dyDescent="0.25">
      <c r="A41" s="25"/>
      <c r="B41" s="1" t="s">
        <v>47</v>
      </c>
      <c r="C41" s="1" t="s">
        <v>49</v>
      </c>
      <c r="D41" s="1">
        <v>225</v>
      </c>
      <c r="E41" s="9">
        <v>2</v>
      </c>
      <c r="F41" s="9" t="s">
        <v>119</v>
      </c>
      <c r="G41" s="9">
        <f t="shared" si="2"/>
        <v>450</v>
      </c>
      <c r="H41" s="1"/>
    </row>
    <row r="42" spans="1:8" x14ac:dyDescent="0.25">
      <c r="A42" s="25"/>
      <c r="B42" s="1" t="s">
        <v>48</v>
      </c>
      <c r="C42" s="1" t="s">
        <v>15</v>
      </c>
      <c r="D42" s="1">
        <v>45.9</v>
      </c>
      <c r="E42" s="9">
        <v>10</v>
      </c>
      <c r="F42" s="9" t="s">
        <v>103</v>
      </c>
      <c r="G42" s="9">
        <f t="shared" si="2"/>
        <v>459</v>
      </c>
      <c r="H42" s="1"/>
    </row>
    <row r="43" spans="1:8" x14ac:dyDescent="0.25">
      <c r="A43" s="25"/>
      <c r="B43" s="26" t="s">
        <v>7</v>
      </c>
      <c r="C43" s="27"/>
      <c r="D43" s="28"/>
      <c r="E43" s="10"/>
      <c r="F43" s="10"/>
      <c r="G43" s="14">
        <f>SUM(G39:G42)</f>
        <v>3249</v>
      </c>
      <c r="H43" s="1"/>
    </row>
    <row r="44" spans="1:8" x14ac:dyDescent="0.25">
      <c r="A44" s="1"/>
      <c r="B44" s="32" t="s">
        <v>21</v>
      </c>
      <c r="C44" s="33"/>
      <c r="D44" s="34"/>
      <c r="E44" s="11"/>
      <c r="F44" s="11"/>
      <c r="G44" s="16">
        <f>G43+G37+G32+G29+G14+G7</f>
        <v>23506.9928</v>
      </c>
      <c r="H44" s="1"/>
    </row>
  </sheetData>
  <mergeCells count="16">
    <mergeCell ref="A39:A43"/>
    <mergeCell ref="B43:D43"/>
    <mergeCell ref="B44:D44"/>
    <mergeCell ref="A22:A29"/>
    <mergeCell ref="B29:D29"/>
    <mergeCell ref="A31:A33"/>
    <mergeCell ref="B33:D33"/>
    <mergeCell ref="A35:A37"/>
    <mergeCell ref="B37:D3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H40" sqref="H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9" t="s">
        <v>24</v>
      </c>
      <c r="B1" s="30"/>
      <c r="C1" s="30"/>
      <c r="D1" s="30"/>
      <c r="E1" s="30"/>
      <c r="F1" s="30"/>
      <c r="G1" s="30"/>
      <c r="H1" s="3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7" t="s">
        <v>121</v>
      </c>
      <c r="F2" s="17"/>
      <c r="G2" s="1" t="s">
        <v>4</v>
      </c>
      <c r="H2" s="1" t="s">
        <v>5</v>
      </c>
    </row>
    <row r="3" spans="1:8" x14ac:dyDescent="0.25">
      <c r="A3" s="25" t="s">
        <v>55</v>
      </c>
      <c r="B3" s="1" t="s">
        <v>63</v>
      </c>
      <c r="C3" s="1" t="s">
        <v>65</v>
      </c>
      <c r="D3" s="1">
        <v>87</v>
      </c>
      <c r="E3" s="17">
        <v>70</v>
      </c>
      <c r="F3" s="17" t="s">
        <v>123</v>
      </c>
      <c r="G3" s="1">
        <f>E3*D3</f>
        <v>6090</v>
      </c>
      <c r="H3" s="1"/>
    </row>
    <row r="4" spans="1:8" x14ac:dyDescent="0.25">
      <c r="A4" s="25"/>
      <c r="B4" s="1" t="s">
        <v>59</v>
      </c>
      <c r="C4" s="1" t="s">
        <v>66</v>
      </c>
      <c r="D4" s="1">
        <v>19.8</v>
      </c>
      <c r="E4" s="17">
        <v>6</v>
      </c>
      <c r="F4" s="17" t="s">
        <v>123</v>
      </c>
      <c r="G4" s="17">
        <f t="shared" ref="G4:G5" si="0">E4*D4</f>
        <v>118.80000000000001</v>
      </c>
      <c r="H4" s="1"/>
    </row>
    <row r="5" spans="1:8" x14ac:dyDescent="0.25">
      <c r="A5" s="25"/>
      <c r="B5" s="1" t="s">
        <v>64</v>
      </c>
      <c r="C5" s="1" t="s">
        <v>66</v>
      </c>
      <c r="D5" s="1">
        <v>13.5</v>
      </c>
      <c r="E5" s="17">
        <v>6</v>
      </c>
      <c r="F5" s="17" t="s">
        <v>123</v>
      </c>
      <c r="G5" s="17">
        <f t="shared" si="0"/>
        <v>81</v>
      </c>
      <c r="H5" s="1"/>
    </row>
    <row r="6" spans="1:8" x14ac:dyDescent="0.25">
      <c r="A6" s="25"/>
      <c r="B6" s="1"/>
      <c r="C6" s="1"/>
      <c r="D6" s="1"/>
      <c r="E6" s="18"/>
      <c r="F6" s="18"/>
      <c r="G6" s="3"/>
      <c r="H6" s="1"/>
    </row>
    <row r="7" spans="1:8" x14ac:dyDescent="0.25">
      <c r="A7" s="25"/>
      <c r="B7" s="26" t="s">
        <v>7</v>
      </c>
      <c r="C7" s="27"/>
      <c r="D7" s="28"/>
      <c r="E7" s="18"/>
      <c r="F7" s="18"/>
      <c r="G7" s="13">
        <f>SUM(G3:G6)</f>
        <v>6289.8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7" t="s">
        <v>121</v>
      </c>
      <c r="F8" s="17"/>
      <c r="G8" s="1" t="s">
        <v>4</v>
      </c>
      <c r="H8" s="1" t="s">
        <v>5</v>
      </c>
    </row>
    <row r="9" spans="1:8" x14ac:dyDescent="0.25">
      <c r="A9" s="25" t="s">
        <v>56</v>
      </c>
      <c r="B9" s="1" t="s">
        <v>67</v>
      </c>
      <c r="C9" s="1" t="s">
        <v>41</v>
      </c>
      <c r="D9" s="1">
        <v>58.8</v>
      </c>
      <c r="E9" s="17">
        <v>25</v>
      </c>
      <c r="F9" s="17" t="s">
        <v>123</v>
      </c>
      <c r="G9" s="1">
        <f>E9*D9</f>
        <v>1470</v>
      </c>
      <c r="H9" s="1"/>
    </row>
    <row r="10" spans="1:8" x14ac:dyDescent="0.25">
      <c r="A10" s="25"/>
      <c r="B10" s="1" t="s">
        <v>68</v>
      </c>
      <c r="C10" s="1" t="s">
        <v>66</v>
      </c>
      <c r="D10" s="1">
        <v>135</v>
      </c>
      <c r="E10" s="17">
        <v>6</v>
      </c>
      <c r="F10" s="17" t="s">
        <v>123</v>
      </c>
      <c r="G10" s="17">
        <f t="shared" ref="G10:G11" si="1">E10*D10</f>
        <v>810</v>
      </c>
      <c r="H10" s="1"/>
    </row>
    <row r="11" spans="1:8" x14ac:dyDescent="0.25">
      <c r="A11" s="25"/>
      <c r="B11" s="1" t="s">
        <v>69</v>
      </c>
      <c r="C11" s="1" t="s">
        <v>18</v>
      </c>
      <c r="D11" s="1">
        <v>168</v>
      </c>
      <c r="E11" s="17">
        <v>5</v>
      </c>
      <c r="F11" s="17" t="s">
        <v>123</v>
      </c>
      <c r="G11" s="17">
        <f t="shared" si="1"/>
        <v>840</v>
      </c>
      <c r="H11" s="1"/>
    </row>
    <row r="12" spans="1:8" x14ac:dyDescent="0.25">
      <c r="A12" s="25"/>
      <c r="B12" s="1"/>
      <c r="C12" s="1"/>
      <c r="D12" s="1"/>
      <c r="E12" s="17"/>
      <c r="F12" s="17"/>
      <c r="G12" s="17"/>
      <c r="H12" s="1"/>
    </row>
    <row r="13" spans="1:8" x14ac:dyDescent="0.25">
      <c r="A13" s="25"/>
      <c r="B13" s="26" t="s">
        <v>7</v>
      </c>
      <c r="C13" s="27"/>
      <c r="D13" s="28"/>
      <c r="E13" s="18"/>
      <c r="F13" s="18"/>
      <c r="G13" s="20">
        <f>SUM(G9:G12)</f>
        <v>3120</v>
      </c>
      <c r="H13" s="1"/>
    </row>
    <row r="14" spans="1:8" x14ac:dyDescent="0.25">
      <c r="A14" s="1" t="s">
        <v>12</v>
      </c>
      <c r="B14" s="1" t="s">
        <v>1</v>
      </c>
      <c r="C14" s="1" t="s">
        <v>2</v>
      </c>
      <c r="D14" s="1" t="s">
        <v>3</v>
      </c>
      <c r="E14" s="17" t="s">
        <v>121</v>
      </c>
      <c r="F14" s="17"/>
      <c r="G14" s="1" t="s">
        <v>4</v>
      </c>
      <c r="H14" s="1" t="s">
        <v>5</v>
      </c>
    </row>
    <row r="15" spans="1:8" x14ac:dyDescent="0.25">
      <c r="A15" s="25" t="s">
        <v>57</v>
      </c>
      <c r="B15" s="1" t="s">
        <v>62</v>
      </c>
      <c r="C15" s="1" t="s">
        <v>11</v>
      </c>
      <c r="D15" s="1">
        <v>75</v>
      </c>
      <c r="E15" s="17">
        <v>15</v>
      </c>
      <c r="F15" s="17" t="s">
        <v>124</v>
      </c>
      <c r="G15" s="1">
        <f>E15*D15</f>
        <v>1125</v>
      </c>
      <c r="H15" s="1"/>
    </row>
    <row r="16" spans="1:8" x14ac:dyDescent="0.25">
      <c r="A16" s="25"/>
      <c r="B16" s="1" t="s">
        <v>10</v>
      </c>
      <c r="C16" s="1" t="s">
        <v>11</v>
      </c>
      <c r="D16" s="1">
        <v>45.6</v>
      </c>
      <c r="E16" s="17">
        <v>20</v>
      </c>
      <c r="F16" s="17" t="s">
        <v>123</v>
      </c>
      <c r="G16" s="1">
        <f>E16*D16</f>
        <v>912</v>
      </c>
      <c r="H16" s="1"/>
    </row>
    <row r="17" spans="1:8" x14ac:dyDescent="0.25">
      <c r="A17" s="25"/>
      <c r="B17" s="1"/>
      <c r="C17" s="1"/>
      <c r="D17" s="1"/>
      <c r="E17" s="17"/>
      <c r="F17" s="17"/>
      <c r="G17" s="1"/>
      <c r="H17" s="1"/>
    </row>
    <row r="18" spans="1:8" x14ac:dyDescent="0.25">
      <c r="A18" s="25"/>
      <c r="B18" s="1"/>
      <c r="C18" s="1"/>
      <c r="D18" s="1"/>
      <c r="E18" s="18"/>
      <c r="F18" s="18"/>
      <c r="G18" s="3"/>
      <c r="H18" s="1"/>
    </row>
    <row r="19" spans="1:8" x14ac:dyDescent="0.25">
      <c r="A19" s="25"/>
      <c r="B19" s="26" t="s">
        <v>7</v>
      </c>
      <c r="C19" s="27"/>
      <c r="D19" s="28"/>
      <c r="E19" s="18"/>
      <c r="F19" s="18"/>
      <c r="G19" s="14">
        <f>SUM(G15:G18)</f>
        <v>2037</v>
      </c>
      <c r="H19" s="1"/>
    </row>
    <row r="20" spans="1:8" x14ac:dyDescent="0.25">
      <c r="A20" s="5" t="s">
        <v>16</v>
      </c>
      <c r="B20" s="1" t="s">
        <v>1</v>
      </c>
      <c r="C20" s="1" t="s">
        <v>2</v>
      </c>
      <c r="D20" s="1" t="s">
        <v>3</v>
      </c>
      <c r="E20" s="17" t="s">
        <v>121</v>
      </c>
      <c r="F20" s="17"/>
      <c r="G20" s="1" t="s">
        <v>4</v>
      </c>
      <c r="H20" s="1" t="s">
        <v>5</v>
      </c>
    </row>
    <row r="21" spans="1:8" x14ac:dyDescent="0.25">
      <c r="A21" s="25"/>
      <c r="B21" s="1"/>
      <c r="C21" s="1"/>
      <c r="D21" s="1"/>
      <c r="E21" s="17"/>
      <c r="F21" s="17"/>
      <c r="G21" s="1"/>
      <c r="H21" s="1"/>
    </row>
    <row r="22" spans="1:8" x14ac:dyDescent="0.25">
      <c r="A22" s="25"/>
      <c r="B22" s="1"/>
      <c r="C22" s="1"/>
      <c r="D22" s="1"/>
      <c r="E22" s="17"/>
      <c r="F22" s="17"/>
      <c r="G22" s="1"/>
      <c r="H22" s="1"/>
    </row>
    <row r="23" spans="1:8" x14ac:dyDescent="0.25">
      <c r="A23" s="25"/>
      <c r="B23" s="1"/>
      <c r="C23" s="1"/>
      <c r="D23" s="1"/>
      <c r="E23" s="17"/>
      <c r="F23" s="17"/>
      <c r="G23" s="1"/>
      <c r="H23" s="1"/>
    </row>
    <row r="24" spans="1:8" x14ac:dyDescent="0.25">
      <c r="A24" s="25"/>
      <c r="B24" s="1"/>
      <c r="C24" s="1"/>
      <c r="D24" s="1"/>
      <c r="E24" s="17"/>
      <c r="F24" s="17"/>
      <c r="G24" s="1"/>
      <c r="H24" s="1"/>
    </row>
    <row r="25" spans="1:8" x14ac:dyDescent="0.25">
      <c r="A25" s="25"/>
      <c r="B25" s="26" t="s">
        <v>7</v>
      </c>
      <c r="C25" s="27"/>
      <c r="D25" s="28"/>
      <c r="E25" s="18"/>
      <c r="F25" s="18"/>
      <c r="G25" s="3"/>
      <c r="H25" s="1"/>
    </row>
    <row r="26" spans="1:8" x14ac:dyDescent="0.25">
      <c r="A26" s="1" t="s">
        <v>17</v>
      </c>
      <c r="B26" s="1" t="s">
        <v>1</v>
      </c>
      <c r="C26" s="1" t="s">
        <v>2</v>
      </c>
      <c r="D26" s="1" t="s">
        <v>3</v>
      </c>
      <c r="E26" s="17" t="s">
        <v>121</v>
      </c>
      <c r="F26" s="17"/>
      <c r="G26" s="1" t="s">
        <v>4</v>
      </c>
      <c r="H26" s="1" t="s">
        <v>5</v>
      </c>
    </row>
    <row r="27" spans="1:8" x14ac:dyDescent="0.25">
      <c r="A27" s="25" t="s">
        <v>58</v>
      </c>
      <c r="B27" s="1" t="s">
        <v>59</v>
      </c>
      <c r="C27" s="1" t="s">
        <v>40</v>
      </c>
      <c r="D27" s="24">
        <v>19.8</v>
      </c>
      <c r="E27" s="24">
        <v>15</v>
      </c>
      <c r="F27" s="17" t="s">
        <v>123</v>
      </c>
      <c r="G27" s="17">
        <f>D27*E27</f>
        <v>297</v>
      </c>
      <c r="H27" s="1"/>
    </row>
    <row r="28" spans="1:8" x14ac:dyDescent="0.25">
      <c r="A28" s="25"/>
      <c r="B28" s="1" t="s">
        <v>60</v>
      </c>
      <c r="C28" s="1" t="s">
        <v>61</v>
      </c>
      <c r="D28" s="1">
        <v>10</v>
      </c>
      <c r="E28" s="17">
        <v>98.4</v>
      </c>
      <c r="F28" s="17" t="s">
        <v>123</v>
      </c>
      <c r="G28" s="1">
        <f>D28*E28</f>
        <v>984</v>
      </c>
      <c r="H28" s="1"/>
    </row>
    <row r="29" spans="1:8" x14ac:dyDescent="0.25">
      <c r="A29" s="25"/>
      <c r="B29" s="26" t="s">
        <v>7</v>
      </c>
      <c r="C29" s="27"/>
      <c r="D29" s="28"/>
      <c r="E29" s="18"/>
      <c r="F29" s="18"/>
      <c r="G29" s="14">
        <f>SUM(G27:G28)</f>
        <v>1281</v>
      </c>
      <c r="H29" s="1"/>
    </row>
    <row r="30" spans="1:8" x14ac:dyDescent="0.25">
      <c r="A30" s="1" t="s">
        <v>19</v>
      </c>
      <c r="B30" s="1" t="s">
        <v>1</v>
      </c>
      <c r="C30" s="1" t="s">
        <v>2</v>
      </c>
      <c r="D30" s="1" t="s">
        <v>3</v>
      </c>
      <c r="E30" s="18" t="s">
        <v>121</v>
      </c>
      <c r="F30" s="18"/>
      <c r="G30" s="3" t="s">
        <v>4</v>
      </c>
      <c r="H30" s="1" t="s">
        <v>5</v>
      </c>
    </row>
    <row r="31" spans="1:8" x14ac:dyDescent="0.25">
      <c r="A31" s="35"/>
      <c r="B31" s="1" t="s">
        <v>122</v>
      </c>
      <c r="C31" s="1"/>
      <c r="D31" s="1">
        <v>27.84</v>
      </c>
      <c r="E31" s="17">
        <v>100.17</v>
      </c>
      <c r="F31" s="17" t="s">
        <v>123</v>
      </c>
      <c r="G31" s="12">
        <f>E31*D31</f>
        <v>2788.7328000000002</v>
      </c>
      <c r="H31" s="1"/>
    </row>
    <row r="32" spans="1:8" x14ac:dyDescent="0.25">
      <c r="A32" s="36"/>
      <c r="B32" s="1" t="s">
        <v>125</v>
      </c>
      <c r="C32" s="1"/>
      <c r="D32" s="1">
        <v>31.62</v>
      </c>
      <c r="E32" s="17">
        <v>65</v>
      </c>
      <c r="F32" s="17" t="s">
        <v>123</v>
      </c>
      <c r="G32" s="12">
        <f>E32*D32</f>
        <v>2055.3000000000002</v>
      </c>
      <c r="H32" s="1"/>
    </row>
    <row r="33" spans="1:8" x14ac:dyDescent="0.25">
      <c r="A33" s="37"/>
      <c r="B33" s="26" t="s">
        <v>7</v>
      </c>
      <c r="C33" s="27"/>
      <c r="D33" s="28"/>
      <c r="E33" s="18"/>
      <c r="F33" s="18"/>
      <c r="G33" s="13">
        <f>SUM(G31:G32)</f>
        <v>4844.0328000000009</v>
      </c>
      <c r="H33" s="6"/>
    </row>
    <row r="34" spans="1:8" x14ac:dyDescent="0.25">
      <c r="A34" s="7" t="s">
        <v>20</v>
      </c>
      <c r="B34" s="1" t="s">
        <v>1</v>
      </c>
      <c r="C34" s="1" t="s">
        <v>2</v>
      </c>
      <c r="D34" s="1" t="s">
        <v>3</v>
      </c>
      <c r="E34" s="17" t="s">
        <v>121</v>
      </c>
      <c r="F34" s="17"/>
      <c r="G34" s="1" t="s">
        <v>4</v>
      </c>
      <c r="H34" s="1"/>
    </row>
    <row r="35" spans="1:8" x14ac:dyDescent="0.25">
      <c r="A35" s="25"/>
      <c r="B35" s="1" t="s">
        <v>126</v>
      </c>
      <c r="C35" s="1"/>
      <c r="D35" s="1">
        <v>60</v>
      </c>
      <c r="E35" s="17">
        <v>1</v>
      </c>
      <c r="F35" s="17" t="s">
        <v>127</v>
      </c>
      <c r="G35" s="1">
        <v>60</v>
      </c>
      <c r="H35" s="1"/>
    </row>
    <row r="36" spans="1:8" x14ac:dyDescent="0.25">
      <c r="A36" s="25"/>
      <c r="B36" s="1"/>
      <c r="C36" s="1"/>
      <c r="D36" s="1"/>
      <c r="E36" s="17"/>
      <c r="F36" s="17"/>
      <c r="G36" s="1"/>
      <c r="H36" s="1"/>
    </row>
    <row r="37" spans="1:8" x14ac:dyDescent="0.25">
      <c r="A37" s="25"/>
      <c r="B37" s="1"/>
      <c r="C37" s="1"/>
      <c r="D37" s="1"/>
      <c r="E37" s="17"/>
      <c r="F37" s="17"/>
      <c r="G37" s="1"/>
      <c r="H37" s="1"/>
    </row>
    <row r="38" spans="1:8" x14ac:dyDescent="0.25">
      <c r="A38" s="25"/>
      <c r="B38" s="1"/>
      <c r="C38" s="1"/>
      <c r="D38" s="1"/>
      <c r="E38" s="17"/>
      <c r="F38" s="17"/>
      <c r="G38" s="1"/>
      <c r="H38" s="1"/>
    </row>
    <row r="39" spans="1:8" x14ac:dyDescent="0.25">
      <c r="A39" s="25"/>
      <c r="B39" s="26" t="s">
        <v>7</v>
      </c>
      <c r="C39" s="27"/>
      <c r="D39" s="28"/>
      <c r="E39" s="18"/>
      <c r="F39" s="18"/>
      <c r="G39" s="14">
        <f>SUM(G35:G38)</f>
        <v>60</v>
      </c>
      <c r="H39" s="1"/>
    </row>
    <row r="40" spans="1:8" x14ac:dyDescent="0.25">
      <c r="A40" s="1"/>
      <c r="B40" s="32" t="s">
        <v>21</v>
      </c>
      <c r="C40" s="33"/>
      <c r="D40" s="34"/>
      <c r="E40" s="19"/>
      <c r="F40" s="19"/>
      <c r="G40" s="16">
        <f>G39+G33+G29+G19+G13+G7</f>
        <v>17631.8328</v>
      </c>
      <c r="H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topLeftCell="A30"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9" t="s">
        <v>25</v>
      </c>
      <c r="B1" s="30"/>
      <c r="C1" s="30"/>
      <c r="D1" s="30"/>
      <c r="E1" s="30"/>
      <c r="F1" s="30"/>
      <c r="G1" s="30"/>
      <c r="H1" s="3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1" t="s">
        <v>128</v>
      </c>
      <c r="F2" s="21"/>
      <c r="G2" s="1" t="s">
        <v>4</v>
      </c>
      <c r="H2" s="1" t="s">
        <v>5</v>
      </c>
    </row>
    <row r="3" spans="1:8" x14ac:dyDescent="0.25">
      <c r="A3" s="25" t="s">
        <v>70</v>
      </c>
      <c r="B3" s="1" t="s">
        <v>75</v>
      </c>
      <c r="C3" s="1" t="s">
        <v>77</v>
      </c>
      <c r="D3" s="1">
        <v>75</v>
      </c>
      <c r="E3" s="21">
        <v>65</v>
      </c>
      <c r="F3" s="21" t="s">
        <v>141</v>
      </c>
      <c r="G3" s="1">
        <f>E3*D3</f>
        <v>4875</v>
      </c>
      <c r="H3" s="1"/>
    </row>
    <row r="4" spans="1:8" x14ac:dyDescent="0.25">
      <c r="A4" s="25"/>
      <c r="B4" s="1" t="s">
        <v>76</v>
      </c>
      <c r="C4" s="1" t="s">
        <v>78</v>
      </c>
      <c r="D4" s="1">
        <v>271</v>
      </c>
      <c r="E4" s="21">
        <v>4</v>
      </c>
      <c r="F4" s="21" t="s">
        <v>129</v>
      </c>
      <c r="G4" s="21">
        <f t="shared" ref="G4:G5" si="0">E4*D4</f>
        <v>1084</v>
      </c>
      <c r="H4" s="1"/>
    </row>
    <row r="5" spans="1:8" x14ac:dyDescent="0.25">
      <c r="A5" s="25"/>
      <c r="B5" s="1" t="s">
        <v>9</v>
      </c>
      <c r="C5" s="1" t="s">
        <v>18</v>
      </c>
      <c r="D5" s="1">
        <v>25.5</v>
      </c>
      <c r="E5" s="21">
        <v>5</v>
      </c>
      <c r="F5" s="21" t="s">
        <v>141</v>
      </c>
      <c r="G5" s="21">
        <f t="shared" si="0"/>
        <v>127.5</v>
      </c>
      <c r="H5" s="1"/>
    </row>
    <row r="6" spans="1:8" x14ac:dyDescent="0.25">
      <c r="A6" s="25"/>
      <c r="B6" s="1"/>
      <c r="C6" s="1"/>
      <c r="D6" s="1"/>
      <c r="E6" s="22"/>
      <c r="F6" s="22"/>
      <c r="G6" s="3"/>
      <c r="H6" s="1"/>
    </row>
    <row r="7" spans="1:8" x14ac:dyDescent="0.25">
      <c r="A7" s="25"/>
      <c r="B7" s="26" t="s">
        <v>7</v>
      </c>
      <c r="C7" s="27"/>
      <c r="D7" s="28"/>
      <c r="E7" s="22"/>
      <c r="F7" s="22"/>
      <c r="G7" s="13">
        <f>SUM(G3:G6)</f>
        <v>6086.5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21" t="s">
        <v>128</v>
      </c>
      <c r="F8" s="21"/>
      <c r="G8" s="1" t="s">
        <v>4</v>
      </c>
      <c r="H8" s="1" t="s">
        <v>5</v>
      </c>
    </row>
    <row r="9" spans="1:8" x14ac:dyDescent="0.25">
      <c r="A9" s="25" t="s">
        <v>71</v>
      </c>
      <c r="B9" s="1" t="s">
        <v>13</v>
      </c>
      <c r="C9" s="1" t="s">
        <v>14</v>
      </c>
      <c r="D9" s="1">
        <v>150</v>
      </c>
      <c r="E9" s="21">
        <v>6</v>
      </c>
      <c r="F9" s="21" t="s">
        <v>142</v>
      </c>
      <c r="G9" s="12">
        <f>E9*D9</f>
        <v>900</v>
      </c>
      <c r="H9" s="1"/>
    </row>
    <row r="10" spans="1:8" x14ac:dyDescent="0.25">
      <c r="A10" s="25"/>
      <c r="B10" s="1" t="s">
        <v>79</v>
      </c>
      <c r="C10" s="1" t="s">
        <v>18</v>
      </c>
      <c r="D10" s="1">
        <v>85</v>
      </c>
      <c r="E10" s="21">
        <v>5</v>
      </c>
      <c r="F10" s="21" t="s">
        <v>141</v>
      </c>
      <c r="G10" s="12">
        <f t="shared" ref="G10:G12" si="1">E10*D10</f>
        <v>425</v>
      </c>
      <c r="H10" s="1"/>
    </row>
    <row r="11" spans="1:8" x14ac:dyDescent="0.25">
      <c r="A11" s="25"/>
      <c r="B11" s="1" t="s">
        <v>64</v>
      </c>
      <c r="C11" s="1" t="s">
        <v>80</v>
      </c>
      <c r="D11" s="1">
        <v>12.6</v>
      </c>
      <c r="E11" s="21">
        <v>4</v>
      </c>
      <c r="F11" s="21" t="s">
        <v>141</v>
      </c>
      <c r="G11" s="12">
        <f t="shared" si="1"/>
        <v>50.4</v>
      </c>
      <c r="H11" s="1"/>
    </row>
    <row r="12" spans="1:8" x14ac:dyDescent="0.25">
      <c r="A12" s="25"/>
      <c r="B12" s="1" t="s">
        <v>9</v>
      </c>
      <c r="C12" s="1" t="s">
        <v>18</v>
      </c>
      <c r="D12" s="1">
        <v>25.5</v>
      </c>
      <c r="E12" s="21">
        <v>5</v>
      </c>
      <c r="F12" s="21" t="s">
        <v>141</v>
      </c>
      <c r="G12" s="12">
        <f t="shared" si="1"/>
        <v>127.5</v>
      </c>
      <c r="H12" s="1"/>
    </row>
    <row r="13" spans="1:8" x14ac:dyDescent="0.25">
      <c r="A13" s="25"/>
      <c r="B13" s="26" t="s">
        <v>7</v>
      </c>
      <c r="C13" s="27"/>
      <c r="D13" s="28"/>
      <c r="E13" s="22"/>
      <c r="F13" s="22"/>
      <c r="G13" s="13">
        <f>SUM(G9:G12)</f>
        <v>1502.9</v>
      </c>
      <c r="H13" s="1"/>
    </row>
    <row r="14" spans="1:8" x14ac:dyDescent="0.25">
      <c r="A14" s="1" t="s">
        <v>12</v>
      </c>
      <c r="B14" s="1" t="s">
        <v>1</v>
      </c>
      <c r="C14" s="1" t="s">
        <v>2</v>
      </c>
      <c r="D14" s="1" t="s">
        <v>3</v>
      </c>
      <c r="E14" s="21" t="s">
        <v>128</v>
      </c>
      <c r="F14" s="21"/>
      <c r="G14" s="1" t="s">
        <v>4</v>
      </c>
      <c r="H14" s="1" t="s">
        <v>5</v>
      </c>
    </row>
    <row r="15" spans="1:8" x14ac:dyDescent="0.25">
      <c r="A15" s="25" t="s">
        <v>72</v>
      </c>
      <c r="B15" s="1" t="s">
        <v>81</v>
      </c>
      <c r="C15" s="1" t="s">
        <v>41</v>
      </c>
      <c r="D15" s="1">
        <v>75.239999999999995</v>
      </c>
      <c r="E15" s="21">
        <v>25</v>
      </c>
      <c r="F15" s="21" t="s">
        <v>141</v>
      </c>
      <c r="G15" s="1">
        <f>D15*E15</f>
        <v>1880.9999999999998</v>
      </c>
      <c r="H15" s="1"/>
    </row>
    <row r="16" spans="1:8" x14ac:dyDescent="0.25">
      <c r="A16" s="25"/>
      <c r="B16" s="1" t="s">
        <v>82</v>
      </c>
      <c r="C16" s="1" t="s">
        <v>83</v>
      </c>
      <c r="D16" s="1">
        <v>105</v>
      </c>
      <c r="E16" s="21">
        <v>8</v>
      </c>
      <c r="F16" s="21" t="s">
        <v>130</v>
      </c>
      <c r="G16" s="21">
        <f>D16*E16</f>
        <v>840</v>
      </c>
      <c r="H16" s="1"/>
    </row>
    <row r="17" spans="1:8" x14ac:dyDescent="0.25">
      <c r="A17" s="25"/>
      <c r="B17" s="1"/>
      <c r="C17" s="1"/>
      <c r="D17" s="1"/>
      <c r="E17" s="21"/>
      <c r="F17" s="21"/>
      <c r="G17" s="1"/>
      <c r="H17" s="1"/>
    </row>
    <row r="18" spans="1:8" x14ac:dyDescent="0.25">
      <c r="A18" s="25"/>
      <c r="B18" s="1"/>
      <c r="C18" s="1"/>
      <c r="D18" s="1"/>
      <c r="E18" s="22"/>
      <c r="F18" s="22"/>
      <c r="G18" s="3"/>
      <c r="H18" s="1"/>
    </row>
    <row r="19" spans="1:8" x14ac:dyDescent="0.25">
      <c r="A19" s="25"/>
      <c r="B19" s="26" t="s">
        <v>7</v>
      </c>
      <c r="C19" s="27"/>
      <c r="D19" s="28"/>
      <c r="E19" s="22"/>
      <c r="F19" s="22"/>
      <c r="G19" s="14">
        <f>SUM(G15:G18)</f>
        <v>2721</v>
      </c>
      <c r="H19" s="1"/>
    </row>
    <row r="20" spans="1:8" x14ac:dyDescent="0.25">
      <c r="A20" s="5" t="s">
        <v>16</v>
      </c>
      <c r="B20" s="1" t="s">
        <v>1</v>
      </c>
      <c r="C20" s="1" t="s">
        <v>2</v>
      </c>
      <c r="D20" s="1" t="s">
        <v>3</v>
      </c>
      <c r="E20" s="21" t="s">
        <v>128</v>
      </c>
      <c r="F20" s="21"/>
      <c r="G20" s="1" t="s">
        <v>4</v>
      </c>
      <c r="H20" s="1" t="s">
        <v>5</v>
      </c>
    </row>
    <row r="21" spans="1:8" x14ac:dyDescent="0.25">
      <c r="A21" s="25"/>
      <c r="B21" s="1" t="s">
        <v>137</v>
      </c>
      <c r="C21" s="1"/>
      <c r="D21" s="1">
        <v>250</v>
      </c>
      <c r="E21" s="21">
        <v>1</v>
      </c>
      <c r="F21" s="21" t="s">
        <v>139</v>
      </c>
      <c r="G21" s="1">
        <f>D21*E21</f>
        <v>250</v>
      </c>
      <c r="H21" s="1"/>
    </row>
    <row r="22" spans="1:8" x14ac:dyDescent="0.25">
      <c r="A22" s="25"/>
      <c r="B22" s="1" t="s">
        <v>138</v>
      </c>
      <c r="C22" s="1"/>
      <c r="D22" s="1">
        <v>235</v>
      </c>
      <c r="E22" s="21">
        <v>2</v>
      </c>
      <c r="F22" s="21" t="s">
        <v>140</v>
      </c>
      <c r="G22" s="21">
        <f>D22*E22</f>
        <v>470</v>
      </c>
      <c r="H22" s="1"/>
    </row>
    <row r="23" spans="1:8" x14ac:dyDescent="0.25">
      <c r="A23" s="25"/>
      <c r="B23" s="1" t="s">
        <v>148</v>
      </c>
      <c r="C23" s="1"/>
      <c r="D23" s="1">
        <v>363</v>
      </c>
      <c r="E23" s="21">
        <v>1</v>
      </c>
      <c r="F23" s="21" t="s">
        <v>130</v>
      </c>
      <c r="G23" s="21">
        <f t="shared" ref="G23:G29" si="2">D23*E23</f>
        <v>363</v>
      </c>
      <c r="H23" s="1"/>
    </row>
    <row r="24" spans="1:8" x14ac:dyDescent="0.25">
      <c r="A24" s="25"/>
      <c r="B24" s="1" t="s">
        <v>149</v>
      </c>
      <c r="C24" s="1"/>
      <c r="D24" s="1">
        <v>98.4</v>
      </c>
      <c r="E24" s="21">
        <v>5</v>
      </c>
      <c r="F24" s="21" t="s">
        <v>141</v>
      </c>
      <c r="G24" s="21">
        <f t="shared" si="2"/>
        <v>492</v>
      </c>
      <c r="H24" s="1"/>
    </row>
    <row r="25" spans="1:8" x14ac:dyDescent="0.25">
      <c r="A25" s="25"/>
      <c r="B25" s="21" t="s">
        <v>150</v>
      </c>
      <c r="C25" s="21"/>
      <c r="D25" s="21">
        <v>339</v>
      </c>
      <c r="E25" s="22">
        <v>2</v>
      </c>
      <c r="F25" s="22" t="s">
        <v>139</v>
      </c>
      <c r="G25" s="21">
        <f t="shared" si="2"/>
        <v>678</v>
      </c>
      <c r="H25" s="21"/>
    </row>
    <row r="26" spans="1:8" x14ac:dyDescent="0.25">
      <c r="A26" s="25"/>
      <c r="B26" s="21" t="s">
        <v>151</v>
      </c>
      <c r="C26" s="21"/>
      <c r="D26" s="21">
        <v>37</v>
      </c>
      <c r="E26" s="22">
        <v>20</v>
      </c>
      <c r="F26" s="22" t="s">
        <v>152</v>
      </c>
      <c r="G26" s="21">
        <f t="shared" si="2"/>
        <v>740</v>
      </c>
      <c r="H26" s="21"/>
    </row>
    <row r="27" spans="1:8" x14ac:dyDescent="0.25">
      <c r="A27" s="25"/>
      <c r="B27" s="21" t="s">
        <v>153</v>
      </c>
      <c r="C27" s="21"/>
      <c r="D27" s="21">
        <v>844</v>
      </c>
      <c r="E27" s="22">
        <v>1</v>
      </c>
      <c r="F27" s="22" t="s">
        <v>154</v>
      </c>
      <c r="G27" s="21">
        <f t="shared" si="2"/>
        <v>844</v>
      </c>
      <c r="H27" s="21"/>
    </row>
    <row r="28" spans="1:8" x14ac:dyDescent="0.25">
      <c r="A28" s="25"/>
      <c r="B28" s="21" t="s">
        <v>155</v>
      </c>
      <c r="C28" s="21"/>
      <c r="D28" s="21">
        <v>225</v>
      </c>
      <c r="E28" s="21">
        <v>2</v>
      </c>
      <c r="F28" s="22" t="s">
        <v>139</v>
      </c>
      <c r="G28" s="21">
        <f t="shared" si="2"/>
        <v>450</v>
      </c>
      <c r="H28" s="21"/>
    </row>
    <row r="29" spans="1:8" x14ac:dyDescent="0.25">
      <c r="A29" s="25"/>
      <c r="B29" s="21" t="s">
        <v>156</v>
      </c>
      <c r="C29" s="21"/>
      <c r="D29" s="21">
        <v>291</v>
      </c>
      <c r="E29" s="21">
        <v>2</v>
      </c>
      <c r="F29" s="22" t="s">
        <v>139</v>
      </c>
      <c r="G29" s="22">
        <f t="shared" si="2"/>
        <v>582</v>
      </c>
      <c r="H29" s="21"/>
    </row>
    <row r="30" spans="1:8" x14ac:dyDescent="0.25">
      <c r="A30" s="25"/>
      <c r="B30" s="26" t="s">
        <v>7</v>
      </c>
      <c r="C30" s="27"/>
      <c r="D30" s="28"/>
      <c r="E30" s="22"/>
      <c r="F30" s="22"/>
      <c r="G30" s="14">
        <f>SUM(G21:G29)</f>
        <v>4869</v>
      </c>
      <c r="H30" s="1"/>
    </row>
    <row r="31" spans="1:8" x14ac:dyDescent="0.25">
      <c r="A31" s="1" t="s">
        <v>17</v>
      </c>
      <c r="B31" s="1" t="s">
        <v>1</v>
      </c>
      <c r="C31" s="1" t="s">
        <v>2</v>
      </c>
      <c r="D31" s="1" t="s">
        <v>3</v>
      </c>
      <c r="E31" s="21" t="s">
        <v>128</v>
      </c>
      <c r="F31" s="21"/>
      <c r="G31" s="1" t="s">
        <v>4</v>
      </c>
      <c r="H31" s="1" t="s">
        <v>5</v>
      </c>
    </row>
    <row r="32" spans="1:8" x14ac:dyDescent="0.25">
      <c r="A32" s="25" t="s">
        <v>73</v>
      </c>
      <c r="B32" s="1" t="s">
        <v>74</v>
      </c>
      <c r="C32" s="1"/>
      <c r="D32" s="1"/>
      <c r="E32" s="21"/>
      <c r="F32" s="21"/>
      <c r="G32" s="1"/>
      <c r="H32" s="1" t="s">
        <v>31</v>
      </c>
    </row>
    <row r="33" spans="1:8" x14ac:dyDescent="0.25">
      <c r="A33" s="25"/>
      <c r="B33" s="1"/>
      <c r="C33" s="1"/>
      <c r="D33" s="1"/>
      <c r="E33" s="21"/>
      <c r="F33" s="21"/>
      <c r="G33" s="1"/>
      <c r="H33" s="1"/>
    </row>
    <row r="34" spans="1:8" x14ac:dyDescent="0.25">
      <c r="A34" s="25"/>
      <c r="B34" s="26" t="s">
        <v>7</v>
      </c>
      <c r="C34" s="27"/>
      <c r="D34" s="28"/>
      <c r="E34" s="22"/>
      <c r="F34" s="22"/>
      <c r="G34" s="3"/>
      <c r="H34" s="1"/>
    </row>
    <row r="35" spans="1:8" x14ac:dyDescent="0.25">
      <c r="A35" s="1" t="s">
        <v>19</v>
      </c>
      <c r="B35" s="1" t="s">
        <v>1</v>
      </c>
      <c r="C35" s="1" t="s">
        <v>2</v>
      </c>
      <c r="D35" s="1" t="s">
        <v>3</v>
      </c>
      <c r="E35" s="22" t="s">
        <v>128</v>
      </c>
      <c r="F35" s="22"/>
      <c r="G35" s="3" t="s">
        <v>4</v>
      </c>
      <c r="H35" s="1" t="s">
        <v>5</v>
      </c>
    </row>
    <row r="36" spans="1:8" x14ac:dyDescent="0.25">
      <c r="A36" s="35"/>
      <c r="B36" s="1" t="s">
        <v>143</v>
      </c>
      <c r="C36" s="1"/>
      <c r="D36" s="1">
        <v>31.5</v>
      </c>
      <c r="E36" s="21">
        <v>65</v>
      </c>
      <c r="F36" s="21" t="s">
        <v>141</v>
      </c>
      <c r="G36" s="12">
        <f>E36*D36</f>
        <v>2047.5</v>
      </c>
      <c r="H36" s="1"/>
    </row>
    <row r="37" spans="1:8" x14ac:dyDescent="0.25">
      <c r="A37" s="36"/>
      <c r="B37" s="1" t="s">
        <v>144</v>
      </c>
      <c r="C37" s="1"/>
      <c r="D37" s="1">
        <v>27.84</v>
      </c>
      <c r="E37" s="21">
        <v>82.5</v>
      </c>
      <c r="F37" s="21" t="s">
        <v>141</v>
      </c>
      <c r="G37" s="12">
        <f>E37*D37</f>
        <v>2296.8000000000002</v>
      </c>
      <c r="H37" s="1"/>
    </row>
    <row r="38" spans="1:8" x14ac:dyDescent="0.25">
      <c r="A38" s="37"/>
      <c r="B38" s="26" t="s">
        <v>7</v>
      </c>
      <c r="C38" s="27"/>
      <c r="D38" s="28"/>
      <c r="E38" s="22"/>
      <c r="F38" s="22"/>
      <c r="G38" s="13">
        <f>SUM(G36:G37)</f>
        <v>4344.3</v>
      </c>
      <c r="H38" s="6"/>
    </row>
    <row r="39" spans="1:8" x14ac:dyDescent="0.25">
      <c r="A39" s="7" t="s">
        <v>20</v>
      </c>
      <c r="B39" s="1" t="s">
        <v>1</v>
      </c>
      <c r="C39" s="1" t="s">
        <v>2</v>
      </c>
      <c r="D39" s="1" t="s">
        <v>3</v>
      </c>
      <c r="E39" s="21" t="s">
        <v>128</v>
      </c>
      <c r="F39" s="21"/>
      <c r="G39" s="1" t="s">
        <v>4</v>
      </c>
      <c r="H39" s="1"/>
    </row>
    <row r="40" spans="1:8" x14ac:dyDescent="0.25">
      <c r="A40" s="25"/>
      <c r="B40" s="1" t="s">
        <v>131</v>
      </c>
      <c r="C40" s="1"/>
      <c r="D40" s="1">
        <v>60</v>
      </c>
      <c r="E40" s="21">
        <v>1</v>
      </c>
      <c r="F40" s="21" t="s">
        <v>133</v>
      </c>
      <c r="G40" s="1">
        <f>D40*E40</f>
        <v>60</v>
      </c>
      <c r="H40" s="1"/>
    </row>
    <row r="41" spans="1:8" x14ac:dyDescent="0.25">
      <c r="A41" s="25"/>
      <c r="B41" s="1" t="s">
        <v>132</v>
      </c>
      <c r="C41" s="1"/>
      <c r="D41" s="1">
        <v>4.5</v>
      </c>
      <c r="E41" s="21">
        <v>50</v>
      </c>
      <c r="F41" s="21" t="s">
        <v>134</v>
      </c>
      <c r="G41" s="21">
        <f t="shared" ref="G41:G45" si="3">D41*E41</f>
        <v>225</v>
      </c>
      <c r="H41" s="1"/>
    </row>
    <row r="42" spans="1:8" x14ac:dyDescent="0.25">
      <c r="A42" s="25"/>
      <c r="B42" s="1" t="s">
        <v>135</v>
      </c>
      <c r="C42" s="1"/>
      <c r="D42" s="1">
        <v>270</v>
      </c>
      <c r="E42" s="21">
        <v>1</v>
      </c>
      <c r="F42" s="21" t="s">
        <v>136</v>
      </c>
      <c r="G42" s="21">
        <f t="shared" si="3"/>
        <v>270</v>
      </c>
      <c r="H42" s="1"/>
    </row>
    <row r="43" spans="1:8" x14ac:dyDescent="0.25">
      <c r="A43" s="25"/>
      <c r="B43" s="1" t="s">
        <v>145</v>
      </c>
      <c r="C43" s="1"/>
      <c r="D43" s="1">
        <v>69</v>
      </c>
      <c r="E43" s="21">
        <v>2.5</v>
      </c>
      <c r="F43" s="21" t="s">
        <v>141</v>
      </c>
      <c r="G43" s="21">
        <f t="shared" si="3"/>
        <v>172.5</v>
      </c>
      <c r="H43" s="1"/>
    </row>
    <row r="44" spans="1:8" x14ac:dyDescent="0.25">
      <c r="A44" s="25"/>
      <c r="B44" s="21" t="s">
        <v>146</v>
      </c>
      <c r="C44" s="21"/>
      <c r="D44" s="21">
        <v>10</v>
      </c>
      <c r="E44" s="22">
        <v>30</v>
      </c>
      <c r="F44" s="22" t="s">
        <v>134</v>
      </c>
      <c r="G44" s="21">
        <f t="shared" si="3"/>
        <v>300</v>
      </c>
      <c r="H44" s="21"/>
    </row>
    <row r="45" spans="1:8" x14ac:dyDescent="0.25">
      <c r="A45" s="25"/>
      <c r="B45" s="21" t="s">
        <v>147</v>
      </c>
      <c r="C45" s="21"/>
      <c r="D45" s="21">
        <v>50</v>
      </c>
      <c r="E45" s="22">
        <v>1</v>
      </c>
      <c r="F45" s="21" t="s">
        <v>133</v>
      </c>
      <c r="G45" s="22">
        <f t="shared" si="3"/>
        <v>50</v>
      </c>
      <c r="H45" s="21"/>
    </row>
    <row r="46" spans="1:8" x14ac:dyDescent="0.25">
      <c r="A46" s="25"/>
      <c r="B46" s="26" t="s">
        <v>7</v>
      </c>
      <c r="C46" s="27"/>
      <c r="D46" s="28"/>
      <c r="E46" s="22"/>
      <c r="F46" s="22"/>
      <c r="G46" s="13">
        <f>SUM(G40:G45)</f>
        <v>1077.5</v>
      </c>
      <c r="H46" s="1"/>
    </row>
    <row r="47" spans="1:8" x14ac:dyDescent="0.25">
      <c r="A47" s="1"/>
      <c r="B47" s="32" t="s">
        <v>21</v>
      </c>
      <c r="C47" s="33"/>
      <c r="D47" s="34"/>
      <c r="E47" s="23"/>
      <c r="F47" s="23"/>
      <c r="G47" s="16">
        <f>G46+G38+G30+G19+G13+G7</f>
        <v>20601.199999999997</v>
      </c>
      <c r="H47" s="1"/>
    </row>
  </sheetData>
  <mergeCells count="16">
    <mergeCell ref="A40:A46"/>
    <mergeCell ref="B46:D46"/>
    <mergeCell ref="B47:D47"/>
    <mergeCell ref="A21:A30"/>
    <mergeCell ref="B30:D30"/>
    <mergeCell ref="A32:A34"/>
    <mergeCell ref="B34:D34"/>
    <mergeCell ref="A36:A38"/>
    <mergeCell ref="B38:D38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0916</vt:lpstr>
      <vt:lpstr>0918</vt:lpstr>
      <vt:lpstr>0919</vt:lpstr>
      <vt:lpstr>0920</vt:lpstr>
      <vt:lpstr>'0916'!Print_Area</vt:lpstr>
      <vt:lpstr>'0918'!Print_Area</vt:lpstr>
      <vt:lpstr>'0919'!Print_Area</vt:lpstr>
      <vt:lpstr>'0920'!Print_Area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2024-09-20T03:25:18Z</cp:lastPrinted>
  <dcterms:created xsi:type="dcterms:W3CDTF">2024-09-02T13:30:19Z</dcterms:created>
  <dcterms:modified xsi:type="dcterms:W3CDTF">2024-09-20T03:25:19Z</dcterms:modified>
</cp:coreProperties>
</file>