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9月份\"/>
    </mc:Choice>
  </mc:AlternateContent>
  <bookViews>
    <workbookView xWindow="0" yWindow="0" windowWidth="28800" windowHeight="12255" activeTab="4"/>
  </bookViews>
  <sheets>
    <sheet name="0923" sheetId="1" r:id="rId1"/>
    <sheet name="0924" sheetId="2" r:id="rId2"/>
    <sheet name="0925" sheetId="3" r:id="rId3"/>
    <sheet name="0926" sheetId="4" r:id="rId4"/>
    <sheet name="0927" sheetId="5" r:id="rId5"/>
  </sheets>
  <definedNames>
    <definedName name="_xlnm.Print_Area" localSheetId="0">'0923'!$A$1:$H$45</definedName>
    <definedName name="_xlnm.Print_Area" localSheetId="1">'0924'!$A$1:$H$42</definedName>
    <definedName name="_xlnm.Print_Area" localSheetId="2">'0925'!$A$1:$H$44</definedName>
    <definedName name="_xlnm.Print_Area" localSheetId="4">'0927'!$A$1:$H$47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5" l="1"/>
  <c r="G29" i="5"/>
  <c r="G22" i="5"/>
  <c r="G23" i="5"/>
  <c r="G24" i="5"/>
  <c r="G25" i="5"/>
  <c r="G26" i="5"/>
  <c r="G27" i="5"/>
  <c r="G28" i="5"/>
  <c r="G21" i="5"/>
  <c r="G44" i="5"/>
  <c r="G46" i="5"/>
  <c r="G37" i="5"/>
  <c r="G36" i="5"/>
  <c r="G35" i="5"/>
  <c r="G33" i="5"/>
  <c r="G32" i="5"/>
  <c r="G31" i="5"/>
  <c r="G19" i="5"/>
  <c r="G16" i="5"/>
  <c r="G17" i="5"/>
  <c r="G15" i="5"/>
  <c r="G13" i="5"/>
  <c r="G10" i="5"/>
  <c r="G11" i="5"/>
  <c r="G7" i="5"/>
  <c r="G3" i="5"/>
  <c r="G43" i="5"/>
  <c r="G40" i="5"/>
  <c r="G41" i="5"/>
  <c r="G42" i="5"/>
  <c r="G9" i="5"/>
  <c r="G39" i="5"/>
  <c r="G41" i="4" l="1"/>
  <c r="G40" i="4"/>
  <c r="G34" i="4"/>
  <c r="G33" i="4"/>
  <c r="G32" i="4"/>
  <c r="G20" i="4"/>
  <c r="G17" i="4"/>
  <c r="G18" i="4"/>
  <c r="G16" i="4"/>
  <c r="G13" i="4"/>
  <c r="G36" i="4"/>
  <c r="G14" i="4"/>
  <c r="G11" i="4"/>
  <c r="G12" i="4"/>
  <c r="G10" i="4"/>
  <c r="G4" i="4"/>
  <c r="G8" i="4" s="1"/>
  <c r="G5" i="4"/>
  <c r="G6" i="4"/>
  <c r="G7" i="4"/>
  <c r="G3" i="4"/>
  <c r="G27" i="3" l="1"/>
  <c r="G23" i="3"/>
  <c r="G24" i="3"/>
  <c r="G25" i="3"/>
  <c r="G26" i="3"/>
  <c r="G35" i="3"/>
  <c r="G34" i="3"/>
  <c r="G43" i="3"/>
  <c r="G13" i="3"/>
  <c r="G44" i="3" s="1"/>
  <c r="G11" i="3"/>
  <c r="G10" i="3"/>
  <c r="G12" i="3"/>
  <c r="G9" i="3"/>
  <c r="G7" i="3"/>
  <c r="G4" i="3"/>
  <c r="G5" i="3"/>
  <c r="G3" i="3"/>
  <c r="G38" i="3"/>
  <c r="G39" i="3"/>
  <c r="G40" i="3"/>
  <c r="G41" i="3"/>
  <c r="G42" i="3"/>
  <c r="G37" i="3"/>
  <c r="G22" i="3"/>
  <c r="G21" i="3"/>
  <c r="G33" i="3"/>
  <c r="G17" i="2"/>
  <c r="G18" i="2"/>
  <c r="G32" i="2"/>
  <c r="G29" i="2" l="1"/>
  <c r="G33" i="2"/>
  <c r="G41" i="2"/>
  <c r="G37" i="2"/>
  <c r="G38" i="2"/>
  <c r="G39" i="2"/>
  <c r="G36" i="2"/>
  <c r="G31" i="2"/>
  <c r="G19" i="2"/>
  <c r="G15" i="2"/>
  <c r="G13" i="2"/>
  <c r="G10" i="2"/>
  <c r="G9" i="2"/>
  <c r="G7" i="2"/>
  <c r="G25" i="2"/>
  <c r="G24" i="2"/>
  <c r="G22" i="2"/>
  <c r="G23" i="2"/>
  <c r="G35" i="2"/>
  <c r="G21" i="2"/>
  <c r="G27" i="2"/>
  <c r="G16" i="2"/>
  <c r="G3" i="2"/>
  <c r="G4" i="2"/>
  <c r="G5" i="2"/>
  <c r="G42" i="2" l="1"/>
  <c r="G45" i="1"/>
  <c r="G30" i="1"/>
  <c r="G44" i="1"/>
  <c r="G38" i="1"/>
  <c r="G36" i="1"/>
  <c r="G34" i="1"/>
  <c r="G33" i="1"/>
  <c r="G32" i="1"/>
  <c r="G20" i="1"/>
  <c r="G17" i="1"/>
  <c r="G18" i="1"/>
  <c r="G19" i="1"/>
  <c r="G16" i="1"/>
  <c r="G14" i="1"/>
  <c r="G27" i="1"/>
  <c r="G26" i="1"/>
  <c r="G25" i="1"/>
  <c r="G24" i="1"/>
  <c r="G23" i="1"/>
  <c r="G22" i="1"/>
  <c r="G40" i="1" l="1"/>
  <c r="G10" i="1"/>
  <c r="G11" i="1"/>
  <c r="G12" i="1"/>
  <c r="G13" i="1"/>
  <c r="G9" i="1"/>
  <c r="G7" i="1"/>
  <c r="G3" i="1"/>
</calcChain>
</file>

<file path=xl/sharedStrings.xml><?xml version="1.0" encoding="utf-8"?>
<sst xmlns="http://schemas.openxmlformats.org/spreadsheetml/2006/main" count="568" uniqueCount="249">
  <si>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</si>
  <si>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</si>
  <si>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</si>
  <si>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</si>
  <si>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</si>
  <si>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</si>
  <si>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</si>
  <si>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</si>
  <si>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40斤</t>
    <phoneticPr fontId="2" type="noConversion"/>
  </si>
  <si>
    <t>1斤</t>
    <phoneticPr fontId="2" type="noConversion"/>
  </si>
  <si>
    <t>薑</t>
    <phoneticPr fontId="2" type="noConversion"/>
  </si>
  <si>
    <t>半斤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</si>
  <si>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</si>
  <si>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25斤</t>
    <phoneticPr fontId="2" type="noConversion"/>
  </si>
  <si>
    <t>15斤</t>
    <phoneticPr fontId="2" type="noConversion"/>
  </si>
  <si>
    <t>雜貨</t>
    <phoneticPr fontId="2" type="noConversion"/>
  </si>
  <si>
    <t>湯品</t>
    <phoneticPr fontId="2" type="noConversion"/>
  </si>
  <si>
    <t>蛋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</si>
  <si>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</si>
  <si>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</si>
  <si>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</si>
  <si>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</si>
  <si>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</si>
  <si>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</si>
  <si>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</si>
  <si>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</si>
  <si>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</si>
  <si>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</si>
  <si>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</si>
  <si>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</si>
  <si>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食材</t>
    <phoneticPr fontId="2" type="noConversion"/>
  </si>
  <si>
    <t>數量</t>
    <phoneticPr fontId="2" type="noConversion"/>
  </si>
  <si>
    <t>金額</t>
    <phoneticPr fontId="2" type="noConversion"/>
  </si>
  <si>
    <t>雜貨</t>
    <phoneticPr fontId="2" type="noConversion"/>
  </si>
  <si>
    <t>食材</t>
    <phoneticPr fontId="2" type="noConversion"/>
  </si>
  <si>
    <t>備考</t>
    <phoneticPr fontId="2" type="noConversion"/>
  </si>
  <si>
    <t>合      計</t>
    <phoneticPr fontId="2" type="noConversion"/>
  </si>
  <si>
    <t>單價</t>
    <phoneticPr fontId="2" type="noConversion"/>
  </si>
  <si>
    <t>青菜 水果</t>
    <phoneticPr fontId="2" type="noConversion"/>
  </si>
  <si>
    <t>週三麵食</t>
    <phoneticPr fontId="2" type="noConversion"/>
  </si>
  <si>
    <t>金額</t>
    <phoneticPr fontId="2" type="noConversion"/>
  </si>
  <si>
    <t>單價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</si>
  <si>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</si>
  <si>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金額</t>
    <phoneticPr fontId="2" type="noConversion"/>
  </si>
  <si>
    <t>備考</t>
    <phoneticPr fontId="2" type="noConversion"/>
  </si>
  <si>
    <t>金額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</si>
  <si>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</si>
  <si>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青菜 水果</t>
    <phoneticPr fontId="2" type="noConversion"/>
  </si>
  <si>
    <t>食材</t>
    <phoneticPr fontId="2" type="noConversion"/>
  </si>
  <si>
    <t>電訊科技中心(安康營區)     113年      9月   23日      午餐明細表</t>
    <phoneticPr fontId="2" type="noConversion"/>
  </si>
  <si>
    <t>電訊科技中心(安康營區)     113年      9月   24日      午餐明細表</t>
    <phoneticPr fontId="2" type="noConversion"/>
  </si>
  <si>
    <t>電訊科技中心(安康營區)     113年      9月   25日      午餐明細表</t>
    <phoneticPr fontId="2" type="noConversion"/>
  </si>
  <si>
    <t>電訊科技中心(安康營區)     113年      9月   26日      午餐明細表</t>
    <phoneticPr fontId="2" type="noConversion"/>
  </si>
  <si>
    <t>電訊科技中心(安康營區)     113年      9月   27日      午餐明細表</t>
    <phoneticPr fontId="2" type="noConversion"/>
  </si>
  <si>
    <t>花枝排</t>
    <phoneticPr fontId="2" type="noConversion"/>
  </si>
  <si>
    <t>咖哩冬粉</t>
    <phoneticPr fontId="2" type="noConversion"/>
  </si>
  <si>
    <t>胡瓜肉絲</t>
    <phoneticPr fontId="2" type="noConversion"/>
  </si>
  <si>
    <t>白蘿蔔貢丸湯</t>
    <phoneticPr fontId="2" type="noConversion"/>
  </si>
  <si>
    <t>粉蒸排骨</t>
    <phoneticPr fontId="2" type="noConversion"/>
  </si>
  <si>
    <t>蒜泥豆腐</t>
    <phoneticPr fontId="2" type="noConversion"/>
  </si>
  <si>
    <t>芹菜雞捲</t>
    <phoneticPr fontId="2" type="noConversion"/>
  </si>
  <si>
    <t>紫菜蛋花湯</t>
    <phoneticPr fontId="2" type="noConversion"/>
  </si>
  <si>
    <t>樹子蒸魚</t>
    <phoneticPr fontId="2" type="noConversion"/>
  </si>
  <si>
    <t>麻辣鴨血</t>
    <phoneticPr fontId="2" type="noConversion"/>
  </si>
  <si>
    <t>肉羹麵</t>
    <phoneticPr fontId="2" type="noConversion"/>
  </si>
  <si>
    <t>回鍋肉</t>
    <phoneticPr fontId="2" type="noConversion"/>
  </si>
  <si>
    <t>小黃瓜炒甜不辣條</t>
    <phoneticPr fontId="2" type="noConversion"/>
  </si>
  <si>
    <t>三色蛋</t>
    <phoneticPr fontId="2" type="noConversion"/>
  </si>
  <si>
    <t>紅豆湯</t>
    <phoneticPr fontId="2" type="noConversion"/>
  </si>
  <si>
    <t>泰式椒麻雞</t>
    <phoneticPr fontId="2" type="noConversion"/>
  </si>
  <si>
    <t>四季豆炒豆干</t>
    <phoneticPr fontId="2" type="noConversion"/>
  </si>
  <si>
    <t>冬瓜麵輪</t>
    <phoneticPr fontId="2" type="noConversion"/>
  </si>
  <si>
    <t>味增豆腐湯</t>
    <phoneticPr fontId="2" type="noConversion"/>
  </si>
  <si>
    <t>水信花枝排</t>
    <phoneticPr fontId="2" type="noConversion"/>
  </si>
  <si>
    <t>4件</t>
    <phoneticPr fontId="2" type="noConversion"/>
  </si>
  <si>
    <t>冬粉</t>
    <phoneticPr fontId="2" type="noConversion"/>
  </si>
  <si>
    <t>咖哩塊(大)</t>
    <phoneticPr fontId="2" type="noConversion"/>
  </si>
  <si>
    <t>絞肉</t>
    <phoneticPr fontId="2" type="noConversion"/>
  </si>
  <si>
    <t>雪白菇</t>
    <phoneticPr fontId="2" type="noConversion"/>
  </si>
  <si>
    <t>胡瓜絲</t>
    <phoneticPr fontId="2" type="noConversion"/>
  </si>
  <si>
    <t>豬肉絲</t>
    <phoneticPr fontId="2" type="noConversion"/>
  </si>
  <si>
    <t>木耳絲</t>
    <phoneticPr fontId="2" type="noConversion"/>
  </si>
  <si>
    <t>10斤</t>
    <phoneticPr fontId="2" type="noConversion"/>
  </si>
  <si>
    <t>1塊</t>
    <phoneticPr fontId="2" type="noConversion"/>
  </si>
  <si>
    <t>10斤</t>
    <phoneticPr fontId="2" type="noConversion"/>
  </si>
  <si>
    <t>5斤</t>
    <phoneticPr fontId="2" type="noConversion"/>
  </si>
  <si>
    <t>30斤</t>
    <phoneticPr fontId="2" type="noConversion"/>
  </si>
  <si>
    <t>4斤</t>
    <phoneticPr fontId="2" type="noConversion"/>
  </si>
  <si>
    <t>椰漿</t>
    <phoneticPr fontId="2" type="noConversion"/>
  </si>
  <si>
    <t>2罐</t>
    <phoneticPr fontId="2" type="noConversion"/>
  </si>
  <si>
    <t>白蘿蔔</t>
    <phoneticPr fontId="2" type="noConversion"/>
  </si>
  <si>
    <t>小貢丸</t>
    <phoneticPr fontId="2" type="noConversion"/>
  </si>
  <si>
    <t>15斤</t>
    <phoneticPr fontId="2" type="noConversion"/>
  </si>
  <si>
    <t>2包</t>
    <phoneticPr fontId="2" type="noConversion"/>
  </si>
  <si>
    <t>去皮洋蔥</t>
    <phoneticPr fontId="2" type="noConversion"/>
  </si>
  <si>
    <t>4斤</t>
    <phoneticPr fontId="2" type="noConversion"/>
  </si>
  <si>
    <t>軟骨排</t>
    <phoneticPr fontId="2" type="noConversion"/>
  </si>
  <si>
    <t>地瓜塊</t>
    <phoneticPr fontId="2" type="noConversion"/>
  </si>
  <si>
    <t>蒸肉粉</t>
    <phoneticPr fontId="2" type="noConversion"/>
  </si>
  <si>
    <t>5包</t>
    <phoneticPr fontId="2" type="noConversion"/>
  </si>
  <si>
    <t>蒜泥</t>
    <phoneticPr fontId="2" type="noConversion"/>
  </si>
  <si>
    <t>4.3豆腐</t>
    <phoneticPr fontId="2" type="noConversion"/>
  </si>
  <si>
    <t>2斤</t>
    <phoneticPr fontId="2" type="noConversion"/>
  </si>
  <si>
    <t>6板</t>
    <phoneticPr fontId="2" type="noConversion"/>
  </si>
  <si>
    <t>去葉中芹</t>
    <phoneticPr fontId="2" type="noConversion"/>
  </si>
  <si>
    <t>雞捲</t>
    <phoneticPr fontId="2" type="noConversion"/>
  </si>
  <si>
    <t>去皮洋蔥</t>
    <phoneticPr fontId="2" type="noConversion"/>
  </si>
  <si>
    <t>川耳</t>
    <phoneticPr fontId="2" type="noConversion"/>
  </si>
  <si>
    <t>30斤</t>
    <phoneticPr fontId="2" type="noConversion"/>
  </si>
  <si>
    <t>紫菜</t>
    <phoneticPr fontId="2" type="noConversion"/>
  </si>
  <si>
    <t>庫存</t>
    <phoneticPr fontId="2" type="noConversion"/>
  </si>
  <si>
    <t>鯛魚片</t>
    <phoneticPr fontId="2" type="noConversion"/>
  </si>
  <si>
    <t>樹子(大)</t>
    <phoneticPr fontId="2" type="noConversion"/>
  </si>
  <si>
    <t>145片</t>
    <phoneticPr fontId="2" type="noConversion"/>
  </si>
  <si>
    <t>1桶</t>
    <phoneticPr fontId="2" type="noConversion"/>
  </si>
  <si>
    <t>角螺</t>
    <phoneticPr fontId="2" type="noConversion"/>
  </si>
  <si>
    <t>鴨血</t>
    <phoneticPr fontId="2" type="noConversion"/>
  </si>
  <si>
    <t>百頁豆腐</t>
    <phoneticPr fontId="2" type="noConversion"/>
  </si>
  <si>
    <t>3斤</t>
    <phoneticPr fontId="2" type="noConversion"/>
  </si>
  <si>
    <t>80個</t>
    <phoneticPr fontId="2" type="noConversion"/>
  </si>
  <si>
    <t>40個</t>
    <phoneticPr fontId="2" type="noConversion"/>
  </si>
  <si>
    <t>油麵</t>
    <phoneticPr fontId="2" type="noConversion"/>
  </si>
  <si>
    <t>肉羹</t>
    <phoneticPr fontId="2" type="noConversion"/>
  </si>
  <si>
    <t>紅蘿蔔絲</t>
    <phoneticPr fontId="2" type="noConversion"/>
  </si>
  <si>
    <t>筍絲</t>
    <phoneticPr fontId="2" type="noConversion"/>
  </si>
  <si>
    <t>木耳絲</t>
    <phoneticPr fontId="2" type="noConversion"/>
  </si>
  <si>
    <t>大白菜</t>
    <phoneticPr fontId="2" type="noConversion"/>
  </si>
  <si>
    <t>60斤</t>
    <phoneticPr fontId="2" type="noConversion"/>
  </si>
  <si>
    <t>40斤</t>
    <phoneticPr fontId="2" type="noConversion"/>
  </si>
  <si>
    <t>3斤</t>
    <phoneticPr fontId="2" type="noConversion"/>
  </si>
  <si>
    <t>8斤</t>
    <phoneticPr fontId="2" type="noConversion"/>
  </si>
  <si>
    <t>4斤</t>
    <phoneticPr fontId="2" type="noConversion"/>
  </si>
  <si>
    <t>蒜苗</t>
    <phoneticPr fontId="2" type="noConversion"/>
  </si>
  <si>
    <t>五花肉片</t>
    <phoneticPr fontId="2" type="noConversion"/>
  </si>
  <si>
    <t>豬肉片</t>
    <phoneticPr fontId="2" type="noConversion"/>
  </si>
  <si>
    <t>薑絲</t>
    <phoneticPr fontId="2" type="noConversion"/>
  </si>
  <si>
    <t>20斤</t>
    <phoneticPr fontId="2" type="noConversion"/>
  </si>
  <si>
    <t>1斤</t>
    <phoneticPr fontId="2" type="noConversion"/>
  </si>
  <si>
    <t>豆干4X4</t>
    <phoneticPr fontId="2" type="noConversion"/>
  </si>
  <si>
    <t>10斤</t>
    <phoneticPr fontId="2" type="noConversion"/>
  </si>
  <si>
    <t>小黃瓜</t>
    <phoneticPr fontId="2" type="noConversion"/>
  </si>
  <si>
    <t>紅蘿蔔</t>
    <phoneticPr fontId="2" type="noConversion"/>
  </si>
  <si>
    <t>川耳</t>
    <phoneticPr fontId="2" type="noConversion"/>
  </si>
  <si>
    <t>2斤</t>
    <phoneticPr fontId="2" type="noConversion"/>
  </si>
  <si>
    <t>3斤</t>
    <phoneticPr fontId="2" type="noConversion"/>
  </si>
  <si>
    <t>蛋</t>
    <phoneticPr fontId="2" type="noConversion"/>
  </si>
  <si>
    <t>皮蛋</t>
    <phoneticPr fontId="2" type="noConversion"/>
  </si>
  <si>
    <t>鹹蛋</t>
    <phoneticPr fontId="2" type="noConversion"/>
  </si>
  <si>
    <t>1件</t>
    <phoneticPr fontId="2" type="noConversion"/>
  </si>
  <si>
    <t>50粒</t>
    <phoneticPr fontId="2" type="noConversion"/>
  </si>
  <si>
    <t>50粒</t>
    <phoneticPr fontId="2" type="noConversion"/>
  </si>
  <si>
    <t>紅豆</t>
    <phoneticPr fontId="2" type="noConversion"/>
  </si>
  <si>
    <t>庫存</t>
    <phoneticPr fontId="2" type="noConversion"/>
  </si>
  <si>
    <t>棒腿</t>
    <phoneticPr fontId="2" type="noConversion"/>
  </si>
  <si>
    <t>250隻</t>
    <phoneticPr fontId="2" type="noConversion"/>
  </si>
  <si>
    <t>冷凍四季豆</t>
    <phoneticPr fontId="2" type="noConversion"/>
  </si>
  <si>
    <t>豆干4X4</t>
    <phoneticPr fontId="2" type="noConversion"/>
  </si>
  <si>
    <t>木耳絲</t>
    <phoneticPr fontId="2" type="noConversion"/>
  </si>
  <si>
    <t>2件</t>
    <phoneticPr fontId="2" type="noConversion"/>
  </si>
  <si>
    <t>4斤</t>
    <phoneticPr fontId="2" type="noConversion"/>
  </si>
  <si>
    <t>去皮冬瓜</t>
    <phoneticPr fontId="2" type="noConversion"/>
  </si>
  <si>
    <t>麵輪</t>
    <phoneticPr fontId="2" type="noConversion"/>
  </si>
  <si>
    <t>50斤</t>
    <phoneticPr fontId="2" type="noConversion"/>
  </si>
  <si>
    <t>川耳</t>
    <phoneticPr fontId="2" type="noConversion"/>
  </si>
  <si>
    <t>4.3豆腐</t>
    <phoneticPr fontId="2" type="noConversion"/>
  </si>
  <si>
    <t>味增</t>
    <phoneticPr fontId="2" type="noConversion"/>
  </si>
  <si>
    <t>3板</t>
    <phoneticPr fontId="2" type="noConversion"/>
  </si>
  <si>
    <t>1箱</t>
    <phoneticPr fontId="2" type="noConversion"/>
  </si>
  <si>
    <t>去皮洋蔥</t>
    <phoneticPr fontId="2" type="noConversion"/>
  </si>
  <si>
    <t>訂貨數量</t>
  </si>
  <si>
    <t>訂貨數量</t>
    <phoneticPr fontId="2" type="noConversion"/>
  </si>
  <si>
    <t>件</t>
    <phoneticPr fontId="2" type="noConversion"/>
  </si>
  <si>
    <t>罐</t>
    <phoneticPr fontId="2" type="noConversion"/>
  </si>
  <si>
    <t>小籠湯包</t>
    <phoneticPr fontId="2" type="noConversion"/>
  </si>
  <si>
    <t>個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</si>
  <si>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</si>
  <si>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</si>
  <si>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</si>
  <si>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</si>
  <si>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</si>
  <si>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</si>
  <si>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</si>
  <si>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斤</t>
    <phoneticPr fontId="2" type="noConversion"/>
  </si>
  <si>
    <t>盒</t>
    <phoneticPr fontId="2" type="noConversion"/>
  </si>
  <si>
    <t>油菜</t>
    <phoneticPr fontId="2" type="noConversion"/>
  </si>
  <si>
    <t>訂貨數量</t>
    <phoneticPr fontId="2" type="noConversion"/>
  </si>
  <si>
    <t>包</t>
    <phoneticPr fontId="2" type="noConversion"/>
  </si>
  <si>
    <t>斤</t>
    <phoneticPr fontId="2" type="noConversion"/>
  </si>
  <si>
    <t>桂冠沙拉</t>
    <phoneticPr fontId="2" type="noConversion"/>
  </si>
  <si>
    <t>培根碎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</si>
  <si>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</si>
  <si>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</si>
  <si>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</si>
  <si>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</si>
  <si>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盤</t>
    <phoneticPr fontId="2" type="noConversion"/>
  </si>
  <si>
    <t>鵝白菜</t>
    <phoneticPr fontId="2" type="noConversion"/>
  </si>
  <si>
    <t>油麵</t>
    <phoneticPr fontId="2" type="noConversion"/>
  </si>
  <si>
    <t>肉絲</t>
    <phoneticPr fontId="2" type="noConversion"/>
  </si>
  <si>
    <t>起司片</t>
    <phoneticPr fontId="2" type="noConversion"/>
  </si>
  <si>
    <t>土司</t>
    <phoneticPr fontId="2" type="noConversion"/>
  </si>
  <si>
    <t>條</t>
    <phoneticPr fontId="2" type="noConversion"/>
  </si>
  <si>
    <t>香蕉</t>
    <phoneticPr fontId="2" type="noConversion"/>
  </si>
  <si>
    <t>訂貨數量</t>
    <phoneticPr fontId="2" type="noConversion"/>
  </si>
  <si>
    <t>大西瓜</t>
    <phoneticPr fontId="2" type="noConversion"/>
  </si>
  <si>
    <t>斤</t>
    <phoneticPr fontId="2" type="noConversion"/>
  </si>
  <si>
    <t>桶</t>
    <phoneticPr fontId="2" type="noConversion"/>
  </si>
  <si>
    <t>金蘭烤肉醬</t>
    <phoneticPr fontId="2" type="noConversion"/>
  </si>
  <si>
    <t>燒雞醬</t>
    <phoneticPr fontId="2" type="noConversion"/>
  </si>
  <si>
    <t>罐</t>
    <phoneticPr fontId="2" type="noConversion"/>
  </si>
  <si>
    <t>包</t>
    <phoneticPr fontId="2" type="noConversion"/>
  </si>
  <si>
    <t>個</t>
    <phoneticPr fontId="2" type="noConversion"/>
  </si>
  <si>
    <t>高麗菜</t>
    <phoneticPr fontId="2" type="noConversion"/>
  </si>
  <si>
    <t>水餃</t>
    <phoneticPr fontId="2" type="noConversion"/>
  </si>
  <si>
    <t>油膏</t>
    <phoneticPr fontId="2" type="noConversion"/>
  </si>
  <si>
    <t>醬油</t>
    <phoneticPr fontId="2" type="noConversion"/>
  </si>
  <si>
    <t>滷包</t>
    <phoneticPr fontId="2" type="noConversion"/>
  </si>
  <si>
    <t>訂貨數量</t>
    <phoneticPr fontId="2" type="noConversion"/>
  </si>
  <si>
    <t>斤</t>
    <phoneticPr fontId="2" type="noConversion"/>
  </si>
  <si>
    <t>厚片土司</t>
    <phoneticPr fontId="2" type="noConversion"/>
  </si>
  <si>
    <t>條</t>
    <phoneticPr fontId="2" type="noConversion"/>
  </si>
  <si>
    <t>甜不辣</t>
    <phoneticPr fontId="2" type="noConversion"/>
  </si>
  <si>
    <t>個</t>
    <phoneticPr fontId="2" type="noConversion"/>
  </si>
  <si>
    <t>油菜</t>
    <phoneticPr fontId="2" type="noConversion"/>
  </si>
  <si>
    <t>香蕉</t>
    <phoneticPr fontId="2" type="noConversion"/>
  </si>
  <si>
    <t>香絞肉</t>
    <phoneticPr fontId="2" type="noConversion"/>
  </si>
  <si>
    <t>斤</t>
    <phoneticPr fontId="2" type="noConversion"/>
  </si>
  <si>
    <t>包</t>
    <phoneticPr fontId="2" type="noConversion"/>
  </si>
  <si>
    <t>鍋貼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</si>
  <si>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</si>
  <si>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</si>
  <si>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</si>
  <si>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烏龍茶</t>
    <phoneticPr fontId="2" type="noConversion"/>
  </si>
  <si>
    <t>件</t>
    <phoneticPr fontId="2" type="noConversion"/>
  </si>
  <si>
    <t>高鮮味素</t>
    <phoneticPr fontId="2" type="noConversion"/>
  </si>
  <si>
    <t>盒</t>
    <phoneticPr fontId="2" type="noConversion"/>
  </si>
  <si>
    <t>盤</t>
    <phoneticPr fontId="2" type="noConversion"/>
  </si>
  <si>
    <t>鵝白菜</t>
    <phoneticPr fontId="2" type="noConversion"/>
  </si>
  <si>
    <t>大西瓜</t>
    <phoneticPr fontId="2" type="noConversion"/>
  </si>
  <si>
    <t>滷蛋</t>
    <phoneticPr fontId="2" type="noConversion"/>
  </si>
  <si>
    <t>海帶捲</t>
    <phoneticPr fontId="2" type="noConversion"/>
  </si>
  <si>
    <t>吐司</t>
    <phoneticPr fontId="2" type="noConversion"/>
  </si>
  <si>
    <t>金蘭醬油</t>
    <phoneticPr fontId="2" type="noConversion"/>
  </si>
  <si>
    <t>沙拉油</t>
    <phoneticPr fontId="2" type="noConversion"/>
  </si>
  <si>
    <t>素蠔油</t>
    <phoneticPr fontId="2" type="noConversion"/>
  </si>
  <si>
    <t>洗選蛋</t>
    <phoneticPr fontId="2" type="noConversion"/>
  </si>
  <si>
    <t>馬鈴薯</t>
    <phoneticPr fontId="2" type="noConversion"/>
  </si>
  <si>
    <t>紅蘿蔔</t>
    <phoneticPr fontId="2" type="noConversion"/>
  </si>
  <si>
    <t>小黃瓜</t>
    <phoneticPr fontId="2" type="noConversion"/>
  </si>
  <si>
    <t>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</si>
</sst>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L53" sqref="L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49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170</v>
      </c>
      <c r="F2" s="2"/>
      <c r="G2" s="1" t="s">
        <v>4</v>
      </c>
      <c r="H2" s="1" t="s">
        <v>5</v>
      </c>
    </row>
    <row r="3" spans="1:8" x14ac:dyDescent="0.25">
      <c r="A3" s="31" t="s">
        <v>54</v>
      </c>
      <c r="B3" s="1" t="s">
        <v>73</v>
      </c>
      <c r="C3" s="1" t="s">
        <v>74</v>
      </c>
      <c r="D3" s="1">
        <v>650</v>
      </c>
      <c r="E3" s="2">
        <v>4</v>
      </c>
      <c r="F3" s="2" t="s">
        <v>171</v>
      </c>
      <c r="G3" s="1">
        <f>D3*E3</f>
        <v>2600</v>
      </c>
      <c r="H3" s="1"/>
    </row>
    <row r="4" spans="1:8" x14ac:dyDescent="0.25">
      <c r="A4" s="31"/>
      <c r="B4" s="1"/>
      <c r="C4" s="1"/>
      <c r="D4" s="1"/>
      <c r="E4" s="2"/>
      <c r="F4" s="2"/>
      <c r="G4" s="1"/>
      <c r="H4" s="1"/>
    </row>
    <row r="5" spans="1:8" x14ac:dyDescent="0.25">
      <c r="A5" s="31"/>
      <c r="B5" s="1"/>
      <c r="C5" s="1"/>
      <c r="D5" s="1"/>
      <c r="E5" s="2"/>
      <c r="F5" s="2"/>
      <c r="G5" s="1"/>
      <c r="H5" s="1"/>
    </row>
    <row r="6" spans="1:8" x14ac:dyDescent="0.25">
      <c r="A6" s="31"/>
      <c r="B6" s="1"/>
      <c r="C6" s="1"/>
      <c r="D6" s="1"/>
      <c r="E6" s="6"/>
      <c r="F6" s="6"/>
      <c r="G6" s="3"/>
      <c r="H6" s="1"/>
    </row>
    <row r="7" spans="1:8" x14ac:dyDescent="0.25">
      <c r="A7" s="31"/>
      <c r="B7" s="32" t="s">
        <v>6</v>
      </c>
      <c r="C7" s="33"/>
      <c r="D7" s="34"/>
      <c r="E7" s="6"/>
      <c r="F7" s="6"/>
      <c r="G7" s="14">
        <f>SUM(G3:G6)</f>
        <v>2600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170</v>
      </c>
      <c r="F8" s="2"/>
      <c r="G8" s="1" t="s">
        <v>4</v>
      </c>
      <c r="H8" s="1" t="s">
        <v>5</v>
      </c>
    </row>
    <row r="9" spans="1:8" x14ac:dyDescent="0.25">
      <c r="A9" s="31" t="s">
        <v>55</v>
      </c>
      <c r="B9" s="1" t="s">
        <v>75</v>
      </c>
      <c r="C9" s="1" t="s">
        <v>82</v>
      </c>
      <c r="D9" s="1">
        <v>93</v>
      </c>
      <c r="E9" s="2">
        <v>5</v>
      </c>
      <c r="F9" s="2" t="s">
        <v>182</v>
      </c>
      <c r="G9" s="1">
        <f>D9*E9</f>
        <v>465</v>
      </c>
      <c r="H9" s="1"/>
    </row>
    <row r="10" spans="1:8" x14ac:dyDescent="0.25">
      <c r="A10" s="31"/>
      <c r="B10" s="1" t="s">
        <v>76</v>
      </c>
      <c r="C10" s="1" t="s">
        <v>83</v>
      </c>
      <c r="D10" s="1">
        <v>294</v>
      </c>
      <c r="E10" s="2">
        <v>1</v>
      </c>
      <c r="F10" s="2" t="s">
        <v>183</v>
      </c>
      <c r="G10" s="2">
        <f t="shared" ref="G10:G13" si="0">D10*E10</f>
        <v>294</v>
      </c>
      <c r="H10" s="1"/>
    </row>
    <row r="11" spans="1:8" x14ac:dyDescent="0.25">
      <c r="A11" s="31"/>
      <c r="B11" s="1" t="s">
        <v>77</v>
      </c>
      <c r="C11" s="1" t="s">
        <v>84</v>
      </c>
      <c r="D11" s="1">
        <v>93</v>
      </c>
      <c r="E11" s="2">
        <v>10</v>
      </c>
      <c r="F11" s="2" t="s">
        <v>182</v>
      </c>
      <c r="G11" s="2">
        <f t="shared" si="0"/>
        <v>930</v>
      </c>
      <c r="H11" s="1"/>
    </row>
    <row r="12" spans="1:8" x14ac:dyDescent="0.25">
      <c r="A12" s="31"/>
      <c r="B12" s="1" t="s">
        <v>88</v>
      </c>
      <c r="C12" s="1" t="s">
        <v>89</v>
      </c>
      <c r="D12" s="1">
        <v>45</v>
      </c>
      <c r="E12" s="2">
        <v>2</v>
      </c>
      <c r="F12" s="2" t="s">
        <v>172</v>
      </c>
      <c r="G12" s="2">
        <f t="shared" si="0"/>
        <v>90</v>
      </c>
      <c r="H12" s="1"/>
    </row>
    <row r="13" spans="1:8" x14ac:dyDescent="0.25">
      <c r="A13" s="31"/>
      <c r="B13" s="1" t="s">
        <v>78</v>
      </c>
      <c r="C13" s="1" t="s">
        <v>85</v>
      </c>
      <c r="D13" s="1">
        <v>150</v>
      </c>
      <c r="E13" s="2">
        <v>5</v>
      </c>
      <c r="F13" s="2" t="s">
        <v>182</v>
      </c>
      <c r="G13" s="2">
        <f t="shared" si="0"/>
        <v>750</v>
      </c>
      <c r="H13" s="1"/>
    </row>
    <row r="14" spans="1:8" x14ac:dyDescent="0.25">
      <c r="A14" s="31"/>
      <c r="B14" s="32" t="s">
        <v>6</v>
      </c>
      <c r="C14" s="33"/>
      <c r="D14" s="34"/>
      <c r="E14" s="6"/>
      <c r="F14" s="6"/>
      <c r="G14" s="14">
        <f>SUM(G9:G13)</f>
        <v>2529</v>
      </c>
      <c r="H14" s="1"/>
    </row>
    <row r="15" spans="1:8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" t="s">
        <v>170</v>
      </c>
      <c r="F15" s="2"/>
      <c r="G15" s="1" t="s">
        <v>4</v>
      </c>
      <c r="H15" s="1" t="s">
        <v>5</v>
      </c>
    </row>
    <row r="16" spans="1:8" x14ac:dyDescent="0.25">
      <c r="A16" s="31" t="s">
        <v>56</v>
      </c>
      <c r="B16" s="1" t="s">
        <v>79</v>
      </c>
      <c r="C16" s="1" t="s">
        <v>86</v>
      </c>
      <c r="D16" s="1">
        <v>23.94</v>
      </c>
      <c r="E16" s="2">
        <v>30</v>
      </c>
      <c r="F16" s="2" t="s">
        <v>182</v>
      </c>
      <c r="G16" s="1">
        <f>D16*E16</f>
        <v>718.2</v>
      </c>
      <c r="H16" s="1"/>
    </row>
    <row r="17" spans="1:8" x14ac:dyDescent="0.25">
      <c r="A17" s="31"/>
      <c r="B17" s="1" t="s">
        <v>80</v>
      </c>
      <c r="C17" s="1" t="s">
        <v>14</v>
      </c>
      <c r="D17" s="1">
        <v>99</v>
      </c>
      <c r="E17" s="2">
        <v>15</v>
      </c>
      <c r="F17" s="2" t="s">
        <v>182</v>
      </c>
      <c r="G17" s="2">
        <f t="shared" ref="G17:G19" si="1">D17*E17</f>
        <v>1485</v>
      </c>
      <c r="H17" s="1"/>
    </row>
    <row r="18" spans="1:8" x14ac:dyDescent="0.25">
      <c r="A18" s="31"/>
      <c r="B18" s="1" t="s">
        <v>81</v>
      </c>
      <c r="C18" s="1" t="s">
        <v>87</v>
      </c>
      <c r="D18" s="1">
        <v>45</v>
      </c>
      <c r="E18" s="2">
        <v>4</v>
      </c>
      <c r="F18" s="2" t="s">
        <v>182</v>
      </c>
      <c r="G18" s="2">
        <f t="shared" si="1"/>
        <v>180</v>
      </c>
      <c r="H18" s="1"/>
    </row>
    <row r="19" spans="1:8" x14ac:dyDescent="0.25">
      <c r="A19" s="31"/>
      <c r="B19" s="1" t="s">
        <v>94</v>
      </c>
      <c r="C19" s="1" t="s">
        <v>95</v>
      </c>
      <c r="D19" s="1">
        <v>25.5</v>
      </c>
      <c r="E19" s="6">
        <v>4</v>
      </c>
      <c r="F19" s="2" t="s">
        <v>182</v>
      </c>
      <c r="G19" s="2">
        <f t="shared" si="1"/>
        <v>102</v>
      </c>
      <c r="H19" s="1"/>
    </row>
    <row r="20" spans="1:8" x14ac:dyDescent="0.25">
      <c r="A20" s="31"/>
      <c r="B20" s="32" t="s">
        <v>6</v>
      </c>
      <c r="C20" s="33"/>
      <c r="D20" s="34"/>
      <c r="E20" s="6"/>
      <c r="F20" s="6"/>
      <c r="G20" s="17">
        <f>SUM(G16:G19)</f>
        <v>2485.1999999999998</v>
      </c>
      <c r="H20" s="1"/>
    </row>
    <row r="21" spans="1:8" x14ac:dyDescent="0.25">
      <c r="A21" s="7" t="s">
        <v>15</v>
      </c>
      <c r="B21" s="1" t="s">
        <v>1</v>
      </c>
      <c r="C21" s="1" t="s">
        <v>2</v>
      </c>
      <c r="D21" s="1" t="s">
        <v>3</v>
      </c>
      <c r="E21" s="2" t="s">
        <v>170</v>
      </c>
      <c r="F21" s="2"/>
      <c r="G21" s="1" t="s">
        <v>4</v>
      </c>
      <c r="H21" s="1" t="s">
        <v>5</v>
      </c>
    </row>
    <row r="22" spans="1:8" x14ac:dyDescent="0.25">
      <c r="A22" s="31"/>
      <c r="B22" s="2" t="s">
        <v>175</v>
      </c>
      <c r="C22" s="2"/>
      <c r="D22" s="2">
        <v>150</v>
      </c>
      <c r="E22" s="15">
        <v>2</v>
      </c>
      <c r="F22" s="2" t="s">
        <v>176</v>
      </c>
      <c r="G22" s="16">
        <f>D22*E22</f>
        <v>300</v>
      </c>
      <c r="H22" s="1"/>
    </row>
    <row r="23" spans="1:8" x14ac:dyDescent="0.25">
      <c r="A23" s="31"/>
      <c r="B23" s="2" t="s">
        <v>177</v>
      </c>
      <c r="C23" s="2"/>
      <c r="D23" s="2">
        <v>67.5</v>
      </c>
      <c r="E23" s="15">
        <v>0.5</v>
      </c>
      <c r="F23" s="2" t="s">
        <v>176</v>
      </c>
      <c r="G23" s="16">
        <f t="shared" ref="G23:G27" si="2">D23*E23</f>
        <v>33.75</v>
      </c>
      <c r="H23" s="1"/>
    </row>
    <row r="24" spans="1:8" x14ac:dyDescent="0.25">
      <c r="A24" s="31"/>
      <c r="B24" s="2" t="s">
        <v>178</v>
      </c>
      <c r="C24" s="2"/>
      <c r="D24" s="2">
        <v>158.1</v>
      </c>
      <c r="E24" s="15">
        <v>8</v>
      </c>
      <c r="F24" s="2" t="s">
        <v>176</v>
      </c>
      <c r="G24" s="16">
        <f t="shared" si="2"/>
        <v>1264.8</v>
      </c>
      <c r="H24" s="1"/>
    </row>
    <row r="25" spans="1:8" x14ac:dyDescent="0.25">
      <c r="A25" s="31"/>
      <c r="B25" s="2" t="s">
        <v>179</v>
      </c>
      <c r="C25" s="2"/>
      <c r="D25" s="2">
        <v>148.5</v>
      </c>
      <c r="E25" s="15">
        <v>4</v>
      </c>
      <c r="F25" s="2" t="s">
        <v>176</v>
      </c>
      <c r="G25" s="16">
        <f t="shared" si="2"/>
        <v>594</v>
      </c>
      <c r="H25" s="1"/>
    </row>
    <row r="26" spans="1:8" x14ac:dyDescent="0.25">
      <c r="A26" s="31"/>
      <c r="B26" s="2" t="s">
        <v>180</v>
      </c>
      <c r="C26" s="2"/>
      <c r="D26" s="2">
        <v>112.5</v>
      </c>
      <c r="E26" s="15">
        <v>4</v>
      </c>
      <c r="F26" s="2" t="s">
        <v>176</v>
      </c>
      <c r="G26" s="16">
        <f t="shared" si="2"/>
        <v>450</v>
      </c>
      <c r="H26" s="2"/>
    </row>
    <row r="27" spans="1:8" x14ac:dyDescent="0.25">
      <c r="A27" s="31"/>
      <c r="B27" s="2" t="s">
        <v>181</v>
      </c>
      <c r="C27" s="2"/>
      <c r="D27" s="2">
        <v>43.2</v>
      </c>
      <c r="E27" s="15">
        <v>20</v>
      </c>
      <c r="F27" s="2" t="s">
        <v>176</v>
      </c>
      <c r="G27" s="16">
        <f t="shared" si="2"/>
        <v>864</v>
      </c>
      <c r="H27" s="2"/>
    </row>
    <row r="28" spans="1:8" x14ac:dyDescent="0.25">
      <c r="A28" s="31"/>
      <c r="B28" s="2"/>
      <c r="C28" s="2"/>
      <c r="D28" s="2"/>
      <c r="E28" s="2"/>
      <c r="F28" s="6"/>
      <c r="G28" s="6"/>
      <c r="H28" s="2"/>
    </row>
    <row r="29" spans="1:8" x14ac:dyDescent="0.25">
      <c r="A29" s="31"/>
      <c r="B29" s="4"/>
      <c r="C29" s="5"/>
      <c r="D29" s="6"/>
      <c r="E29" s="6"/>
      <c r="F29" s="6"/>
      <c r="G29" s="6"/>
      <c r="H29" s="2"/>
    </row>
    <row r="30" spans="1:8" x14ac:dyDescent="0.25">
      <c r="A30" s="31"/>
      <c r="B30" s="32" t="s">
        <v>6</v>
      </c>
      <c r="C30" s="33"/>
      <c r="D30" s="34"/>
      <c r="E30" s="6"/>
      <c r="F30" s="6"/>
      <c r="G30" s="17">
        <f>SUM(G22:G29)</f>
        <v>3506.55</v>
      </c>
      <c r="H30" s="1"/>
    </row>
    <row r="31" spans="1:8" x14ac:dyDescent="0.25">
      <c r="A31" s="1" t="s">
        <v>16</v>
      </c>
      <c r="B31" s="1" t="s">
        <v>1</v>
      </c>
      <c r="C31" s="1" t="s">
        <v>2</v>
      </c>
      <c r="D31" s="1" t="s">
        <v>3</v>
      </c>
      <c r="E31" s="2" t="s">
        <v>170</v>
      </c>
      <c r="F31" s="2"/>
      <c r="G31" s="1" t="s">
        <v>4</v>
      </c>
      <c r="H31" s="1" t="s">
        <v>5</v>
      </c>
    </row>
    <row r="32" spans="1:8" x14ac:dyDescent="0.25">
      <c r="A32" s="31" t="s">
        <v>57</v>
      </c>
      <c r="B32" s="1" t="s">
        <v>90</v>
      </c>
      <c r="C32" s="1" t="s">
        <v>92</v>
      </c>
      <c r="D32" s="1">
        <v>17.100000000000001</v>
      </c>
      <c r="E32" s="2">
        <v>15</v>
      </c>
      <c r="F32" s="2" t="s">
        <v>182</v>
      </c>
      <c r="G32" s="16">
        <f>E32*D32</f>
        <v>256.5</v>
      </c>
      <c r="H32" s="1"/>
    </row>
    <row r="33" spans="1:8" x14ac:dyDescent="0.25">
      <c r="A33" s="31"/>
      <c r="B33" s="1" t="s">
        <v>91</v>
      </c>
      <c r="C33" s="1" t="s">
        <v>93</v>
      </c>
      <c r="D33" s="1">
        <v>98.4</v>
      </c>
      <c r="E33" s="2">
        <v>10</v>
      </c>
      <c r="F33" s="2" t="s">
        <v>182</v>
      </c>
      <c r="G33" s="16">
        <f>E33*D33</f>
        <v>984</v>
      </c>
      <c r="H33" s="1"/>
    </row>
    <row r="34" spans="1:8" x14ac:dyDescent="0.25">
      <c r="A34" s="31"/>
      <c r="B34" s="32" t="s">
        <v>6</v>
      </c>
      <c r="C34" s="33"/>
      <c r="D34" s="34"/>
      <c r="E34" s="6"/>
      <c r="F34" s="6"/>
      <c r="G34" s="17">
        <f>SUM(G32:G33)</f>
        <v>1240.5</v>
      </c>
      <c r="H34" s="1"/>
    </row>
    <row r="35" spans="1:8" x14ac:dyDescent="0.25">
      <c r="A35" s="1" t="s">
        <v>18</v>
      </c>
      <c r="B35" s="1" t="s">
        <v>1</v>
      </c>
      <c r="C35" s="1" t="s">
        <v>2</v>
      </c>
      <c r="D35" s="1" t="s">
        <v>3</v>
      </c>
      <c r="E35" s="6" t="s">
        <v>170</v>
      </c>
      <c r="F35" s="6"/>
      <c r="G35" s="3" t="s">
        <v>4</v>
      </c>
      <c r="H35" s="1" t="s">
        <v>5</v>
      </c>
    </row>
    <row r="36" spans="1:8" x14ac:dyDescent="0.25">
      <c r="A36" s="38"/>
      <c r="B36" s="1" t="s">
        <v>184</v>
      </c>
      <c r="C36" s="1"/>
      <c r="D36" s="1">
        <v>35.1</v>
      </c>
      <c r="E36" s="2">
        <v>65</v>
      </c>
      <c r="F36" s="2" t="s">
        <v>182</v>
      </c>
      <c r="G36" s="16">
        <f>E36*D36</f>
        <v>2281.5</v>
      </c>
      <c r="H36" s="1"/>
    </row>
    <row r="37" spans="1:8" x14ac:dyDescent="0.25">
      <c r="A37" s="39"/>
      <c r="B37" s="1"/>
      <c r="C37" s="1"/>
      <c r="D37" s="1"/>
      <c r="E37" s="2"/>
      <c r="F37" s="2"/>
      <c r="G37" s="1"/>
      <c r="H37" s="1"/>
    </row>
    <row r="38" spans="1:8" x14ac:dyDescent="0.25">
      <c r="A38" s="40"/>
      <c r="B38" s="32" t="s">
        <v>6</v>
      </c>
      <c r="C38" s="33"/>
      <c r="D38" s="34"/>
      <c r="E38" s="6"/>
      <c r="F38" s="6"/>
      <c r="G38" s="17">
        <f>SUM(G36:G37)</f>
        <v>2281.5</v>
      </c>
      <c r="H38" s="8"/>
    </row>
    <row r="39" spans="1:8" x14ac:dyDescent="0.25">
      <c r="A39" s="9" t="s">
        <v>19</v>
      </c>
      <c r="B39" s="1" t="s">
        <v>1</v>
      </c>
      <c r="C39" s="1" t="s">
        <v>2</v>
      </c>
      <c r="D39" s="1" t="s">
        <v>3</v>
      </c>
      <c r="E39" s="2" t="s">
        <v>170</v>
      </c>
      <c r="F39" s="2"/>
      <c r="G39" s="1" t="s">
        <v>4</v>
      </c>
      <c r="H39" s="1"/>
    </row>
    <row r="40" spans="1:8" x14ac:dyDescent="0.25">
      <c r="A40" s="31"/>
      <c r="B40" s="1" t="s">
        <v>173</v>
      </c>
      <c r="C40" s="1"/>
      <c r="D40" s="1">
        <v>4.5</v>
      </c>
      <c r="E40" s="2">
        <v>50</v>
      </c>
      <c r="F40" s="2" t="s">
        <v>174</v>
      </c>
      <c r="G40" s="1">
        <f>D40*E40</f>
        <v>225</v>
      </c>
      <c r="H40" s="1"/>
    </row>
    <row r="41" spans="1:8" x14ac:dyDescent="0.25">
      <c r="A41" s="31"/>
      <c r="B41" s="1"/>
      <c r="C41" s="1"/>
      <c r="D41" s="1"/>
      <c r="E41" s="2"/>
      <c r="F41" s="2"/>
      <c r="G41" s="1"/>
      <c r="H41" s="1"/>
    </row>
    <row r="42" spans="1:8" x14ac:dyDescent="0.25">
      <c r="A42" s="31"/>
      <c r="B42" s="1"/>
      <c r="C42" s="1"/>
      <c r="D42" s="1"/>
      <c r="E42" s="2"/>
      <c r="F42" s="2"/>
      <c r="G42" s="1"/>
      <c r="H42" s="1"/>
    </row>
    <row r="43" spans="1:8" x14ac:dyDescent="0.25">
      <c r="A43" s="31"/>
      <c r="B43" s="1"/>
      <c r="C43" s="1"/>
      <c r="D43" s="1"/>
      <c r="E43" s="2"/>
      <c r="F43" s="2"/>
      <c r="G43" s="1"/>
      <c r="H43" s="1"/>
    </row>
    <row r="44" spans="1:8" x14ac:dyDescent="0.25">
      <c r="A44" s="31"/>
      <c r="B44" s="32" t="s">
        <v>6</v>
      </c>
      <c r="C44" s="33"/>
      <c r="D44" s="34"/>
      <c r="E44" s="6"/>
      <c r="F44" s="6"/>
      <c r="G44" s="14">
        <f>SUM(G40:G43)</f>
        <v>225</v>
      </c>
      <c r="H44" s="1"/>
    </row>
    <row r="45" spans="1:8" x14ac:dyDescent="0.25">
      <c r="A45" s="1"/>
      <c r="B45" s="35" t="s">
        <v>20</v>
      </c>
      <c r="C45" s="36"/>
      <c r="D45" s="37"/>
      <c r="E45" s="10"/>
      <c r="F45" s="10"/>
      <c r="G45" s="18">
        <f>G44+G38+G34+G30+G20+G14+G7</f>
        <v>14867.75</v>
      </c>
      <c r="H45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40:A44"/>
    <mergeCell ref="B44:D44"/>
    <mergeCell ref="B45:D45"/>
    <mergeCell ref="A22:A30"/>
    <mergeCell ref="B30:D30"/>
    <mergeCell ref="A32:A34"/>
    <mergeCell ref="B34:D34"/>
    <mergeCell ref="A36:A38"/>
    <mergeCell ref="B38:D38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13" workbookViewId="0">
      <selection activeCell="G15" sqref="G1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50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0</v>
      </c>
      <c r="B2" s="1" t="s">
        <v>21</v>
      </c>
      <c r="C2" s="1" t="s">
        <v>22</v>
      </c>
      <c r="D2" s="1" t="s">
        <v>23</v>
      </c>
      <c r="E2" s="11" t="s">
        <v>185</v>
      </c>
      <c r="F2" s="11"/>
      <c r="G2" s="1" t="s">
        <v>4</v>
      </c>
      <c r="H2" s="1" t="s">
        <v>5</v>
      </c>
    </row>
    <row r="3" spans="1:8" x14ac:dyDescent="0.25">
      <c r="A3" s="31" t="s">
        <v>58</v>
      </c>
      <c r="B3" s="1" t="s">
        <v>96</v>
      </c>
      <c r="C3" s="1" t="s">
        <v>8</v>
      </c>
      <c r="D3" s="1">
        <v>150</v>
      </c>
      <c r="E3" s="11">
        <v>40</v>
      </c>
      <c r="F3" s="11" t="s">
        <v>187</v>
      </c>
      <c r="G3" s="26">
        <f t="shared" ref="G3:G4" si="0">E3*D3</f>
        <v>6000</v>
      </c>
      <c r="H3" s="1"/>
    </row>
    <row r="4" spans="1:8" x14ac:dyDescent="0.25">
      <c r="A4" s="31"/>
      <c r="B4" s="1" t="s">
        <v>97</v>
      </c>
      <c r="C4" s="1" t="s">
        <v>13</v>
      </c>
      <c r="D4" s="1">
        <v>31.92</v>
      </c>
      <c r="E4" s="11">
        <v>25</v>
      </c>
      <c r="F4" s="11" t="s">
        <v>187</v>
      </c>
      <c r="G4" s="26">
        <f t="shared" si="0"/>
        <v>798</v>
      </c>
      <c r="H4" s="1"/>
    </row>
    <row r="5" spans="1:8" x14ac:dyDescent="0.25">
      <c r="A5" s="31"/>
      <c r="B5" s="1" t="s">
        <v>98</v>
      </c>
      <c r="C5" s="1" t="s">
        <v>99</v>
      </c>
      <c r="D5" s="1">
        <v>70</v>
      </c>
      <c r="E5" s="11">
        <v>5</v>
      </c>
      <c r="F5" s="11" t="s">
        <v>186</v>
      </c>
      <c r="G5" s="26">
        <f>E5*D5</f>
        <v>350</v>
      </c>
      <c r="H5" s="1"/>
    </row>
    <row r="6" spans="1:8" x14ac:dyDescent="0.25">
      <c r="A6" s="31"/>
      <c r="B6" s="1"/>
      <c r="C6" s="1"/>
      <c r="D6" s="1"/>
      <c r="E6" s="12"/>
      <c r="F6" s="12"/>
      <c r="G6" s="3"/>
      <c r="H6" s="1"/>
    </row>
    <row r="7" spans="1:8" x14ac:dyDescent="0.25">
      <c r="A7" s="31"/>
      <c r="B7" s="32" t="s">
        <v>6</v>
      </c>
      <c r="C7" s="33"/>
      <c r="D7" s="34"/>
      <c r="E7" s="12"/>
      <c r="F7" s="12"/>
      <c r="G7" s="14">
        <f>SUM(G3:G6)</f>
        <v>7148</v>
      </c>
      <c r="H7" s="1"/>
    </row>
    <row r="8" spans="1:8" x14ac:dyDescent="0.25">
      <c r="A8" s="1" t="s">
        <v>24</v>
      </c>
      <c r="B8" s="1" t="s">
        <v>25</v>
      </c>
      <c r="C8" s="1" t="s">
        <v>26</v>
      </c>
      <c r="D8" s="1" t="s">
        <v>27</v>
      </c>
      <c r="E8" s="11" t="s">
        <v>185</v>
      </c>
      <c r="F8" s="11"/>
      <c r="G8" s="1" t="s">
        <v>4</v>
      </c>
      <c r="H8" s="1" t="s">
        <v>5</v>
      </c>
    </row>
    <row r="9" spans="1:8" x14ac:dyDescent="0.25">
      <c r="A9" s="31" t="s">
        <v>59</v>
      </c>
      <c r="B9" s="1" t="s">
        <v>100</v>
      </c>
      <c r="C9" s="1" t="s">
        <v>102</v>
      </c>
      <c r="D9" s="1">
        <v>176.7</v>
      </c>
      <c r="E9" s="11">
        <v>2</v>
      </c>
      <c r="F9" s="11" t="s">
        <v>187</v>
      </c>
      <c r="G9" s="27">
        <f>E9*D9</f>
        <v>353.4</v>
      </c>
      <c r="H9" s="1"/>
    </row>
    <row r="10" spans="1:8" x14ac:dyDescent="0.25">
      <c r="A10" s="31"/>
      <c r="B10" s="1" t="s">
        <v>101</v>
      </c>
      <c r="C10" s="1" t="s">
        <v>103</v>
      </c>
      <c r="D10" s="1">
        <v>150</v>
      </c>
      <c r="E10" s="11">
        <v>6</v>
      </c>
      <c r="F10" s="11" t="s">
        <v>194</v>
      </c>
      <c r="G10" s="26">
        <f>E10*D10</f>
        <v>900</v>
      </c>
      <c r="H10" s="1"/>
    </row>
    <row r="11" spans="1:8" x14ac:dyDescent="0.25">
      <c r="A11" s="31"/>
      <c r="B11" s="1"/>
      <c r="C11" s="1"/>
      <c r="D11" s="1"/>
      <c r="E11" s="11"/>
      <c r="F11" s="11"/>
      <c r="G11" s="1"/>
      <c r="H11" s="1"/>
    </row>
    <row r="12" spans="1:8" x14ac:dyDescent="0.25">
      <c r="A12" s="31"/>
      <c r="B12" s="1"/>
      <c r="C12" s="1"/>
      <c r="D12" s="1"/>
      <c r="E12" s="11"/>
      <c r="F12" s="11"/>
      <c r="G12" s="1"/>
      <c r="H12" s="1"/>
    </row>
    <row r="13" spans="1:8" x14ac:dyDescent="0.25">
      <c r="A13" s="31"/>
      <c r="B13" s="32" t="s">
        <v>28</v>
      </c>
      <c r="C13" s="33"/>
      <c r="D13" s="34"/>
      <c r="E13" s="12"/>
      <c r="F13" s="12"/>
      <c r="G13" s="17">
        <f>SUM(G9:G12)</f>
        <v>1253.4000000000001</v>
      </c>
      <c r="H13" s="1"/>
    </row>
    <row r="14" spans="1:8" x14ac:dyDescent="0.25">
      <c r="A14" s="1" t="s">
        <v>29</v>
      </c>
      <c r="B14" s="1" t="s">
        <v>30</v>
      </c>
      <c r="C14" s="1" t="s">
        <v>31</v>
      </c>
      <c r="D14" s="1" t="s">
        <v>27</v>
      </c>
      <c r="E14" s="11" t="s">
        <v>185</v>
      </c>
      <c r="F14" s="11"/>
      <c r="G14" s="1" t="s">
        <v>32</v>
      </c>
      <c r="H14" s="1" t="s">
        <v>5</v>
      </c>
    </row>
    <row r="15" spans="1:8" x14ac:dyDescent="0.25">
      <c r="A15" s="31" t="s">
        <v>60</v>
      </c>
      <c r="B15" s="1" t="s">
        <v>104</v>
      </c>
      <c r="C15" s="1" t="s">
        <v>95</v>
      </c>
      <c r="D15" s="11">
        <v>209.1</v>
      </c>
      <c r="E15" s="11">
        <v>4</v>
      </c>
      <c r="F15" s="11" t="s">
        <v>187</v>
      </c>
      <c r="G15" s="27">
        <f>E15*D15</f>
        <v>836.4</v>
      </c>
      <c r="H15" s="1"/>
    </row>
    <row r="16" spans="1:8" x14ac:dyDescent="0.25">
      <c r="A16" s="31"/>
      <c r="B16" s="1" t="s">
        <v>105</v>
      </c>
      <c r="C16" s="1" t="s">
        <v>108</v>
      </c>
      <c r="D16" s="1">
        <v>50</v>
      </c>
      <c r="E16" s="11">
        <v>30</v>
      </c>
      <c r="F16" s="11" t="s">
        <v>187</v>
      </c>
      <c r="G16" s="16">
        <f>E16*D16</f>
        <v>1500</v>
      </c>
      <c r="H16" s="1"/>
    </row>
    <row r="17" spans="1:8" x14ac:dyDescent="0.25">
      <c r="A17" s="31"/>
      <c r="B17" s="1" t="s">
        <v>106</v>
      </c>
      <c r="C17" s="1" t="s">
        <v>85</v>
      </c>
      <c r="D17" s="11">
        <v>25.5</v>
      </c>
      <c r="E17" s="11">
        <v>5</v>
      </c>
      <c r="F17" s="11" t="s">
        <v>187</v>
      </c>
      <c r="G17" s="16">
        <f>E17*D17</f>
        <v>127.5</v>
      </c>
      <c r="H17" s="1"/>
    </row>
    <row r="18" spans="1:8" x14ac:dyDescent="0.25">
      <c r="A18" s="31"/>
      <c r="B18" s="1" t="s">
        <v>107</v>
      </c>
      <c r="C18" s="1" t="s">
        <v>95</v>
      </c>
      <c r="D18" s="1">
        <v>85</v>
      </c>
      <c r="E18" s="12">
        <v>4</v>
      </c>
      <c r="F18" s="11" t="s">
        <v>187</v>
      </c>
      <c r="G18" s="11">
        <f>E18*D18</f>
        <v>340</v>
      </c>
      <c r="H18" s="1"/>
    </row>
    <row r="19" spans="1:8" x14ac:dyDescent="0.25">
      <c r="A19" s="31"/>
      <c r="B19" s="32" t="s">
        <v>6</v>
      </c>
      <c r="C19" s="33"/>
      <c r="D19" s="34"/>
      <c r="E19" s="12"/>
      <c r="F19" s="12"/>
      <c r="G19" s="17">
        <f>SUM(G15:G18)</f>
        <v>2803.9</v>
      </c>
      <c r="H19" s="1"/>
    </row>
    <row r="20" spans="1:8" x14ac:dyDescent="0.25">
      <c r="A20" s="7" t="s">
        <v>33</v>
      </c>
      <c r="B20" s="1" t="s">
        <v>34</v>
      </c>
      <c r="C20" s="1" t="s">
        <v>26</v>
      </c>
      <c r="D20" s="1" t="s">
        <v>3</v>
      </c>
      <c r="E20" s="11" t="s">
        <v>185</v>
      </c>
      <c r="F20" s="11"/>
      <c r="G20" s="1" t="s">
        <v>4</v>
      </c>
      <c r="H20" s="1" t="s">
        <v>35</v>
      </c>
    </row>
    <row r="21" spans="1:8" x14ac:dyDescent="0.25">
      <c r="A21" s="31"/>
      <c r="B21" s="1" t="s">
        <v>188</v>
      </c>
      <c r="C21" s="1"/>
      <c r="D21" s="1">
        <v>75</v>
      </c>
      <c r="E21" s="11">
        <v>1</v>
      </c>
      <c r="F21" s="11" t="s">
        <v>186</v>
      </c>
      <c r="G21" s="1">
        <f>E21*D21</f>
        <v>75</v>
      </c>
      <c r="H21" s="1"/>
    </row>
    <row r="22" spans="1:8" x14ac:dyDescent="0.25">
      <c r="A22" s="31"/>
      <c r="B22" s="1" t="s">
        <v>190</v>
      </c>
      <c r="C22" s="1"/>
      <c r="D22" s="1">
        <v>55</v>
      </c>
      <c r="E22" s="11">
        <v>20</v>
      </c>
      <c r="F22" s="11" t="s">
        <v>187</v>
      </c>
      <c r="G22" s="26">
        <f t="shared" ref="G22:G23" si="1">E22*D22</f>
        <v>1100</v>
      </c>
      <c r="H22" s="1"/>
    </row>
    <row r="23" spans="1:8" x14ac:dyDescent="0.25">
      <c r="A23" s="31"/>
      <c r="B23" s="1" t="s">
        <v>191</v>
      </c>
      <c r="C23" s="1"/>
      <c r="D23" s="1">
        <v>29.38</v>
      </c>
      <c r="E23" s="11">
        <v>100</v>
      </c>
      <c r="F23" s="11" t="s">
        <v>187</v>
      </c>
      <c r="G23" s="26">
        <f t="shared" si="1"/>
        <v>2938</v>
      </c>
      <c r="H23" s="1"/>
    </row>
    <row r="24" spans="1:8" x14ac:dyDescent="0.25">
      <c r="A24" s="31"/>
      <c r="B24" s="1" t="s">
        <v>192</v>
      </c>
      <c r="C24" s="1"/>
      <c r="D24" s="1">
        <v>1188</v>
      </c>
      <c r="E24" s="11">
        <v>2</v>
      </c>
      <c r="F24" s="11" t="s">
        <v>193</v>
      </c>
      <c r="G24" s="26">
        <f>E24*D24</f>
        <v>2376</v>
      </c>
      <c r="H24" s="1"/>
    </row>
    <row r="25" spans="1:8" x14ac:dyDescent="0.25">
      <c r="A25" s="31"/>
      <c r="B25" s="32" t="s">
        <v>36</v>
      </c>
      <c r="C25" s="33"/>
      <c r="D25" s="34"/>
      <c r="E25" s="12"/>
      <c r="F25" s="12"/>
      <c r="G25" s="14">
        <f>SUM(G21:G24)</f>
        <v>6489</v>
      </c>
      <c r="H25" s="1"/>
    </row>
    <row r="26" spans="1:8" x14ac:dyDescent="0.25">
      <c r="A26" s="1" t="s">
        <v>16</v>
      </c>
      <c r="B26" s="1" t="s">
        <v>1</v>
      </c>
      <c r="C26" s="1" t="s">
        <v>31</v>
      </c>
      <c r="D26" s="1" t="s">
        <v>37</v>
      </c>
      <c r="E26" s="11" t="s">
        <v>169</v>
      </c>
      <c r="F26" s="11"/>
      <c r="G26" s="1" t="s">
        <v>4</v>
      </c>
      <c r="H26" s="1" t="s">
        <v>5</v>
      </c>
    </row>
    <row r="27" spans="1:8" x14ac:dyDescent="0.25">
      <c r="A27" s="31" t="s">
        <v>61</v>
      </c>
      <c r="B27" s="1" t="s">
        <v>109</v>
      </c>
      <c r="C27" s="1" t="s">
        <v>11</v>
      </c>
      <c r="D27" s="1">
        <v>450</v>
      </c>
      <c r="E27" s="11">
        <v>1</v>
      </c>
      <c r="F27" s="11" t="s">
        <v>186</v>
      </c>
      <c r="G27" s="1">
        <f>E27*D27</f>
        <v>450</v>
      </c>
      <c r="H27" s="1"/>
    </row>
    <row r="28" spans="1:8" x14ac:dyDescent="0.25">
      <c r="A28" s="31"/>
      <c r="B28" s="1" t="s">
        <v>17</v>
      </c>
      <c r="C28" s="1"/>
      <c r="D28" s="1"/>
      <c r="E28" s="11"/>
      <c r="F28" s="11"/>
      <c r="G28" s="1"/>
      <c r="H28" s="1" t="s">
        <v>110</v>
      </c>
    </row>
    <row r="29" spans="1:8" x14ac:dyDescent="0.25">
      <c r="A29" s="31"/>
      <c r="B29" s="32" t="s">
        <v>28</v>
      </c>
      <c r="C29" s="33"/>
      <c r="D29" s="34"/>
      <c r="E29" s="12"/>
      <c r="F29" s="12"/>
      <c r="G29" s="14">
        <f>SUM(G27:G28)</f>
        <v>450</v>
      </c>
      <c r="H29" s="1"/>
    </row>
    <row r="30" spans="1:8" x14ac:dyDescent="0.25">
      <c r="A30" s="1" t="s">
        <v>38</v>
      </c>
      <c r="B30" s="1" t="s">
        <v>21</v>
      </c>
      <c r="C30" s="1" t="s">
        <v>31</v>
      </c>
      <c r="D30" s="1" t="s">
        <v>3</v>
      </c>
      <c r="E30" s="12" t="s">
        <v>185</v>
      </c>
      <c r="F30" s="12"/>
      <c r="G30" s="3" t="s">
        <v>4</v>
      </c>
      <c r="H30" s="1" t="s">
        <v>35</v>
      </c>
    </row>
    <row r="31" spans="1:8" x14ac:dyDescent="0.25">
      <c r="A31" s="38"/>
      <c r="B31" s="1" t="s">
        <v>195</v>
      </c>
      <c r="C31" s="1"/>
      <c r="D31" s="1">
        <v>37.799999999999997</v>
      </c>
      <c r="E31" s="11">
        <v>65</v>
      </c>
      <c r="F31" s="11" t="s">
        <v>187</v>
      </c>
      <c r="G31" s="1">
        <f>E31*D31</f>
        <v>2457</v>
      </c>
      <c r="H31" s="1"/>
    </row>
    <row r="32" spans="1:8" x14ac:dyDescent="0.25">
      <c r="A32" s="39"/>
      <c r="B32" s="1" t="s">
        <v>201</v>
      </c>
      <c r="C32" s="1"/>
      <c r="D32" s="1">
        <v>24.96</v>
      </c>
      <c r="E32" s="11">
        <v>65</v>
      </c>
      <c r="F32" s="11" t="s">
        <v>187</v>
      </c>
      <c r="G32" s="19">
        <f>E32*D32</f>
        <v>1622.4</v>
      </c>
      <c r="H32" s="1"/>
    </row>
    <row r="33" spans="1:8" x14ac:dyDescent="0.25">
      <c r="A33" s="40"/>
      <c r="B33" s="32" t="s">
        <v>28</v>
      </c>
      <c r="C33" s="33"/>
      <c r="D33" s="34"/>
      <c r="E33" s="12"/>
      <c r="F33" s="12"/>
      <c r="G33" s="14">
        <f>SUM(G31:G32)</f>
        <v>4079.4</v>
      </c>
      <c r="H33" s="8"/>
    </row>
    <row r="34" spans="1:8" x14ac:dyDescent="0.25">
      <c r="A34" s="9" t="s">
        <v>39</v>
      </c>
      <c r="B34" s="1" t="s">
        <v>25</v>
      </c>
      <c r="C34" s="1" t="s">
        <v>31</v>
      </c>
      <c r="D34" s="1" t="s">
        <v>37</v>
      </c>
      <c r="E34" s="11" t="s">
        <v>185</v>
      </c>
      <c r="F34" s="11"/>
      <c r="G34" s="1" t="s">
        <v>40</v>
      </c>
      <c r="H34" s="1"/>
    </row>
    <row r="35" spans="1:8" x14ac:dyDescent="0.25">
      <c r="A35" s="31"/>
      <c r="B35" s="1" t="s">
        <v>189</v>
      </c>
      <c r="C35" s="1"/>
      <c r="D35" s="1">
        <v>96</v>
      </c>
      <c r="E35" s="11">
        <v>5</v>
      </c>
      <c r="F35" s="11" t="s">
        <v>187</v>
      </c>
      <c r="G35" s="1">
        <f>E35*D35</f>
        <v>480</v>
      </c>
      <c r="H35" s="1"/>
    </row>
    <row r="36" spans="1:8" x14ac:dyDescent="0.25">
      <c r="A36" s="31"/>
      <c r="B36" s="1" t="s">
        <v>196</v>
      </c>
      <c r="C36" s="1"/>
      <c r="D36" s="1">
        <v>19.8</v>
      </c>
      <c r="E36" s="11">
        <v>7</v>
      </c>
      <c r="F36" s="11" t="s">
        <v>187</v>
      </c>
      <c r="G36" s="11">
        <f>E36*D36</f>
        <v>138.6</v>
      </c>
      <c r="H36" s="1"/>
    </row>
    <row r="37" spans="1:8" x14ac:dyDescent="0.25">
      <c r="A37" s="31"/>
      <c r="B37" s="1" t="s">
        <v>197</v>
      </c>
      <c r="C37" s="1"/>
      <c r="D37" s="1">
        <v>99</v>
      </c>
      <c r="E37" s="11">
        <v>3</v>
      </c>
      <c r="F37" s="11" t="s">
        <v>187</v>
      </c>
      <c r="G37" s="11">
        <f t="shared" ref="G37:G39" si="2">E37*D37</f>
        <v>297</v>
      </c>
      <c r="H37" s="1"/>
    </row>
    <row r="38" spans="1:8" x14ac:dyDescent="0.25">
      <c r="A38" s="31"/>
      <c r="B38" s="11" t="s">
        <v>198</v>
      </c>
      <c r="C38" s="11"/>
      <c r="D38" s="11">
        <v>378</v>
      </c>
      <c r="E38" s="11">
        <v>1</v>
      </c>
      <c r="F38" s="11" t="s">
        <v>186</v>
      </c>
      <c r="G38" s="11">
        <f t="shared" si="2"/>
        <v>378</v>
      </c>
      <c r="H38" s="1"/>
    </row>
    <row r="39" spans="1:8" x14ac:dyDescent="0.25">
      <c r="A39" s="31"/>
      <c r="B39" s="11" t="s">
        <v>199</v>
      </c>
      <c r="C39" s="11"/>
      <c r="D39" s="11">
        <v>50</v>
      </c>
      <c r="E39" s="12">
        <v>1</v>
      </c>
      <c r="F39" s="11" t="s">
        <v>200</v>
      </c>
      <c r="G39" s="11">
        <f t="shared" si="2"/>
        <v>50</v>
      </c>
      <c r="H39" s="11"/>
    </row>
    <row r="40" spans="1:8" x14ac:dyDescent="0.25">
      <c r="A40" s="31"/>
      <c r="B40" s="11"/>
      <c r="C40" s="11"/>
      <c r="D40" s="11"/>
      <c r="E40" s="12"/>
      <c r="F40" s="12"/>
      <c r="G40" s="12"/>
      <c r="H40" s="11"/>
    </row>
    <row r="41" spans="1:8" x14ac:dyDescent="0.25">
      <c r="A41" s="31"/>
      <c r="B41" s="32" t="s">
        <v>6</v>
      </c>
      <c r="C41" s="33"/>
      <c r="D41" s="34"/>
      <c r="E41" s="12"/>
      <c r="F41" s="12"/>
      <c r="G41" s="17">
        <f>SUM(G35:G40)</f>
        <v>1343.6</v>
      </c>
      <c r="H41" s="1"/>
    </row>
    <row r="42" spans="1:8" x14ac:dyDescent="0.25">
      <c r="A42" s="1"/>
      <c r="B42" s="35" t="s">
        <v>20</v>
      </c>
      <c r="C42" s="36"/>
      <c r="D42" s="37"/>
      <c r="E42" s="13"/>
      <c r="F42" s="13"/>
      <c r="G42" s="18">
        <f>G41+G33+G25+G19+G13+G7+G29</f>
        <v>23567.3</v>
      </c>
      <c r="H42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35:A41"/>
    <mergeCell ref="B41:D41"/>
    <mergeCell ref="B42:D42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22" workbookViewId="0">
      <selection activeCell="G12" sqref="G1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51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9" t="s">
        <v>202</v>
      </c>
      <c r="F2" s="19"/>
      <c r="G2" s="1" t="s">
        <v>4</v>
      </c>
      <c r="H2" s="1" t="s">
        <v>5</v>
      </c>
    </row>
    <row r="3" spans="1:8" x14ac:dyDescent="0.25">
      <c r="A3" s="31" t="s">
        <v>62</v>
      </c>
      <c r="B3" s="1" t="s">
        <v>111</v>
      </c>
      <c r="C3" s="1" t="s">
        <v>113</v>
      </c>
      <c r="D3" s="1">
        <v>175.5</v>
      </c>
      <c r="E3" s="19">
        <v>29</v>
      </c>
      <c r="F3" s="19" t="s">
        <v>209</v>
      </c>
      <c r="G3" s="16">
        <f>E3*D3</f>
        <v>5089.5</v>
      </c>
      <c r="H3" s="1"/>
    </row>
    <row r="4" spans="1:8" x14ac:dyDescent="0.25">
      <c r="A4" s="31"/>
      <c r="B4" s="1" t="s">
        <v>112</v>
      </c>
      <c r="C4" s="1" t="s">
        <v>114</v>
      </c>
      <c r="D4" s="1">
        <v>600</v>
      </c>
      <c r="E4" s="19">
        <v>1</v>
      </c>
      <c r="F4" s="19" t="s">
        <v>205</v>
      </c>
      <c r="G4" s="16">
        <f t="shared" ref="G4:G5" si="0">E4*D4</f>
        <v>600</v>
      </c>
      <c r="H4" s="1"/>
    </row>
    <row r="5" spans="1:8" x14ac:dyDescent="0.25">
      <c r="A5" s="31"/>
      <c r="B5" s="1" t="s">
        <v>168</v>
      </c>
      <c r="C5" s="1" t="s">
        <v>130</v>
      </c>
      <c r="D5" s="1">
        <v>25.5</v>
      </c>
      <c r="E5" s="19">
        <v>8</v>
      </c>
      <c r="F5" s="19" t="s">
        <v>204</v>
      </c>
      <c r="G5" s="16">
        <f t="shared" si="0"/>
        <v>204</v>
      </c>
      <c r="H5" s="1"/>
    </row>
    <row r="6" spans="1:8" x14ac:dyDescent="0.25">
      <c r="A6" s="31"/>
      <c r="B6" s="1"/>
      <c r="C6" s="1"/>
      <c r="D6" s="1"/>
      <c r="E6" s="20"/>
      <c r="F6" s="20"/>
      <c r="G6" s="3"/>
      <c r="H6" s="1"/>
    </row>
    <row r="7" spans="1:8" x14ac:dyDescent="0.25">
      <c r="A7" s="31"/>
      <c r="B7" s="32" t="s">
        <v>6</v>
      </c>
      <c r="C7" s="33"/>
      <c r="D7" s="34"/>
      <c r="E7" s="20"/>
      <c r="F7" s="20"/>
      <c r="G7" s="17">
        <f>SUM(G3:G6)</f>
        <v>5893.5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9" t="s">
        <v>202</v>
      </c>
      <c r="F8" s="19"/>
      <c r="G8" s="1" t="s">
        <v>4</v>
      </c>
      <c r="H8" s="1" t="s">
        <v>5</v>
      </c>
    </row>
    <row r="9" spans="1:8" x14ac:dyDescent="0.25">
      <c r="A9" s="31" t="s">
        <v>63</v>
      </c>
      <c r="B9" s="1" t="s">
        <v>115</v>
      </c>
      <c r="C9" s="1" t="s">
        <v>118</v>
      </c>
      <c r="D9" s="1">
        <v>144</v>
      </c>
      <c r="E9" s="19">
        <v>3</v>
      </c>
      <c r="F9" s="19" t="s">
        <v>204</v>
      </c>
      <c r="G9" s="1">
        <f>D9*E9</f>
        <v>432</v>
      </c>
      <c r="H9" s="1"/>
    </row>
    <row r="10" spans="1:8" x14ac:dyDescent="0.25">
      <c r="A10" s="31"/>
      <c r="B10" s="1" t="s">
        <v>116</v>
      </c>
      <c r="C10" s="1" t="s">
        <v>119</v>
      </c>
      <c r="D10" s="1">
        <v>11</v>
      </c>
      <c r="E10" s="19">
        <v>80</v>
      </c>
      <c r="F10" s="19" t="s">
        <v>210</v>
      </c>
      <c r="G10" s="19">
        <f t="shared" ref="G10:G12" si="1">D10*E10</f>
        <v>880</v>
      </c>
      <c r="H10" s="1"/>
    </row>
    <row r="11" spans="1:8" x14ac:dyDescent="0.25">
      <c r="A11" s="31"/>
      <c r="B11" s="1" t="s">
        <v>117</v>
      </c>
      <c r="C11" s="1" t="s">
        <v>120</v>
      </c>
      <c r="D11" s="1">
        <v>46.8</v>
      </c>
      <c r="E11" s="19">
        <v>13.34</v>
      </c>
      <c r="F11" s="19" t="s">
        <v>204</v>
      </c>
      <c r="G11" s="30">
        <f t="shared" si="1"/>
        <v>624.31200000000001</v>
      </c>
      <c r="H11" s="1"/>
    </row>
    <row r="12" spans="1:8" x14ac:dyDescent="0.25">
      <c r="A12" s="31"/>
      <c r="B12" s="1" t="s">
        <v>10</v>
      </c>
      <c r="C12" s="1" t="s">
        <v>9</v>
      </c>
      <c r="D12" s="1">
        <v>67.5</v>
      </c>
      <c r="E12" s="19">
        <v>1</v>
      </c>
      <c r="F12" s="19" t="s">
        <v>204</v>
      </c>
      <c r="G12" s="16">
        <f t="shared" si="1"/>
        <v>67.5</v>
      </c>
      <c r="H12" s="1"/>
    </row>
    <row r="13" spans="1:8" x14ac:dyDescent="0.25">
      <c r="A13" s="31"/>
      <c r="B13" s="32" t="s">
        <v>6</v>
      </c>
      <c r="C13" s="33"/>
      <c r="D13" s="34"/>
      <c r="E13" s="20"/>
      <c r="F13" s="20"/>
      <c r="G13" s="17">
        <f>SUM(G9:G12)</f>
        <v>2003.8119999999999</v>
      </c>
      <c r="H13" s="1"/>
    </row>
    <row r="14" spans="1:8" x14ac:dyDescent="0.25">
      <c r="A14" s="1" t="s">
        <v>12</v>
      </c>
      <c r="B14" s="1" t="s">
        <v>1</v>
      </c>
      <c r="C14" s="1" t="s">
        <v>2</v>
      </c>
      <c r="D14" s="1" t="s">
        <v>3</v>
      </c>
      <c r="E14" s="19" t="s">
        <v>202</v>
      </c>
      <c r="F14" s="19"/>
      <c r="G14" s="1" t="s">
        <v>4</v>
      </c>
      <c r="H14" s="1" t="s">
        <v>5</v>
      </c>
    </row>
    <row r="15" spans="1:8" x14ac:dyDescent="0.25">
      <c r="A15" s="31"/>
      <c r="B15" s="1"/>
      <c r="C15" s="1"/>
      <c r="D15" s="1"/>
      <c r="E15" s="19"/>
      <c r="F15" s="19"/>
      <c r="G15" s="1"/>
      <c r="H15" s="1"/>
    </row>
    <row r="16" spans="1:8" x14ac:dyDescent="0.25">
      <c r="A16" s="31"/>
      <c r="B16" s="1"/>
      <c r="C16" s="1"/>
      <c r="D16" s="1"/>
      <c r="E16" s="19"/>
      <c r="F16" s="19"/>
      <c r="G16" s="1"/>
      <c r="H16" s="1"/>
    </row>
    <row r="17" spans="1:8" x14ac:dyDescent="0.25">
      <c r="A17" s="31"/>
      <c r="B17" s="1"/>
      <c r="C17" s="1"/>
      <c r="D17" s="1"/>
      <c r="E17" s="19"/>
      <c r="F17" s="19"/>
      <c r="G17" s="1"/>
      <c r="H17" s="1"/>
    </row>
    <row r="18" spans="1:8" x14ac:dyDescent="0.25">
      <c r="A18" s="31"/>
      <c r="B18" s="1"/>
      <c r="C18" s="1"/>
      <c r="D18" s="1"/>
      <c r="E18" s="20"/>
      <c r="F18" s="20"/>
      <c r="G18" s="3"/>
      <c r="H18" s="1"/>
    </row>
    <row r="19" spans="1:8" x14ac:dyDescent="0.25">
      <c r="A19" s="31"/>
      <c r="B19" s="32" t="s">
        <v>6</v>
      </c>
      <c r="C19" s="33"/>
      <c r="D19" s="34"/>
      <c r="E19" s="20"/>
      <c r="F19" s="20"/>
      <c r="G19" s="3"/>
      <c r="H19" s="1"/>
    </row>
    <row r="20" spans="1:8" x14ac:dyDescent="0.25">
      <c r="A20" s="7" t="s">
        <v>15</v>
      </c>
      <c r="B20" s="1" t="s">
        <v>1</v>
      </c>
      <c r="C20" s="1" t="s">
        <v>2</v>
      </c>
      <c r="D20" s="1" t="s">
        <v>3</v>
      </c>
      <c r="E20" s="19" t="s">
        <v>202</v>
      </c>
      <c r="F20" s="19"/>
      <c r="G20" s="1" t="s">
        <v>4</v>
      </c>
      <c r="H20" s="1" t="s">
        <v>5</v>
      </c>
    </row>
    <row r="21" spans="1:8" x14ac:dyDescent="0.25">
      <c r="A21" s="31"/>
      <c r="B21" s="1" t="s">
        <v>206</v>
      </c>
      <c r="C21" s="1"/>
      <c r="D21" s="1">
        <v>480</v>
      </c>
      <c r="E21" s="19">
        <v>1</v>
      </c>
      <c r="F21" s="19" t="s">
        <v>205</v>
      </c>
      <c r="G21" s="1">
        <f>E21*D21</f>
        <v>480</v>
      </c>
      <c r="H21" s="1"/>
    </row>
    <row r="22" spans="1:8" x14ac:dyDescent="0.25">
      <c r="A22" s="31"/>
      <c r="B22" s="1" t="s">
        <v>207</v>
      </c>
      <c r="C22" s="1"/>
      <c r="D22" s="1">
        <v>95</v>
      </c>
      <c r="E22" s="19">
        <v>2</v>
      </c>
      <c r="F22" s="19" t="s">
        <v>208</v>
      </c>
      <c r="G22" s="19">
        <f>E22*D22</f>
        <v>190</v>
      </c>
      <c r="H22" s="1"/>
    </row>
    <row r="23" spans="1:8" x14ac:dyDescent="0.25">
      <c r="A23" s="31"/>
      <c r="B23" s="1" t="s">
        <v>212</v>
      </c>
      <c r="C23" s="1"/>
      <c r="D23" s="1">
        <v>125</v>
      </c>
      <c r="E23" s="19">
        <v>12</v>
      </c>
      <c r="F23" s="19" t="s">
        <v>209</v>
      </c>
      <c r="G23" s="19">
        <f t="shared" ref="G23:G26" si="2">E23*D23</f>
        <v>1500</v>
      </c>
      <c r="H23" s="1"/>
    </row>
    <row r="24" spans="1:8" x14ac:dyDescent="0.25">
      <c r="A24" s="31"/>
      <c r="B24" s="19" t="s">
        <v>213</v>
      </c>
      <c r="C24" s="19"/>
      <c r="D24" s="19">
        <v>235</v>
      </c>
      <c r="E24" s="19">
        <v>2</v>
      </c>
      <c r="F24" s="19" t="s">
        <v>205</v>
      </c>
      <c r="G24" s="19">
        <f t="shared" si="2"/>
        <v>470</v>
      </c>
      <c r="H24" s="1"/>
    </row>
    <row r="25" spans="1:8" x14ac:dyDescent="0.25">
      <c r="A25" s="31"/>
      <c r="B25" s="19" t="s">
        <v>214</v>
      </c>
      <c r="C25" s="19"/>
      <c r="D25" s="19">
        <v>225</v>
      </c>
      <c r="E25" s="20">
        <v>1</v>
      </c>
      <c r="F25" s="19" t="s">
        <v>205</v>
      </c>
      <c r="G25" s="19">
        <f t="shared" si="2"/>
        <v>225</v>
      </c>
      <c r="H25" s="19"/>
    </row>
    <row r="26" spans="1:8" x14ac:dyDescent="0.25">
      <c r="A26" s="31"/>
      <c r="B26" s="19" t="s">
        <v>215</v>
      </c>
      <c r="C26" s="19"/>
      <c r="D26" s="19">
        <v>138</v>
      </c>
      <c r="E26" s="20">
        <v>2</v>
      </c>
      <c r="F26" s="20" t="s">
        <v>209</v>
      </c>
      <c r="G26" s="19">
        <f t="shared" si="2"/>
        <v>276</v>
      </c>
      <c r="H26" s="19"/>
    </row>
    <row r="27" spans="1:8" x14ac:dyDescent="0.25">
      <c r="A27" s="31"/>
      <c r="B27" s="32" t="s">
        <v>6</v>
      </c>
      <c r="C27" s="33"/>
      <c r="D27" s="34"/>
      <c r="E27" s="20"/>
      <c r="F27" s="20"/>
      <c r="G27" s="14">
        <f>SUM(G21:G26)</f>
        <v>3141</v>
      </c>
      <c r="H27" s="1"/>
    </row>
    <row r="28" spans="1:8" x14ac:dyDescent="0.25">
      <c r="A28" s="1" t="s">
        <v>16</v>
      </c>
      <c r="B28" s="1" t="s">
        <v>1</v>
      </c>
      <c r="C28" s="1" t="s">
        <v>31</v>
      </c>
      <c r="D28" s="1" t="s">
        <v>3</v>
      </c>
      <c r="E28" s="19" t="s">
        <v>202</v>
      </c>
      <c r="F28" s="19"/>
      <c r="G28" s="1" t="s">
        <v>4</v>
      </c>
      <c r="H28" s="1" t="s">
        <v>5</v>
      </c>
    </row>
    <row r="29" spans="1:8" x14ac:dyDescent="0.25">
      <c r="A29" s="31"/>
      <c r="B29" s="1"/>
      <c r="C29" s="1"/>
      <c r="D29" s="1"/>
      <c r="E29" s="19"/>
      <c r="F29" s="19"/>
      <c r="G29" s="1"/>
      <c r="H29" s="1"/>
    </row>
    <row r="30" spans="1:8" x14ac:dyDescent="0.25">
      <c r="A30" s="31"/>
      <c r="B30" s="1"/>
      <c r="C30" s="1"/>
      <c r="D30" s="1"/>
      <c r="E30" s="19"/>
      <c r="F30" s="19"/>
      <c r="G30" s="1"/>
      <c r="H30" s="1"/>
    </row>
    <row r="31" spans="1:8" x14ac:dyDescent="0.25">
      <c r="A31" s="31"/>
      <c r="B31" s="32" t="s">
        <v>6</v>
      </c>
      <c r="C31" s="33"/>
      <c r="D31" s="34"/>
      <c r="E31" s="20"/>
      <c r="F31" s="20"/>
      <c r="G31" s="3"/>
      <c r="H31" s="1"/>
    </row>
    <row r="32" spans="1:8" x14ac:dyDescent="0.25">
      <c r="A32" s="1" t="s">
        <v>18</v>
      </c>
      <c r="B32" s="1" t="s">
        <v>1</v>
      </c>
      <c r="C32" s="1" t="s">
        <v>2</v>
      </c>
      <c r="D32" s="1" t="s">
        <v>3</v>
      </c>
      <c r="E32" s="20" t="s">
        <v>202</v>
      </c>
      <c r="F32" s="20"/>
      <c r="G32" s="3" t="s">
        <v>4</v>
      </c>
      <c r="H32" s="1" t="s">
        <v>5</v>
      </c>
    </row>
    <row r="33" spans="1:8" x14ac:dyDescent="0.25">
      <c r="A33" s="38"/>
      <c r="B33" s="1" t="s">
        <v>203</v>
      </c>
      <c r="C33" s="1"/>
      <c r="D33" s="1">
        <v>27.84</v>
      </c>
      <c r="E33" s="19">
        <v>101.84</v>
      </c>
      <c r="F33" s="19" t="s">
        <v>204</v>
      </c>
      <c r="G33" s="16">
        <f>E33*D33</f>
        <v>2835.2256000000002</v>
      </c>
      <c r="H33" s="1"/>
    </row>
    <row r="34" spans="1:8" x14ac:dyDescent="0.25">
      <c r="A34" s="39"/>
      <c r="B34" s="1" t="s">
        <v>211</v>
      </c>
      <c r="C34" s="1"/>
      <c r="D34" s="1">
        <v>53.04</v>
      </c>
      <c r="E34" s="19">
        <v>65</v>
      </c>
      <c r="F34" s="19" t="s">
        <v>204</v>
      </c>
      <c r="G34" s="16">
        <f>E34*D34</f>
        <v>3447.6</v>
      </c>
      <c r="H34" s="1"/>
    </row>
    <row r="35" spans="1:8" x14ac:dyDescent="0.25">
      <c r="A35" s="40"/>
      <c r="B35" s="32" t="s">
        <v>6</v>
      </c>
      <c r="C35" s="33"/>
      <c r="D35" s="34"/>
      <c r="E35" s="20"/>
      <c r="F35" s="20"/>
      <c r="G35" s="17">
        <f>SUM(G33:G34)</f>
        <v>6282.8256000000001</v>
      </c>
      <c r="H35" s="8"/>
    </row>
    <row r="36" spans="1:8" x14ac:dyDescent="0.25">
      <c r="A36" s="9" t="s">
        <v>19</v>
      </c>
      <c r="B36" s="1" t="s">
        <v>1</v>
      </c>
      <c r="C36" s="1" t="s">
        <v>2</v>
      </c>
      <c r="D36" s="1" t="s">
        <v>41</v>
      </c>
      <c r="E36" s="19" t="s">
        <v>202</v>
      </c>
      <c r="F36" s="19"/>
      <c r="G36" s="1" t="s">
        <v>4</v>
      </c>
      <c r="H36" s="1"/>
    </row>
    <row r="37" spans="1:8" x14ac:dyDescent="0.25">
      <c r="A37" s="31" t="s">
        <v>64</v>
      </c>
      <c r="B37" s="1" t="s">
        <v>121</v>
      </c>
      <c r="C37" s="1" t="s">
        <v>127</v>
      </c>
      <c r="D37" s="1">
        <v>19.8</v>
      </c>
      <c r="E37" s="19">
        <v>60</v>
      </c>
      <c r="F37" s="19" t="s">
        <v>204</v>
      </c>
      <c r="G37" s="1">
        <f>E37*D37</f>
        <v>1188</v>
      </c>
      <c r="H37" s="1"/>
    </row>
    <row r="38" spans="1:8" x14ac:dyDescent="0.25">
      <c r="A38" s="31"/>
      <c r="B38" s="1" t="s">
        <v>122</v>
      </c>
      <c r="C38" s="1" t="s">
        <v>128</v>
      </c>
      <c r="D38" s="1">
        <v>125</v>
      </c>
      <c r="E38" s="19">
        <v>40</v>
      </c>
      <c r="F38" s="19" t="s">
        <v>204</v>
      </c>
      <c r="G38" s="19">
        <f t="shared" ref="G38:G42" si="3">E38*D38</f>
        <v>5000</v>
      </c>
      <c r="H38" s="1"/>
    </row>
    <row r="39" spans="1:8" x14ac:dyDescent="0.25">
      <c r="A39" s="31"/>
      <c r="B39" s="1" t="s">
        <v>123</v>
      </c>
      <c r="C39" s="1" t="s">
        <v>129</v>
      </c>
      <c r="D39" s="1">
        <v>19.38</v>
      </c>
      <c r="E39" s="19">
        <v>3</v>
      </c>
      <c r="F39" s="19" t="s">
        <v>204</v>
      </c>
      <c r="G39" s="19">
        <f t="shared" si="3"/>
        <v>58.14</v>
      </c>
      <c r="H39" s="1"/>
    </row>
    <row r="40" spans="1:8" x14ac:dyDescent="0.25">
      <c r="A40" s="31"/>
      <c r="B40" s="1" t="s">
        <v>124</v>
      </c>
      <c r="C40" s="1" t="s">
        <v>130</v>
      </c>
      <c r="D40" s="1">
        <v>48.02</v>
      </c>
      <c r="E40" s="19">
        <v>8</v>
      </c>
      <c r="F40" s="19" t="s">
        <v>204</v>
      </c>
      <c r="G40" s="19">
        <f t="shared" si="3"/>
        <v>384.16</v>
      </c>
      <c r="H40" s="1"/>
    </row>
    <row r="41" spans="1:8" x14ac:dyDescent="0.25">
      <c r="A41" s="31"/>
      <c r="B41" s="1" t="s">
        <v>125</v>
      </c>
      <c r="C41" s="1" t="s">
        <v>131</v>
      </c>
      <c r="D41" s="1">
        <v>45</v>
      </c>
      <c r="E41" s="19">
        <v>4</v>
      </c>
      <c r="F41" s="19" t="s">
        <v>204</v>
      </c>
      <c r="G41" s="19">
        <f t="shared" si="3"/>
        <v>180</v>
      </c>
      <c r="H41" s="1"/>
    </row>
    <row r="42" spans="1:8" x14ac:dyDescent="0.25">
      <c r="A42" s="31"/>
      <c r="B42" s="1" t="s">
        <v>126</v>
      </c>
      <c r="C42" s="1" t="s">
        <v>85</v>
      </c>
      <c r="D42" s="1">
        <v>40.479999999999997</v>
      </c>
      <c r="E42" s="19">
        <v>5</v>
      </c>
      <c r="F42" s="19" t="s">
        <v>204</v>
      </c>
      <c r="G42" s="19">
        <f t="shared" si="3"/>
        <v>202.39999999999998</v>
      </c>
      <c r="H42" s="1"/>
    </row>
    <row r="43" spans="1:8" x14ac:dyDescent="0.25">
      <c r="A43" s="31"/>
      <c r="B43" s="32" t="s">
        <v>6</v>
      </c>
      <c r="C43" s="33"/>
      <c r="D43" s="34"/>
      <c r="E43" s="20"/>
      <c r="F43" s="20"/>
      <c r="G43" s="17">
        <f>SUM(G37:G42)</f>
        <v>7012.7</v>
      </c>
      <c r="H43" s="1"/>
    </row>
    <row r="44" spans="1:8" x14ac:dyDescent="0.25">
      <c r="A44" s="1"/>
      <c r="B44" s="35" t="s">
        <v>20</v>
      </c>
      <c r="C44" s="36"/>
      <c r="D44" s="37"/>
      <c r="E44" s="21"/>
      <c r="F44" s="21"/>
      <c r="G44" s="18">
        <f>G43+G35+G13+G7+G27</f>
        <v>24333.837599999999</v>
      </c>
      <c r="H44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37:A43"/>
    <mergeCell ref="B43:D43"/>
    <mergeCell ref="B44:D44"/>
    <mergeCell ref="A21:A27"/>
    <mergeCell ref="B27:D27"/>
    <mergeCell ref="A29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10" workbookViewId="0">
      <selection activeCell="H41" sqref="H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52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42</v>
      </c>
      <c r="B2" s="1" t="s">
        <v>1</v>
      </c>
      <c r="C2" s="1" t="s">
        <v>2</v>
      </c>
      <c r="D2" s="1" t="s">
        <v>3</v>
      </c>
      <c r="E2" s="23" t="s">
        <v>216</v>
      </c>
      <c r="F2" s="23"/>
      <c r="G2" s="1" t="s">
        <v>4</v>
      </c>
      <c r="H2" s="1" t="s">
        <v>35</v>
      </c>
    </row>
    <row r="3" spans="1:8" x14ac:dyDescent="0.25">
      <c r="A3" s="31" t="s">
        <v>65</v>
      </c>
      <c r="B3" s="1" t="s">
        <v>132</v>
      </c>
      <c r="C3" s="1" t="s">
        <v>129</v>
      </c>
      <c r="D3" s="1">
        <v>3</v>
      </c>
      <c r="E3" s="23">
        <v>173.4</v>
      </c>
      <c r="F3" s="23" t="s">
        <v>217</v>
      </c>
      <c r="G3" s="1">
        <f>D3*E3</f>
        <v>520.20000000000005</v>
      </c>
      <c r="H3" s="1"/>
    </row>
    <row r="4" spans="1:8" x14ac:dyDescent="0.25">
      <c r="A4" s="31"/>
      <c r="B4" s="1" t="s">
        <v>133</v>
      </c>
      <c r="C4" s="1" t="s">
        <v>136</v>
      </c>
      <c r="D4" s="1">
        <v>168</v>
      </c>
      <c r="E4" s="23">
        <v>20</v>
      </c>
      <c r="F4" s="23" t="s">
        <v>217</v>
      </c>
      <c r="G4" s="23">
        <f t="shared" ref="G4:G7" si="0">D4*E4</f>
        <v>3360</v>
      </c>
      <c r="H4" s="1"/>
    </row>
    <row r="5" spans="1:8" x14ac:dyDescent="0.25">
      <c r="A5" s="31"/>
      <c r="B5" s="1" t="s">
        <v>134</v>
      </c>
      <c r="C5" s="1" t="s">
        <v>136</v>
      </c>
      <c r="D5" s="1">
        <v>99</v>
      </c>
      <c r="E5" s="23">
        <v>20</v>
      </c>
      <c r="F5" s="23" t="s">
        <v>217</v>
      </c>
      <c r="G5" s="23">
        <f t="shared" si="0"/>
        <v>1980</v>
      </c>
      <c r="H5" s="1"/>
    </row>
    <row r="6" spans="1:8" x14ac:dyDescent="0.25">
      <c r="A6" s="31"/>
      <c r="B6" s="1" t="s">
        <v>138</v>
      </c>
      <c r="C6" s="1" t="s">
        <v>139</v>
      </c>
      <c r="D6" s="1">
        <v>43.8</v>
      </c>
      <c r="E6" s="24">
        <v>10</v>
      </c>
      <c r="F6" s="23" t="s">
        <v>217</v>
      </c>
      <c r="G6" s="23">
        <f t="shared" si="0"/>
        <v>438</v>
      </c>
      <c r="H6" s="1"/>
    </row>
    <row r="7" spans="1:8" x14ac:dyDescent="0.25">
      <c r="A7" s="31"/>
      <c r="B7" s="1" t="s">
        <v>135</v>
      </c>
      <c r="C7" s="1" t="s">
        <v>137</v>
      </c>
      <c r="D7" s="1">
        <v>85.5</v>
      </c>
      <c r="E7" s="24">
        <v>1</v>
      </c>
      <c r="F7" s="23" t="s">
        <v>217</v>
      </c>
      <c r="G7" s="23">
        <f t="shared" si="0"/>
        <v>85.5</v>
      </c>
      <c r="H7" s="1"/>
    </row>
    <row r="8" spans="1:8" x14ac:dyDescent="0.25">
      <c r="A8" s="31"/>
      <c r="B8" s="32" t="s">
        <v>6</v>
      </c>
      <c r="C8" s="33"/>
      <c r="D8" s="34"/>
      <c r="E8" s="24"/>
      <c r="F8" s="24"/>
      <c r="G8" s="17">
        <f>SUM(G3:G7)</f>
        <v>6383.7</v>
      </c>
      <c r="H8" s="1"/>
    </row>
    <row r="9" spans="1:8" x14ac:dyDescent="0.25">
      <c r="A9" s="1" t="s">
        <v>7</v>
      </c>
      <c r="B9" s="1" t="s">
        <v>1</v>
      </c>
      <c r="C9" s="1" t="s">
        <v>2</v>
      </c>
      <c r="D9" s="1" t="s">
        <v>41</v>
      </c>
      <c r="E9" s="23" t="s">
        <v>216</v>
      </c>
      <c r="F9" s="23"/>
      <c r="G9" s="1" t="s">
        <v>43</v>
      </c>
      <c r="H9" s="1" t="s">
        <v>44</v>
      </c>
    </row>
    <row r="10" spans="1:8" x14ac:dyDescent="0.25">
      <c r="A10" s="31" t="s">
        <v>66</v>
      </c>
      <c r="B10" s="1" t="s">
        <v>140</v>
      </c>
      <c r="C10" s="1" t="s">
        <v>13</v>
      </c>
      <c r="D10" s="1">
        <v>36.9</v>
      </c>
      <c r="E10" s="23">
        <v>25</v>
      </c>
      <c r="F10" s="23" t="s">
        <v>217</v>
      </c>
      <c r="G10" s="1">
        <f>E10*D10</f>
        <v>922.5</v>
      </c>
      <c r="H10" s="1"/>
    </row>
    <row r="11" spans="1:8" x14ac:dyDescent="0.25">
      <c r="A11" s="31"/>
      <c r="B11" s="1" t="s">
        <v>141</v>
      </c>
      <c r="C11" s="1" t="s">
        <v>143</v>
      </c>
      <c r="D11" s="1">
        <v>17.100000000000001</v>
      </c>
      <c r="E11" s="23">
        <v>2</v>
      </c>
      <c r="F11" s="23" t="s">
        <v>217</v>
      </c>
      <c r="G11" s="23">
        <f t="shared" ref="G11:G13" si="1">E11*D11</f>
        <v>34.200000000000003</v>
      </c>
      <c r="H11" s="1"/>
    </row>
    <row r="12" spans="1:8" x14ac:dyDescent="0.25">
      <c r="A12" s="31"/>
      <c r="B12" s="1" t="s">
        <v>142</v>
      </c>
      <c r="C12" s="1" t="s">
        <v>144</v>
      </c>
      <c r="D12" s="1">
        <v>85</v>
      </c>
      <c r="E12" s="23">
        <v>3</v>
      </c>
      <c r="F12" s="23" t="s">
        <v>217</v>
      </c>
      <c r="G12" s="23">
        <f t="shared" si="1"/>
        <v>255</v>
      </c>
      <c r="H12" s="1"/>
    </row>
    <row r="13" spans="1:8" x14ac:dyDescent="0.25">
      <c r="A13" s="31"/>
      <c r="B13" s="1" t="s">
        <v>220</v>
      </c>
      <c r="C13" s="1"/>
      <c r="D13" s="1">
        <v>48</v>
      </c>
      <c r="E13" s="23">
        <v>8</v>
      </c>
      <c r="F13" s="23" t="s">
        <v>217</v>
      </c>
      <c r="G13" s="23">
        <f t="shared" si="1"/>
        <v>384</v>
      </c>
      <c r="H13" s="1"/>
    </row>
    <row r="14" spans="1:8" x14ac:dyDescent="0.25">
      <c r="A14" s="31"/>
      <c r="B14" s="32" t="s">
        <v>6</v>
      </c>
      <c r="C14" s="33"/>
      <c r="D14" s="34"/>
      <c r="E14" s="24"/>
      <c r="F14" s="24"/>
      <c r="G14" s="17">
        <f>SUM(G10:G13)</f>
        <v>1595.7</v>
      </c>
      <c r="H14" s="1"/>
    </row>
    <row r="15" spans="1:8" x14ac:dyDescent="0.25">
      <c r="A15" s="1" t="s">
        <v>12</v>
      </c>
      <c r="B15" s="1" t="s">
        <v>1</v>
      </c>
      <c r="C15" s="1" t="s">
        <v>2</v>
      </c>
      <c r="D15" s="1" t="s">
        <v>3</v>
      </c>
      <c r="E15" s="23" t="s">
        <v>216</v>
      </c>
      <c r="F15" s="23"/>
      <c r="G15" s="1" t="s">
        <v>4</v>
      </c>
      <c r="H15" s="1" t="s">
        <v>5</v>
      </c>
    </row>
    <row r="16" spans="1:8" x14ac:dyDescent="0.25">
      <c r="A16" s="31" t="s">
        <v>67</v>
      </c>
      <c r="B16" s="1" t="s">
        <v>145</v>
      </c>
      <c r="C16" s="1" t="s">
        <v>148</v>
      </c>
      <c r="D16" s="1">
        <v>43.2</v>
      </c>
      <c r="E16" s="23">
        <v>20</v>
      </c>
      <c r="F16" s="23" t="s">
        <v>217</v>
      </c>
      <c r="G16" s="1">
        <f>E16*D16</f>
        <v>864</v>
      </c>
      <c r="H16" s="1"/>
    </row>
    <row r="17" spans="1:8" x14ac:dyDescent="0.25">
      <c r="A17" s="31"/>
      <c r="B17" s="1" t="s">
        <v>146</v>
      </c>
      <c r="C17" s="1" t="s">
        <v>149</v>
      </c>
      <c r="D17" s="1">
        <v>12</v>
      </c>
      <c r="E17" s="23">
        <v>50</v>
      </c>
      <c r="F17" s="23" t="s">
        <v>221</v>
      </c>
      <c r="G17" s="23">
        <f t="shared" ref="G17:G18" si="2">E17*D17</f>
        <v>600</v>
      </c>
      <c r="H17" s="1"/>
    </row>
    <row r="18" spans="1:8" x14ac:dyDescent="0.25">
      <c r="A18" s="31"/>
      <c r="B18" s="1" t="s">
        <v>147</v>
      </c>
      <c r="C18" s="1" t="s">
        <v>150</v>
      </c>
      <c r="D18" s="1">
        <v>12</v>
      </c>
      <c r="E18" s="23">
        <v>50</v>
      </c>
      <c r="F18" s="23" t="s">
        <v>221</v>
      </c>
      <c r="G18" s="23">
        <f t="shared" si="2"/>
        <v>600</v>
      </c>
      <c r="H18" s="1"/>
    </row>
    <row r="19" spans="1:8" x14ac:dyDescent="0.25">
      <c r="A19" s="31"/>
      <c r="B19" s="1"/>
      <c r="C19" s="1"/>
      <c r="D19" s="1"/>
      <c r="E19" s="24"/>
      <c r="F19" s="24"/>
      <c r="G19" s="3"/>
      <c r="H19" s="1"/>
    </row>
    <row r="20" spans="1:8" x14ac:dyDescent="0.25">
      <c r="A20" s="31"/>
      <c r="B20" s="32" t="s">
        <v>6</v>
      </c>
      <c r="C20" s="33"/>
      <c r="D20" s="34"/>
      <c r="E20" s="24"/>
      <c r="F20" s="24"/>
      <c r="G20" s="14">
        <f>SUM(G16:G19)</f>
        <v>2064</v>
      </c>
      <c r="H20" s="1"/>
    </row>
    <row r="21" spans="1:8" x14ac:dyDescent="0.25">
      <c r="A21" s="7" t="s">
        <v>15</v>
      </c>
      <c r="B21" s="1" t="s">
        <v>25</v>
      </c>
      <c r="C21" s="1" t="s">
        <v>2</v>
      </c>
      <c r="D21" s="1" t="s">
        <v>3</v>
      </c>
      <c r="E21" s="23" t="s">
        <v>216</v>
      </c>
      <c r="F21" s="23"/>
      <c r="G21" s="1" t="s">
        <v>4</v>
      </c>
      <c r="H21" s="1" t="s">
        <v>5</v>
      </c>
    </row>
    <row r="22" spans="1:8" x14ac:dyDescent="0.25">
      <c r="A22" s="31"/>
      <c r="B22" s="1"/>
      <c r="C22" s="1"/>
      <c r="D22" s="1"/>
      <c r="E22" s="23"/>
      <c r="F22" s="23"/>
      <c r="G22" s="1"/>
      <c r="H22" s="1"/>
    </row>
    <row r="23" spans="1:8" x14ac:dyDescent="0.25">
      <c r="A23" s="31"/>
      <c r="B23" s="1"/>
      <c r="C23" s="1"/>
      <c r="D23" s="1"/>
      <c r="E23" s="23"/>
      <c r="F23" s="23"/>
      <c r="G23" s="1"/>
      <c r="H23" s="1"/>
    </row>
    <row r="24" spans="1:8" x14ac:dyDescent="0.25">
      <c r="A24" s="31"/>
      <c r="B24" s="1"/>
      <c r="C24" s="1"/>
      <c r="D24" s="1"/>
      <c r="E24" s="23"/>
      <c r="F24" s="23"/>
      <c r="G24" s="1"/>
      <c r="H24" s="1"/>
    </row>
    <row r="25" spans="1:8" x14ac:dyDescent="0.25">
      <c r="A25" s="31"/>
      <c r="B25" s="1"/>
      <c r="C25" s="1"/>
      <c r="D25" s="1"/>
      <c r="E25" s="23"/>
      <c r="F25" s="23"/>
      <c r="G25" s="1"/>
      <c r="H25" s="1"/>
    </row>
    <row r="26" spans="1:8" x14ac:dyDescent="0.25">
      <c r="A26" s="31"/>
      <c r="B26" s="32" t="s">
        <v>6</v>
      </c>
      <c r="C26" s="33"/>
      <c r="D26" s="34"/>
      <c r="E26" s="24"/>
      <c r="F26" s="24"/>
      <c r="G26" s="3"/>
      <c r="H26" s="1"/>
    </row>
    <row r="27" spans="1:8" x14ac:dyDescent="0.25">
      <c r="A27" s="1" t="s">
        <v>16</v>
      </c>
      <c r="B27" s="1" t="s">
        <v>1</v>
      </c>
      <c r="C27" s="1" t="s">
        <v>2</v>
      </c>
      <c r="D27" s="1" t="s">
        <v>3</v>
      </c>
      <c r="E27" s="23" t="s">
        <v>216</v>
      </c>
      <c r="F27" s="23"/>
      <c r="G27" s="1" t="s">
        <v>4</v>
      </c>
      <c r="H27" s="1" t="s">
        <v>5</v>
      </c>
    </row>
    <row r="28" spans="1:8" x14ac:dyDescent="0.25">
      <c r="A28" s="31" t="s">
        <v>68</v>
      </c>
      <c r="B28" s="1" t="s">
        <v>151</v>
      </c>
      <c r="C28" s="1"/>
      <c r="D28" s="1"/>
      <c r="E28" s="23"/>
      <c r="F28" s="23"/>
      <c r="G28" s="1"/>
      <c r="H28" s="1" t="s">
        <v>152</v>
      </c>
    </row>
    <row r="29" spans="1:8" x14ac:dyDescent="0.25">
      <c r="A29" s="31"/>
      <c r="B29" s="1"/>
      <c r="C29" s="1"/>
      <c r="D29" s="1"/>
      <c r="E29" s="23"/>
      <c r="F29" s="23"/>
      <c r="G29" s="1"/>
      <c r="H29" s="1"/>
    </row>
    <row r="30" spans="1:8" x14ac:dyDescent="0.25">
      <c r="A30" s="31"/>
      <c r="B30" s="32" t="s">
        <v>6</v>
      </c>
      <c r="C30" s="33"/>
      <c r="D30" s="34"/>
      <c r="E30" s="24"/>
      <c r="F30" s="24"/>
      <c r="G30" s="3"/>
      <c r="H30" s="1"/>
    </row>
    <row r="31" spans="1:8" x14ac:dyDescent="0.25">
      <c r="A31" s="1" t="s">
        <v>18</v>
      </c>
      <c r="B31" s="1" t="s">
        <v>1</v>
      </c>
      <c r="C31" s="1" t="s">
        <v>2</v>
      </c>
      <c r="D31" s="1" t="s">
        <v>3</v>
      </c>
      <c r="E31" s="24" t="s">
        <v>216</v>
      </c>
      <c r="F31" s="24"/>
      <c r="G31" s="3" t="s">
        <v>4</v>
      </c>
      <c r="H31" s="1" t="s">
        <v>5</v>
      </c>
    </row>
    <row r="32" spans="1:8" x14ac:dyDescent="0.25">
      <c r="A32" s="38"/>
      <c r="B32" s="1" t="s">
        <v>222</v>
      </c>
      <c r="C32" s="1"/>
      <c r="D32" s="1">
        <v>44.1</v>
      </c>
      <c r="E32" s="23">
        <v>50</v>
      </c>
      <c r="F32" s="23" t="s">
        <v>217</v>
      </c>
      <c r="G32" s="1">
        <f>E32*D32</f>
        <v>2205</v>
      </c>
      <c r="H32" s="1"/>
    </row>
    <row r="33" spans="1:8" x14ac:dyDescent="0.25">
      <c r="A33" s="39"/>
      <c r="B33" s="1" t="s">
        <v>223</v>
      </c>
      <c r="C33" s="1"/>
      <c r="D33" s="1">
        <v>28.8</v>
      </c>
      <c r="E33" s="22"/>
      <c r="F33" s="23"/>
      <c r="G33" s="23">
        <f>E33*D33</f>
        <v>0</v>
      </c>
      <c r="H33" s="1"/>
    </row>
    <row r="34" spans="1:8" x14ac:dyDescent="0.25">
      <c r="A34" s="40"/>
      <c r="B34" s="32" t="s">
        <v>6</v>
      </c>
      <c r="C34" s="33"/>
      <c r="D34" s="34"/>
      <c r="E34" s="24"/>
      <c r="F34" s="24"/>
      <c r="G34" s="14">
        <f>SUM(G32:G33)</f>
        <v>2205</v>
      </c>
      <c r="H34" s="8"/>
    </row>
    <row r="35" spans="1:8" x14ac:dyDescent="0.25">
      <c r="A35" s="9" t="s">
        <v>19</v>
      </c>
      <c r="B35" s="1" t="s">
        <v>1</v>
      </c>
      <c r="C35" s="1" t="s">
        <v>2</v>
      </c>
      <c r="D35" s="1" t="s">
        <v>3</v>
      </c>
      <c r="E35" s="23" t="s">
        <v>216</v>
      </c>
      <c r="F35" s="23"/>
      <c r="G35" s="1" t="s">
        <v>4</v>
      </c>
      <c r="H35" s="1"/>
    </row>
    <row r="36" spans="1:8" x14ac:dyDescent="0.25">
      <c r="A36" s="31"/>
      <c r="B36" s="1" t="s">
        <v>218</v>
      </c>
      <c r="C36" s="1"/>
      <c r="D36" s="1">
        <v>60</v>
      </c>
      <c r="E36" s="23">
        <v>1</v>
      </c>
      <c r="F36" s="23" t="s">
        <v>219</v>
      </c>
      <c r="G36" s="1">
        <f>E36*D36</f>
        <v>60</v>
      </c>
      <c r="H36" s="1"/>
    </row>
    <row r="37" spans="1:8" x14ac:dyDescent="0.25">
      <c r="A37" s="31"/>
      <c r="B37" s="1"/>
      <c r="C37" s="1"/>
      <c r="D37" s="1"/>
      <c r="E37" s="23"/>
      <c r="F37" s="23"/>
      <c r="G37" s="1"/>
      <c r="H37" s="1"/>
    </row>
    <row r="38" spans="1:8" x14ac:dyDescent="0.25">
      <c r="A38" s="31"/>
      <c r="B38" s="1"/>
      <c r="C38" s="1"/>
      <c r="D38" s="1"/>
      <c r="E38" s="23"/>
      <c r="F38" s="23"/>
      <c r="G38" s="1"/>
      <c r="H38" s="1"/>
    </row>
    <row r="39" spans="1:8" x14ac:dyDescent="0.25">
      <c r="A39" s="31"/>
      <c r="B39" s="1"/>
      <c r="C39" s="1"/>
      <c r="D39" s="1"/>
      <c r="E39" s="23"/>
      <c r="F39" s="23"/>
      <c r="G39" s="1"/>
      <c r="H39" s="1"/>
    </row>
    <row r="40" spans="1:8" x14ac:dyDescent="0.25">
      <c r="A40" s="31"/>
      <c r="B40" s="32" t="s">
        <v>6</v>
      </c>
      <c r="C40" s="33"/>
      <c r="D40" s="34"/>
      <c r="E40" s="24"/>
      <c r="F40" s="24"/>
      <c r="G40" s="14">
        <f>SUM(G36:G39)</f>
        <v>60</v>
      </c>
      <c r="H40" s="1"/>
    </row>
    <row r="41" spans="1:8" x14ac:dyDescent="0.25">
      <c r="A41" s="1"/>
      <c r="B41" s="35" t="s">
        <v>20</v>
      </c>
      <c r="C41" s="36"/>
      <c r="D41" s="37"/>
      <c r="E41" s="25"/>
      <c r="F41" s="25"/>
      <c r="G41" s="18">
        <f>G40+G34+G20+G14+G8</f>
        <v>12308.4</v>
      </c>
      <c r="H41" s="1"/>
    </row>
  </sheetData>
  <mergeCells count="16">
    <mergeCell ref="A16:A20"/>
    <mergeCell ref="B20:D20"/>
    <mergeCell ref="A1:H1"/>
    <mergeCell ref="A3:A8"/>
    <mergeCell ref="B8:D8"/>
    <mergeCell ref="A10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topLeftCell="A30" workbookViewId="0">
      <selection activeCell="H47" sqref="A1:H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1" t="s">
        <v>53</v>
      </c>
      <c r="B1" s="42"/>
      <c r="C1" s="42"/>
      <c r="D1" s="42"/>
      <c r="E1" s="42"/>
      <c r="F1" s="42"/>
      <c r="G1" s="42"/>
      <c r="H1" s="43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170</v>
      </c>
      <c r="F2" s="2"/>
      <c r="G2" s="1" t="s">
        <v>45</v>
      </c>
      <c r="H2" s="1" t="s">
        <v>5</v>
      </c>
    </row>
    <row r="3" spans="1:8" x14ac:dyDescent="0.25">
      <c r="A3" s="31" t="s">
        <v>69</v>
      </c>
      <c r="B3" s="1" t="s">
        <v>153</v>
      </c>
      <c r="C3" s="1" t="s">
        <v>154</v>
      </c>
      <c r="D3" s="1">
        <v>99</v>
      </c>
      <c r="E3" s="2">
        <v>60.93</v>
      </c>
      <c r="F3" s="2" t="s">
        <v>225</v>
      </c>
      <c r="G3" s="16">
        <f>D3*E3</f>
        <v>6032.07</v>
      </c>
      <c r="H3" s="1"/>
    </row>
    <row r="4" spans="1:8" x14ac:dyDescent="0.25">
      <c r="A4" s="31"/>
      <c r="B4" s="1"/>
      <c r="C4" s="1"/>
      <c r="D4" s="1"/>
      <c r="E4" s="2"/>
      <c r="F4" s="2"/>
      <c r="G4" s="1"/>
      <c r="H4" s="1"/>
    </row>
    <row r="5" spans="1:8" x14ac:dyDescent="0.25">
      <c r="A5" s="31"/>
      <c r="B5" s="1"/>
      <c r="C5" s="1"/>
      <c r="D5" s="1"/>
      <c r="E5" s="2"/>
      <c r="F5" s="2"/>
      <c r="G5" s="1"/>
      <c r="H5" s="1"/>
    </row>
    <row r="6" spans="1:8" x14ac:dyDescent="0.25">
      <c r="A6" s="31"/>
      <c r="B6" s="1"/>
      <c r="C6" s="1"/>
      <c r="D6" s="1"/>
      <c r="E6" s="6"/>
      <c r="F6" s="6"/>
      <c r="G6" s="3"/>
      <c r="H6" s="1"/>
    </row>
    <row r="7" spans="1:8" x14ac:dyDescent="0.25">
      <c r="A7" s="31"/>
      <c r="B7" s="32" t="s">
        <v>6</v>
      </c>
      <c r="C7" s="33"/>
      <c r="D7" s="34"/>
      <c r="E7" s="6"/>
      <c r="F7" s="6"/>
      <c r="G7" s="17">
        <f>SUM(G3:G6)</f>
        <v>6032.07</v>
      </c>
      <c r="H7" s="1"/>
    </row>
    <row r="8" spans="1:8" x14ac:dyDescent="0.25">
      <c r="A8" s="1" t="s">
        <v>46</v>
      </c>
      <c r="B8" s="1" t="s">
        <v>1</v>
      </c>
      <c r="C8" s="1" t="s">
        <v>2</v>
      </c>
      <c r="D8" s="1" t="s">
        <v>3</v>
      </c>
      <c r="E8" s="2" t="s">
        <v>170</v>
      </c>
      <c r="F8" s="2"/>
      <c r="G8" s="1" t="s">
        <v>4</v>
      </c>
      <c r="H8" s="1" t="s">
        <v>5</v>
      </c>
    </row>
    <row r="9" spans="1:8" x14ac:dyDescent="0.25">
      <c r="A9" s="31" t="s">
        <v>70</v>
      </c>
      <c r="B9" s="1" t="s">
        <v>155</v>
      </c>
      <c r="C9" s="1" t="s">
        <v>158</v>
      </c>
      <c r="D9" s="1">
        <v>82</v>
      </c>
      <c r="E9" s="2">
        <v>24</v>
      </c>
      <c r="F9" s="2" t="s">
        <v>226</v>
      </c>
      <c r="G9" s="1">
        <f>E9*D9</f>
        <v>1968</v>
      </c>
      <c r="H9" s="1"/>
    </row>
    <row r="10" spans="1:8" x14ac:dyDescent="0.25">
      <c r="A10" s="31"/>
      <c r="B10" s="1" t="s">
        <v>156</v>
      </c>
      <c r="C10" s="1" t="s">
        <v>14</v>
      </c>
      <c r="D10" s="1">
        <v>43.8</v>
      </c>
      <c r="E10" s="2">
        <v>15</v>
      </c>
      <c r="F10" s="2" t="s">
        <v>225</v>
      </c>
      <c r="G10" s="28">
        <f t="shared" ref="G10:G11" si="0">E10*D10</f>
        <v>657</v>
      </c>
      <c r="H10" s="1"/>
    </row>
    <row r="11" spans="1:8" x14ac:dyDescent="0.25">
      <c r="A11" s="31"/>
      <c r="B11" s="1" t="s">
        <v>157</v>
      </c>
      <c r="C11" s="1" t="s">
        <v>159</v>
      </c>
      <c r="D11" s="1">
        <v>45</v>
      </c>
      <c r="E11" s="2">
        <v>4</v>
      </c>
      <c r="F11" s="28" t="s">
        <v>225</v>
      </c>
      <c r="G11" s="28">
        <f t="shared" si="0"/>
        <v>180</v>
      </c>
      <c r="H11" s="1"/>
    </row>
    <row r="12" spans="1:8" x14ac:dyDescent="0.25">
      <c r="A12" s="31"/>
      <c r="B12" s="1"/>
      <c r="C12" s="1"/>
      <c r="D12" s="1"/>
      <c r="E12" s="2"/>
      <c r="F12" s="2"/>
      <c r="G12" s="1"/>
      <c r="H12" s="1"/>
    </row>
    <row r="13" spans="1:8" x14ac:dyDescent="0.25">
      <c r="A13" s="31"/>
      <c r="B13" s="32" t="s">
        <v>6</v>
      </c>
      <c r="C13" s="33"/>
      <c r="D13" s="34"/>
      <c r="E13" s="6"/>
      <c r="F13" s="6"/>
      <c r="G13" s="14">
        <f>SUM(G9:G12)</f>
        <v>2805</v>
      </c>
      <c r="H13" s="1"/>
    </row>
    <row r="14" spans="1:8" x14ac:dyDescent="0.25">
      <c r="A14" s="1" t="s">
        <v>12</v>
      </c>
      <c r="B14" s="1" t="s">
        <v>1</v>
      </c>
      <c r="C14" s="1" t="s">
        <v>2</v>
      </c>
      <c r="D14" s="1" t="s">
        <v>3</v>
      </c>
      <c r="E14" s="2" t="s">
        <v>170</v>
      </c>
      <c r="F14" s="2"/>
      <c r="G14" s="1" t="s">
        <v>4</v>
      </c>
      <c r="H14" s="1" t="s">
        <v>5</v>
      </c>
    </row>
    <row r="15" spans="1:8" x14ac:dyDescent="0.25">
      <c r="A15" s="31" t="s">
        <v>71</v>
      </c>
      <c r="B15" s="1" t="s">
        <v>160</v>
      </c>
      <c r="C15" s="1" t="s">
        <v>162</v>
      </c>
      <c r="D15" s="1">
        <v>17.34</v>
      </c>
      <c r="E15" s="2">
        <v>50</v>
      </c>
      <c r="F15" s="2" t="s">
        <v>225</v>
      </c>
      <c r="G15" s="1">
        <f>E15*D15</f>
        <v>867</v>
      </c>
      <c r="H15" s="1"/>
    </row>
    <row r="16" spans="1:8" x14ac:dyDescent="0.25">
      <c r="A16" s="31"/>
      <c r="B16" s="1" t="s">
        <v>161</v>
      </c>
      <c r="C16" s="1" t="s">
        <v>85</v>
      </c>
      <c r="D16" s="1">
        <v>159.6</v>
      </c>
      <c r="E16" s="2">
        <v>5</v>
      </c>
      <c r="F16" s="28" t="s">
        <v>225</v>
      </c>
      <c r="G16" s="28">
        <f t="shared" ref="G16:G17" si="1">E16*D16</f>
        <v>798</v>
      </c>
      <c r="H16" s="1"/>
    </row>
    <row r="17" spans="1:8" x14ac:dyDescent="0.25">
      <c r="A17" s="31"/>
      <c r="B17" s="1" t="s">
        <v>163</v>
      </c>
      <c r="C17" s="1" t="s">
        <v>129</v>
      </c>
      <c r="D17" s="1">
        <v>85</v>
      </c>
      <c r="E17" s="2">
        <v>3</v>
      </c>
      <c r="F17" s="28" t="s">
        <v>225</v>
      </c>
      <c r="G17" s="28">
        <f t="shared" si="1"/>
        <v>255</v>
      </c>
      <c r="H17" s="1"/>
    </row>
    <row r="18" spans="1:8" x14ac:dyDescent="0.25">
      <c r="A18" s="31"/>
      <c r="B18" s="1"/>
      <c r="C18" s="1"/>
      <c r="D18" s="1"/>
      <c r="E18" s="6"/>
      <c r="F18" s="6"/>
      <c r="G18" s="3"/>
      <c r="H18" s="1"/>
    </row>
    <row r="19" spans="1:8" x14ac:dyDescent="0.25">
      <c r="A19" s="31"/>
      <c r="B19" s="32" t="s">
        <v>6</v>
      </c>
      <c r="C19" s="33"/>
      <c r="D19" s="34"/>
      <c r="E19" s="6"/>
      <c r="F19" s="6"/>
      <c r="G19" s="14">
        <f>SUM(G15:G18)</f>
        <v>1920</v>
      </c>
      <c r="H19" s="1"/>
    </row>
    <row r="20" spans="1:8" x14ac:dyDescent="0.25">
      <c r="A20" s="7" t="s">
        <v>15</v>
      </c>
      <c r="B20" s="1" t="s">
        <v>1</v>
      </c>
      <c r="C20" s="1" t="s">
        <v>2</v>
      </c>
      <c r="D20" s="1" t="s">
        <v>3</v>
      </c>
      <c r="E20" s="2" t="s">
        <v>170</v>
      </c>
      <c r="F20" s="2"/>
      <c r="G20" s="1" t="s">
        <v>4</v>
      </c>
      <c r="H20" s="1" t="s">
        <v>5</v>
      </c>
    </row>
    <row r="21" spans="1:8" x14ac:dyDescent="0.25">
      <c r="A21" s="31"/>
      <c r="B21" s="28" t="s">
        <v>240</v>
      </c>
      <c r="C21" s="28"/>
      <c r="D21" s="28">
        <v>50</v>
      </c>
      <c r="E21" s="28">
        <v>1</v>
      </c>
      <c r="F21" s="2" t="s">
        <v>230</v>
      </c>
      <c r="G21" s="1">
        <f>E21*D21</f>
        <v>50</v>
      </c>
      <c r="H21" s="1"/>
    </row>
    <row r="22" spans="1:8" x14ac:dyDescent="0.25">
      <c r="A22" s="31"/>
      <c r="B22" s="28" t="s">
        <v>241</v>
      </c>
      <c r="C22" s="28"/>
      <c r="D22" s="28">
        <v>225</v>
      </c>
      <c r="E22" s="28">
        <v>1</v>
      </c>
      <c r="F22" s="2" t="s">
        <v>248</v>
      </c>
      <c r="G22" s="28">
        <f t="shared" ref="G22:G28" si="2">E22*D22</f>
        <v>225</v>
      </c>
      <c r="H22" s="1"/>
    </row>
    <row r="23" spans="1:8" x14ac:dyDescent="0.25">
      <c r="A23" s="31"/>
      <c r="B23" s="28" t="s">
        <v>242</v>
      </c>
      <c r="C23" s="28"/>
      <c r="D23" s="28">
        <v>1188</v>
      </c>
      <c r="E23" s="28">
        <v>2</v>
      </c>
      <c r="F23" s="28" t="s">
        <v>248</v>
      </c>
      <c r="G23" s="28">
        <f t="shared" si="2"/>
        <v>2376</v>
      </c>
      <c r="H23" s="1"/>
    </row>
    <row r="24" spans="1:8" x14ac:dyDescent="0.25">
      <c r="A24" s="31"/>
      <c r="B24" s="28" t="s">
        <v>243</v>
      </c>
      <c r="C24" s="28"/>
      <c r="D24" s="28">
        <v>291</v>
      </c>
      <c r="E24" s="28">
        <v>1</v>
      </c>
      <c r="F24" s="28" t="s">
        <v>248</v>
      </c>
      <c r="G24" s="28">
        <f t="shared" si="2"/>
        <v>291</v>
      </c>
      <c r="H24" s="1"/>
    </row>
    <row r="25" spans="1:8" x14ac:dyDescent="0.25">
      <c r="A25" s="31"/>
      <c r="B25" s="28" t="s">
        <v>244</v>
      </c>
      <c r="C25" s="28"/>
      <c r="D25" s="28">
        <v>43.2</v>
      </c>
      <c r="E25" s="28">
        <v>20</v>
      </c>
      <c r="F25" s="29" t="s">
        <v>225</v>
      </c>
      <c r="G25" s="28">
        <f t="shared" si="2"/>
        <v>864</v>
      </c>
      <c r="H25" s="28"/>
    </row>
    <row r="26" spans="1:8" x14ac:dyDescent="0.25">
      <c r="A26" s="31"/>
      <c r="B26" s="28" t="s">
        <v>245</v>
      </c>
      <c r="C26" s="28"/>
      <c r="D26" s="28">
        <v>27</v>
      </c>
      <c r="E26" s="28">
        <v>6</v>
      </c>
      <c r="F26" s="29" t="s">
        <v>225</v>
      </c>
      <c r="G26" s="28">
        <f t="shared" si="2"/>
        <v>162</v>
      </c>
      <c r="H26" s="28"/>
    </row>
    <row r="27" spans="1:8" x14ac:dyDescent="0.25">
      <c r="A27" s="31"/>
      <c r="B27" s="28" t="s">
        <v>246</v>
      </c>
      <c r="C27" s="28"/>
      <c r="D27" s="28">
        <v>16.2</v>
      </c>
      <c r="E27" s="29">
        <v>0.55000000000000004</v>
      </c>
      <c r="F27" s="29" t="s">
        <v>225</v>
      </c>
      <c r="G27" s="28">
        <f t="shared" si="2"/>
        <v>8.91</v>
      </c>
      <c r="H27" s="28"/>
    </row>
    <row r="28" spans="1:8" x14ac:dyDescent="0.25">
      <c r="A28" s="31"/>
      <c r="B28" s="28" t="s">
        <v>247</v>
      </c>
      <c r="C28" s="28"/>
      <c r="D28" s="28">
        <v>39.6</v>
      </c>
      <c r="E28" s="29">
        <v>2</v>
      </c>
      <c r="F28" s="29" t="s">
        <v>225</v>
      </c>
      <c r="G28" s="28">
        <f t="shared" si="2"/>
        <v>79.2</v>
      </c>
      <c r="H28" s="28"/>
    </row>
    <row r="29" spans="1:8" x14ac:dyDescent="0.25">
      <c r="A29" s="31"/>
      <c r="B29" s="32" t="s">
        <v>6</v>
      </c>
      <c r="C29" s="33"/>
      <c r="D29" s="34"/>
      <c r="E29" s="6"/>
      <c r="F29" s="6"/>
      <c r="G29" s="17">
        <f>SUM(G21:G28)</f>
        <v>4056.1099999999997</v>
      </c>
      <c r="H29" s="1"/>
    </row>
    <row r="30" spans="1:8" x14ac:dyDescent="0.25">
      <c r="A30" s="1" t="s">
        <v>16</v>
      </c>
      <c r="B30" s="1" t="s">
        <v>1</v>
      </c>
      <c r="C30" s="1" t="s">
        <v>2</v>
      </c>
      <c r="D30" s="1" t="s">
        <v>3</v>
      </c>
      <c r="E30" s="2" t="s">
        <v>169</v>
      </c>
      <c r="F30" s="2"/>
      <c r="G30" s="1" t="s">
        <v>4</v>
      </c>
      <c r="H30" s="1" t="s">
        <v>5</v>
      </c>
    </row>
    <row r="31" spans="1:8" x14ac:dyDescent="0.25">
      <c r="A31" s="31" t="s">
        <v>72</v>
      </c>
      <c r="B31" s="1" t="s">
        <v>164</v>
      </c>
      <c r="C31" s="1" t="s">
        <v>166</v>
      </c>
      <c r="D31" s="1">
        <v>150</v>
      </c>
      <c r="E31" s="2">
        <v>3</v>
      </c>
      <c r="F31" s="2" t="s">
        <v>235</v>
      </c>
      <c r="G31" s="1">
        <f>E31*D31</f>
        <v>450</v>
      </c>
      <c r="H31" s="1"/>
    </row>
    <row r="32" spans="1:8" x14ac:dyDescent="0.25">
      <c r="A32" s="31"/>
      <c r="B32" s="1" t="s">
        <v>165</v>
      </c>
      <c r="C32" s="1" t="s">
        <v>167</v>
      </c>
      <c r="D32" s="1">
        <v>175</v>
      </c>
      <c r="E32" s="2">
        <v>1</v>
      </c>
      <c r="F32" s="2" t="s">
        <v>232</v>
      </c>
      <c r="G32" s="28">
        <f>E32*D32</f>
        <v>175</v>
      </c>
      <c r="H32" s="1"/>
    </row>
    <row r="33" spans="1:8" x14ac:dyDescent="0.25">
      <c r="A33" s="31"/>
      <c r="B33" s="32" t="s">
        <v>6</v>
      </c>
      <c r="C33" s="33"/>
      <c r="D33" s="34"/>
      <c r="E33" s="6"/>
      <c r="F33" s="6"/>
      <c r="G33" s="14">
        <f>SUM(G31:G32)</f>
        <v>625</v>
      </c>
      <c r="H33" s="1"/>
    </row>
    <row r="34" spans="1:8" x14ac:dyDescent="0.25">
      <c r="A34" s="1" t="s">
        <v>47</v>
      </c>
      <c r="B34" s="1" t="s">
        <v>1</v>
      </c>
      <c r="C34" s="1" t="s">
        <v>2</v>
      </c>
      <c r="D34" s="1" t="s">
        <v>3</v>
      </c>
      <c r="E34" s="6" t="s">
        <v>170</v>
      </c>
      <c r="F34" s="6"/>
      <c r="G34" s="3" t="s">
        <v>4</v>
      </c>
      <c r="H34" s="1" t="s">
        <v>5</v>
      </c>
    </row>
    <row r="35" spans="1:8" x14ac:dyDescent="0.25">
      <c r="A35" s="38"/>
      <c r="B35" s="1" t="s">
        <v>236</v>
      </c>
      <c r="C35" s="1"/>
      <c r="D35" s="1">
        <v>41.4</v>
      </c>
      <c r="E35" s="2">
        <v>60</v>
      </c>
      <c r="F35" s="2" t="s">
        <v>225</v>
      </c>
      <c r="G35" s="1">
        <f>E35*D35</f>
        <v>2484</v>
      </c>
      <c r="H35" s="1"/>
    </row>
    <row r="36" spans="1:8" x14ac:dyDescent="0.25">
      <c r="A36" s="39"/>
      <c r="B36" s="1" t="s">
        <v>237</v>
      </c>
      <c r="C36" s="1"/>
      <c r="D36" s="1">
        <v>28.8</v>
      </c>
      <c r="E36" s="2">
        <v>77.34</v>
      </c>
      <c r="F36" s="28" t="s">
        <v>225</v>
      </c>
      <c r="G36" s="28">
        <f>E36*D36</f>
        <v>2227.3920000000003</v>
      </c>
      <c r="H36" s="1"/>
    </row>
    <row r="37" spans="1:8" x14ac:dyDescent="0.25">
      <c r="A37" s="40"/>
      <c r="B37" s="32" t="s">
        <v>6</v>
      </c>
      <c r="C37" s="33"/>
      <c r="D37" s="34"/>
      <c r="E37" s="6"/>
      <c r="F37" s="6"/>
      <c r="G37" s="17">
        <f>SUM(G35:G36)</f>
        <v>4711.3919999999998</v>
      </c>
      <c r="H37" s="8"/>
    </row>
    <row r="38" spans="1:8" x14ac:dyDescent="0.25">
      <c r="A38" s="9" t="s">
        <v>19</v>
      </c>
      <c r="B38" s="1" t="s">
        <v>48</v>
      </c>
      <c r="C38" s="1" t="s">
        <v>2</v>
      </c>
      <c r="D38" s="1" t="s">
        <v>3</v>
      </c>
      <c r="E38" s="2" t="s">
        <v>170</v>
      </c>
      <c r="F38" s="2"/>
      <c r="G38" s="1" t="s">
        <v>4</v>
      </c>
      <c r="H38" s="1"/>
    </row>
    <row r="39" spans="1:8" x14ac:dyDescent="0.25">
      <c r="A39" s="31"/>
      <c r="B39" s="1" t="s">
        <v>224</v>
      </c>
      <c r="C39" s="1"/>
      <c r="D39" s="1">
        <v>93</v>
      </c>
      <c r="E39" s="2">
        <v>1</v>
      </c>
      <c r="F39" s="2" t="s">
        <v>225</v>
      </c>
      <c r="G39" s="1">
        <f>D39*E39</f>
        <v>93</v>
      </c>
      <c r="H39" s="1"/>
    </row>
    <row r="40" spans="1:8" x14ac:dyDescent="0.25">
      <c r="A40" s="31"/>
      <c r="B40" s="1" t="s">
        <v>227</v>
      </c>
      <c r="C40" s="1"/>
      <c r="D40" s="1">
        <v>4.5</v>
      </c>
      <c r="E40" s="2">
        <v>50</v>
      </c>
      <c r="F40" s="2" t="s">
        <v>228</v>
      </c>
      <c r="G40" s="28">
        <f t="shared" ref="G40:G44" si="3">D40*E40</f>
        <v>225</v>
      </c>
      <c r="H40" s="1"/>
    </row>
    <row r="41" spans="1:8" x14ac:dyDescent="0.25">
      <c r="A41" s="31"/>
      <c r="B41" s="1" t="s">
        <v>229</v>
      </c>
      <c r="C41" s="1"/>
      <c r="D41" s="1">
        <v>60</v>
      </c>
      <c r="E41" s="2">
        <v>1</v>
      </c>
      <c r="F41" s="2" t="s">
        <v>230</v>
      </c>
      <c r="G41" s="28">
        <f t="shared" si="3"/>
        <v>60</v>
      </c>
      <c r="H41" s="1"/>
    </row>
    <row r="42" spans="1:8" x14ac:dyDescent="0.25">
      <c r="A42" s="31"/>
      <c r="B42" s="1" t="s">
        <v>231</v>
      </c>
      <c r="C42" s="1"/>
      <c r="D42" s="1">
        <v>240</v>
      </c>
      <c r="E42" s="2">
        <v>1</v>
      </c>
      <c r="F42" s="2" t="s">
        <v>232</v>
      </c>
      <c r="G42" s="28">
        <f t="shared" si="3"/>
        <v>240</v>
      </c>
      <c r="H42" s="1"/>
    </row>
    <row r="43" spans="1:8" x14ac:dyDescent="0.25">
      <c r="A43" s="31"/>
      <c r="B43" s="28" t="s">
        <v>233</v>
      </c>
      <c r="C43" s="28"/>
      <c r="D43" s="28">
        <v>235</v>
      </c>
      <c r="E43" s="29">
        <v>2</v>
      </c>
      <c r="F43" s="29" t="s">
        <v>234</v>
      </c>
      <c r="G43" s="29">
        <f t="shared" si="3"/>
        <v>470</v>
      </c>
      <c r="H43" s="28"/>
    </row>
    <row r="44" spans="1:8" x14ac:dyDescent="0.25">
      <c r="A44" s="31"/>
      <c r="B44" s="28" t="s">
        <v>238</v>
      </c>
      <c r="C44" s="28"/>
      <c r="D44" s="28">
        <v>10</v>
      </c>
      <c r="E44" s="29">
        <v>25</v>
      </c>
      <c r="F44" s="29" t="s">
        <v>228</v>
      </c>
      <c r="G44" s="29">
        <f t="shared" si="3"/>
        <v>250</v>
      </c>
      <c r="H44" s="28"/>
    </row>
    <row r="45" spans="1:8" x14ac:dyDescent="0.25">
      <c r="A45" s="31"/>
      <c r="B45" s="28" t="s">
        <v>239</v>
      </c>
      <c r="C45" s="28"/>
      <c r="D45" s="28"/>
      <c r="E45" s="29">
        <v>25</v>
      </c>
      <c r="F45" s="29" t="s">
        <v>228</v>
      </c>
      <c r="G45" s="44"/>
      <c r="H45" s="28"/>
    </row>
    <row r="46" spans="1:8" x14ac:dyDescent="0.25">
      <c r="A46" s="31"/>
      <c r="B46" s="32" t="s">
        <v>6</v>
      </c>
      <c r="C46" s="33"/>
      <c r="D46" s="34"/>
      <c r="E46" s="6"/>
      <c r="F46" s="6"/>
      <c r="G46" s="14">
        <f>SUM(G39:G44)</f>
        <v>1338</v>
      </c>
      <c r="H46" s="1"/>
    </row>
    <row r="47" spans="1:8" x14ac:dyDescent="0.25">
      <c r="A47" s="1"/>
      <c r="B47" s="35" t="s">
        <v>20</v>
      </c>
      <c r="C47" s="36"/>
      <c r="D47" s="37"/>
      <c r="E47" s="10"/>
      <c r="F47" s="10"/>
      <c r="G47" s="18">
        <f>G46+G37+G33+G29+G19+G13+G7</f>
        <v>21487.572</v>
      </c>
      <c r="H47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39:A46"/>
    <mergeCell ref="B46:D46"/>
    <mergeCell ref="B47:D47"/>
    <mergeCell ref="A21:A29"/>
    <mergeCell ref="B29:D29"/>
    <mergeCell ref="A31:A33"/>
    <mergeCell ref="B33:D33"/>
    <mergeCell ref="A35:A37"/>
    <mergeCell ref="B37:D37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0923</vt:lpstr>
      <vt:lpstr>0924</vt:lpstr>
      <vt:lpstr>0925</vt:lpstr>
      <vt:lpstr>0926</vt:lpstr>
      <vt:lpstr>0927</vt:lpstr>
      <vt:lpstr>'0923'!Print_Area</vt:lpstr>
      <vt:lpstr>'0924'!Print_Area</vt:lpstr>
      <vt:lpstr>'0925'!Print_Area</vt:lpstr>
      <vt:lpstr>'0927'!Print_Area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2024-09-27T06:56:21Z</cp:lastPrinted>
  <dcterms:created xsi:type="dcterms:W3CDTF">2024-09-10T07:23:22Z</dcterms:created>
  <dcterms:modified xsi:type="dcterms:W3CDTF">2024-09-27T06:56:30Z</dcterms:modified>
</cp:coreProperties>
</file>