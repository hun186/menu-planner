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9月份\"/>
    </mc:Choice>
  </mc:AlternateContent>
  <bookViews>
    <workbookView xWindow="0" yWindow="0" windowWidth="28800" windowHeight="12255" activeTab="4"/>
  </bookViews>
  <sheets>
    <sheet name="0930" sheetId="1" r:id="rId1"/>
    <sheet name="1001" sheetId="2" r:id="rId2"/>
    <sheet name="1002" sheetId="3" r:id="rId3"/>
    <sheet name="1003" sheetId="4" r:id="rId4"/>
    <sheet name="1004" sheetId="5" r:id="rId5"/>
  </sheets>
  <definedNames>
    <definedName name="_xlnm.Print_Area" localSheetId="0">'0930'!$A$1:$H$43</definedName>
    <definedName name="_xlnm.Print_Area" localSheetId="1">'1001'!$A$1:$H$40</definedName>
    <definedName name="_xlnm.Print_Area" localSheetId="2">'1002'!$A$1:$H$42</definedName>
    <definedName name="_xlnm.Print_Area" localSheetId="3">'1003'!$A$1:$H$40</definedName>
    <definedName name="_xlnm.Print_Area" localSheetId="4">'1004'!$A$1:$H$46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6" i="5" l="1"/>
  <c r="G39" i="5"/>
  <c r="G38" i="5"/>
  <c r="G37" i="5"/>
  <c r="G31" i="5" l="1"/>
  <c r="G45" i="5"/>
  <c r="G27" i="5"/>
  <c r="G28" i="5"/>
  <c r="G29" i="5"/>
  <c r="G30" i="5"/>
  <c r="G26" i="5"/>
  <c r="G25" i="5"/>
  <c r="G22" i="5"/>
  <c r="G23" i="5"/>
  <c r="G24" i="5"/>
  <c r="G21" i="5"/>
  <c r="G43" i="5"/>
  <c r="G41" i="5"/>
  <c r="G13" i="5"/>
  <c r="G10" i="5"/>
  <c r="G9" i="5"/>
  <c r="G19" i="5"/>
  <c r="G16" i="5"/>
  <c r="G17" i="5"/>
  <c r="G18" i="5"/>
  <c r="G15" i="5"/>
  <c r="G7" i="5"/>
  <c r="G3" i="5"/>
  <c r="G40" i="4" l="1"/>
  <c r="G39" i="4"/>
  <c r="G33" i="4"/>
  <c r="G32" i="4"/>
  <c r="G13" i="4"/>
  <c r="G7" i="4"/>
  <c r="G3" i="4"/>
  <c r="G35" i="4"/>
  <c r="G31" i="4"/>
  <c r="G29" i="4"/>
  <c r="G28" i="4"/>
  <c r="G27" i="4"/>
  <c r="G19" i="4"/>
  <c r="G16" i="4"/>
  <c r="G15" i="4"/>
  <c r="G9" i="4"/>
  <c r="G4" i="4"/>
  <c r="G42" i="3" l="1"/>
  <c r="G26" i="3"/>
  <c r="G22" i="3"/>
  <c r="G23" i="3"/>
  <c r="G24" i="3"/>
  <c r="G25" i="3"/>
  <c r="G21" i="3"/>
  <c r="G35" i="3"/>
  <c r="G34" i="3"/>
  <c r="G13" i="3"/>
  <c r="G10" i="3"/>
  <c r="G9" i="3"/>
  <c r="G31" i="3"/>
  <c r="G29" i="3"/>
  <c r="G30" i="3"/>
  <c r="G28" i="3"/>
  <c r="G41" i="3"/>
  <c r="G37" i="3"/>
  <c r="G7" i="3"/>
  <c r="G3" i="3"/>
  <c r="G39" i="3"/>
  <c r="G40" i="3"/>
  <c r="G38" i="3"/>
  <c r="G33" i="3"/>
  <c r="G37" i="2" l="1"/>
  <c r="G32" i="2"/>
  <c r="G33" i="2" l="1"/>
  <c r="G39" i="2"/>
  <c r="G36" i="2"/>
  <c r="G35" i="2"/>
  <c r="G31" i="2"/>
  <c r="G19" i="2"/>
  <c r="G16" i="2"/>
  <c r="G17" i="2"/>
  <c r="G18" i="2"/>
  <c r="G15" i="2"/>
  <c r="G25" i="2"/>
  <c r="G7" i="2"/>
  <c r="G13" i="2"/>
  <c r="G9" i="2"/>
  <c r="G10" i="2"/>
  <c r="G3" i="2"/>
  <c r="G5" i="2"/>
  <c r="G22" i="2"/>
  <c r="G23" i="2"/>
  <c r="G24" i="2"/>
  <c r="G21" i="2"/>
  <c r="G4" i="2"/>
  <c r="G40" i="2" l="1"/>
  <c r="G32" i="1"/>
  <c r="G42" i="1"/>
  <c r="G36" i="1"/>
  <c r="G35" i="1"/>
  <c r="G19" i="1"/>
  <c r="G16" i="1"/>
  <c r="G17" i="1"/>
  <c r="G13" i="1"/>
  <c r="G10" i="1"/>
  <c r="G11" i="1"/>
  <c r="G12" i="1"/>
  <c r="G9" i="1"/>
  <c r="G26" i="1"/>
  <c r="G25" i="1"/>
  <c r="G24" i="1"/>
  <c r="G23" i="1"/>
  <c r="G22" i="1"/>
  <c r="G21" i="1"/>
  <c r="G28" i="1" s="1"/>
  <c r="G43" i="1" l="1"/>
  <c r="G38" i="1" l="1"/>
  <c r="G15" i="1"/>
  <c r="G7" i="1"/>
  <c r="G3" i="1"/>
  <c r="G30" i="1"/>
</calcChain>
</file>

<file path=xl/sharedStrings.xml><?xml version="1.0" encoding="utf-8"?>
<sst xmlns="http://schemas.openxmlformats.org/spreadsheetml/2006/main" count="517" uniqueCount="180">
  <si>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</si>
  <si>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</si>
  <si>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</si>
  <si>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</si>
  <si>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</si>
  <si>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</si>
  <si>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</si>
  <si>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</si>
  <si>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</si>
  <si>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</si>
  <si>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</si>
  <si>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</si>
  <si>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</si>
  <si>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</si>
  <si>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113年      9月   30日      午餐明細表</t>
    <phoneticPr fontId="2" type="noConversion"/>
  </si>
  <si>
    <t>電訊科技中心(安康營區)     113年      10月   1日      午餐明細表</t>
    <phoneticPr fontId="2" type="noConversion"/>
  </si>
  <si>
    <t>電訊科技中心(安康營區)     113年      10月   2日      午餐明細表</t>
    <phoneticPr fontId="2" type="noConversion"/>
  </si>
  <si>
    <t>電訊科技中心(安康營區)     113年      10月   3日      午餐明細表</t>
    <phoneticPr fontId="2" type="noConversion"/>
  </si>
  <si>
    <t>電訊科技中心(安康營區)     113年      10月   4日      午餐明細表</t>
    <phoneticPr fontId="2" type="noConversion"/>
  </si>
  <si>
    <t>鐵路豬排</t>
    <phoneticPr fontId="2" type="noConversion"/>
  </si>
  <si>
    <t>木須炒蛋</t>
    <phoneticPr fontId="2" type="noConversion"/>
  </si>
  <si>
    <t>四季豆炒豆乾丁</t>
    <phoneticPr fontId="2" type="noConversion"/>
  </si>
  <si>
    <t>味增豆腐湯</t>
    <phoneticPr fontId="2" type="noConversion"/>
  </si>
  <si>
    <t>宮保雞丁</t>
    <phoneticPr fontId="2" type="noConversion"/>
  </si>
  <si>
    <t>油豆腐鳥蛋</t>
    <phoneticPr fontId="2" type="noConversion"/>
  </si>
  <si>
    <t>炒三絲</t>
    <phoneticPr fontId="2" type="noConversion"/>
  </si>
  <si>
    <t>豆芽菜</t>
    <phoneticPr fontId="2" type="noConversion"/>
  </si>
  <si>
    <t>紫菜蛋花湯</t>
    <phoneticPr fontId="2" type="noConversion"/>
  </si>
  <si>
    <t>酥炸雞翅</t>
    <phoneticPr fontId="2" type="noConversion"/>
  </si>
  <si>
    <t>皮蛋豆腐</t>
    <phoneticPr fontId="2" type="noConversion"/>
  </si>
  <si>
    <t>玉米濃湯</t>
    <phoneticPr fontId="2" type="noConversion"/>
  </si>
  <si>
    <t>水餃</t>
    <phoneticPr fontId="2" type="noConversion"/>
  </si>
  <si>
    <t>泡菜豬肉片</t>
    <phoneticPr fontId="2" type="noConversion"/>
  </si>
  <si>
    <t>紅燒馬鈴薯</t>
    <phoneticPr fontId="2" type="noConversion"/>
  </si>
  <si>
    <t>玉米絞肉</t>
    <phoneticPr fontId="2" type="noConversion"/>
  </si>
  <si>
    <t>冬瓜海結湯</t>
    <phoneticPr fontId="2" type="noConversion"/>
  </si>
  <si>
    <t>義式烤腿排</t>
    <phoneticPr fontId="2" type="noConversion"/>
  </si>
  <si>
    <t>螞蟻上樹</t>
    <phoneticPr fontId="2" type="noConversion"/>
  </si>
  <si>
    <t>綠豆湯</t>
    <phoneticPr fontId="2" type="noConversion"/>
  </si>
  <si>
    <t>綠豆</t>
    <phoneticPr fontId="2" type="noConversion"/>
  </si>
  <si>
    <t>庫存</t>
    <phoneticPr fontId="2" type="noConversion"/>
  </si>
  <si>
    <t>4件</t>
    <phoneticPr fontId="2" type="noConversion"/>
  </si>
  <si>
    <t>蛋</t>
    <phoneticPr fontId="2" type="noConversion"/>
  </si>
  <si>
    <t>木耳絲</t>
    <phoneticPr fontId="2" type="noConversion"/>
  </si>
  <si>
    <t>紅蘿蔔絲</t>
    <phoneticPr fontId="2" type="noConversion"/>
  </si>
  <si>
    <t>去皮洋蔥</t>
    <phoneticPr fontId="2" type="noConversion"/>
  </si>
  <si>
    <t>冷凍四季豆</t>
    <phoneticPr fontId="2" type="noConversion"/>
  </si>
  <si>
    <t>豆乾丁</t>
    <phoneticPr fontId="2" type="noConversion"/>
  </si>
  <si>
    <t>生香菇</t>
    <phoneticPr fontId="2" type="noConversion"/>
  </si>
  <si>
    <t>5斤</t>
    <phoneticPr fontId="2" type="noConversion"/>
  </si>
  <si>
    <t>2件</t>
    <phoneticPr fontId="2" type="noConversion"/>
  </si>
  <si>
    <t>10斤</t>
    <phoneticPr fontId="2" type="noConversion"/>
  </si>
  <si>
    <t>1件</t>
    <phoneticPr fontId="2" type="noConversion"/>
  </si>
  <si>
    <t>3斤</t>
    <phoneticPr fontId="2" type="noConversion"/>
  </si>
  <si>
    <t>6斤</t>
    <phoneticPr fontId="2" type="noConversion"/>
  </si>
  <si>
    <t>4.3豆腐</t>
    <phoneticPr fontId="2" type="noConversion"/>
  </si>
  <si>
    <t>3板</t>
    <phoneticPr fontId="2" type="noConversion"/>
  </si>
  <si>
    <t>小黃瓜</t>
    <phoneticPr fontId="2" type="noConversion"/>
  </si>
  <si>
    <t>無骨腿丁3X3</t>
    <phoneticPr fontId="2" type="noConversion"/>
  </si>
  <si>
    <t>8斤</t>
    <phoneticPr fontId="2" type="noConversion"/>
  </si>
  <si>
    <t>40斤</t>
    <phoneticPr fontId="2" type="noConversion"/>
  </si>
  <si>
    <t>三角油豆腐</t>
    <phoneticPr fontId="2" type="noConversion"/>
  </si>
  <si>
    <t>鳥蛋</t>
    <phoneticPr fontId="2" type="noConversion"/>
  </si>
  <si>
    <t>25斤</t>
    <phoneticPr fontId="2" type="noConversion"/>
  </si>
  <si>
    <t>700粒</t>
    <phoneticPr fontId="2" type="noConversion"/>
  </si>
  <si>
    <t>青椒絲</t>
    <phoneticPr fontId="2" type="noConversion"/>
  </si>
  <si>
    <t>炸豆皮</t>
    <phoneticPr fontId="2" type="noConversion"/>
  </si>
  <si>
    <t>30斤</t>
    <phoneticPr fontId="2" type="noConversion"/>
  </si>
  <si>
    <t>2斤</t>
    <phoneticPr fontId="2" type="noConversion"/>
  </si>
  <si>
    <t>紫菜</t>
    <phoneticPr fontId="2" type="noConversion"/>
  </si>
  <si>
    <t>3件</t>
    <phoneticPr fontId="2" type="noConversion"/>
  </si>
  <si>
    <t>冷凍玉米粒</t>
    <phoneticPr fontId="2" type="noConversion"/>
  </si>
  <si>
    <t>玉米醬(大)</t>
    <phoneticPr fontId="2" type="noConversion"/>
  </si>
  <si>
    <t>玉米濃湯粉</t>
    <phoneticPr fontId="2" type="noConversion"/>
  </si>
  <si>
    <t>8包</t>
    <phoneticPr fontId="2" type="noConversion"/>
  </si>
  <si>
    <t>2罐</t>
    <phoneticPr fontId="2" type="noConversion"/>
  </si>
  <si>
    <t>1包</t>
    <phoneticPr fontId="2" type="noConversion"/>
  </si>
  <si>
    <t>皮蛋</t>
    <phoneticPr fontId="2" type="noConversion"/>
  </si>
  <si>
    <t>家常豆腐</t>
    <phoneticPr fontId="2" type="noConversion"/>
  </si>
  <si>
    <t>140顆</t>
    <phoneticPr fontId="2" type="noConversion"/>
  </si>
  <si>
    <t>45盒</t>
    <phoneticPr fontId="2" type="noConversion"/>
  </si>
  <si>
    <t>雞翅</t>
    <phoneticPr fontId="2" type="noConversion"/>
  </si>
  <si>
    <t>280隻</t>
    <phoneticPr fontId="2" type="noConversion"/>
  </si>
  <si>
    <t>韓式泡菜</t>
    <phoneticPr fontId="2" type="noConversion"/>
  </si>
  <si>
    <t>豬肉片</t>
    <phoneticPr fontId="2" type="noConversion"/>
  </si>
  <si>
    <t>12斤</t>
    <phoneticPr fontId="2" type="noConversion"/>
  </si>
  <si>
    <t>35斤</t>
    <phoneticPr fontId="2" type="noConversion"/>
  </si>
  <si>
    <t>去皮馬鈴薯</t>
    <phoneticPr fontId="2" type="noConversion"/>
  </si>
  <si>
    <t>絞肉</t>
    <phoneticPr fontId="2" type="noConversion"/>
  </si>
  <si>
    <t>去皮冬瓜</t>
    <phoneticPr fontId="2" type="noConversion"/>
  </si>
  <si>
    <t>海帶結</t>
    <phoneticPr fontId="2" type="noConversion"/>
  </si>
  <si>
    <t>15斤</t>
    <phoneticPr fontId="2" type="noConversion"/>
  </si>
  <si>
    <t>腿排</t>
    <phoneticPr fontId="2" type="noConversion"/>
  </si>
  <si>
    <t>260個</t>
    <phoneticPr fontId="2" type="noConversion"/>
  </si>
  <si>
    <t>冬粉</t>
    <phoneticPr fontId="2" type="noConversion"/>
  </si>
  <si>
    <t>紅蘿蔔</t>
    <phoneticPr fontId="2" type="noConversion"/>
  </si>
  <si>
    <t>4斤</t>
    <phoneticPr fontId="2" type="noConversion"/>
  </si>
  <si>
    <t>訂貨數量</t>
    <phoneticPr fontId="2" type="noConversion"/>
  </si>
  <si>
    <t>香蕉</t>
    <phoneticPr fontId="2" type="noConversion"/>
  </si>
  <si>
    <t>盤</t>
    <phoneticPr fontId="2" type="noConversion"/>
  </si>
  <si>
    <t>件</t>
    <phoneticPr fontId="2" type="noConversion"/>
  </si>
  <si>
    <t>包</t>
    <phoneticPr fontId="2" type="noConversion"/>
  </si>
  <si>
    <t>小籠包</t>
    <phoneticPr fontId="2" type="noConversion"/>
  </si>
  <si>
    <t>個</t>
    <phoneticPr fontId="2" type="noConversion"/>
  </si>
  <si>
    <t>辣椒</t>
    <phoneticPr fontId="2" type="noConversion"/>
  </si>
  <si>
    <t>斤</t>
    <phoneticPr fontId="2" type="noConversion"/>
  </si>
  <si>
    <t>老薑</t>
    <phoneticPr fontId="2" type="noConversion"/>
  </si>
  <si>
    <t>蒜仁</t>
    <phoneticPr fontId="2" type="noConversion"/>
  </si>
  <si>
    <t>青蔥</t>
    <phoneticPr fontId="2" type="noConversion"/>
  </si>
  <si>
    <t>杏鮑菇</t>
    <phoneticPr fontId="2" type="noConversion"/>
  </si>
  <si>
    <t>洗選蛋</t>
    <phoneticPr fontId="2" type="noConversion"/>
  </si>
  <si>
    <t>斤</t>
  </si>
  <si>
    <t>斤</t>
    <phoneticPr fontId="2" type="noConversion"/>
  </si>
  <si>
    <t>高麗菜</t>
    <phoneticPr fontId="2" type="noConversion"/>
  </si>
  <si>
    <t>訂貨數量</t>
    <phoneticPr fontId="2" type="noConversion"/>
  </si>
  <si>
    <t>斤</t>
    <phoneticPr fontId="2" type="noConversion"/>
  </si>
  <si>
    <t>桂冠沙拉</t>
    <phoneticPr fontId="2" type="noConversion"/>
  </si>
  <si>
    <t>包</t>
    <phoneticPr fontId="2" type="noConversion"/>
  </si>
  <si>
    <t>五穀米</t>
    <phoneticPr fontId="2" type="noConversion"/>
  </si>
  <si>
    <t>三好米</t>
    <phoneticPr fontId="2" type="noConversion"/>
  </si>
  <si>
    <t>沙拉油</t>
    <phoneticPr fontId="2" type="noConversion"/>
  </si>
  <si>
    <t>桶</t>
    <phoneticPr fontId="2" type="noConversion"/>
  </si>
  <si>
    <t>綠豆芽</t>
    <phoneticPr fontId="2" type="noConversion"/>
  </si>
  <si>
    <t>起司片</t>
    <phoneticPr fontId="2" type="noConversion"/>
  </si>
  <si>
    <t>吐司</t>
    <phoneticPr fontId="2" type="noConversion"/>
  </si>
  <si>
    <t>條</t>
    <phoneticPr fontId="2" type="noConversion"/>
  </si>
  <si>
    <t>大西瓜</t>
    <phoneticPr fontId="2" type="noConversion"/>
  </si>
  <si>
    <t>烏龍麵</t>
    <phoneticPr fontId="2" type="noConversion"/>
  </si>
  <si>
    <t>斤</t>
    <phoneticPr fontId="2" type="noConversion"/>
  </si>
  <si>
    <t>訂貨數量</t>
    <phoneticPr fontId="2" type="noConversion"/>
  </si>
  <si>
    <t>大西瓜</t>
    <phoneticPr fontId="2" type="noConversion"/>
  </si>
  <si>
    <t>斤</t>
    <phoneticPr fontId="2" type="noConversion"/>
  </si>
  <si>
    <t>包</t>
    <phoneticPr fontId="2" type="noConversion"/>
  </si>
  <si>
    <t>盒</t>
    <phoneticPr fontId="2" type="noConversion"/>
  </si>
  <si>
    <t>蘿蔔糕</t>
    <phoneticPr fontId="2" type="noConversion"/>
  </si>
  <si>
    <t>煉乳</t>
    <phoneticPr fontId="2" type="noConversion"/>
  </si>
  <si>
    <t>鮮奶油</t>
    <phoneticPr fontId="2" type="noConversion"/>
  </si>
  <si>
    <t>瓶</t>
    <phoneticPr fontId="2" type="noConversion"/>
  </si>
  <si>
    <t>罐</t>
    <phoneticPr fontId="2" type="noConversion"/>
  </si>
  <si>
    <t>桶</t>
    <phoneticPr fontId="2" type="noConversion"/>
  </si>
  <si>
    <t>個</t>
    <phoneticPr fontId="2" type="noConversion"/>
  </si>
  <si>
    <t>油菜</t>
    <phoneticPr fontId="2" type="noConversion"/>
  </si>
  <si>
    <t>金蘭醬油</t>
    <phoneticPr fontId="2" type="noConversion"/>
  </si>
  <si>
    <t>油膏</t>
    <phoneticPr fontId="2" type="noConversion"/>
  </si>
  <si>
    <t>酥炸粉</t>
    <phoneticPr fontId="2" type="noConversion"/>
  </si>
  <si>
    <t>花生醬</t>
    <phoneticPr fontId="2" type="noConversion"/>
  </si>
  <si>
    <t>烏醋</t>
    <phoneticPr fontId="2" type="noConversion"/>
  </si>
  <si>
    <t>訂貨數量</t>
    <phoneticPr fontId="2" type="noConversion"/>
  </si>
  <si>
    <t>斤</t>
    <phoneticPr fontId="2" type="noConversion"/>
  </si>
  <si>
    <t>包</t>
    <phoneticPr fontId="2" type="noConversion"/>
  </si>
  <si>
    <t>鵝白菜</t>
    <phoneticPr fontId="2" type="noConversion"/>
  </si>
  <si>
    <t>厚片土司</t>
    <phoneticPr fontId="2" type="noConversion"/>
  </si>
  <si>
    <t>條</t>
    <phoneticPr fontId="2" type="noConversion"/>
  </si>
  <si>
    <t>大西瓜</t>
    <phoneticPr fontId="2" type="noConversion"/>
  </si>
  <si>
    <t>訂貨數量</t>
    <phoneticPr fontId="2" type="noConversion"/>
  </si>
  <si>
    <t>斤</t>
    <phoneticPr fontId="2" type="noConversion"/>
  </si>
  <si>
    <t>蔥花蛋</t>
    <phoneticPr fontId="2" type="noConversion"/>
  </si>
  <si>
    <t>青蔥</t>
    <phoneticPr fontId="2" type="noConversion"/>
  </si>
  <si>
    <t>洗選蛋</t>
    <phoneticPr fontId="2" type="noConversion"/>
  </si>
  <si>
    <t>滷蛋</t>
    <phoneticPr fontId="2" type="noConversion"/>
  </si>
  <si>
    <t>個</t>
    <phoneticPr fontId="2" type="noConversion"/>
  </si>
  <si>
    <t>海帶捲</t>
    <phoneticPr fontId="2" type="noConversion"/>
  </si>
  <si>
    <t>吐司</t>
    <phoneticPr fontId="2" type="noConversion"/>
  </si>
  <si>
    <t>條</t>
    <phoneticPr fontId="2" type="noConversion"/>
  </si>
  <si>
    <t>沙拉油</t>
    <phoneticPr fontId="2" type="noConversion"/>
  </si>
  <si>
    <t>太白粉</t>
    <phoneticPr fontId="2" type="noConversion"/>
  </si>
  <si>
    <t>袋</t>
    <phoneticPr fontId="2" type="noConversion"/>
  </si>
  <si>
    <t>桶</t>
    <phoneticPr fontId="2" type="noConversion"/>
  </si>
  <si>
    <t>厚片土司</t>
    <phoneticPr fontId="2" type="noConversion"/>
  </si>
  <si>
    <t>鍋貼</t>
    <phoneticPr fontId="2" type="noConversion"/>
  </si>
  <si>
    <t>綠茶鋁箔包</t>
    <phoneticPr fontId="2" type="noConversion"/>
  </si>
  <si>
    <t>辣豆瓣</t>
    <phoneticPr fontId="2" type="noConversion"/>
  </si>
  <si>
    <t>味素</t>
    <phoneticPr fontId="2" type="noConversion"/>
  </si>
  <si>
    <t>鮮奶油</t>
    <phoneticPr fontId="2" type="noConversion"/>
  </si>
  <si>
    <t>件</t>
    <phoneticPr fontId="2" type="noConversion"/>
  </si>
  <si>
    <t>盒</t>
    <phoneticPr fontId="2" type="noConversion"/>
  </si>
  <si>
    <t>瓶</t>
    <phoneticPr fontId="2" type="noConversion"/>
  </si>
  <si>
    <t>大西瓜</t>
    <phoneticPr fontId="2" type="noConversion"/>
  </si>
  <si>
    <t>斤</t>
    <phoneticPr fontId="2" type="noConversion"/>
  </si>
  <si>
    <t>高麗菜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</si>
</sst>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>
      <alignment vertical="center"/>
    </xf>
    <xf numFmtId="1" fontId="3" fillId="0" borderId="3" xfId="0" applyNumberFormat="1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topLeftCell="A26" workbookViewId="0">
      <selection activeCell="H43" sqref="H43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5" t="s">
        <v>14</v>
      </c>
      <c r="B1" s="36"/>
      <c r="C1" s="36"/>
      <c r="D1" s="36"/>
      <c r="E1" s="36"/>
      <c r="F1" s="36"/>
      <c r="G1" s="36"/>
      <c r="H1" s="3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7" t="s">
        <v>97</v>
      </c>
      <c r="F2" s="7"/>
      <c r="G2" s="1" t="s">
        <v>4</v>
      </c>
      <c r="H2" s="1" t="s">
        <v>5</v>
      </c>
    </row>
    <row r="3" spans="1:8" x14ac:dyDescent="0.25">
      <c r="A3" s="31" t="s">
        <v>19</v>
      </c>
      <c r="B3" s="1" t="s">
        <v>19</v>
      </c>
      <c r="C3" s="1" t="s">
        <v>41</v>
      </c>
      <c r="D3" s="1">
        <v>1300</v>
      </c>
      <c r="E3" s="7">
        <v>4</v>
      </c>
      <c r="F3" s="7" t="s">
        <v>100</v>
      </c>
      <c r="G3" s="1">
        <f>E3*D3</f>
        <v>5200</v>
      </c>
      <c r="H3" s="1"/>
    </row>
    <row r="4" spans="1:8" x14ac:dyDescent="0.25">
      <c r="A4" s="31"/>
      <c r="B4" s="1"/>
      <c r="C4" s="1"/>
      <c r="D4" s="1"/>
      <c r="E4" s="7"/>
      <c r="F4" s="7"/>
      <c r="G4" s="1"/>
      <c r="H4" s="1"/>
    </row>
    <row r="5" spans="1:8" x14ac:dyDescent="0.25">
      <c r="A5" s="31"/>
      <c r="B5" s="1"/>
      <c r="C5" s="1"/>
      <c r="D5" s="1"/>
      <c r="E5" s="7"/>
      <c r="F5" s="7"/>
      <c r="G5" s="1"/>
      <c r="H5" s="1"/>
    </row>
    <row r="6" spans="1:8" x14ac:dyDescent="0.25">
      <c r="A6" s="31"/>
      <c r="B6" s="1"/>
      <c r="C6" s="1"/>
      <c r="D6" s="1"/>
      <c r="E6" s="8"/>
      <c r="F6" s="8"/>
      <c r="G6" s="3"/>
      <c r="H6" s="1"/>
    </row>
    <row r="7" spans="1:8" x14ac:dyDescent="0.25">
      <c r="A7" s="31"/>
      <c r="B7" s="32" t="s">
        <v>6</v>
      </c>
      <c r="C7" s="33"/>
      <c r="D7" s="34"/>
      <c r="E7" s="8"/>
      <c r="F7" s="8"/>
      <c r="G7" s="14">
        <f>SUM(G3:G6)</f>
        <v>5200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7" t="s">
        <v>97</v>
      </c>
      <c r="F8" s="7"/>
      <c r="G8" s="1" t="s">
        <v>4</v>
      </c>
      <c r="H8" s="1" t="s">
        <v>5</v>
      </c>
    </row>
    <row r="9" spans="1:8" x14ac:dyDescent="0.25">
      <c r="A9" s="31" t="s">
        <v>20</v>
      </c>
      <c r="B9" s="1" t="s">
        <v>42</v>
      </c>
      <c r="C9" s="1" t="s">
        <v>52</v>
      </c>
      <c r="D9" s="1">
        <v>40.799999999999997</v>
      </c>
      <c r="E9" s="7">
        <v>20</v>
      </c>
      <c r="F9" s="7" t="s">
        <v>112</v>
      </c>
      <c r="G9" s="1">
        <f>E9*D9</f>
        <v>816</v>
      </c>
      <c r="H9" s="1"/>
    </row>
    <row r="10" spans="1:8" x14ac:dyDescent="0.25">
      <c r="A10" s="31"/>
      <c r="B10" s="1" t="s">
        <v>43</v>
      </c>
      <c r="C10" s="1" t="s">
        <v>51</v>
      </c>
      <c r="D10" s="1">
        <v>45</v>
      </c>
      <c r="E10" s="7">
        <v>10</v>
      </c>
      <c r="F10" s="7" t="s">
        <v>112</v>
      </c>
      <c r="G10" s="7">
        <f t="shared" ref="G10:G12" si="0">E10*D10</f>
        <v>450</v>
      </c>
      <c r="H10" s="1"/>
    </row>
    <row r="11" spans="1:8" x14ac:dyDescent="0.25">
      <c r="A11" s="31"/>
      <c r="B11" s="1" t="s">
        <v>44</v>
      </c>
      <c r="C11" s="1" t="s">
        <v>53</v>
      </c>
      <c r="D11" s="1">
        <v>19.38</v>
      </c>
      <c r="E11" s="7">
        <v>3</v>
      </c>
      <c r="F11" s="7" t="s">
        <v>112</v>
      </c>
      <c r="G11" s="7">
        <f t="shared" si="0"/>
        <v>58.14</v>
      </c>
      <c r="H11" s="1"/>
    </row>
    <row r="12" spans="1:8" x14ac:dyDescent="0.25">
      <c r="A12" s="31"/>
      <c r="B12" s="1" t="s">
        <v>45</v>
      </c>
      <c r="C12" s="1" t="s">
        <v>54</v>
      </c>
      <c r="D12" s="1">
        <v>23.46</v>
      </c>
      <c r="E12" s="7">
        <v>6</v>
      </c>
      <c r="F12" s="7" t="s">
        <v>112</v>
      </c>
      <c r="G12" s="7">
        <f t="shared" si="0"/>
        <v>140.76</v>
      </c>
      <c r="H12" s="1"/>
    </row>
    <row r="13" spans="1:8" x14ac:dyDescent="0.25">
      <c r="A13" s="31"/>
      <c r="B13" s="32" t="s">
        <v>6</v>
      </c>
      <c r="C13" s="33"/>
      <c r="D13" s="34"/>
      <c r="E13" s="8"/>
      <c r="F13" s="8"/>
      <c r="G13" s="17">
        <f>SUM(G9:G12)</f>
        <v>1464.9</v>
      </c>
      <c r="H13" s="1"/>
    </row>
    <row r="14" spans="1:8" x14ac:dyDescent="0.25">
      <c r="A14" s="1" t="s">
        <v>8</v>
      </c>
      <c r="B14" s="1" t="s">
        <v>1</v>
      </c>
      <c r="C14" s="1" t="s">
        <v>2</v>
      </c>
      <c r="D14" s="1" t="s">
        <v>3</v>
      </c>
      <c r="E14" s="7" t="s">
        <v>97</v>
      </c>
      <c r="F14" s="7"/>
      <c r="G14" s="1" t="s">
        <v>4</v>
      </c>
      <c r="H14" s="1" t="s">
        <v>5</v>
      </c>
    </row>
    <row r="15" spans="1:8" x14ac:dyDescent="0.25">
      <c r="A15" s="31" t="s">
        <v>21</v>
      </c>
      <c r="B15" s="1" t="s">
        <v>46</v>
      </c>
      <c r="C15" s="1" t="s">
        <v>50</v>
      </c>
      <c r="D15" s="1">
        <v>82</v>
      </c>
      <c r="E15" s="7">
        <v>24</v>
      </c>
      <c r="F15" s="7" t="s">
        <v>101</v>
      </c>
      <c r="G15" s="1">
        <f>E15*D15</f>
        <v>1968</v>
      </c>
      <c r="H15" s="1"/>
    </row>
    <row r="16" spans="1:8" x14ac:dyDescent="0.25">
      <c r="A16" s="31"/>
      <c r="B16" s="1" t="s">
        <v>47</v>
      </c>
      <c r="C16" s="1" t="s">
        <v>51</v>
      </c>
      <c r="D16" s="1">
        <v>43.8</v>
      </c>
      <c r="E16" s="7">
        <v>10</v>
      </c>
      <c r="F16" s="7" t="s">
        <v>111</v>
      </c>
      <c r="G16" s="7">
        <f t="shared" ref="G16:G17" si="1">E16*D16</f>
        <v>438</v>
      </c>
      <c r="H16" s="1"/>
    </row>
    <row r="17" spans="1:8" x14ac:dyDescent="0.25">
      <c r="A17" s="31"/>
      <c r="B17" s="1" t="s">
        <v>48</v>
      </c>
      <c r="C17" s="1" t="s">
        <v>49</v>
      </c>
      <c r="D17" s="1">
        <v>135</v>
      </c>
      <c r="E17" s="7">
        <v>5</v>
      </c>
      <c r="F17" s="7" t="s">
        <v>111</v>
      </c>
      <c r="G17" s="7">
        <f t="shared" si="1"/>
        <v>675</v>
      </c>
      <c r="H17" s="1"/>
    </row>
    <row r="18" spans="1:8" x14ac:dyDescent="0.25">
      <c r="A18" s="31"/>
      <c r="B18" s="1"/>
      <c r="C18" s="1"/>
      <c r="D18" s="1"/>
      <c r="E18" s="8"/>
      <c r="F18" s="8"/>
      <c r="G18" s="3"/>
      <c r="H18" s="1"/>
    </row>
    <row r="19" spans="1:8" x14ac:dyDescent="0.25">
      <c r="A19" s="31"/>
      <c r="B19" s="32" t="s">
        <v>6</v>
      </c>
      <c r="C19" s="33"/>
      <c r="D19" s="34"/>
      <c r="E19" s="8"/>
      <c r="F19" s="8"/>
      <c r="G19" s="14">
        <f>SUM(G15:G18)</f>
        <v>3081</v>
      </c>
      <c r="H19" s="1"/>
    </row>
    <row r="20" spans="1:8" x14ac:dyDescent="0.25">
      <c r="A20" s="4" t="s">
        <v>9</v>
      </c>
      <c r="B20" s="1" t="s">
        <v>1</v>
      </c>
      <c r="C20" s="1" t="s">
        <v>2</v>
      </c>
      <c r="D20" s="1" t="s">
        <v>3</v>
      </c>
      <c r="E20" s="7" t="s">
        <v>97</v>
      </c>
      <c r="F20" s="7"/>
      <c r="G20" s="1" t="s">
        <v>4</v>
      </c>
      <c r="H20" s="1" t="s">
        <v>5</v>
      </c>
    </row>
    <row r="21" spans="1:8" x14ac:dyDescent="0.25">
      <c r="A21" s="31"/>
      <c r="B21" s="7" t="s">
        <v>104</v>
      </c>
      <c r="C21" s="7"/>
      <c r="D21" s="7">
        <v>150</v>
      </c>
      <c r="E21" s="15">
        <v>1</v>
      </c>
      <c r="F21" s="7" t="s">
        <v>105</v>
      </c>
      <c r="G21" s="16">
        <f>D21*E21</f>
        <v>150</v>
      </c>
      <c r="H21" s="1"/>
    </row>
    <row r="22" spans="1:8" x14ac:dyDescent="0.25">
      <c r="A22" s="31"/>
      <c r="B22" s="7" t="s">
        <v>106</v>
      </c>
      <c r="C22" s="7"/>
      <c r="D22" s="7">
        <v>67.5</v>
      </c>
      <c r="E22" s="15">
        <v>0.5</v>
      </c>
      <c r="F22" s="7" t="s">
        <v>105</v>
      </c>
      <c r="G22" s="16">
        <f t="shared" ref="G22:G26" si="2">D22*E22</f>
        <v>33.75</v>
      </c>
      <c r="H22" s="1"/>
    </row>
    <row r="23" spans="1:8" x14ac:dyDescent="0.25">
      <c r="A23" s="31"/>
      <c r="B23" s="7" t="s">
        <v>107</v>
      </c>
      <c r="C23" s="7"/>
      <c r="D23" s="7">
        <v>158.1</v>
      </c>
      <c r="E23" s="15">
        <v>8</v>
      </c>
      <c r="F23" s="7" t="s">
        <v>105</v>
      </c>
      <c r="G23" s="16">
        <f t="shared" si="2"/>
        <v>1264.8</v>
      </c>
      <c r="H23" s="1"/>
    </row>
    <row r="24" spans="1:8" x14ac:dyDescent="0.25">
      <c r="A24" s="31"/>
      <c r="B24" s="7" t="s">
        <v>108</v>
      </c>
      <c r="C24" s="7"/>
      <c r="D24" s="7">
        <v>126</v>
      </c>
      <c r="E24" s="15">
        <v>4</v>
      </c>
      <c r="F24" s="7" t="s">
        <v>105</v>
      </c>
      <c r="G24" s="16">
        <f t="shared" si="2"/>
        <v>504</v>
      </c>
      <c r="H24" s="1"/>
    </row>
    <row r="25" spans="1:8" x14ac:dyDescent="0.25">
      <c r="A25" s="31"/>
      <c r="B25" s="7" t="s">
        <v>109</v>
      </c>
      <c r="C25" s="7"/>
      <c r="D25" s="7">
        <v>97.5</v>
      </c>
      <c r="E25" s="15">
        <v>4</v>
      </c>
      <c r="F25" s="7" t="s">
        <v>105</v>
      </c>
      <c r="G25" s="16">
        <f t="shared" si="2"/>
        <v>390</v>
      </c>
      <c r="H25" s="7"/>
    </row>
    <row r="26" spans="1:8" x14ac:dyDescent="0.25">
      <c r="A26" s="31"/>
      <c r="B26" s="7" t="s">
        <v>110</v>
      </c>
      <c r="C26" s="7"/>
      <c r="D26" s="7">
        <v>40.799999999999997</v>
      </c>
      <c r="E26" s="15">
        <v>20</v>
      </c>
      <c r="F26" s="7" t="s">
        <v>105</v>
      </c>
      <c r="G26" s="16">
        <f t="shared" si="2"/>
        <v>816</v>
      </c>
      <c r="H26" s="7"/>
    </row>
    <row r="27" spans="1:8" x14ac:dyDescent="0.25">
      <c r="A27" s="31"/>
      <c r="B27" s="7"/>
      <c r="C27" s="7"/>
      <c r="D27" s="7"/>
      <c r="E27" s="8"/>
      <c r="F27" s="8"/>
      <c r="G27" s="8"/>
      <c r="H27" s="7"/>
    </row>
    <row r="28" spans="1:8" x14ac:dyDescent="0.25">
      <c r="A28" s="31"/>
      <c r="B28" s="32" t="s">
        <v>6</v>
      </c>
      <c r="C28" s="33"/>
      <c r="D28" s="34"/>
      <c r="E28" s="8"/>
      <c r="F28" s="8"/>
      <c r="G28" s="17">
        <f>SUM(G21:G27)</f>
        <v>3158.55</v>
      </c>
      <c r="H28" s="1"/>
    </row>
    <row r="29" spans="1:8" x14ac:dyDescent="0.25">
      <c r="A29" s="1" t="s">
        <v>10</v>
      </c>
      <c r="B29" s="1" t="s">
        <v>1</v>
      </c>
      <c r="C29" s="1" t="s">
        <v>2</v>
      </c>
      <c r="D29" s="1" t="s">
        <v>3</v>
      </c>
      <c r="E29" s="7" t="s">
        <v>97</v>
      </c>
      <c r="F29" s="7"/>
      <c r="G29" s="1" t="s">
        <v>4</v>
      </c>
      <c r="H29" s="1" t="s">
        <v>5</v>
      </c>
    </row>
    <row r="30" spans="1:8" x14ac:dyDescent="0.25">
      <c r="A30" s="31" t="s">
        <v>22</v>
      </c>
      <c r="B30" s="1" t="s">
        <v>55</v>
      </c>
      <c r="C30" s="1" t="s">
        <v>56</v>
      </c>
      <c r="D30" s="1">
        <v>150</v>
      </c>
      <c r="E30" s="7">
        <v>3</v>
      </c>
      <c r="F30" s="7" t="s">
        <v>99</v>
      </c>
      <c r="G30" s="1">
        <f>D30*E30</f>
        <v>450</v>
      </c>
      <c r="H30" s="1"/>
    </row>
    <row r="31" spans="1:8" x14ac:dyDescent="0.25">
      <c r="A31" s="31"/>
      <c r="B31" s="1"/>
      <c r="C31" s="1"/>
      <c r="D31" s="1"/>
      <c r="E31" s="7"/>
      <c r="F31" s="7"/>
      <c r="G31" s="1"/>
      <c r="H31" s="1"/>
    </row>
    <row r="32" spans="1:8" x14ac:dyDescent="0.25">
      <c r="A32" s="31"/>
      <c r="B32" s="32"/>
      <c r="C32" s="33"/>
      <c r="D32" s="34"/>
      <c r="E32" s="8"/>
      <c r="F32" s="8"/>
      <c r="G32" s="14">
        <f>SUM(G30:G31)</f>
        <v>450</v>
      </c>
      <c r="H32" s="1"/>
    </row>
    <row r="33" spans="1:8" x14ac:dyDescent="0.25">
      <c r="A33" s="1" t="s">
        <v>11</v>
      </c>
      <c r="B33" s="1" t="s">
        <v>1</v>
      </c>
      <c r="C33" s="1" t="s">
        <v>2</v>
      </c>
      <c r="D33" s="1" t="s">
        <v>3</v>
      </c>
      <c r="E33" s="8" t="s">
        <v>97</v>
      </c>
      <c r="F33" s="8"/>
      <c r="G33" s="3" t="s">
        <v>4</v>
      </c>
      <c r="H33" s="1" t="s">
        <v>5</v>
      </c>
    </row>
    <row r="34" spans="1:8" x14ac:dyDescent="0.25">
      <c r="A34" s="41"/>
      <c r="B34" s="1" t="s">
        <v>98</v>
      </c>
      <c r="C34" s="1"/>
      <c r="D34">
        <v>34.56</v>
      </c>
      <c r="E34" s="13"/>
      <c r="F34" s="13"/>
      <c r="G34" s="19"/>
      <c r="H34" s="1"/>
    </row>
    <row r="35" spans="1:8" x14ac:dyDescent="0.25">
      <c r="A35" s="42"/>
      <c r="B35" s="1" t="s">
        <v>113</v>
      </c>
      <c r="C35" s="1"/>
      <c r="D35" s="1">
        <v>54.06</v>
      </c>
      <c r="E35" s="7">
        <v>65</v>
      </c>
      <c r="F35" s="7" t="s">
        <v>112</v>
      </c>
      <c r="G35" s="16">
        <f>E35*D35</f>
        <v>3513.9</v>
      </c>
      <c r="H35" s="1"/>
    </row>
    <row r="36" spans="1:8" x14ac:dyDescent="0.25">
      <c r="A36" s="43"/>
      <c r="B36" s="32" t="s">
        <v>6</v>
      </c>
      <c r="C36" s="33"/>
      <c r="D36" s="34"/>
      <c r="E36" s="8"/>
      <c r="F36" s="8"/>
      <c r="G36" s="17">
        <f>SUM(G34:G35)</f>
        <v>3513.9</v>
      </c>
      <c r="H36" s="5"/>
    </row>
    <row r="37" spans="1:8" x14ac:dyDescent="0.25">
      <c r="A37" s="6" t="s">
        <v>12</v>
      </c>
      <c r="B37" s="1" t="s">
        <v>1</v>
      </c>
      <c r="C37" s="1" t="s">
        <v>2</v>
      </c>
      <c r="D37" s="1" t="s">
        <v>3</v>
      </c>
      <c r="E37" s="7" t="s">
        <v>97</v>
      </c>
      <c r="F37" s="7"/>
      <c r="G37" s="1" t="s">
        <v>4</v>
      </c>
      <c r="H37" s="1"/>
    </row>
    <row r="38" spans="1:8" x14ac:dyDescent="0.25">
      <c r="A38" s="31"/>
      <c r="B38" s="1" t="s">
        <v>102</v>
      </c>
      <c r="C38" s="1"/>
      <c r="D38" s="1">
        <v>4.5</v>
      </c>
      <c r="E38" s="7">
        <v>50</v>
      </c>
      <c r="F38" s="7" t="s">
        <v>103</v>
      </c>
      <c r="G38" s="1">
        <f>E38*D38</f>
        <v>225</v>
      </c>
      <c r="H38" s="1"/>
    </row>
    <row r="39" spans="1:8" x14ac:dyDescent="0.25">
      <c r="A39" s="31"/>
      <c r="B39" s="1"/>
      <c r="C39" s="1"/>
      <c r="D39" s="1"/>
      <c r="E39" s="7"/>
      <c r="F39" s="7"/>
      <c r="G39" s="1"/>
      <c r="H39" s="1"/>
    </row>
    <row r="40" spans="1:8" x14ac:dyDescent="0.25">
      <c r="A40" s="31"/>
      <c r="B40" s="1"/>
      <c r="C40" s="1"/>
      <c r="D40" s="1"/>
      <c r="E40" s="7"/>
      <c r="F40" s="7"/>
      <c r="G40" s="1"/>
      <c r="H40" s="1"/>
    </row>
    <row r="41" spans="1:8" x14ac:dyDescent="0.25">
      <c r="A41" s="31"/>
      <c r="B41" s="1"/>
      <c r="C41" s="1"/>
      <c r="D41" s="1"/>
      <c r="E41" s="7"/>
      <c r="F41" s="7"/>
      <c r="G41" s="1"/>
      <c r="H41" s="1"/>
    </row>
    <row r="42" spans="1:8" x14ac:dyDescent="0.25">
      <c r="A42" s="31"/>
      <c r="B42" s="32" t="s">
        <v>6</v>
      </c>
      <c r="C42" s="33"/>
      <c r="D42" s="34"/>
      <c r="E42" s="8"/>
      <c r="F42" s="8"/>
      <c r="G42" s="14">
        <f>SUM(G38:G41)</f>
        <v>225</v>
      </c>
      <c r="H42" s="1"/>
    </row>
    <row r="43" spans="1:8" x14ac:dyDescent="0.25">
      <c r="A43" s="1"/>
      <c r="B43" s="38" t="s">
        <v>13</v>
      </c>
      <c r="C43" s="39"/>
      <c r="D43" s="40"/>
      <c r="E43" s="9"/>
      <c r="F43" s="9"/>
      <c r="G43" s="18">
        <f>G42+G36+G28+G19+G13+G7+G32</f>
        <v>17093.349999999999</v>
      </c>
      <c r="H43" s="1"/>
    </row>
  </sheetData>
  <mergeCells count="16">
    <mergeCell ref="A38:A42"/>
    <mergeCell ref="B42:D42"/>
    <mergeCell ref="B43:D43"/>
    <mergeCell ref="A21:A28"/>
    <mergeCell ref="B28:D28"/>
    <mergeCell ref="A30:A32"/>
    <mergeCell ref="B32:D32"/>
    <mergeCell ref="A34:A36"/>
    <mergeCell ref="B36:D36"/>
    <mergeCell ref="A15:A19"/>
    <mergeCell ref="B19:D19"/>
    <mergeCell ref="A1:H1"/>
    <mergeCell ref="A3:A7"/>
    <mergeCell ref="B7:D7"/>
    <mergeCell ref="A9:A13"/>
    <mergeCell ref="B13:D13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0"/>
  <sheetViews>
    <sheetView workbookViewId="0">
      <selection activeCell="H40" sqref="H40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5" t="s">
        <v>15</v>
      </c>
      <c r="B1" s="36"/>
      <c r="C1" s="36"/>
      <c r="D1" s="36"/>
      <c r="E1" s="36"/>
      <c r="F1" s="36"/>
      <c r="G1" s="36"/>
      <c r="H1" s="3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0" t="s">
        <v>114</v>
      </c>
      <c r="F2" s="10"/>
      <c r="G2" s="1" t="s">
        <v>4</v>
      </c>
      <c r="H2" s="1" t="s">
        <v>5</v>
      </c>
    </row>
    <row r="3" spans="1:8" x14ac:dyDescent="0.25">
      <c r="A3" s="31" t="s">
        <v>23</v>
      </c>
      <c r="B3" s="1" t="s">
        <v>57</v>
      </c>
      <c r="C3" s="1" t="s">
        <v>59</v>
      </c>
      <c r="D3" s="1"/>
      <c r="E3" s="10"/>
      <c r="F3" s="10" t="s">
        <v>115</v>
      </c>
      <c r="G3" s="10">
        <f>D3*E3</f>
        <v>0</v>
      </c>
      <c r="H3" s="1"/>
    </row>
    <row r="4" spans="1:8" x14ac:dyDescent="0.25">
      <c r="A4" s="31"/>
      <c r="B4" s="1" t="s">
        <v>58</v>
      </c>
      <c r="C4" s="1" t="s">
        <v>60</v>
      </c>
      <c r="D4" s="10">
        <v>168</v>
      </c>
      <c r="E4" s="10">
        <v>40</v>
      </c>
      <c r="F4" s="10" t="s">
        <v>115</v>
      </c>
      <c r="G4" s="1">
        <f>D4*E4</f>
        <v>6720</v>
      </c>
      <c r="H4" s="1"/>
    </row>
    <row r="5" spans="1:8" x14ac:dyDescent="0.25">
      <c r="A5" s="31"/>
      <c r="B5" s="1" t="s">
        <v>45</v>
      </c>
      <c r="C5" s="1" t="s">
        <v>59</v>
      </c>
      <c r="D5" s="1">
        <v>23.46</v>
      </c>
      <c r="E5" s="10">
        <v>8</v>
      </c>
      <c r="F5" s="10" t="s">
        <v>115</v>
      </c>
      <c r="G5" s="10">
        <f>D5*E5</f>
        <v>187.68</v>
      </c>
      <c r="H5" s="1"/>
    </row>
    <row r="6" spans="1:8" x14ac:dyDescent="0.25">
      <c r="A6" s="31"/>
      <c r="B6" s="1"/>
      <c r="C6" s="1"/>
      <c r="D6" s="1"/>
      <c r="E6" s="11"/>
      <c r="F6" s="11"/>
      <c r="G6" s="3"/>
      <c r="H6" s="1"/>
    </row>
    <row r="7" spans="1:8" x14ac:dyDescent="0.25">
      <c r="A7" s="31"/>
      <c r="B7" s="32" t="s">
        <v>6</v>
      </c>
      <c r="C7" s="33"/>
      <c r="D7" s="34"/>
      <c r="E7" s="11"/>
      <c r="F7" s="11"/>
      <c r="G7" s="17">
        <f>SUM(G3:G6)</f>
        <v>6907.68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10" t="s">
        <v>114</v>
      </c>
      <c r="F8" s="10"/>
      <c r="G8" s="1" t="s">
        <v>4</v>
      </c>
      <c r="H8" s="1" t="s">
        <v>5</v>
      </c>
    </row>
    <row r="9" spans="1:8" x14ac:dyDescent="0.25">
      <c r="A9" s="31" t="s">
        <v>24</v>
      </c>
      <c r="B9" s="1" t="s">
        <v>61</v>
      </c>
      <c r="C9" s="1" t="s">
        <v>63</v>
      </c>
      <c r="D9" s="1">
        <v>52.8</v>
      </c>
      <c r="E9" s="10">
        <v>25</v>
      </c>
      <c r="F9" s="10" t="s">
        <v>115</v>
      </c>
      <c r="G9" s="10">
        <f>E9*D9</f>
        <v>1320</v>
      </c>
      <c r="H9" s="1"/>
    </row>
    <row r="10" spans="1:8" x14ac:dyDescent="0.25">
      <c r="A10" s="31"/>
      <c r="B10" s="1" t="s">
        <v>62</v>
      </c>
      <c r="C10" s="1" t="s">
        <v>64</v>
      </c>
      <c r="D10" s="1">
        <v>108</v>
      </c>
      <c r="E10" s="19"/>
      <c r="F10" s="10" t="s">
        <v>115</v>
      </c>
      <c r="G10" s="1">
        <f>E10*D10</f>
        <v>0</v>
      </c>
      <c r="H10" s="1"/>
    </row>
    <row r="11" spans="1:8" x14ac:dyDescent="0.25">
      <c r="A11" s="31"/>
      <c r="B11" s="1"/>
      <c r="C11" s="1"/>
      <c r="D11" s="1"/>
      <c r="E11" s="10"/>
      <c r="F11" s="10"/>
      <c r="G11" s="1"/>
      <c r="H11" s="1"/>
    </row>
    <row r="12" spans="1:8" x14ac:dyDescent="0.25">
      <c r="A12" s="31"/>
      <c r="B12" s="1"/>
      <c r="C12" s="1"/>
      <c r="D12" s="1"/>
      <c r="E12" s="10"/>
      <c r="F12" s="10"/>
      <c r="G12" s="1"/>
      <c r="H12" s="1"/>
    </row>
    <row r="13" spans="1:8" x14ac:dyDescent="0.25">
      <c r="A13" s="31"/>
      <c r="B13" s="32" t="s">
        <v>6</v>
      </c>
      <c r="C13" s="33"/>
      <c r="D13" s="34"/>
      <c r="E13" s="11"/>
      <c r="F13" s="11"/>
      <c r="G13" s="14">
        <f>SUM(G9:G12)</f>
        <v>1320</v>
      </c>
      <c r="H13" s="1"/>
    </row>
    <row r="14" spans="1:8" x14ac:dyDescent="0.25">
      <c r="A14" s="1" t="s">
        <v>8</v>
      </c>
      <c r="B14" s="1" t="s">
        <v>1</v>
      </c>
      <c r="C14" s="1" t="s">
        <v>2</v>
      </c>
      <c r="D14" s="1" t="s">
        <v>3</v>
      </c>
      <c r="E14" s="10" t="s">
        <v>114</v>
      </c>
      <c r="F14" s="10"/>
      <c r="G14" s="1" t="s">
        <v>4</v>
      </c>
      <c r="H14" s="1" t="s">
        <v>5</v>
      </c>
    </row>
    <row r="15" spans="1:8" x14ac:dyDescent="0.25">
      <c r="A15" s="31" t="s">
        <v>25</v>
      </c>
      <c r="B15" s="1" t="s">
        <v>26</v>
      </c>
      <c r="C15" s="1" t="s">
        <v>67</v>
      </c>
      <c r="D15" s="1">
        <v>11.7</v>
      </c>
      <c r="E15" s="10">
        <v>30</v>
      </c>
      <c r="F15" s="10" t="s">
        <v>115</v>
      </c>
      <c r="G15" s="1">
        <f>D15*E15</f>
        <v>351</v>
      </c>
      <c r="H15" s="1"/>
    </row>
    <row r="16" spans="1:8" x14ac:dyDescent="0.25">
      <c r="A16" s="31"/>
      <c r="B16" s="1" t="s">
        <v>44</v>
      </c>
      <c r="C16" s="1" t="s">
        <v>68</v>
      </c>
      <c r="D16" s="1">
        <v>19.38</v>
      </c>
      <c r="E16" s="10">
        <v>2</v>
      </c>
      <c r="F16" s="10" t="s">
        <v>115</v>
      </c>
      <c r="G16" s="10">
        <f t="shared" ref="G16:G18" si="0">D16*E16</f>
        <v>38.76</v>
      </c>
      <c r="H16" s="1"/>
    </row>
    <row r="17" spans="1:8" x14ac:dyDescent="0.25">
      <c r="A17" s="31"/>
      <c r="B17" s="1" t="s">
        <v>65</v>
      </c>
      <c r="C17" s="1" t="s">
        <v>54</v>
      </c>
      <c r="D17" s="1">
        <v>57</v>
      </c>
      <c r="E17" s="10">
        <v>6</v>
      </c>
      <c r="F17" s="10" t="s">
        <v>115</v>
      </c>
      <c r="G17" s="10">
        <f t="shared" si="0"/>
        <v>342</v>
      </c>
      <c r="H17" s="1"/>
    </row>
    <row r="18" spans="1:8" x14ac:dyDescent="0.25">
      <c r="A18" s="31"/>
      <c r="B18" s="1" t="s">
        <v>66</v>
      </c>
      <c r="C18" s="1" t="s">
        <v>54</v>
      </c>
      <c r="D18" s="1">
        <v>130</v>
      </c>
      <c r="E18" s="11">
        <v>6</v>
      </c>
      <c r="F18" s="10" t="s">
        <v>115</v>
      </c>
      <c r="G18" s="10">
        <f t="shared" si="0"/>
        <v>780</v>
      </c>
      <c r="H18" s="1"/>
    </row>
    <row r="19" spans="1:8" x14ac:dyDescent="0.25">
      <c r="A19" s="31"/>
      <c r="B19" s="32" t="s">
        <v>6</v>
      </c>
      <c r="C19" s="33"/>
      <c r="D19" s="34"/>
      <c r="E19" s="11"/>
      <c r="F19" s="11"/>
      <c r="G19" s="17">
        <f>SUM(G15:G18)</f>
        <v>1511.76</v>
      </c>
      <c r="H19" s="1"/>
    </row>
    <row r="20" spans="1:8" x14ac:dyDescent="0.25">
      <c r="A20" s="4" t="s">
        <v>9</v>
      </c>
      <c r="B20" s="1" t="s">
        <v>1</v>
      </c>
      <c r="C20" s="1" t="s">
        <v>2</v>
      </c>
      <c r="D20" s="1" t="s">
        <v>3</v>
      </c>
      <c r="E20" s="10" t="s">
        <v>114</v>
      </c>
      <c r="F20" s="10"/>
      <c r="G20" s="1" t="s">
        <v>4</v>
      </c>
      <c r="H20" s="1" t="s">
        <v>5</v>
      </c>
    </row>
    <row r="21" spans="1:8" x14ac:dyDescent="0.25">
      <c r="A21" s="31"/>
      <c r="B21" s="1" t="s">
        <v>116</v>
      </c>
      <c r="C21" s="1"/>
      <c r="D21" s="1">
        <v>75</v>
      </c>
      <c r="E21" s="10">
        <v>1</v>
      </c>
      <c r="F21" s="10" t="s">
        <v>117</v>
      </c>
      <c r="G21" s="1">
        <f>D21*E21</f>
        <v>75</v>
      </c>
      <c r="H21" s="1"/>
    </row>
    <row r="22" spans="1:8" x14ac:dyDescent="0.25">
      <c r="A22" s="31"/>
      <c r="B22" s="1" t="s">
        <v>118</v>
      </c>
      <c r="C22" s="1"/>
      <c r="D22" s="1">
        <v>55</v>
      </c>
      <c r="E22" s="10">
        <v>20</v>
      </c>
      <c r="F22" s="10" t="s">
        <v>115</v>
      </c>
      <c r="G22" s="10">
        <f t="shared" ref="G22:G24" si="1">D22*E22</f>
        <v>1100</v>
      </c>
      <c r="H22" s="1"/>
    </row>
    <row r="23" spans="1:8" x14ac:dyDescent="0.25">
      <c r="A23" s="31"/>
      <c r="B23" s="1" t="s">
        <v>119</v>
      </c>
      <c r="C23" s="1"/>
      <c r="D23" s="1">
        <v>29.38</v>
      </c>
      <c r="E23" s="10">
        <v>100</v>
      </c>
      <c r="F23" s="10" t="s">
        <v>115</v>
      </c>
      <c r="G23" s="10">
        <f t="shared" si="1"/>
        <v>2938</v>
      </c>
      <c r="H23" s="1"/>
    </row>
    <row r="24" spans="1:8" x14ac:dyDescent="0.25">
      <c r="A24" s="31"/>
      <c r="B24" s="1" t="s">
        <v>120</v>
      </c>
      <c r="C24" s="1"/>
      <c r="D24" s="1">
        <v>1188</v>
      </c>
      <c r="E24" s="10">
        <v>2</v>
      </c>
      <c r="F24" s="10" t="s">
        <v>121</v>
      </c>
      <c r="G24" s="10">
        <f t="shared" si="1"/>
        <v>2376</v>
      </c>
      <c r="H24" s="1"/>
    </row>
    <row r="25" spans="1:8" x14ac:dyDescent="0.25">
      <c r="A25" s="31"/>
      <c r="B25" s="32" t="s">
        <v>6</v>
      </c>
      <c r="C25" s="33"/>
      <c r="D25" s="34"/>
      <c r="E25" s="11"/>
      <c r="F25" s="11"/>
      <c r="G25" s="14">
        <f>SUM(G21:G24)</f>
        <v>6489</v>
      </c>
      <c r="H25" s="1"/>
    </row>
    <row r="26" spans="1:8" x14ac:dyDescent="0.25">
      <c r="A26" s="1" t="s">
        <v>10</v>
      </c>
      <c r="B26" s="1" t="s">
        <v>1</v>
      </c>
      <c r="C26" s="1" t="s">
        <v>2</v>
      </c>
      <c r="D26" s="1" t="s">
        <v>3</v>
      </c>
      <c r="E26" s="10" t="s">
        <v>114</v>
      </c>
      <c r="F26" s="10"/>
      <c r="G26" s="1" t="s">
        <v>4</v>
      </c>
      <c r="H26" s="1" t="s">
        <v>5</v>
      </c>
    </row>
    <row r="27" spans="1:8" x14ac:dyDescent="0.25">
      <c r="A27" s="31" t="s">
        <v>27</v>
      </c>
      <c r="B27" s="1" t="s">
        <v>69</v>
      </c>
      <c r="C27" s="1"/>
      <c r="D27" s="1"/>
      <c r="E27" s="10"/>
      <c r="F27" s="10"/>
      <c r="G27" s="1"/>
      <c r="H27" s="1" t="s">
        <v>40</v>
      </c>
    </row>
    <row r="28" spans="1:8" x14ac:dyDescent="0.25">
      <c r="A28" s="31"/>
      <c r="B28" s="1" t="s">
        <v>42</v>
      </c>
      <c r="C28" s="1"/>
      <c r="D28" s="1"/>
      <c r="E28" s="10"/>
      <c r="F28" s="10"/>
      <c r="G28" s="1"/>
      <c r="H28" s="1" t="s">
        <v>40</v>
      </c>
    </row>
    <row r="29" spans="1:8" x14ac:dyDescent="0.25">
      <c r="A29" s="31"/>
      <c r="B29" s="32" t="s">
        <v>6</v>
      </c>
      <c r="C29" s="33"/>
      <c r="D29" s="34"/>
      <c r="E29" s="11"/>
      <c r="F29" s="11"/>
      <c r="G29" s="3"/>
      <c r="H29" s="1"/>
    </row>
    <row r="30" spans="1:8" x14ac:dyDescent="0.25">
      <c r="A30" s="1" t="s">
        <v>11</v>
      </c>
      <c r="B30" s="1" t="s">
        <v>1</v>
      </c>
      <c r="C30" s="1" t="s">
        <v>2</v>
      </c>
      <c r="D30" s="1" t="s">
        <v>3</v>
      </c>
      <c r="E30" s="11" t="s">
        <v>114</v>
      </c>
      <c r="F30" s="11"/>
      <c r="G30" s="3" t="s">
        <v>4</v>
      </c>
      <c r="H30" s="1" t="s">
        <v>5</v>
      </c>
    </row>
    <row r="31" spans="1:8" x14ac:dyDescent="0.25">
      <c r="A31" s="41"/>
      <c r="B31" s="1" t="s">
        <v>122</v>
      </c>
      <c r="C31" s="1"/>
      <c r="D31" s="1">
        <v>11.7</v>
      </c>
      <c r="E31" s="10">
        <v>45</v>
      </c>
      <c r="F31" s="10" t="s">
        <v>115</v>
      </c>
      <c r="G31" s="16">
        <f>E31*D31</f>
        <v>526.5</v>
      </c>
      <c r="H31" s="1"/>
    </row>
    <row r="32" spans="1:8" x14ac:dyDescent="0.25">
      <c r="A32" s="42"/>
      <c r="B32" s="1" t="s">
        <v>126</v>
      </c>
      <c r="C32" s="1"/>
      <c r="D32" s="1">
        <v>27.84</v>
      </c>
      <c r="E32" s="10">
        <v>75</v>
      </c>
      <c r="F32" s="20" t="s">
        <v>105</v>
      </c>
      <c r="G32" s="16">
        <f>E32*D32</f>
        <v>2088</v>
      </c>
      <c r="H32" s="1"/>
    </row>
    <row r="33" spans="1:8" x14ac:dyDescent="0.25">
      <c r="A33" s="43"/>
      <c r="B33" s="32" t="s">
        <v>6</v>
      </c>
      <c r="C33" s="33"/>
      <c r="D33" s="34"/>
      <c r="E33" s="11"/>
      <c r="F33" s="11"/>
      <c r="G33" s="17">
        <f>SUM(G31:G32)</f>
        <v>2614.5</v>
      </c>
      <c r="H33" s="5"/>
    </row>
    <row r="34" spans="1:8" x14ac:dyDescent="0.25">
      <c r="A34" s="6" t="s">
        <v>12</v>
      </c>
      <c r="B34" s="1" t="s">
        <v>1</v>
      </c>
      <c r="C34" s="1" t="s">
        <v>2</v>
      </c>
      <c r="D34" s="1" t="s">
        <v>3</v>
      </c>
      <c r="E34" s="10" t="s">
        <v>114</v>
      </c>
      <c r="F34" s="10"/>
      <c r="G34" s="1" t="s">
        <v>4</v>
      </c>
      <c r="H34" s="1"/>
    </row>
    <row r="35" spans="1:8" x14ac:dyDescent="0.25">
      <c r="A35" s="31"/>
      <c r="B35" s="1" t="s">
        <v>123</v>
      </c>
      <c r="C35" s="1"/>
      <c r="D35" s="1">
        <v>378</v>
      </c>
      <c r="E35" s="10">
        <v>1</v>
      </c>
      <c r="F35" s="10" t="s">
        <v>117</v>
      </c>
      <c r="G35" s="1">
        <f>E35*D35</f>
        <v>378</v>
      </c>
      <c r="H35" s="1"/>
    </row>
    <row r="36" spans="1:8" x14ac:dyDescent="0.25">
      <c r="A36" s="31"/>
      <c r="B36" s="1" t="s">
        <v>124</v>
      </c>
      <c r="C36" s="1"/>
      <c r="D36" s="1">
        <v>50</v>
      </c>
      <c r="E36" s="10">
        <v>1</v>
      </c>
      <c r="F36" s="10" t="s">
        <v>125</v>
      </c>
      <c r="G36" s="10">
        <f>E36*D36</f>
        <v>50</v>
      </c>
      <c r="H36" s="1"/>
    </row>
    <row r="37" spans="1:8" x14ac:dyDescent="0.25">
      <c r="A37" s="31"/>
      <c r="B37" s="1" t="s">
        <v>127</v>
      </c>
      <c r="C37" s="1"/>
      <c r="D37" s="1">
        <v>21</v>
      </c>
      <c r="E37" s="10">
        <v>8</v>
      </c>
      <c r="F37" s="10" t="s">
        <v>128</v>
      </c>
      <c r="G37" s="20">
        <f>E37*D37</f>
        <v>168</v>
      </c>
      <c r="H37" s="1"/>
    </row>
    <row r="38" spans="1:8" x14ac:dyDescent="0.25">
      <c r="A38" s="31"/>
      <c r="B38" s="1"/>
      <c r="C38" s="1"/>
      <c r="D38" s="1"/>
      <c r="E38" s="10"/>
      <c r="F38" s="10"/>
      <c r="G38" s="1"/>
      <c r="H38" s="1"/>
    </row>
    <row r="39" spans="1:8" x14ac:dyDescent="0.25">
      <c r="A39" s="31"/>
      <c r="B39" s="32" t="s">
        <v>6</v>
      </c>
      <c r="C39" s="33"/>
      <c r="D39" s="34"/>
      <c r="E39" s="11"/>
      <c r="F39" s="11"/>
      <c r="G39" s="14">
        <f>SUM(G35:G38)</f>
        <v>596</v>
      </c>
      <c r="H39" s="1"/>
    </row>
    <row r="40" spans="1:8" x14ac:dyDescent="0.25">
      <c r="A40" s="1"/>
      <c r="B40" s="38" t="s">
        <v>13</v>
      </c>
      <c r="C40" s="39"/>
      <c r="D40" s="40"/>
      <c r="E40" s="12"/>
      <c r="F40" s="12"/>
      <c r="G40" s="18">
        <f>G39+G33+G25+G19+G13+G7</f>
        <v>19438.940000000002</v>
      </c>
      <c r="H40" s="1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5:A19"/>
    <mergeCell ref="B19:D19"/>
    <mergeCell ref="A1:H1"/>
    <mergeCell ref="A3:A7"/>
    <mergeCell ref="B7:D7"/>
    <mergeCell ref="A9:A13"/>
    <mergeCell ref="B13:D13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topLeftCell="A25" workbookViewId="0">
      <selection activeCell="H42" sqref="H4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5" t="s">
        <v>16</v>
      </c>
      <c r="B1" s="36"/>
      <c r="C1" s="36"/>
      <c r="D1" s="36"/>
      <c r="E1" s="36"/>
      <c r="F1" s="36"/>
      <c r="G1" s="36"/>
      <c r="H1" s="3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1" t="s">
        <v>129</v>
      </c>
      <c r="F2" s="21"/>
      <c r="G2" s="1" t="s">
        <v>4</v>
      </c>
      <c r="H2" s="1" t="s">
        <v>5</v>
      </c>
    </row>
    <row r="3" spans="1:8" x14ac:dyDescent="0.25">
      <c r="A3" s="31" t="s">
        <v>28</v>
      </c>
      <c r="B3" s="1" t="s">
        <v>81</v>
      </c>
      <c r="C3" s="1" t="s">
        <v>82</v>
      </c>
      <c r="D3" s="1">
        <v>78</v>
      </c>
      <c r="E3" s="21">
        <v>48.97</v>
      </c>
      <c r="F3" s="21" t="s">
        <v>131</v>
      </c>
      <c r="G3" s="16">
        <f>D3*E3</f>
        <v>3819.66</v>
      </c>
      <c r="H3" s="1"/>
    </row>
    <row r="4" spans="1:8" x14ac:dyDescent="0.25">
      <c r="A4" s="31"/>
      <c r="B4" s="1"/>
      <c r="C4" s="1"/>
      <c r="D4" s="1"/>
      <c r="E4" s="21"/>
      <c r="F4" s="21"/>
      <c r="G4" s="1"/>
      <c r="H4" s="1"/>
    </row>
    <row r="5" spans="1:8" x14ac:dyDescent="0.25">
      <c r="A5" s="31"/>
      <c r="B5" s="1"/>
      <c r="C5" s="1"/>
      <c r="D5" s="1"/>
      <c r="E5" s="21"/>
      <c r="F5" s="21"/>
      <c r="G5" s="1"/>
      <c r="H5" s="1"/>
    </row>
    <row r="6" spans="1:8" x14ac:dyDescent="0.25">
      <c r="A6" s="31"/>
      <c r="B6" s="1"/>
      <c r="C6" s="1"/>
      <c r="D6" s="1"/>
      <c r="E6" s="22"/>
      <c r="F6" s="22"/>
      <c r="G6" s="3"/>
      <c r="H6" s="1"/>
    </row>
    <row r="7" spans="1:8" x14ac:dyDescent="0.25">
      <c r="A7" s="31"/>
      <c r="B7" s="32" t="s">
        <v>6</v>
      </c>
      <c r="C7" s="33"/>
      <c r="D7" s="34"/>
      <c r="E7" s="22"/>
      <c r="F7" s="22"/>
      <c r="G7" s="17">
        <f>SUM(G3:G6)</f>
        <v>3819.66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21" t="s">
        <v>129</v>
      </c>
      <c r="F8" s="21"/>
      <c r="G8" s="1" t="s">
        <v>4</v>
      </c>
      <c r="H8" s="1" t="s">
        <v>5</v>
      </c>
    </row>
    <row r="9" spans="1:8" x14ac:dyDescent="0.25">
      <c r="A9" s="31" t="s">
        <v>29</v>
      </c>
      <c r="B9" s="1" t="s">
        <v>77</v>
      </c>
      <c r="C9" s="1" t="s">
        <v>79</v>
      </c>
      <c r="D9" s="1">
        <v>12</v>
      </c>
      <c r="E9" s="21">
        <v>140</v>
      </c>
      <c r="F9" s="21" t="s">
        <v>140</v>
      </c>
      <c r="G9" s="1">
        <f>E9*D9</f>
        <v>1680</v>
      </c>
      <c r="H9" s="1"/>
    </row>
    <row r="10" spans="1:8" x14ac:dyDescent="0.25">
      <c r="A10" s="31"/>
      <c r="B10" s="1" t="s">
        <v>78</v>
      </c>
      <c r="C10" s="1" t="s">
        <v>80</v>
      </c>
      <c r="D10" s="1">
        <v>16</v>
      </c>
      <c r="E10" s="21">
        <v>45</v>
      </c>
      <c r="F10" s="21" t="s">
        <v>133</v>
      </c>
      <c r="G10" s="21">
        <f>E10*D10</f>
        <v>720</v>
      </c>
      <c r="H10" s="1"/>
    </row>
    <row r="11" spans="1:8" x14ac:dyDescent="0.25">
      <c r="A11" s="31"/>
      <c r="B11" s="1"/>
      <c r="C11" s="1"/>
      <c r="D11" s="1"/>
      <c r="E11" s="21"/>
      <c r="F11" s="21"/>
      <c r="G11" s="1"/>
      <c r="H11" s="1"/>
    </row>
    <row r="12" spans="1:8" x14ac:dyDescent="0.25">
      <c r="A12" s="31"/>
      <c r="B12" s="1"/>
      <c r="C12" s="1"/>
      <c r="D12" s="1"/>
      <c r="E12" s="21"/>
      <c r="F12" s="21"/>
      <c r="G12" s="1"/>
      <c r="H12" s="1"/>
    </row>
    <row r="13" spans="1:8" x14ac:dyDescent="0.25">
      <c r="A13" s="31"/>
      <c r="B13" s="32" t="s">
        <v>6</v>
      </c>
      <c r="C13" s="33"/>
      <c r="D13" s="34"/>
      <c r="E13" s="22"/>
      <c r="F13" s="22"/>
      <c r="G13" s="14">
        <f>SUM(G9:G12)</f>
        <v>2400</v>
      </c>
      <c r="H13" s="1"/>
    </row>
    <row r="14" spans="1:8" x14ac:dyDescent="0.25">
      <c r="A14" s="1" t="s">
        <v>8</v>
      </c>
      <c r="B14" s="1" t="s">
        <v>1</v>
      </c>
      <c r="C14" s="1" t="s">
        <v>2</v>
      </c>
      <c r="D14" s="1" t="s">
        <v>3</v>
      </c>
      <c r="E14" s="21" t="s">
        <v>129</v>
      </c>
      <c r="F14" s="21"/>
      <c r="G14" s="1" t="s">
        <v>4</v>
      </c>
      <c r="H14" s="1" t="s">
        <v>5</v>
      </c>
    </row>
    <row r="15" spans="1:8" x14ac:dyDescent="0.25">
      <c r="A15" s="31"/>
      <c r="B15" s="1"/>
      <c r="C15" s="1"/>
      <c r="D15" s="1"/>
      <c r="E15" s="21"/>
      <c r="F15" s="21"/>
      <c r="G15" s="1"/>
      <c r="H15" s="1"/>
    </row>
    <row r="16" spans="1:8" x14ac:dyDescent="0.25">
      <c r="A16" s="31"/>
      <c r="B16" s="1"/>
      <c r="C16" s="1"/>
      <c r="D16" s="1"/>
      <c r="E16" s="21"/>
      <c r="F16" s="21"/>
      <c r="G16" s="1"/>
      <c r="H16" s="1"/>
    </row>
    <row r="17" spans="1:8" x14ac:dyDescent="0.25">
      <c r="A17" s="31"/>
      <c r="B17" s="1"/>
      <c r="C17" s="1"/>
      <c r="D17" s="1"/>
      <c r="E17" s="21"/>
      <c r="F17" s="21"/>
      <c r="G17" s="1"/>
      <c r="H17" s="1"/>
    </row>
    <row r="18" spans="1:8" x14ac:dyDescent="0.25">
      <c r="A18" s="31"/>
      <c r="B18" s="1"/>
      <c r="C18" s="1"/>
      <c r="D18" s="1"/>
      <c r="E18" s="22"/>
      <c r="F18" s="22"/>
      <c r="G18" s="3"/>
      <c r="H18" s="1"/>
    </row>
    <row r="19" spans="1:8" x14ac:dyDescent="0.25">
      <c r="A19" s="31"/>
      <c r="B19" s="32" t="s">
        <v>6</v>
      </c>
      <c r="C19" s="33"/>
      <c r="D19" s="34"/>
      <c r="E19" s="22"/>
      <c r="F19" s="22"/>
      <c r="G19" s="3"/>
      <c r="H19" s="1"/>
    </row>
    <row r="20" spans="1:8" x14ac:dyDescent="0.25">
      <c r="A20" s="4" t="s">
        <v>9</v>
      </c>
      <c r="B20" s="1" t="s">
        <v>1</v>
      </c>
      <c r="C20" s="1" t="s">
        <v>2</v>
      </c>
      <c r="D20" s="1" t="s">
        <v>3</v>
      </c>
      <c r="E20" s="21" t="s">
        <v>129</v>
      </c>
      <c r="F20" s="21"/>
      <c r="G20" s="1" t="s">
        <v>4</v>
      </c>
      <c r="H20" s="1" t="s">
        <v>5</v>
      </c>
    </row>
    <row r="21" spans="1:8" x14ac:dyDescent="0.25">
      <c r="A21" s="31"/>
      <c r="B21" s="1" t="s">
        <v>142</v>
      </c>
      <c r="C21" s="1"/>
      <c r="D21" s="1">
        <v>225</v>
      </c>
      <c r="E21" s="21">
        <v>1</v>
      </c>
      <c r="F21" s="21" t="s">
        <v>139</v>
      </c>
      <c r="G21" s="1">
        <f>D21*E21</f>
        <v>225</v>
      </c>
      <c r="H21" s="1"/>
    </row>
    <row r="22" spans="1:8" x14ac:dyDescent="0.25">
      <c r="A22" s="31"/>
      <c r="B22" s="1" t="s">
        <v>143</v>
      </c>
      <c r="C22" s="1"/>
      <c r="D22" s="1">
        <v>235</v>
      </c>
      <c r="E22" s="21">
        <v>1</v>
      </c>
      <c r="F22" s="21" t="s">
        <v>139</v>
      </c>
      <c r="G22" s="21">
        <f t="shared" ref="G22:G25" si="0">D22*E22</f>
        <v>235</v>
      </c>
      <c r="H22" s="1"/>
    </row>
    <row r="23" spans="1:8" x14ac:dyDescent="0.25">
      <c r="A23" s="31"/>
      <c r="B23" s="1" t="s">
        <v>144</v>
      </c>
      <c r="C23" s="1"/>
      <c r="D23" s="1">
        <v>93</v>
      </c>
      <c r="E23" s="21">
        <v>4</v>
      </c>
      <c r="F23" s="21" t="s">
        <v>132</v>
      </c>
      <c r="G23" s="21">
        <f t="shared" si="0"/>
        <v>372</v>
      </c>
      <c r="H23" s="1"/>
    </row>
    <row r="24" spans="1:8" x14ac:dyDescent="0.25">
      <c r="A24" s="31"/>
      <c r="B24" s="1" t="s">
        <v>145</v>
      </c>
      <c r="C24" s="1"/>
      <c r="D24" s="1">
        <v>563</v>
      </c>
      <c r="E24" s="21">
        <v>1</v>
      </c>
      <c r="F24" s="21" t="s">
        <v>139</v>
      </c>
      <c r="G24" s="21">
        <f t="shared" si="0"/>
        <v>563</v>
      </c>
      <c r="H24" s="1"/>
    </row>
    <row r="25" spans="1:8" x14ac:dyDescent="0.25">
      <c r="A25" s="31"/>
      <c r="B25" s="21" t="s">
        <v>146</v>
      </c>
      <c r="C25" s="21"/>
      <c r="D25" s="21">
        <v>225</v>
      </c>
      <c r="E25" s="21">
        <v>1</v>
      </c>
      <c r="F25" s="21" t="s">
        <v>139</v>
      </c>
      <c r="G25" s="21">
        <f t="shared" si="0"/>
        <v>225</v>
      </c>
      <c r="H25" s="21"/>
    </row>
    <row r="26" spans="1:8" x14ac:dyDescent="0.25">
      <c r="A26" s="31"/>
      <c r="B26" s="32" t="s">
        <v>6</v>
      </c>
      <c r="C26" s="33"/>
      <c r="D26" s="34"/>
      <c r="E26" s="22"/>
      <c r="F26" s="22"/>
      <c r="G26" s="14">
        <f>SUM(G21:G25)</f>
        <v>1620</v>
      </c>
      <c r="H26" s="1"/>
    </row>
    <row r="27" spans="1:8" x14ac:dyDescent="0.25">
      <c r="A27" s="1" t="s">
        <v>10</v>
      </c>
      <c r="B27" s="1" t="s">
        <v>1</v>
      </c>
      <c r="C27" s="1" t="s">
        <v>2</v>
      </c>
      <c r="D27" s="1" t="s">
        <v>3</v>
      </c>
      <c r="E27" s="21" t="s">
        <v>129</v>
      </c>
      <c r="F27" s="21"/>
      <c r="G27" s="1" t="s">
        <v>4</v>
      </c>
      <c r="H27" s="1" t="s">
        <v>5</v>
      </c>
    </row>
    <row r="28" spans="1:8" x14ac:dyDescent="0.25">
      <c r="A28" s="31" t="s">
        <v>30</v>
      </c>
      <c r="B28" s="1" t="s">
        <v>71</v>
      </c>
      <c r="C28" s="1" t="s">
        <v>74</v>
      </c>
      <c r="D28" s="1">
        <v>75</v>
      </c>
      <c r="E28" s="21">
        <v>8</v>
      </c>
      <c r="F28" s="21" t="s">
        <v>132</v>
      </c>
      <c r="G28" s="1">
        <f>D28*E28</f>
        <v>600</v>
      </c>
      <c r="H28" s="1"/>
    </row>
    <row r="29" spans="1:8" x14ac:dyDescent="0.25">
      <c r="A29" s="31"/>
      <c r="B29" s="2" t="s">
        <v>72</v>
      </c>
      <c r="C29" s="2" t="s">
        <v>75</v>
      </c>
      <c r="D29" s="2">
        <v>275</v>
      </c>
      <c r="E29" s="21">
        <v>2</v>
      </c>
      <c r="F29" s="21" t="s">
        <v>139</v>
      </c>
      <c r="G29" s="21">
        <f t="shared" ref="G29:G30" si="1">D29*E29</f>
        <v>550</v>
      </c>
      <c r="H29" s="2"/>
    </row>
    <row r="30" spans="1:8" x14ac:dyDescent="0.25">
      <c r="A30" s="31"/>
      <c r="B30" s="1" t="s">
        <v>73</v>
      </c>
      <c r="C30" s="1" t="s">
        <v>76</v>
      </c>
      <c r="D30" s="1">
        <v>176</v>
      </c>
      <c r="E30" s="21">
        <v>1</v>
      </c>
      <c r="F30" s="21" t="s">
        <v>132</v>
      </c>
      <c r="G30" s="21">
        <f t="shared" si="1"/>
        <v>176</v>
      </c>
      <c r="H30" s="1"/>
    </row>
    <row r="31" spans="1:8" x14ac:dyDescent="0.25">
      <c r="A31" s="31"/>
      <c r="B31" s="32" t="s">
        <v>6</v>
      </c>
      <c r="C31" s="33"/>
      <c r="D31" s="34"/>
      <c r="E31" s="22"/>
      <c r="F31" s="22"/>
      <c r="G31" s="14">
        <f>SUM(G28:G30)</f>
        <v>1326</v>
      </c>
      <c r="H31" s="1"/>
    </row>
    <row r="32" spans="1:8" x14ac:dyDescent="0.25">
      <c r="A32" s="1" t="s">
        <v>11</v>
      </c>
      <c r="B32" s="1" t="s">
        <v>1</v>
      </c>
      <c r="C32" s="1" t="s">
        <v>2</v>
      </c>
      <c r="D32" s="1" t="s">
        <v>3</v>
      </c>
      <c r="E32" s="22" t="s">
        <v>129</v>
      </c>
      <c r="F32" s="22"/>
      <c r="G32" s="3" t="s">
        <v>4</v>
      </c>
      <c r="H32" s="1" t="s">
        <v>5</v>
      </c>
    </row>
    <row r="33" spans="1:8" x14ac:dyDescent="0.25">
      <c r="A33" s="41"/>
      <c r="B33" s="1" t="s">
        <v>130</v>
      </c>
      <c r="C33" s="1"/>
      <c r="D33" s="1">
        <v>27.84</v>
      </c>
      <c r="E33" s="21">
        <v>78.67</v>
      </c>
      <c r="F33" s="21" t="s">
        <v>131</v>
      </c>
      <c r="G33" s="16">
        <f>E33*D33</f>
        <v>2190.1727999999998</v>
      </c>
      <c r="H33" s="1"/>
    </row>
    <row r="34" spans="1:8" x14ac:dyDescent="0.25">
      <c r="A34" s="42"/>
      <c r="B34" s="1" t="s">
        <v>141</v>
      </c>
      <c r="C34" s="1"/>
      <c r="D34" s="1">
        <v>68.400000000000006</v>
      </c>
      <c r="E34" s="21">
        <v>65</v>
      </c>
      <c r="F34" s="21" t="s">
        <v>131</v>
      </c>
      <c r="G34" s="21">
        <f>E34*D34</f>
        <v>4446</v>
      </c>
      <c r="H34" s="1"/>
    </row>
    <row r="35" spans="1:8" x14ac:dyDescent="0.25">
      <c r="A35" s="43"/>
      <c r="B35" s="32" t="s">
        <v>6</v>
      </c>
      <c r="C35" s="33"/>
      <c r="D35" s="34"/>
      <c r="E35" s="22"/>
      <c r="F35" s="22"/>
      <c r="G35" s="17">
        <f>SUM(G33:G34)</f>
        <v>6636.1728000000003</v>
      </c>
      <c r="H35" s="5"/>
    </row>
    <row r="36" spans="1:8" x14ac:dyDescent="0.25">
      <c r="A36" s="6" t="s">
        <v>12</v>
      </c>
      <c r="B36" s="1" t="s">
        <v>1</v>
      </c>
      <c r="C36" s="1" t="s">
        <v>2</v>
      </c>
      <c r="D36" s="1" t="s">
        <v>3</v>
      </c>
      <c r="E36" s="21" t="s">
        <v>129</v>
      </c>
      <c r="F36" s="21"/>
      <c r="G36" s="1" t="s">
        <v>4</v>
      </c>
      <c r="H36" s="1"/>
    </row>
    <row r="37" spans="1:8" x14ac:dyDescent="0.25">
      <c r="A37" s="31" t="s">
        <v>31</v>
      </c>
      <c r="B37" s="1" t="s">
        <v>31</v>
      </c>
      <c r="C37" s="1" t="s">
        <v>70</v>
      </c>
      <c r="D37" s="1">
        <v>125</v>
      </c>
      <c r="E37" s="21">
        <v>36</v>
      </c>
      <c r="F37" s="21" t="s">
        <v>132</v>
      </c>
      <c r="G37" s="1">
        <f>E37*D37</f>
        <v>4500</v>
      </c>
      <c r="H37" s="1"/>
    </row>
    <row r="38" spans="1:8" x14ac:dyDescent="0.25">
      <c r="A38" s="31"/>
      <c r="B38" s="1" t="s">
        <v>134</v>
      </c>
      <c r="C38" s="1"/>
      <c r="D38" s="1">
        <v>210</v>
      </c>
      <c r="E38" s="21">
        <v>1</v>
      </c>
      <c r="F38" s="21" t="s">
        <v>132</v>
      </c>
      <c r="G38" s="1">
        <f>D38*E38</f>
        <v>210</v>
      </c>
      <c r="H38" s="1"/>
    </row>
    <row r="39" spans="1:8" x14ac:dyDescent="0.25">
      <c r="A39" s="31"/>
      <c r="B39" s="1" t="s">
        <v>135</v>
      </c>
      <c r="C39" s="1"/>
      <c r="D39" s="1">
        <v>70</v>
      </c>
      <c r="E39" s="21">
        <v>1</v>
      </c>
      <c r="F39" s="21" t="s">
        <v>138</v>
      </c>
      <c r="G39" s="21">
        <f t="shared" ref="G39:G40" si="2">D39*E39</f>
        <v>70</v>
      </c>
      <c r="H39" s="1"/>
    </row>
    <row r="40" spans="1:8" x14ac:dyDescent="0.25">
      <c r="A40" s="31"/>
      <c r="B40" s="1" t="s">
        <v>136</v>
      </c>
      <c r="C40" s="1"/>
      <c r="D40" s="1">
        <v>270</v>
      </c>
      <c r="E40" s="21">
        <v>1</v>
      </c>
      <c r="F40" s="21" t="s">
        <v>137</v>
      </c>
      <c r="G40" s="21">
        <f t="shared" si="2"/>
        <v>270</v>
      </c>
      <c r="H40" s="1"/>
    </row>
    <row r="41" spans="1:8" x14ac:dyDescent="0.25">
      <c r="A41" s="31"/>
      <c r="B41" s="32" t="s">
        <v>6</v>
      </c>
      <c r="C41" s="33"/>
      <c r="D41" s="34"/>
      <c r="E41" s="22"/>
      <c r="F41" s="22"/>
      <c r="G41" s="14">
        <f>SUM(G37:G40)</f>
        <v>5050</v>
      </c>
      <c r="H41" s="1"/>
    </row>
    <row r="42" spans="1:8" x14ac:dyDescent="0.25">
      <c r="A42" s="1"/>
      <c r="B42" s="38" t="s">
        <v>13</v>
      </c>
      <c r="C42" s="39"/>
      <c r="D42" s="40"/>
      <c r="E42" s="23"/>
      <c r="F42" s="23"/>
      <c r="G42" s="18">
        <f>G41+G35+G31+G26+G13+G7</f>
        <v>20851.8328</v>
      </c>
      <c r="H42" s="1"/>
    </row>
  </sheetData>
  <mergeCells count="16">
    <mergeCell ref="A37:A41"/>
    <mergeCell ref="B41:D41"/>
    <mergeCell ref="B42:D42"/>
    <mergeCell ref="A21:A26"/>
    <mergeCell ref="B26:D26"/>
    <mergeCell ref="A28:A31"/>
    <mergeCell ref="B31:D31"/>
    <mergeCell ref="A33:A35"/>
    <mergeCell ref="B35:D35"/>
    <mergeCell ref="A15:A19"/>
    <mergeCell ref="B19:D19"/>
    <mergeCell ref="A1:H1"/>
    <mergeCell ref="A3:A7"/>
    <mergeCell ref="B7:D7"/>
    <mergeCell ref="A9:A13"/>
    <mergeCell ref="B13:D13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0"/>
  <sheetViews>
    <sheetView workbookViewId="0">
      <selection activeCell="G32" sqref="G3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5" t="s">
        <v>17</v>
      </c>
      <c r="B1" s="36"/>
      <c r="C1" s="36"/>
      <c r="D1" s="36"/>
      <c r="E1" s="36"/>
      <c r="F1" s="36"/>
      <c r="G1" s="36"/>
      <c r="H1" s="3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4" t="s">
        <v>147</v>
      </c>
      <c r="F2" s="24"/>
      <c r="G2" s="1" t="s">
        <v>4</v>
      </c>
      <c r="H2" s="1" t="s">
        <v>5</v>
      </c>
    </row>
    <row r="3" spans="1:8" x14ac:dyDescent="0.25">
      <c r="A3" s="31" t="s">
        <v>32</v>
      </c>
      <c r="B3" s="1" t="s">
        <v>83</v>
      </c>
      <c r="C3" s="1" t="s">
        <v>85</v>
      </c>
      <c r="D3" s="1">
        <v>87</v>
      </c>
      <c r="E3" s="24">
        <v>12</v>
      </c>
      <c r="F3" s="24" t="s">
        <v>148</v>
      </c>
      <c r="G3" s="24">
        <f>E3*D3</f>
        <v>1044</v>
      </c>
      <c r="H3" s="1"/>
    </row>
    <row r="4" spans="1:8" x14ac:dyDescent="0.25">
      <c r="A4" s="31"/>
      <c r="B4" s="1" t="s">
        <v>84</v>
      </c>
      <c r="C4" s="1" t="s">
        <v>86</v>
      </c>
      <c r="D4" s="1">
        <v>99</v>
      </c>
      <c r="E4" s="24">
        <v>35</v>
      </c>
      <c r="F4" s="24" t="s">
        <v>148</v>
      </c>
      <c r="G4" s="1">
        <f>E4*D4</f>
        <v>3465</v>
      </c>
      <c r="H4" s="1"/>
    </row>
    <row r="5" spans="1:8" x14ac:dyDescent="0.25">
      <c r="A5" s="31"/>
      <c r="B5" s="1"/>
      <c r="C5" s="1"/>
      <c r="D5" s="1"/>
      <c r="E5" s="24"/>
      <c r="F5" s="24"/>
      <c r="G5" s="1"/>
      <c r="H5" s="1"/>
    </row>
    <row r="6" spans="1:8" x14ac:dyDescent="0.25">
      <c r="A6" s="31"/>
      <c r="B6" s="1"/>
      <c r="C6" s="1"/>
      <c r="D6" s="1"/>
      <c r="E6" s="25"/>
      <c r="F6" s="25"/>
      <c r="G6" s="3"/>
      <c r="H6" s="1"/>
    </row>
    <row r="7" spans="1:8" x14ac:dyDescent="0.25">
      <c r="A7" s="31"/>
      <c r="B7" s="32" t="s">
        <v>6</v>
      </c>
      <c r="C7" s="33"/>
      <c r="D7" s="34"/>
      <c r="E7" s="25"/>
      <c r="F7" s="25"/>
      <c r="G7" s="14">
        <f>SUM(G3:G6)</f>
        <v>4509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24" t="s">
        <v>147</v>
      </c>
      <c r="F8" s="24"/>
      <c r="G8" s="1" t="s">
        <v>4</v>
      </c>
      <c r="H8" s="1" t="s">
        <v>5</v>
      </c>
    </row>
    <row r="9" spans="1:8" x14ac:dyDescent="0.25">
      <c r="A9" s="31" t="s">
        <v>33</v>
      </c>
      <c r="B9" s="1" t="s">
        <v>87</v>
      </c>
      <c r="C9" s="1" t="s">
        <v>60</v>
      </c>
      <c r="D9" s="1">
        <v>30.6</v>
      </c>
      <c r="E9" s="24">
        <v>40</v>
      </c>
      <c r="F9" s="24" t="s">
        <v>148</v>
      </c>
      <c r="G9" s="1">
        <f>E9*D9</f>
        <v>1224</v>
      </c>
      <c r="H9" s="1"/>
    </row>
    <row r="10" spans="1:8" x14ac:dyDescent="0.25">
      <c r="A10" s="31"/>
      <c r="B10" s="1"/>
      <c r="C10" s="1"/>
      <c r="D10" s="1"/>
      <c r="E10" s="24"/>
      <c r="F10" s="24"/>
      <c r="G10" s="1"/>
      <c r="H10" s="1"/>
    </row>
    <row r="11" spans="1:8" x14ac:dyDescent="0.25">
      <c r="A11" s="31"/>
      <c r="B11" s="1"/>
      <c r="C11" s="1"/>
      <c r="D11" s="1"/>
      <c r="E11" s="24"/>
      <c r="F11" s="24"/>
      <c r="G11" s="1"/>
      <c r="H11" s="1"/>
    </row>
    <row r="12" spans="1:8" x14ac:dyDescent="0.25">
      <c r="A12" s="31"/>
      <c r="B12" s="1"/>
      <c r="C12" s="1"/>
      <c r="D12" s="1"/>
      <c r="E12" s="24"/>
      <c r="F12" s="24"/>
      <c r="G12" s="1"/>
      <c r="H12" s="1"/>
    </row>
    <row r="13" spans="1:8" x14ac:dyDescent="0.25">
      <c r="A13" s="31"/>
      <c r="B13" s="32" t="s">
        <v>6</v>
      </c>
      <c r="C13" s="33"/>
      <c r="D13" s="34"/>
      <c r="E13" s="25"/>
      <c r="F13" s="25"/>
      <c r="G13" s="14">
        <f>SUM(G9:G12)</f>
        <v>1224</v>
      </c>
      <c r="H13" s="1"/>
    </row>
    <row r="14" spans="1:8" x14ac:dyDescent="0.25">
      <c r="A14" s="1" t="s">
        <v>8</v>
      </c>
      <c r="B14" s="1" t="s">
        <v>1</v>
      </c>
      <c r="C14" s="1" t="s">
        <v>2</v>
      </c>
      <c r="D14" s="1" t="s">
        <v>3</v>
      </c>
      <c r="E14" s="24" t="s">
        <v>147</v>
      </c>
      <c r="F14" s="24"/>
      <c r="G14" s="1" t="s">
        <v>4</v>
      </c>
      <c r="H14" s="1" t="s">
        <v>5</v>
      </c>
    </row>
    <row r="15" spans="1:8" x14ac:dyDescent="0.25">
      <c r="A15" s="31" t="s">
        <v>34</v>
      </c>
      <c r="B15" s="1" t="s">
        <v>71</v>
      </c>
      <c r="C15" s="1" t="s">
        <v>52</v>
      </c>
      <c r="D15" s="1">
        <v>75</v>
      </c>
      <c r="E15" s="24">
        <v>15</v>
      </c>
      <c r="F15" s="24" t="s">
        <v>149</v>
      </c>
      <c r="G15" s="1">
        <f>E15*D15</f>
        <v>1125</v>
      </c>
      <c r="H15" s="1"/>
    </row>
    <row r="16" spans="1:8" x14ac:dyDescent="0.25">
      <c r="A16" s="31"/>
      <c r="B16" s="1" t="s">
        <v>88</v>
      </c>
      <c r="C16" s="1" t="s">
        <v>85</v>
      </c>
      <c r="D16" s="1">
        <v>93</v>
      </c>
      <c r="E16" s="24">
        <v>12</v>
      </c>
      <c r="F16" s="24" t="s">
        <v>148</v>
      </c>
      <c r="G16" s="24">
        <f>E16*D16</f>
        <v>1116</v>
      </c>
      <c r="H16" s="1"/>
    </row>
    <row r="17" spans="1:8" x14ac:dyDescent="0.25">
      <c r="A17" s="31"/>
      <c r="B17" s="1"/>
      <c r="C17" s="1"/>
      <c r="D17" s="1"/>
      <c r="E17" s="24"/>
      <c r="F17" s="24"/>
      <c r="G17" s="1"/>
      <c r="H17" s="1"/>
    </row>
    <row r="18" spans="1:8" x14ac:dyDescent="0.25">
      <c r="A18" s="31"/>
      <c r="B18" s="1"/>
      <c r="C18" s="1"/>
      <c r="D18" s="1"/>
      <c r="E18" s="25"/>
      <c r="F18" s="25"/>
      <c r="G18" s="3"/>
      <c r="H18" s="1"/>
    </row>
    <row r="19" spans="1:8" x14ac:dyDescent="0.25">
      <c r="A19" s="31"/>
      <c r="B19" s="32" t="s">
        <v>6</v>
      </c>
      <c r="C19" s="33"/>
      <c r="D19" s="34"/>
      <c r="E19" s="25"/>
      <c r="F19" s="25"/>
      <c r="G19" s="14">
        <f>SUM(G15:G18)</f>
        <v>2241</v>
      </c>
      <c r="H19" s="1"/>
    </row>
    <row r="20" spans="1:8" x14ac:dyDescent="0.25">
      <c r="A20" s="4" t="s">
        <v>9</v>
      </c>
      <c r="B20" s="1" t="s">
        <v>1</v>
      </c>
      <c r="C20" s="1" t="s">
        <v>2</v>
      </c>
      <c r="D20" s="1" t="s">
        <v>3</v>
      </c>
      <c r="E20" s="24" t="s">
        <v>147</v>
      </c>
      <c r="F20" s="24"/>
      <c r="G20" s="1" t="s">
        <v>4</v>
      </c>
      <c r="H20" s="1" t="s">
        <v>5</v>
      </c>
    </row>
    <row r="21" spans="1:8" x14ac:dyDescent="0.25">
      <c r="A21" s="31"/>
      <c r="B21" s="1"/>
      <c r="C21" s="1"/>
      <c r="D21" s="1"/>
      <c r="E21" s="24"/>
      <c r="F21" s="24"/>
      <c r="G21" s="1"/>
      <c r="H21" s="1"/>
    </row>
    <row r="22" spans="1:8" x14ac:dyDescent="0.25">
      <c r="A22" s="31"/>
      <c r="B22" s="1"/>
      <c r="C22" s="1"/>
      <c r="D22" s="1"/>
      <c r="E22" s="24"/>
      <c r="F22" s="24"/>
      <c r="G22" s="1"/>
      <c r="H22" s="1"/>
    </row>
    <row r="23" spans="1:8" x14ac:dyDescent="0.25">
      <c r="A23" s="31"/>
      <c r="B23" s="1"/>
      <c r="C23" s="1"/>
      <c r="D23" s="1"/>
      <c r="E23" s="24"/>
      <c r="F23" s="24"/>
      <c r="G23" s="1"/>
      <c r="H23" s="1"/>
    </row>
    <row r="24" spans="1:8" x14ac:dyDescent="0.25">
      <c r="A24" s="31"/>
      <c r="B24" s="1"/>
      <c r="C24" s="1"/>
      <c r="D24" s="1"/>
      <c r="E24" s="24"/>
      <c r="F24" s="24"/>
      <c r="G24" s="1"/>
      <c r="H24" s="1"/>
    </row>
    <row r="25" spans="1:8" x14ac:dyDescent="0.25">
      <c r="A25" s="31"/>
      <c r="B25" s="32" t="s">
        <v>6</v>
      </c>
      <c r="C25" s="33"/>
      <c r="D25" s="34"/>
      <c r="E25" s="25"/>
      <c r="F25" s="25"/>
      <c r="G25" s="3"/>
      <c r="H25" s="1"/>
    </row>
    <row r="26" spans="1:8" x14ac:dyDescent="0.25">
      <c r="A26" s="1" t="s">
        <v>10</v>
      </c>
      <c r="B26" s="1" t="s">
        <v>1</v>
      </c>
      <c r="C26" s="1" t="s">
        <v>2</v>
      </c>
      <c r="D26" s="1" t="s">
        <v>3</v>
      </c>
      <c r="E26" s="24" t="s">
        <v>147</v>
      </c>
      <c r="F26" s="24"/>
      <c r="G26" s="1" t="s">
        <v>4</v>
      </c>
      <c r="H26" s="1" t="s">
        <v>5</v>
      </c>
    </row>
    <row r="27" spans="1:8" x14ac:dyDescent="0.25">
      <c r="A27" s="31" t="s">
        <v>35</v>
      </c>
      <c r="B27" s="1" t="s">
        <v>89</v>
      </c>
      <c r="C27" s="1" t="s">
        <v>91</v>
      </c>
      <c r="D27" s="1">
        <v>22.44</v>
      </c>
      <c r="E27" s="24">
        <v>15</v>
      </c>
      <c r="F27" s="24" t="s">
        <v>148</v>
      </c>
      <c r="G27" s="16">
        <f>E27*D27</f>
        <v>336.6</v>
      </c>
      <c r="H27" s="1"/>
    </row>
    <row r="28" spans="1:8" x14ac:dyDescent="0.25">
      <c r="A28" s="31"/>
      <c r="B28" s="1" t="s">
        <v>90</v>
      </c>
      <c r="C28" s="1" t="s">
        <v>49</v>
      </c>
      <c r="D28" s="1">
        <v>63</v>
      </c>
      <c r="E28" s="24">
        <v>5</v>
      </c>
      <c r="F28" s="24" t="s">
        <v>148</v>
      </c>
      <c r="G28" s="16">
        <f>E28*D28</f>
        <v>315</v>
      </c>
      <c r="H28" s="1"/>
    </row>
    <row r="29" spans="1:8" x14ac:dyDescent="0.25">
      <c r="A29" s="31"/>
      <c r="B29" s="32" t="s">
        <v>6</v>
      </c>
      <c r="C29" s="33"/>
      <c r="D29" s="34"/>
      <c r="E29" s="25"/>
      <c r="F29" s="25"/>
      <c r="G29" s="17">
        <f>SUM(G27:G28)</f>
        <v>651.6</v>
      </c>
      <c r="H29" s="1"/>
    </row>
    <row r="30" spans="1:8" x14ac:dyDescent="0.25">
      <c r="A30" s="1" t="s">
        <v>11</v>
      </c>
      <c r="B30" s="1" t="s">
        <v>1</v>
      </c>
      <c r="C30" s="1" t="s">
        <v>2</v>
      </c>
      <c r="D30" s="1" t="s">
        <v>3</v>
      </c>
      <c r="E30" s="25" t="s">
        <v>147</v>
      </c>
      <c r="F30" s="25"/>
      <c r="G30" s="3" t="s">
        <v>4</v>
      </c>
      <c r="H30" s="1" t="s">
        <v>5</v>
      </c>
    </row>
    <row r="31" spans="1:8" x14ac:dyDescent="0.25">
      <c r="A31" s="41"/>
      <c r="B31" s="1" t="s">
        <v>150</v>
      </c>
      <c r="C31" s="1"/>
      <c r="D31" s="1">
        <v>75.599999999999994</v>
      </c>
      <c r="E31" s="24">
        <v>65</v>
      </c>
      <c r="F31" s="24" t="s">
        <v>148</v>
      </c>
      <c r="G31" s="1">
        <f>E31*D31</f>
        <v>4914</v>
      </c>
      <c r="H31" s="1"/>
    </row>
    <row r="32" spans="1:8" x14ac:dyDescent="0.25">
      <c r="A32" s="42"/>
      <c r="B32" s="1" t="s">
        <v>153</v>
      </c>
      <c r="C32" s="1"/>
      <c r="D32" s="1">
        <v>27.84</v>
      </c>
      <c r="E32" s="24">
        <v>80.84</v>
      </c>
      <c r="F32" s="24" t="s">
        <v>148</v>
      </c>
      <c r="G32" s="16">
        <f>E32*D32</f>
        <v>2250.5855999999999</v>
      </c>
      <c r="H32" s="1"/>
    </row>
    <row r="33" spans="1:8" x14ac:dyDescent="0.25">
      <c r="A33" s="43"/>
      <c r="B33" s="32" t="s">
        <v>6</v>
      </c>
      <c r="C33" s="33"/>
      <c r="D33" s="34"/>
      <c r="E33" s="25"/>
      <c r="F33" s="25"/>
      <c r="G33" s="17">
        <f>SUM(G31:G32)</f>
        <v>7164.5856000000003</v>
      </c>
      <c r="H33" s="5"/>
    </row>
    <row r="34" spans="1:8" x14ac:dyDescent="0.25">
      <c r="A34" s="6" t="s">
        <v>12</v>
      </c>
      <c r="B34" s="1" t="s">
        <v>1</v>
      </c>
      <c r="C34" s="1" t="s">
        <v>2</v>
      </c>
      <c r="D34" s="1" t="s">
        <v>3</v>
      </c>
      <c r="E34" s="24" t="s">
        <v>147</v>
      </c>
      <c r="F34" s="24"/>
      <c r="G34" s="1" t="s">
        <v>4</v>
      </c>
      <c r="H34" s="1"/>
    </row>
    <row r="35" spans="1:8" x14ac:dyDescent="0.25">
      <c r="A35" s="31"/>
      <c r="B35" s="1" t="s">
        <v>151</v>
      </c>
      <c r="C35" s="1"/>
      <c r="D35" s="1">
        <v>60</v>
      </c>
      <c r="E35" s="24">
        <v>1</v>
      </c>
      <c r="F35" s="24" t="s">
        <v>152</v>
      </c>
      <c r="G35" s="1">
        <f>E35*D35</f>
        <v>60</v>
      </c>
      <c r="H35" s="1"/>
    </row>
    <row r="36" spans="1:8" x14ac:dyDescent="0.25">
      <c r="A36" s="31"/>
      <c r="B36" s="1"/>
      <c r="C36" s="1"/>
      <c r="D36" s="1"/>
      <c r="E36" s="24"/>
      <c r="F36" s="24"/>
      <c r="G36" s="1"/>
      <c r="H36" s="1"/>
    </row>
    <row r="37" spans="1:8" x14ac:dyDescent="0.25">
      <c r="A37" s="31"/>
      <c r="B37" s="1"/>
      <c r="C37" s="1"/>
      <c r="D37" s="1"/>
      <c r="E37" s="24"/>
      <c r="F37" s="24"/>
      <c r="G37" s="1"/>
      <c r="H37" s="1"/>
    </row>
    <row r="38" spans="1:8" x14ac:dyDescent="0.25">
      <c r="A38" s="31"/>
      <c r="B38" s="1"/>
      <c r="C38" s="1"/>
      <c r="D38" s="1"/>
      <c r="E38" s="24"/>
      <c r="F38" s="24"/>
      <c r="G38" s="1"/>
      <c r="H38" s="1"/>
    </row>
    <row r="39" spans="1:8" x14ac:dyDescent="0.25">
      <c r="A39" s="31"/>
      <c r="B39" s="32" t="s">
        <v>6</v>
      </c>
      <c r="C39" s="33"/>
      <c r="D39" s="34"/>
      <c r="E39" s="25"/>
      <c r="F39" s="25"/>
      <c r="G39" s="14">
        <f>SUM(G35:G38)</f>
        <v>60</v>
      </c>
      <c r="H39" s="1"/>
    </row>
    <row r="40" spans="1:8" x14ac:dyDescent="0.25">
      <c r="A40" s="1"/>
      <c r="B40" s="38" t="s">
        <v>13</v>
      </c>
      <c r="C40" s="39"/>
      <c r="D40" s="40"/>
      <c r="E40" s="26"/>
      <c r="F40" s="26"/>
      <c r="G40" s="18">
        <f>G39+G33+G29+G19+G13+G7</f>
        <v>15850.185600000001</v>
      </c>
      <c r="H40" s="1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5:A19"/>
    <mergeCell ref="B19:D19"/>
    <mergeCell ref="A1:H1"/>
    <mergeCell ref="A3:A7"/>
    <mergeCell ref="B7:D7"/>
    <mergeCell ref="A9:A13"/>
    <mergeCell ref="B13:D13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abSelected="1" workbookViewId="0">
      <selection activeCell="H46" sqref="A1:H46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5" t="s">
        <v>18</v>
      </c>
      <c r="B1" s="36"/>
      <c r="C1" s="36"/>
      <c r="D1" s="36"/>
      <c r="E1" s="36"/>
      <c r="F1" s="36"/>
      <c r="G1" s="36"/>
      <c r="H1" s="3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7" t="s">
        <v>154</v>
      </c>
      <c r="F2" s="27"/>
      <c r="G2" s="1" t="s">
        <v>4</v>
      </c>
      <c r="H2" s="1" t="s">
        <v>5</v>
      </c>
    </row>
    <row r="3" spans="1:8" x14ac:dyDescent="0.25">
      <c r="A3" s="31" t="s">
        <v>36</v>
      </c>
      <c r="B3" s="1" t="s">
        <v>92</v>
      </c>
      <c r="C3" s="1" t="s">
        <v>93</v>
      </c>
      <c r="D3" s="1">
        <v>66</v>
      </c>
      <c r="E3" s="27">
        <v>63.08</v>
      </c>
      <c r="F3" s="27" t="s">
        <v>155</v>
      </c>
      <c r="G3" s="16">
        <f>E3*D3</f>
        <v>4163.28</v>
      </c>
      <c r="H3" s="1"/>
    </row>
    <row r="4" spans="1:8" x14ac:dyDescent="0.25">
      <c r="A4" s="31"/>
      <c r="B4" s="1"/>
      <c r="C4" s="1"/>
      <c r="D4" s="1"/>
      <c r="E4" s="27"/>
      <c r="F4" s="27"/>
      <c r="G4" s="1"/>
      <c r="H4" s="1"/>
    </row>
    <row r="5" spans="1:8" x14ac:dyDescent="0.25">
      <c r="A5" s="31"/>
      <c r="B5" s="1"/>
      <c r="C5" s="1"/>
      <c r="D5" s="1"/>
      <c r="E5" s="27"/>
      <c r="F5" s="27"/>
      <c r="G5" s="1"/>
      <c r="H5" s="1"/>
    </row>
    <row r="6" spans="1:8" x14ac:dyDescent="0.25">
      <c r="A6" s="31"/>
      <c r="B6" s="1"/>
      <c r="C6" s="1"/>
      <c r="D6" s="1"/>
      <c r="E6" s="28"/>
      <c r="F6" s="28"/>
      <c r="G6" s="3"/>
      <c r="H6" s="1"/>
    </row>
    <row r="7" spans="1:8" x14ac:dyDescent="0.25">
      <c r="A7" s="31"/>
      <c r="B7" s="32" t="s">
        <v>6</v>
      </c>
      <c r="C7" s="33"/>
      <c r="D7" s="34"/>
      <c r="E7" s="28"/>
      <c r="F7" s="28"/>
      <c r="G7" s="17">
        <f>SUM(G3:G6)</f>
        <v>4163.28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27" t="s">
        <v>154</v>
      </c>
      <c r="F8" s="27"/>
      <c r="G8" s="1" t="s">
        <v>4</v>
      </c>
      <c r="H8" s="1" t="s">
        <v>5</v>
      </c>
    </row>
    <row r="9" spans="1:8" x14ac:dyDescent="0.25">
      <c r="A9" s="31" t="s">
        <v>156</v>
      </c>
      <c r="B9" s="27" t="s">
        <v>158</v>
      </c>
      <c r="C9" s="13"/>
      <c r="D9" s="27">
        <v>40.799999999999997</v>
      </c>
      <c r="E9" s="27">
        <v>20</v>
      </c>
      <c r="F9" s="27" t="s">
        <v>155</v>
      </c>
      <c r="G9" s="1">
        <f>E9*D9</f>
        <v>816</v>
      </c>
      <c r="H9" s="1"/>
    </row>
    <row r="10" spans="1:8" x14ac:dyDescent="0.25">
      <c r="A10" s="31"/>
      <c r="B10" s="27" t="s">
        <v>157</v>
      </c>
      <c r="C10" s="1"/>
      <c r="D10" s="1">
        <v>171</v>
      </c>
      <c r="E10" s="27">
        <v>4</v>
      </c>
      <c r="F10" s="27" t="s">
        <v>155</v>
      </c>
      <c r="G10" s="27">
        <f>E10*D10</f>
        <v>684</v>
      </c>
      <c r="H10" s="1"/>
    </row>
    <row r="11" spans="1:8" x14ac:dyDescent="0.25">
      <c r="A11" s="31"/>
      <c r="B11" s="1"/>
      <c r="C11" s="1"/>
      <c r="D11" s="1"/>
      <c r="E11" s="27"/>
      <c r="F11" s="27"/>
      <c r="G11" s="1"/>
      <c r="H11" s="1"/>
    </row>
    <row r="12" spans="1:8" x14ac:dyDescent="0.25">
      <c r="A12" s="31"/>
      <c r="B12" s="1"/>
      <c r="C12" s="1"/>
      <c r="D12" s="1"/>
      <c r="E12" s="27"/>
      <c r="F12" s="27"/>
      <c r="G12" s="1"/>
      <c r="H12" s="1"/>
    </row>
    <row r="13" spans="1:8" x14ac:dyDescent="0.25">
      <c r="A13" s="31"/>
      <c r="B13" s="32" t="s">
        <v>6</v>
      </c>
      <c r="C13" s="33"/>
      <c r="D13" s="34"/>
      <c r="E13" s="28"/>
      <c r="F13" s="28"/>
      <c r="G13" s="14">
        <f>SUM(G9:G12)</f>
        <v>1500</v>
      </c>
      <c r="H13" s="1"/>
    </row>
    <row r="14" spans="1:8" x14ac:dyDescent="0.25">
      <c r="A14" s="1" t="s">
        <v>8</v>
      </c>
      <c r="B14" s="1" t="s">
        <v>1</v>
      </c>
      <c r="C14" s="1" t="s">
        <v>2</v>
      </c>
      <c r="D14" s="1" t="s">
        <v>3</v>
      </c>
      <c r="E14" s="27" t="s">
        <v>154</v>
      </c>
      <c r="F14" s="27"/>
      <c r="G14" s="1" t="s">
        <v>4</v>
      </c>
      <c r="H14" s="1" t="s">
        <v>5</v>
      </c>
    </row>
    <row r="15" spans="1:8" x14ac:dyDescent="0.25">
      <c r="A15" s="31" t="s">
        <v>37</v>
      </c>
      <c r="B15" s="1" t="s">
        <v>94</v>
      </c>
      <c r="C15" s="1" t="s">
        <v>51</v>
      </c>
      <c r="D15" s="1">
        <v>93</v>
      </c>
      <c r="E15" s="27">
        <v>10</v>
      </c>
      <c r="F15" s="27" t="s">
        <v>155</v>
      </c>
      <c r="G15" s="1">
        <f>E15*D15</f>
        <v>930</v>
      </c>
      <c r="H15" s="1"/>
    </row>
    <row r="16" spans="1:8" x14ac:dyDescent="0.25">
      <c r="A16" s="31"/>
      <c r="B16" s="1" t="s">
        <v>88</v>
      </c>
      <c r="C16" s="1" t="s">
        <v>59</v>
      </c>
      <c r="D16" s="1">
        <v>93</v>
      </c>
      <c r="E16" s="27">
        <v>8</v>
      </c>
      <c r="F16" s="27" t="s">
        <v>155</v>
      </c>
      <c r="G16" s="27">
        <f t="shared" ref="G16:G18" si="0">E16*D16</f>
        <v>744</v>
      </c>
      <c r="H16" s="1"/>
    </row>
    <row r="17" spans="1:8" x14ac:dyDescent="0.25">
      <c r="A17" s="31"/>
      <c r="B17" s="1" t="s">
        <v>43</v>
      </c>
      <c r="C17" s="1" t="s">
        <v>96</v>
      </c>
      <c r="D17" s="1">
        <v>45</v>
      </c>
      <c r="E17" s="27">
        <v>4</v>
      </c>
      <c r="F17" s="27" t="s">
        <v>155</v>
      </c>
      <c r="G17" s="27">
        <f t="shared" si="0"/>
        <v>180</v>
      </c>
      <c r="H17" s="1"/>
    </row>
    <row r="18" spans="1:8" x14ac:dyDescent="0.25">
      <c r="A18" s="31"/>
      <c r="B18" s="1" t="s">
        <v>95</v>
      </c>
      <c r="C18" s="1" t="s">
        <v>68</v>
      </c>
      <c r="D18" s="1">
        <v>22.5</v>
      </c>
      <c r="E18" s="28">
        <v>2</v>
      </c>
      <c r="F18" s="27" t="s">
        <v>155</v>
      </c>
      <c r="G18" s="27">
        <f t="shared" si="0"/>
        <v>45</v>
      </c>
      <c r="H18" s="1"/>
    </row>
    <row r="19" spans="1:8" x14ac:dyDescent="0.25">
      <c r="A19" s="31"/>
      <c r="B19" s="32" t="s">
        <v>6</v>
      </c>
      <c r="C19" s="33"/>
      <c r="D19" s="34"/>
      <c r="E19" s="28"/>
      <c r="F19" s="28"/>
      <c r="G19" s="14">
        <f>SUM(G15:G18)</f>
        <v>1899</v>
      </c>
      <c r="H19" s="1"/>
    </row>
    <row r="20" spans="1:8" x14ac:dyDescent="0.25">
      <c r="A20" s="4" t="s">
        <v>9</v>
      </c>
      <c r="B20" s="1" t="s">
        <v>1</v>
      </c>
      <c r="C20" s="1" t="s">
        <v>2</v>
      </c>
      <c r="D20" s="1" t="s">
        <v>3</v>
      </c>
      <c r="E20" s="27" t="s">
        <v>154</v>
      </c>
      <c r="F20" s="27"/>
      <c r="G20" s="1" t="s">
        <v>4</v>
      </c>
      <c r="H20" s="1" t="s">
        <v>5</v>
      </c>
    </row>
    <row r="21" spans="1:8" x14ac:dyDescent="0.25">
      <c r="A21" s="31"/>
      <c r="B21" s="1" t="s">
        <v>45</v>
      </c>
      <c r="C21" s="1" t="s">
        <v>49</v>
      </c>
      <c r="D21" s="1">
        <v>23.46</v>
      </c>
      <c r="E21" s="27">
        <v>5</v>
      </c>
      <c r="F21" s="27" t="s">
        <v>155</v>
      </c>
      <c r="G21" s="16">
        <f>E21*D21</f>
        <v>117.30000000000001</v>
      </c>
      <c r="H21" s="1"/>
    </row>
    <row r="22" spans="1:8" x14ac:dyDescent="0.25">
      <c r="A22" s="31"/>
      <c r="B22" s="1" t="s">
        <v>164</v>
      </c>
      <c r="C22" s="1"/>
      <c r="D22" s="1">
        <v>1188</v>
      </c>
      <c r="E22" s="27">
        <v>1</v>
      </c>
      <c r="F22" s="27" t="s">
        <v>167</v>
      </c>
      <c r="G22" s="16">
        <f t="shared" ref="G22:G30" si="1">E22*D22</f>
        <v>1188</v>
      </c>
      <c r="H22" s="1"/>
    </row>
    <row r="23" spans="1:8" x14ac:dyDescent="0.25">
      <c r="A23" s="31"/>
      <c r="B23" s="1" t="s">
        <v>158</v>
      </c>
      <c r="C23" s="1"/>
      <c r="D23" s="1">
        <v>40.799999999999997</v>
      </c>
      <c r="E23" s="27">
        <v>20</v>
      </c>
      <c r="F23" s="27" t="s">
        <v>155</v>
      </c>
      <c r="G23" s="16">
        <f t="shared" si="1"/>
        <v>816</v>
      </c>
      <c r="H23" s="1"/>
    </row>
    <row r="24" spans="1:8" x14ac:dyDescent="0.25">
      <c r="A24" s="31"/>
      <c r="B24" s="1" t="s">
        <v>165</v>
      </c>
      <c r="C24" s="1"/>
      <c r="D24" s="1">
        <v>630</v>
      </c>
      <c r="E24" s="27">
        <v>1</v>
      </c>
      <c r="F24" s="27" t="s">
        <v>166</v>
      </c>
      <c r="G24" s="16">
        <f t="shared" si="1"/>
        <v>630</v>
      </c>
      <c r="H24" s="1"/>
    </row>
    <row r="25" spans="1:8" x14ac:dyDescent="0.25">
      <c r="A25" s="31"/>
      <c r="B25" s="27" t="s">
        <v>168</v>
      </c>
      <c r="C25" s="27"/>
      <c r="D25" s="27">
        <v>60</v>
      </c>
      <c r="E25" s="27">
        <v>1</v>
      </c>
      <c r="F25" s="27" t="s">
        <v>163</v>
      </c>
      <c r="G25" s="16">
        <f t="shared" si="1"/>
        <v>60</v>
      </c>
      <c r="H25" s="27"/>
    </row>
    <row r="26" spans="1:8" x14ac:dyDescent="0.25">
      <c r="A26" s="31"/>
      <c r="B26" s="27" t="s">
        <v>169</v>
      </c>
      <c r="C26" s="27"/>
      <c r="D26" s="27">
        <v>4.5</v>
      </c>
      <c r="E26" s="27">
        <v>50</v>
      </c>
      <c r="F26" s="27" t="s">
        <v>160</v>
      </c>
      <c r="G26" s="16">
        <f t="shared" si="1"/>
        <v>225</v>
      </c>
      <c r="H26" s="27"/>
    </row>
    <row r="27" spans="1:8" x14ac:dyDescent="0.25">
      <c r="A27" s="31"/>
      <c r="B27" s="27" t="s">
        <v>170</v>
      </c>
      <c r="C27" s="27"/>
      <c r="D27" s="27">
        <v>240</v>
      </c>
      <c r="E27" s="27">
        <v>1</v>
      </c>
      <c r="F27" s="27" t="s">
        <v>174</v>
      </c>
      <c r="G27" s="16">
        <f t="shared" si="1"/>
        <v>240</v>
      </c>
      <c r="H27" s="27"/>
    </row>
    <row r="28" spans="1:8" x14ac:dyDescent="0.25">
      <c r="A28" s="31"/>
      <c r="B28" s="27" t="s">
        <v>171</v>
      </c>
      <c r="C28" s="27"/>
      <c r="D28" s="27">
        <v>250</v>
      </c>
      <c r="E28" s="27">
        <v>1</v>
      </c>
      <c r="F28" s="27" t="s">
        <v>167</v>
      </c>
      <c r="G28" s="16">
        <f t="shared" si="1"/>
        <v>250</v>
      </c>
      <c r="H28" s="27"/>
    </row>
    <row r="29" spans="1:8" x14ac:dyDescent="0.25">
      <c r="A29" s="31"/>
      <c r="B29" s="27" t="s">
        <v>172</v>
      </c>
      <c r="C29" s="27"/>
      <c r="D29" s="27">
        <v>235</v>
      </c>
      <c r="E29" s="27">
        <v>2</v>
      </c>
      <c r="F29" s="27" t="s">
        <v>175</v>
      </c>
      <c r="G29" s="16">
        <f t="shared" si="1"/>
        <v>470</v>
      </c>
      <c r="H29" s="27"/>
    </row>
    <row r="30" spans="1:8" x14ac:dyDescent="0.25">
      <c r="A30" s="31"/>
      <c r="B30" s="27" t="s">
        <v>173</v>
      </c>
      <c r="C30" s="27"/>
      <c r="D30" s="27">
        <v>270</v>
      </c>
      <c r="E30" s="27">
        <v>2</v>
      </c>
      <c r="F30" s="27" t="s">
        <v>176</v>
      </c>
      <c r="G30" s="16">
        <f t="shared" si="1"/>
        <v>540</v>
      </c>
      <c r="H30" s="27"/>
    </row>
    <row r="31" spans="1:8" x14ac:dyDescent="0.25">
      <c r="A31" s="31"/>
      <c r="B31" s="32" t="s">
        <v>6</v>
      </c>
      <c r="C31" s="33"/>
      <c r="D31" s="34"/>
      <c r="E31" s="28"/>
      <c r="F31" s="28"/>
      <c r="G31" s="17">
        <f>SUM(G21:G30)</f>
        <v>4536.3</v>
      </c>
      <c r="H31" s="1"/>
    </row>
    <row r="32" spans="1:8" x14ac:dyDescent="0.25">
      <c r="A32" s="1" t="s">
        <v>10</v>
      </c>
      <c r="B32" s="1" t="s">
        <v>1</v>
      </c>
      <c r="C32" s="1" t="s">
        <v>2</v>
      </c>
      <c r="D32" s="1" t="s">
        <v>3</v>
      </c>
      <c r="E32" s="27" t="s">
        <v>154</v>
      </c>
      <c r="F32" s="27"/>
      <c r="G32" s="1" t="s">
        <v>4</v>
      </c>
      <c r="H32" s="1" t="s">
        <v>5</v>
      </c>
    </row>
    <row r="33" spans="1:8" x14ac:dyDescent="0.25">
      <c r="A33" s="31" t="s">
        <v>38</v>
      </c>
      <c r="B33" s="1" t="s">
        <v>39</v>
      </c>
      <c r="C33" s="1"/>
      <c r="D33" s="1"/>
      <c r="E33" s="27"/>
      <c r="F33" s="27"/>
      <c r="G33" s="1"/>
      <c r="H33" s="1" t="s">
        <v>40</v>
      </c>
    </row>
    <row r="34" spans="1:8" x14ac:dyDescent="0.25">
      <c r="A34" s="31"/>
      <c r="B34" s="1"/>
      <c r="C34" s="1"/>
      <c r="D34" s="1"/>
      <c r="E34" s="27"/>
      <c r="F34" s="27"/>
      <c r="G34" s="1"/>
      <c r="H34" s="1"/>
    </row>
    <row r="35" spans="1:8" x14ac:dyDescent="0.25">
      <c r="A35" s="31"/>
      <c r="B35" s="32" t="s">
        <v>6</v>
      </c>
      <c r="C35" s="33"/>
      <c r="D35" s="34"/>
      <c r="E35" s="28"/>
      <c r="F35" s="28"/>
      <c r="G35" s="3"/>
      <c r="H35" s="1"/>
    </row>
    <row r="36" spans="1:8" x14ac:dyDescent="0.25">
      <c r="A36" s="1" t="s">
        <v>11</v>
      </c>
      <c r="B36" s="1" t="s">
        <v>1</v>
      </c>
      <c r="C36" s="1" t="s">
        <v>2</v>
      </c>
      <c r="D36" s="1" t="s">
        <v>3</v>
      </c>
      <c r="E36" s="28" t="s">
        <v>154</v>
      </c>
      <c r="F36" s="28"/>
      <c r="G36" s="3" t="s">
        <v>4</v>
      </c>
      <c r="H36" s="1" t="s">
        <v>5</v>
      </c>
    </row>
    <row r="37" spans="1:8" x14ac:dyDescent="0.25">
      <c r="A37" s="41"/>
      <c r="B37" s="1" t="s">
        <v>177</v>
      </c>
      <c r="C37" s="1"/>
      <c r="D37" s="1">
        <v>27.84</v>
      </c>
      <c r="E37" s="27">
        <v>55.5</v>
      </c>
      <c r="F37" s="27" t="s">
        <v>178</v>
      </c>
      <c r="G37" s="16">
        <f>E37*D37</f>
        <v>1545.12</v>
      </c>
      <c r="H37" s="1"/>
    </row>
    <row r="38" spans="1:8" x14ac:dyDescent="0.25">
      <c r="A38" s="42"/>
      <c r="B38" s="1" t="s">
        <v>179</v>
      </c>
      <c r="C38" s="1"/>
      <c r="D38" s="1">
        <v>55.08</v>
      </c>
      <c r="E38" s="27">
        <v>60</v>
      </c>
      <c r="F38" s="30" t="s">
        <v>178</v>
      </c>
      <c r="G38" s="16">
        <f>E38*D38</f>
        <v>3304.7999999999997</v>
      </c>
      <c r="H38" s="1"/>
    </row>
    <row r="39" spans="1:8" x14ac:dyDescent="0.25">
      <c r="A39" s="43"/>
      <c r="B39" s="32" t="s">
        <v>6</v>
      </c>
      <c r="C39" s="33"/>
      <c r="D39" s="34"/>
      <c r="E39" s="28"/>
      <c r="F39" s="28"/>
      <c r="G39" s="17">
        <f>SUM(G37:G38)</f>
        <v>4849.92</v>
      </c>
      <c r="H39" s="5"/>
    </row>
    <row r="40" spans="1:8" x14ac:dyDescent="0.25">
      <c r="A40" s="6" t="s">
        <v>12</v>
      </c>
      <c r="B40" s="1" t="s">
        <v>1</v>
      </c>
      <c r="C40" s="1" t="s">
        <v>2</v>
      </c>
      <c r="D40" s="1" t="s">
        <v>3</v>
      </c>
      <c r="E40" s="27" t="s">
        <v>154</v>
      </c>
      <c r="F40" s="27"/>
      <c r="G40" s="1" t="s">
        <v>4</v>
      </c>
      <c r="H40" s="1"/>
    </row>
    <row r="41" spans="1:8" x14ac:dyDescent="0.25">
      <c r="A41" s="31"/>
      <c r="B41" s="1" t="s">
        <v>159</v>
      </c>
      <c r="C41" s="1"/>
      <c r="D41" s="1">
        <v>10</v>
      </c>
      <c r="E41" s="27">
        <v>25</v>
      </c>
      <c r="F41" s="27" t="s">
        <v>160</v>
      </c>
      <c r="G41" s="1">
        <f>E41*D41</f>
        <v>250</v>
      </c>
      <c r="H41" s="1"/>
    </row>
    <row r="42" spans="1:8" x14ac:dyDescent="0.25">
      <c r="A42" s="31"/>
      <c r="B42" s="1" t="s">
        <v>161</v>
      </c>
      <c r="C42" s="1"/>
      <c r="D42" s="1">
        <v>69</v>
      </c>
      <c r="E42" s="27">
        <v>25</v>
      </c>
      <c r="F42" s="27" t="s">
        <v>160</v>
      </c>
      <c r="G42" s="19"/>
      <c r="H42" s="1"/>
    </row>
    <row r="43" spans="1:8" x14ac:dyDescent="0.25">
      <c r="A43" s="31"/>
      <c r="B43" s="1" t="s">
        <v>162</v>
      </c>
      <c r="C43" s="1"/>
      <c r="D43" s="1">
        <v>50</v>
      </c>
      <c r="E43" s="27">
        <v>1</v>
      </c>
      <c r="F43" s="27" t="s">
        <v>163</v>
      </c>
      <c r="G43" s="1">
        <f>D43*E43</f>
        <v>50</v>
      </c>
      <c r="H43" s="1"/>
    </row>
    <row r="44" spans="1:8" x14ac:dyDescent="0.25">
      <c r="A44" s="31"/>
      <c r="B44" s="1"/>
      <c r="C44" s="1"/>
      <c r="D44" s="1"/>
      <c r="E44" s="27"/>
      <c r="F44" s="27"/>
      <c r="G44" s="1"/>
      <c r="H44" s="1"/>
    </row>
    <row r="45" spans="1:8" x14ac:dyDescent="0.25">
      <c r="A45" s="31"/>
      <c r="B45" s="32" t="s">
        <v>6</v>
      </c>
      <c r="C45" s="33"/>
      <c r="D45" s="34"/>
      <c r="E45" s="28"/>
      <c r="F45" s="28"/>
      <c r="G45" s="14">
        <f>SUM(G41:G44)</f>
        <v>300</v>
      </c>
      <c r="H45" s="1"/>
    </row>
    <row r="46" spans="1:8" x14ac:dyDescent="0.25">
      <c r="A46" s="1"/>
      <c r="B46" s="38" t="s">
        <v>13</v>
      </c>
      <c r="C46" s="39"/>
      <c r="D46" s="40"/>
      <c r="E46" s="29"/>
      <c r="F46" s="29"/>
      <c r="G46" s="18">
        <f>G45+G31+G19+G13+G7+G39</f>
        <v>17248.5</v>
      </c>
      <c r="H46" s="1"/>
    </row>
  </sheetData>
  <mergeCells count="16">
    <mergeCell ref="A41:A45"/>
    <mergeCell ref="B45:D45"/>
    <mergeCell ref="B46:D46"/>
    <mergeCell ref="A21:A31"/>
    <mergeCell ref="B31:D31"/>
    <mergeCell ref="A33:A35"/>
    <mergeCell ref="B35:D35"/>
    <mergeCell ref="A37:A39"/>
    <mergeCell ref="B39:D39"/>
    <mergeCell ref="A15:A19"/>
    <mergeCell ref="B19:D19"/>
    <mergeCell ref="A1:H1"/>
    <mergeCell ref="A3:A7"/>
    <mergeCell ref="B7:D7"/>
    <mergeCell ref="A9:A13"/>
    <mergeCell ref="B13:D13"/>
  </mergeCells>
  <phoneticPr fontId="2" type="noConversion"/>
  <pageMargins left="0.7" right="0.7" top="0.75" bottom="0.75" header="0.3" footer="0.3"/>
  <pageSetup paperSize="9" scale="9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0930</vt:lpstr>
      <vt:lpstr>1001</vt:lpstr>
      <vt:lpstr>1002</vt:lpstr>
      <vt:lpstr>1003</vt:lpstr>
      <vt:lpstr>1004</vt:lpstr>
      <vt:lpstr>'0930'!Print_Area</vt:lpstr>
      <vt:lpstr>'1001'!Print_Area</vt:lpstr>
      <vt:lpstr>'1002'!Print_Area</vt:lpstr>
      <vt:lpstr>'1003'!Print_Area</vt:lpstr>
      <vt:lpstr>'1004'!Print_Area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2024-10-08T05:54:03Z</cp:lastPrinted>
  <dcterms:created xsi:type="dcterms:W3CDTF">2024-09-12T07:10:28Z</dcterms:created>
  <dcterms:modified xsi:type="dcterms:W3CDTF">2024-10-08T05:59:04Z</dcterms:modified>
</cp:coreProperties>
</file>