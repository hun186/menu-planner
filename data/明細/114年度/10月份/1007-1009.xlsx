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10月份\"/>
    </mc:Choice>
  </mc:AlternateContent>
  <bookViews>
    <workbookView xWindow="0" yWindow="0" windowWidth="28770" windowHeight="11565" activeTab="3"/>
  </bookViews>
  <sheets>
    <sheet name="1006休" sheetId="1" r:id="rId1"/>
    <sheet name="1007" sheetId="2" r:id="rId2"/>
    <sheet name="1008" sheetId="3" r:id="rId3"/>
    <sheet name="1009" sheetId="4" r:id="rId4"/>
    <sheet name="1010休" sheetId="5" r:id="rId5"/>
  </sheets>
  <definedNames>
    <definedName name="_xlnm.Print_Area" localSheetId="0">'1006休'!$A$1:$H$49</definedName>
    <definedName name="_xlnm.Print_Area" localSheetId="1">'1007'!$A$1:$H$52</definedName>
    <definedName name="_xlnm.Print_Area" localSheetId="2">'1008'!$A$1:$H$50</definedName>
    <definedName name="_xlnm.Print_Area" localSheetId="3">'1009'!$A$1:$H$60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0" i="4" l="1"/>
  <c r="G59" i="4"/>
  <c r="G27" i="4"/>
  <c r="G58" i="4"/>
  <c r="G57" i="4"/>
  <c r="G56" i="4"/>
  <c r="G55" i="4"/>
  <c r="G54" i="4"/>
  <c r="G53" i="4"/>
  <c r="G52" i="4"/>
  <c r="G51" i="4"/>
  <c r="G50" i="4"/>
  <c r="G49" i="4"/>
  <c r="G48" i="4"/>
  <c r="G47" i="4"/>
  <c r="G35" i="4"/>
  <c r="G34" i="4"/>
  <c r="G23" i="4"/>
  <c r="G24" i="4"/>
  <c r="G25" i="4"/>
  <c r="G26" i="4"/>
  <c r="G22" i="4"/>
  <c r="G17" i="4"/>
  <c r="G16" i="4"/>
  <c r="G14" i="4"/>
  <c r="G10" i="4"/>
  <c r="G11" i="4"/>
  <c r="G9" i="4"/>
  <c r="G3" i="4"/>
  <c r="G39" i="4"/>
  <c r="G40" i="4"/>
  <c r="G41" i="4"/>
  <c r="G42" i="4"/>
  <c r="G43" i="4"/>
  <c r="G44" i="4"/>
  <c r="G45" i="4"/>
  <c r="G46" i="4"/>
  <c r="G38" i="4"/>
  <c r="G9" i="3" l="1"/>
  <c r="G17" i="3"/>
  <c r="G23" i="3"/>
  <c r="G31" i="3"/>
  <c r="G36" i="3"/>
  <c r="G40" i="3"/>
  <c r="G41" i="3"/>
  <c r="G42" i="3" s="1"/>
  <c r="G50" i="3" s="1"/>
  <c r="G20" i="3"/>
  <c r="G19" i="3"/>
  <c r="G4" i="3"/>
  <c r="G5" i="3"/>
  <c r="G6" i="3"/>
  <c r="G52" i="2"/>
  <c r="G48" i="2"/>
  <c r="G47" i="2"/>
  <c r="G32" i="2"/>
  <c r="G29" i="2"/>
  <c r="G30" i="2"/>
  <c r="G31" i="2"/>
  <c r="G28" i="2"/>
  <c r="G39" i="2"/>
  <c r="G7" i="2"/>
  <c r="G14" i="2"/>
  <c r="G39" i="3" l="1"/>
  <c r="G38" i="3"/>
  <c r="G12" i="3"/>
  <c r="G13" i="3"/>
  <c r="G14" i="3"/>
  <c r="G11" i="3"/>
  <c r="G30" i="3"/>
  <c r="G29" i="3"/>
  <c r="G26" i="3"/>
  <c r="G27" i="3"/>
  <c r="G25" i="3"/>
  <c r="G34" i="3"/>
  <c r="G33" i="3"/>
  <c r="G3" i="3"/>
  <c r="G45" i="3"/>
  <c r="G46" i="3"/>
  <c r="G47" i="3"/>
  <c r="G48" i="3"/>
  <c r="G44" i="3"/>
  <c r="G49" i="3" l="1"/>
  <c r="G25" i="2"/>
  <c r="G26" i="2"/>
  <c r="G27" i="2"/>
  <c r="G35" i="2"/>
  <c r="G24" i="2"/>
  <c r="G44" i="2"/>
  <c r="G10" i="2"/>
  <c r="G9" i="2"/>
  <c r="G17" i="2"/>
  <c r="G18" i="2"/>
  <c r="G19" i="2"/>
  <c r="G20" i="2"/>
  <c r="G16" i="2"/>
  <c r="G38" i="2"/>
  <c r="G4" i="2"/>
  <c r="G5" i="2"/>
  <c r="G6" i="2"/>
  <c r="G3" i="2"/>
  <c r="G43" i="2"/>
  <c r="G22" i="2" l="1"/>
  <c r="G36" i="2"/>
  <c r="G45" i="1"/>
  <c r="G46" i="1"/>
  <c r="G17" i="1"/>
  <c r="G18" i="1"/>
  <c r="G19" i="1"/>
  <c r="G3" i="1"/>
  <c r="G44" i="1" l="1"/>
  <c r="G48" i="1" s="1"/>
  <c r="G16" i="1"/>
  <c r="G20" i="1" s="1"/>
  <c r="G40" i="1"/>
  <c r="G42" i="1" s="1"/>
  <c r="G29" i="1"/>
  <c r="G28" i="1"/>
  <c r="G27" i="1"/>
  <c r="G24" i="1" l="1"/>
  <c r="G25" i="1"/>
  <c r="G26" i="1"/>
  <c r="G23" i="1"/>
  <c r="G22" i="1"/>
  <c r="G10" i="1"/>
  <c r="G11" i="1"/>
  <c r="G12" i="1"/>
  <c r="G9" i="1"/>
  <c r="G33" i="1" l="1"/>
  <c r="G14" i="1"/>
  <c r="G46" i="5"/>
  <c r="G40" i="5"/>
  <c r="G36" i="5"/>
  <c r="G22" i="5"/>
  <c r="G16" i="5"/>
  <c r="G8" i="5"/>
  <c r="G36" i="4"/>
  <c r="G32" i="4"/>
  <c r="G20" i="4"/>
  <c r="G7" i="4"/>
  <c r="G51" i="2"/>
  <c r="G45" i="2"/>
  <c r="G41" i="2"/>
  <c r="G38" i="1"/>
  <c r="G7" i="1"/>
  <c r="G49" i="1" l="1"/>
  <c r="G47" i="5"/>
</calcChain>
</file>

<file path=xl/sharedStrings.xml><?xml version="1.0" encoding="utf-8"?>
<sst xmlns="http://schemas.openxmlformats.org/spreadsheetml/2006/main" count="456" uniqueCount="141">
  <si>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</si>
  <si>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</si>
  <si>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</si>
  <si>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</si>
  <si>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</si>
  <si>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</si>
  <si>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</si>
  <si>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</si>
  <si>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</si>
  <si>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</si>
  <si>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</si>
  <si>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</si>
  <si>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</si>
  <si>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</si>
  <si>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</si>
  <si>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</si>
  <si>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</si>
  <si>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</si>
  <si>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</si>
  <si>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</si>
  <si>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小籠包</t>
    <phoneticPr fontId="2" type="noConversion"/>
  </si>
  <si>
    <t>包</t>
    <phoneticPr fontId="2" type="noConversion"/>
  </si>
  <si>
    <t>早餐</t>
    <phoneticPr fontId="2" type="noConversion"/>
  </si>
  <si>
    <t>晚餐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</si>
  <si>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</si>
  <si>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斤</t>
  </si>
  <si>
    <t>合      計</t>
    <phoneticPr fontId="2" type="noConversion"/>
  </si>
  <si>
    <t>杏鮑菇</t>
    <phoneticPr fontId="2" type="noConversion"/>
  </si>
  <si>
    <t>電訊科技中心(安康營區)     114年     10月   6日      午餐明細表</t>
    <phoneticPr fontId="2" type="noConversion"/>
  </si>
  <si>
    <t>電訊科技中心(安康營區)     114年      10月   7日      午餐明細表</t>
    <phoneticPr fontId="2" type="noConversion"/>
  </si>
  <si>
    <t>電訊科技中心(安康營區)     114年      10月   8日      午餐明細表</t>
    <phoneticPr fontId="2" type="noConversion"/>
  </si>
  <si>
    <t>電訊科技中心(安康營區)     114年      10月   9日      午餐明細表</t>
    <phoneticPr fontId="2" type="noConversion"/>
  </si>
  <si>
    <t>電訊科技中心(安康營區)     114年      10月   10日      午餐明細表</t>
    <phoneticPr fontId="2" type="noConversion"/>
  </si>
  <si>
    <t>蔥油雞</t>
    <phoneticPr fontId="2" type="noConversion"/>
  </si>
  <si>
    <t>涼拌豆皮</t>
    <phoneticPr fontId="2" type="noConversion"/>
  </si>
  <si>
    <t>菜圃蛋</t>
    <phoneticPr fontId="2" type="noConversion"/>
  </si>
  <si>
    <t>金針肉絲湯</t>
    <phoneticPr fontId="2" type="noConversion"/>
  </si>
  <si>
    <t>金針</t>
    <phoneticPr fontId="2" type="noConversion"/>
  </si>
  <si>
    <t>庫存</t>
    <phoneticPr fontId="2" type="noConversion"/>
  </si>
  <si>
    <t>肉絲</t>
    <phoneticPr fontId="2" type="noConversion"/>
  </si>
  <si>
    <t>斤</t>
    <phoneticPr fontId="2" type="noConversion"/>
  </si>
  <si>
    <t>棒腿</t>
    <phoneticPr fontId="2" type="noConversion"/>
  </si>
  <si>
    <t>去皮洋蔥</t>
    <phoneticPr fontId="2" type="noConversion"/>
  </si>
  <si>
    <t>青蔥</t>
    <phoneticPr fontId="2" type="noConversion"/>
  </si>
  <si>
    <t>薑絲</t>
    <phoneticPr fontId="2" type="noConversion"/>
  </si>
  <si>
    <t>炸豆皮</t>
    <phoneticPr fontId="2" type="noConversion"/>
  </si>
  <si>
    <t>蒜泥</t>
    <phoneticPr fontId="2" type="noConversion"/>
  </si>
  <si>
    <t>菜圃碎</t>
    <phoneticPr fontId="2" type="noConversion"/>
  </si>
  <si>
    <t>雞蛋</t>
    <phoneticPr fontId="2" type="noConversion"/>
  </si>
  <si>
    <t>辣椒</t>
    <phoneticPr fontId="2" type="noConversion"/>
  </si>
  <si>
    <t>蒜仁</t>
    <phoneticPr fontId="2" type="noConversion"/>
  </si>
  <si>
    <t>鋁箔包飲料</t>
    <phoneticPr fontId="2" type="noConversion"/>
  </si>
  <si>
    <t>半</t>
    <phoneticPr fontId="2" type="noConversion"/>
  </si>
  <si>
    <t>五穀米</t>
    <phoneticPr fontId="2" type="noConversion"/>
  </si>
  <si>
    <t>芥花油</t>
    <phoneticPr fontId="2" type="noConversion"/>
  </si>
  <si>
    <t>板豆腐</t>
    <phoneticPr fontId="2" type="noConversion"/>
  </si>
  <si>
    <t>烏龍麵</t>
    <phoneticPr fontId="2" type="noConversion"/>
  </si>
  <si>
    <t>盒</t>
    <phoneticPr fontId="2" type="noConversion"/>
  </si>
  <si>
    <t>黑胡椒豬柳</t>
    <phoneticPr fontId="2" type="noConversion"/>
  </si>
  <si>
    <t>泰式鮑菇</t>
    <phoneticPr fontId="2" type="noConversion"/>
  </si>
  <si>
    <t>涼拌海帶根</t>
    <phoneticPr fontId="2" type="noConversion"/>
  </si>
  <si>
    <t>蘿蔔排骨湯</t>
    <phoneticPr fontId="2" type="noConversion"/>
  </si>
  <si>
    <t>白蘿蔔</t>
    <phoneticPr fontId="2" type="noConversion"/>
  </si>
  <si>
    <t>軟排</t>
    <phoneticPr fontId="2" type="noConversion"/>
  </si>
  <si>
    <t>前腿肉柳</t>
    <phoneticPr fontId="2" type="noConversion"/>
  </si>
  <si>
    <t>黑胡椒醬</t>
    <phoneticPr fontId="2" type="noConversion"/>
  </si>
  <si>
    <t>去皮洋蔥</t>
    <phoneticPr fontId="2" type="noConversion"/>
  </si>
  <si>
    <t>燒雞醬</t>
    <phoneticPr fontId="2" type="noConversion"/>
  </si>
  <si>
    <t>杏鮑菇</t>
    <phoneticPr fontId="2" type="noConversion"/>
  </si>
  <si>
    <t>中筋麵粉</t>
    <phoneticPr fontId="2" type="noConversion"/>
  </si>
  <si>
    <t>海帶根</t>
    <phoneticPr fontId="2" type="noConversion"/>
  </si>
  <si>
    <t>薑絲</t>
    <phoneticPr fontId="2" type="noConversion"/>
  </si>
  <si>
    <t>斤</t>
    <phoneticPr fontId="2" type="noConversion"/>
  </si>
  <si>
    <t>乳瑪琳(小)</t>
    <phoneticPr fontId="2" type="noConversion"/>
  </si>
  <si>
    <t>罐</t>
    <phoneticPr fontId="2" type="noConversion"/>
  </si>
  <si>
    <t>桶</t>
    <phoneticPr fontId="2" type="noConversion"/>
  </si>
  <si>
    <t>瓶</t>
    <phoneticPr fontId="2" type="noConversion"/>
  </si>
  <si>
    <t>烤腿排</t>
    <phoneticPr fontId="2" type="noConversion"/>
  </si>
  <si>
    <t>大黃瓜竹輪</t>
    <phoneticPr fontId="2" type="noConversion"/>
  </si>
  <si>
    <t>焗烤馬鈴薯</t>
    <phoneticPr fontId="2" type="noConversion"/>
  </si>
  <si>
    <t>綠豆薏仁湯</t>
    <phoneticPr fontId="2" type="noConversion"/>
  </si>
  <si>
    <t>綠豆</t>
    <phoneticPr fontId="2" type="noConversion"/>
  </si>
  <si>
    <t>薏仁</t>
    <phoneticPr fontId="2" type="noConversion"/>
  </si>
  <si>
    <t>庫存</t>
    <phoneticPr fontId="2" type="noConversion"/>
  </si>
  <si>
    <t>雞翅</t>
    <phoneticPr fontId="2" type="noConversion"/>
  </si>
  <si>
    <t>包</t>
    <phoneticPr fontId="2" type="noConversion"/>
  </si>
  <si>
    <t>腿排</t>
    <phoneticPr fontId="2" type="noConversion"/>
  </si>
  <si>
    <t>切片大黃瓜</t>
    <phoneticPr fontId="2" type="noConversion"/>
  </si>
  <si>
    <t>竹輪</t>
    <phoneticPr fontId="2" type="noConversion"/>
  </si>
  <si>
    <t>川耳</t>
    <phoneticPr fontId="2" type="noConversion"/>
  </si>
  <si>
    <t>去皮馬鈴薯</t>
    <phoneticPr fontId="2" type="noConversion"/>
  </si>
  <si>
    <t>乳酪絲</t>
    <phoneticPr fontId="2" type="noConversion"/>
  </si>
  <si>
    <t>香腸</t>
    <phoneticPr fontId="2" type="noConversion"/>
  </si>
  <si>
    <t>滷蛋</t>
    <phoneticPr fontId="2" type="noConversion"/>
  </si>
  <si>
    <t>五花絞肉</t>
    <phoneticPr fontId="2" type="noConversion"/>
  </si>
  <si>
    <t>粒</t>
    <phoneticPr fontId="2" type="noConversion"/>
  </si>
  <si>
    <t>件</t>
    <phoneticPr fontId="2" type="noConversion"/>
  </si>
  <si>
    <t>湯包</t>
    <phoneticPr fontId="2" type="noConversion"/>
  </si>
  <si>
    <t>個</t>
    <phoneticPr fontId="2" type="noConversion"/>
  </si>
  <si>
    <t>前腿肉片</t>
    <phoneticPr fontId="2" type="noConversion"/>
  </si>
  <si>
    <t>斤</t>
    <phoneticPr fontId="2" type="noConversion"/>
  </si>
  <si>
    <t>高麗菜</t>
    <phoneticPr fontId="2" type="noConversion"/>
  </si>
  <si>
    <t>香蕉</t>
    <phoneticPr fontId="2" type="noConversion"/>
  </si>
  <si>
    <t>冷凍青花菜</t>
    <phoneticPr fontId="2" type="noConversion"/>
  </si>
  <si>
    <t>包</t>
    <phoneticPr fontId="2" type="noConversion"/>
  </si>
  <si>
    <t>紅蘿蔔</t>
    <phoneticPr fontId="2" type="noConversion"/>
  </si>
  <si>
    <t>鮮木耳</t>
    <phoneticPr fontId="2" type="noConversion"/>
  </si>
  <si>
    <t>香蕉</t>
    <phoneticPr fontId="2" type="noConversion"/>
  </si>
  <si>
    <t>鍋貼</t>
    <phoneticPr fontId="2" type="noConversion"/>
  </si>
  <si>
    <t>個</t>
    <phoneticPr fontId="2" type="noConversion"/>
  </si>
  <si>
    <t>嫩精粉</t>
    <phoneticPr fontId="2" type="noConversion"/>
  </si>
  <si>
    <t>罐</t>
    <phoneticPr fontId="2" type="noConversion"/>
  </si>
  <si>
    <t>蜂蜜</t>
    <phoneticPr fontId="2" type="noConversion"/>
  </si>
  <si>
    <t>桶</t>
    <phoneticPr fontId="2" type="noConversion"/>
  </si>
  <si>
    <t>冷凍青花菜</t>
    <phoneticPr fontId="2" type="noConversion"/>
  </si>
  <si>
    <t>包</t>
    <phoneticPr fontId="2" type="noConversion"/>
  </si>
  <si>
    <t>胡椒鹽</t>
    <phoneticPr fontId="2" type="noConversion"/>
  </si>
  <si>
    <t>盒</t>
    <phoneticPr fontId="2" type="noConversion"/>
  </si>
  <si>
    <t>檸檬汁</t>
    <phoneticPr fontId="2" type="noConversion"/>
  </si>
  <si>
    <t>油麵</t>
    <phoneticPr fontId="2" type="noConversion"/>
  </si>
  <si>
    <t>斤</t>
    <phoneticPr fontId="2" type="noConversion"/>
  </si>
  <si>
    <t>鯛魚片</t>
    <phoneticPr fontId="2" type="noConversion"/>
  </si>
  <si>
    <t>絲瓜</t>
    <phoneticPr fontId="2" type="noConversion"/>
  </si>
  <si>
    <t>苦瓜</t>
    <phoneticPr fontId="2" type="noConversion"/>
  </si>
  <si>
    <t>鹹蛋</t>
    <phoneticPr fontId="2" type="noConversion"/>
  </si>
  <si>
    <t>大西瓜</t>
    <phoneticPr fontId="2" type="noConversion"/>
  </si>
  <si>
    <t>綠豆芽</t>
    <phoneticPr fontId="2" type="noConversion"/>
  </si>
  <si>
    <t>沙拉油</t>
    <phoneticPr fontId="2" type="noConversion"/>
  </si>
  <si>
    <t>調理米酒</t>
    <phoneticPr fontId="2" type="noConversion"/>
  </si>
  <si>
    <t>瓶</t>
    <phoneticPr fontId="2" type="noConversion"/>
  </si>
  <si>
    <t>洗選蛋</t>
    <phoneticPr fontId="2" type="noConversion"/>
  </si>
  <si>
    <t>味霖</t>
    <phoneticPr fontId="2" type="noConversion"/>
  </si>
  <si>
    <t>白芝麻</t>
    <phoneticPr fontId="2" type="noConversion"/>
  </si>
  <si>
    <t>醬油</t>
    <phoneticPr fontId="2" type="noConversion"/>
  </si>
  <si>
    <t>油膏</t>
    <phoneticPr fontId="2" type="noConversion"/>
  </si>
  <si>
    <t>三好米</t>
    <phoneticPr fontId="2" type="noConversion"/>
  </si>
  <si>
    <t>二砂</t>
    <phoneticPr fontId="2" type="noConversion"/>
  </si>
  <si>
    <t>袋</t>
    <phoneticPr fontId="2" type="noConversion"/>
  </si>
  <si>
    <t>前腿肉片</t>
    <phoneticPr fontId="2" type="noConversion"/>
  </si>
  <si>
    <t>番茄</t>
    <phoneticPr fontId="2" type="noConversion"/>
  </si>
  <si>
    <t>九層塔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</si>
</sst>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workbookViewId="0">
      <selection activeCell="B35" sqref="B3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2" t="s">
        <v>28</v>
      </c>
      <c r="B1" s="53"/>
      <c r="C1" s="53"/>
      <c r="D1" s="53"/>
      <c r="E1" s="53"/>
      <c r="F1" s="53"/>
      <c r="G1" s="53"/>
      <c r="H1" s="5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8"/>
      <c r="B3" s="1"/>
      <c r="C3" s="1"/>
      <c r="D3" s="1"/>
      <c r="E3" s="21"/>
      <c r="F3" s="21"/>
      <c r="G3" s="22">
        <f>D3*E3</f>
        <v>0</v>
      </c>
      <c r="H3" s="1"/>
    </row>
    <row r="4" spans="1:8" x14ac:dyDescent="0.25">
      <c r="A4" s="48"/>
      <c r="B4" s="11"/>
      <c r="C4" s="11"/>
      <c r="D4" s="11"/>
      <c r="E4" s="11"/>
      <c r="F4" s="32"/>
      <c r="G4" s="2"/>
      <c r="H4" s="1"/>
    </row>
    <row r="5" spans="1:8" x14ac:dyDescent="0.25">
      <c r="A5" s="48"/>
      <c r="B5" s="1"/>
      <c r="C5" s="1"/>
      <c r="D5" s="1"/>
      <c r="E5" s="1"/>
      <c r="F5" s="1"/>
      <c r="G5" s="1"/>
      <c r="H5" s="1"/>
    </row>
    <row r="6" spans="1:8" x14ac:dyDescent="0.25">
      <c r="A6" s="48"/>
      <c r="B6" s="1"/>
      <c r="C6" s="1"/>
      <c r="D6" s="1"/>
      <c r="E6" s="3"/>
      <c r="F6" s="31"/>
      <c r="G6" s="3"/>
      <c r="H6" s="1"/>
    </row>
    <row r="7" spans="1:8" x14ac:dyDescent="0.25">
      <c r="A7" s="48"/>
      <c r="B7" s="45" t="s">
        <v>7</v>
      </c>
      <c r="C7" s="46"/>
      <c r="D7" s="47"/>
      <c r="E7" s="3"/>
      <c r="F7" s="3"/>
      <c r="G7" s="15">
        <f>SUM(G3:G6)</f>
        <v>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8"/>
      <c r="B9" s="1"/>
      <c r="C9" s="1"/>
      <c r="D9" s="1"/>
      <c r="E9" s="1"/>
      <c r="F9" s="32"/>
      <c r="G9" s="1">
        <f>D9*E9</f>
        <v>0</v>
      </c>
      <c r="H9" s="1"/>
    </row>
    <row r="10" spans="1:8" x14ac:dyDescent="0.25">
      <c r="A10" s="48"/>
      <c r="B10" s="1"/>
      <c r="C10" s="1"/>
      <c r="D10" s="1"/>
      <c r="E10" s="1"/>
      <c r="F10" s="32"/>
      <c r="G10" s="11">
        <f t="shared" ref="G10:G12" si="0">D10*E10</f>
        <v>0</v>
      </c>
      <c r="H10" s="1"/>
    </row>
    <row r="11" spans="1:8" x14ac:dyDescent="0.25">
      <c r="A11" s="48"/>
      <c r="B11" s="1"/>
      <c r="C11" s="1"/>
      <c r="D11" s="1"/>
      <c r="E11" s="1"/>
      <c r="F11" s="1"/>
      <c r="G11" s="11">
        <f t="shared" si="0"/>
        <v>0</v>
      </c>
      <c r="H11" s="1"/>
    </row>
    <row r="12" spans="1:8" x14ac:dyDescent="0.25">
      <c r="A12" s="48"/>
      <c r="B12" s="1"/>
      <c r="C12" s="1"/>
      <c r="D12" s="1"/>
      <c r="E12" s="1"/>
      <c r="F12" s="1"/>
      <c r="G12" s="11">
        <f t="shared" si="0"/>
        <v>0</v>
      </c>
      <c r="H12" s="1"/>
    </row>
    <row r="13" spans="1:8" x14ac:dyDescent="0.25">
      <c r="A13" s="48"/>
      <c r="B13" s="1"/>
      <c r="C13" s="1"/>
      <c r="D13" s="1"/>
      <c r="E13" s="1"/>
      <c r="F13" s="1"/>
      <c r="G13" s="1"/>
      <c r="H13" s="1"/>
    </row>
    <row r="14" spans="1:8" x14ac:dyDescent="0.25">
      <c r="A14" s="48"/>
      <c r="B14" s="45" t="s">
        <v>7</v>
      </c>
      <c r="C14" s="46"/>
      <c r="D14" s="47"/>
      <c r="E14" s="3"/>
      <c r="F14" s="3"/>
      <c r="G14" s="15">
        <f>SUM(G9:G13)</f>
        <v>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8"/>
      <c r="B16" s="1"/>
      <c r="C16" s="1"/>
      <c r="D16" s="1"/>
      <c r="E16" s="1"/>
      <c r="F16" s="32"/>
      <c r="G16" s="1">
        <f>D16*E16</f>
        <v>0</v>
      </c>
      <c r="H16" s="1"/>
    </row>
    <row r="17" spans="1:8" x14ac:dyDescent="0.25">
      <c r="A17" s="48"/>
      <c r="B17" s="1"/>
      <c r="C17" s="1"/>
      <c r="D17" s="1"/>
      <c r="E17" s="1"/>
      <c r="F17" s="32"/>
      <c r="G17" s="18">
        <f t="shared" ref="G17:G19" si="1">D17*E17</f>
        <v>0</v>
      </c>
      <c r="H17" s="1"/>
    </row>
    <row r="18" spans="1:8" x14ac:dyDescent="0.25">
      <c r="A18" s="48"/>
      <c r="B18" s="1"/>
      <c r="C18" s="1"/>
      <c r="D18" s="1"/>
      <c r="E18" s="1"/>
      <c r="F18" s="32"/>
      <c r="G18" s="2">
        <f t="shared" si="1"/>
        <v>0</v>
      </c>
      <c r="H18" s="1"/>
    </row>
    <row r="19" spans="1:8" x14ac:dyDescent="0.25">
      <c r="A19" s="48"/>
      <c r="B19" s="1"/>
      <c r="C19" s="1"/>
      <c r="D19" s="1"/>
      <c r="E19" s="3"/>
      <c r="F19" s="3"/>
      <c r="G19" s="18">
        <f t="shared" si="1"/>
        <v>0</v>
      </c>
      <c r="H19" s="1"/>
    </row>
    <row r="20" spans="1:8" x14ac:dyDescent="0.25">
      <c r="A20" s="48"/>
      <c r="B20" s="45"/>
      <c r="C20" s="46"/>
      <c r="D20" s="47"/>
      <c r="E20" s="3"/>
      <c r="F20" s="3"/>
      <c r="G20" s="15">
        <f>SUM(G16:G19)</f>
        <v>0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8"/>
      <c r="B22" s="1"/>
      <c r="C22" s="1"/>
      <c r="D22" s="1"/>
      <c r="E22" s="1"/>
      <c r="F22" s="1"/>
      <c r="G22" s="1">
        <f>D22*E22</f>
        <v>0</v>
      </c>
      <c r="H22" s="1"/>
    </row>
    <row r="23" spans="1:8" x14ac:dyDescent="0.25">
      <c r="A23" s="48"/>
      <c r="B23" s="27"/>
      <c r="C23" s="1"/>
      <c r="D23" s="1"/>
      <c r="E23" s="1"/>
      <c r="F23" s="1"/>
      <c r="G23" s="11">
        <f>D23*E23</f>
        <v>0</v>
      </c>
      <c r="H23" s="1"/>
    </row>
    <row r="24" spans="1:8" x14ac:dyDescent="0.25">
      <c r="A24" s="48"/>
      <c r="B24" s="27"/>
      <c r="C24" s="1"/>
      <c r="D24" s="1"/>
      <c r="E24" s="1"/>
      <c r="F24" s="1"/>
      <c r="G24" s="11">
        <f t="shared" ref="G24:G26" si="2">D24*E24</f>
        <v>0</v>
      </c>
      <c r="H24" s="1"/>
    </row>
    <row r="25" spans="1:8" x14ac:dyDescent="0.25">
      <c r="A25" s="48"/>
      <c r="B25" s="1"/>
      <c r="C25" s="1"/>
      <c r="D25" s="1"/>
      <c r="E25" s="1"/>
      <c r="F25" s="1"/>
      <c r="G25" s="2">
        <f t="shared" si="2"/>
        <v>0</v>
      </c>
      <c r="H25" s="1"/>
    </row>
    <row r="26" spans="1:8" x14ac:dyDescent="0.25">
      <c r="A26" s="48"/>
      <c r="B26" s="11"/>
      <c r="C26" s="11"/>
      <c r="D26" s="11"/>
      <c r="E26" s="11"/>
      <c r="F26" s="12"/>
      <c r="G26" s="11">
        <f t="shared" si="2"/>
        <v>0</v>
      </c>
      <c r="H26" s="11"/>
    </row>
    <row r="27" spans="1:8" x14ac:dyDescent="0.25">
      <c r="A27" s="48"/>
      <c r="B27" s="11"/>
      <c r="C27" s="11"/>
      <c r="D27" s="11"/>
      <c r="E27" s="11"/>
      <c r="F27" s="11"/>
      <c r="G27" s="2">
        <f>D27*E27</f>
        <v>0</v>
      </c>
      <c r="H27" s="11"/>
    </row>
    <row r="28" spans="1:8" x14ac:dyDescent="0.25">
      <c r="A28" s="48"/>
      <c r="B28" s="11"/>
      <c r="C28" s="11"/>
      <c r="D28" s="11"/>
      <c r="E28" s="11"/>
      <c r="F28" s="11"/>
      <c r="G28" s="2">
        <f t="shared" ref="G28:G29" si="3">D28*E28</f>
        <v>0</v>
      </c>
      <c r="H28" s="11"/>
    </row>
    <row r="29" spans="1:8" x14ac:dyDescent="0.25">
      <c r="A29" s="48"/>
      <c r="B29" s="11"/>
      <c r="C29" s="11"/>
      <c r="D29" s="11"/>
      <c r="E29" s="11"/>
      <c r="F29" s="11"/>
      <c r="G29" s="2">
        <f t="shared" si="3"/>
        <v>0</v>
      </c>
      <c r="H29" s="11"/>
    </row>
    <row r="30" spans="1:8" x14ac:dyDescent="0.25">
      <c r="A30" s="48"/>
      <c r="B30" s="11"/>
      <c r="C30" s="11"/>
      <c r="D30" s="11"/>
      <c r="E30" s="11"/>
      <c r="F30" s="11"/>
      <c r="G30" s="2"/>
      <c r="H30" s="11"/>
    </row>
    <row r="31" spans="1:8" x14ac:dyDescent="0.25">
      <c r="A31" s="48"/>
      <c r="B31" s="11"/>
      <c r="C31" s="11"/>
      <c r="D31" s="11"/>
      <c r="E31" s="11"/>
      <c r="F31" s="11"/>
      <c r="G31" s="2"/>
      <c r="H31" s="11"/>
    </row>
    <row r="32" spans="1:8" x14ac:dyDescent="0.25">
      <c r="A32" s="48"/>
      <c r="B32" s="29"/>
      <c r="C32" s="29"/>
      <c r="D32" s="29"/>
      <c r="E32" s="29"/>
      <c r="F32" s="29"/>
      <c r="G32" s="2"/>
      <c r="H32" s="1"/>
    </row>
    <row r="33" spans="1:8" x14ac:dyDescent="0.25">
      <c r="A33" s="11"/>
      <c r="B33" s="45" t="s">
        <v>17</v>
      </c>
      <c r="C33" s="46"/>
      <c r="D33" s="47"/>
      <c r="E33" s="29"/>
      <c r="F33" s="29"/>
      <c r="G33" s="16">
        <f>SUM(G22:G32)</f>
        <v>0</v>
      </c>
      <c r="H33" s="11"/>
    </row>
    <row r="34" spans="1:8" x14ac:dyDescent="0.25">
      <c r="A34" s="1" t="s">
        <v>11</v>
      </c>
      <c r="B34" s="29" t="s">
        <v>1</v>
      </c>
      <c r="C34" s="29" t="s">
        <v>2</v>
      </c>
      <c r="D34" s="29" t="s">
        <v>3</v>
      </c>
      <c r="E34" s="29" t="s">
        <v>4</v>
      </c>
      <c r="F34" s="29"/>
      <c r="G34" s="1" t="s">
        <v>5</v>
      </c>
      <c r="H34" s="1" t="s">
        <v>6</v>
      </c>
    </row>
    <row r="35" spans="1:8" x14ac:dyDescent="0.25">
      <c r="A35" s="48"/>
      <c r="B35" s="29"/>
      <c r="C35" s="29"/>
      <c r="D35" s="29"/>
      <c r="E35" s="29"/>
      <c r="F35" s="29"/>
      <c r="G35" s="1"/>
      <c r="H35" s="1"/>
    </row>
    <row r="36" spans="1:8" x14ac:dyDescent="0.25">
      <c r="A36" s="48"/>
      <c r="B36" s="29"/>
      <c r="C36" s="29"/>
      <c r="D36" s="29"/>
      <c r="E36" s="29"/>
      <c r="F36" s="29"/>
      <c r="G36" s="1"/>
      <c r="H36" s="1" t="s">
        <v>15</v>
      </c>
    </row>
    <row r="37" spans="1:8" x14ac:dyDescent="0.25">
      <c r="A37" s="48"/>
      <c r="B37" s="29"/>
      <c r="C37" s="29"/>
      <c r="D37" s="29"/>
      <c r="E37" s="29"/>
      <c r="F37" s="29"/>
      <c r="G37" s="1"/>
      <c r="H37" s="1"/>
    </row>
    <row r="38" spans="1:8" x14ac:dyDescent="0.25">
      <c r="A38" s="48"/>
      <c r="B38" s="45"/>
      <c r="C38" s="46"/>
      <c r="D38" s="47"/>
      <c r="E38" s="30"/>
      <c r="F38" s="30"/>
      <c r="G38" s="5">
        <f>SUM(G35:G37)</f>
        <v>0</v>
      </c>
      <c r="H38" s="1"/>
    </row>
    <row r="39" spans="1:8" x14ac:dyDescent="0.25">
      <c r="A39" s="1" t="s">
        <v>12</v>
      </c>
      <c r="B39" s="29" t="s">
        <v>1</v>
      </c>
      <c r="C39" s="29" t="s">
        <v>2</v>
      </c>
      <c r="D39" s="29" t="s">
        <v>3</v>
      </c>
      <c r="E39" s="30" t="s">
        <v>4</v>
      </c>
      <c r="F39" s="30"/>
      <c r="G39" s="3" t="s">
        <v>5</v>
      </c>
      <c r="H39" s="1" t="s">
        <v>6</v>
      </c>
    </row>
    <row r="40" spans="1:8" x14ac:dyDescent="0.25">
      <c r="A40" s="49"/>
      <c r="B40" s="1"/>
      <c r="C40" s="1"/>
      <c r="D40" s="1"/>
      <c r="E40" s="1"/>
      <c r="F40" s="1"/>
      <c r="G40" s="2">
        <f>D40*E40</f>
        <v>0</v>
      </c>
      <c r="H40" s="1"/>
    </row>
    <row r="41" spans="1:8" x14ac:dyDescent="0.25">
      <c r="A41" s="50"/>
      <c r="B41" s="1"/>
      <c r="C41" s="1"/>
      <c r="D41" s="1"/>
      <c r="E41" s="1"/>
      <c r="F41" s="1"/>
      <c r="G41" s="2"/>
      <c r="H41" s="1"/>
    </row>
    <row r="42" spans="1:8" x14ac:dyDescent="0.25">
      <c r="A42" s="51"/>
      <c r="B42" s="45" t="s">
        <v>7</v>
      </c>
      <c r="C42" s="46"/>
      <c r="D42" s="47"/>
      <c r="E42" s="3"/>
      <c r="F42" s="3"/>
      <c r="G42" s="15">
        <f>SUM(G40:G41)</f>
        <v>0</v>
      </c>
      <c r="H42" s="7"/>
    </row>
    <row r="43" spans="1:8" x14ac:dyDescent="0.25">
      <c r="A43" s="8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48"/>
      <c r="B44" s="1" t="s">
        <v>20</v>
      </c>
      <c r="C44" s="1">
        <v>1</v>
      </c>
      <c r="D44" s="1"/>
      <c r="E44" s="1"/>
      <c r="F44" s="1" t="s">
        <v>21</v>
      </c>
      <c r="G44" s="1">
        <f>D44*E44</f>
        <v>0</v>
      </c>
      <c r="H44" s="1"/>
    </row>
    <row r="45" spans="1:8" x14ac:dyDescent="0.25">
      <c r="A45" s="48"/>
      <c r="B45" s="1"/>
      <c r="C45" s="1"/>
      <c r="D45" s="1"/>
      <c r="E45" s="1"/>
      <c r="F45" s="1"/>
      <c r="G45" s="2">
        <f>D45*E45</f>
        <v>0</v>
      </c>
      <c r="H45" s="1"/>
    </row>
    <row r="46" spans="1:8" x14ac:dyDescent="0.25">
      <c r="A46" s="48"/>
      <c r="B46" s="1"/>
      <c r="C46" s="1"/>
      <c r="D46" s="1"/>
      <c r="E46" s="1"/>
      <c r="F46" s="1"/>
      <c r="G46" s="18">
        <f>D46*E46</f>
        <v>0</v>
      </c>
      <c r="H46" s="1"/>
    </row>
    <row r="47" spans="1:8" x14ac:dyDescent="0.25">
      <c r="A47" s="48"/>
      <c r="B47" s="1"/>
      <c r="C47" s="1"/>
      <c r="D47" s="1"/>
      <c r="E47" s="1"/>
      <c r="F47" s="1"/>
      <c r="G47" s="1"/>
      <c r="H47" s="1"/>
    </row>
    <row r="48" spans="1:8" x14ac:dyDescent="0.25">
      <c r="A48" s="48"/>
      <c r="B48" s="45" t="s">
        <v>7</v>
      </c>
      <c r="C48" s="46"/>
      <c r="D48" s="47"/>
      <c r="E48" s="3"/>
      <c r="F48" s="3"/>
      <c r="G48" s="17">
        <f>SUM(G44:G47)</f>
        <v>0</v>
      </c>
      <c r="H48" s="1"/>
    </row>
    <row r="49" spans="1:8" x14ac:dyDescent="0.25">
      <c r="A49" s="1"/>
      <c r="B49" s="42" t="s">
        <v>14</v>
      </c>
      <c r="C49" s="43"/>
      <c r="D49" s="44"/>
      <c r="E49" s="9"/>
      <c r="F49" s="9"/>
      <c r="G49" s="10">
        <f>G48+G42+G38+G20+G14+G7+G33</f>
        <v>0</v>
      </c>
      <c r="H49" s="1"/>
    </row>
  </sheetData>
  <mergeCells count="16">
    <mergeCell ref="B20:D20"/>
    <mergeCell ref="A1:H1"/>
    <mergeCell ref="A3:A7"/>
    <mergeCell ref="B7:D7"/>
    <mergeCell ref="A9:A14"/>
    <mergeCell ref="B14:D14"/>
    <mergeCell ref="A44:A48"/>
    <mergeCell ref="A22:A32"/>
    <mergeCell ref="A35:A38"/>
    <mergeCell ref="A40:A42"/>
    <mergeCell ref="A16:A20"/>
    <mergeCell ref="B49:D49"/>
    <mergeCell ref="B48:D48"/>
    <mergeCell ref="B42:D42"/>
    <mergeCell ref="B38:D38"/>
    <mergeCell ref="B33:D33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opLeftCell="A35" workbookViewId="0">
      <selection activeCell="H52" sqref="A1:H5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2" t="s">
        <v>29</v>
      </c>
      <c r="B1" s="53"/>
      <c r="C1" s="53"/>
      <c r="D1" s="53"/>
      <c r="E1" s="53"/>
      <c r="F1" s="53"/>
      <c r="G1" s="53"/>
      <c r="H1" s="5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8" t="s">
        <v>33</v>
      </c>
      <c r="B3" s="1" t="s">
        <v>41</v>
      </c>
      <c r="C3" s="1">
        <v>270</v>
      </c>
      <c r="D3" s="1">
        <v>99</v>
      </c>
      <c r="E3" s="1">
        <v>66.099999999999994</v>
      </c>
      <c r="F3" s="1" t="s">
        <v>40</v>
      </c>
      <c r="G3" s="2">
        <f>D3*E3</f>
        <v>6543.9</v>
      </c>
      <c r="H3" s="1"/>
    </row>
    <row r="4" spans="1:8" x14ac:dyDescent="0.25">
      <c r="A4" s="48"/>
      <c r="B4" s="1" t="s">
        <v>42</v>
      </c>
      <c r="C4" s="1">
        <v>6</v>
      </c>
      <c r="D4" s="1">
        <v>25.5</v>
      </c>
      <c r="E4" s="1">
        <v>6</v>
      </c>
      <c r="F4" s="34" t="s">
        <v>25</v>
      </c>
      <c r="G4" s="2">
        <f t="shared" ref="G4:G6" si="0">D4*E4</f>
        <v>153</v>
      </c>
      <c r="H4" s="1"/>
    </row>
    <row r="5" spans="1:8" x14ac:dyDescent="0.25">
      <c r="A5" s="48"/>
      <c r="B5" s="1" t="s">
        <v>43</v>
      </c>
      <c r="C5" s="1">
        <v>3</v>
      </c>
      <c r="D5" s="1">
        <v>216</v>
      </c>
      <c r="E5" s="1">
        <v>3</v>
      </c>
      <c r="F5" s="34" t="s">
        <v>25</v>
      </c>
      <c r="G5" s="2">
        <f t="shared" si="0"/>
        <v>648</v>
      </c>
      <c r="H5" s="1"/>
    </row>
    <row r="6" spans="1:8" x14ac:dyDescent="0.25">
      <c r="A6" s="48"/>
      <c r="B6" s="1" t="s">
        <v>44</v>
      </c>
      <c r="C6" s="1">
        <v>1</v>
      </c>
      <c r="D6" s="1">
        <v>125.4</v>
      </c>
      <c r="E6" s="3">
        <v>1</v>
      </c>
      <c r="F6" s="33" t="s">
        <v>25</v>
      </c>
      <c r="G6" s="2">
        <f t="shared" si="0"/>
        <v>125.4</v>
      </c>
      <c r="H6" s="1"/>
    </row>
    <row r="7" spans="1:8" x14ac:dyDescent="0.25">
      <c r="A7" s="48"/>
      <c r="B7" s="45" t="s">
        <v>7</v>
      </c>
      <c r="C7" s="46"/>
      <c r="D7" s="47"/>
      <c r="E7" s="3"/>
      <c r="F7" s="3"/>
      <c r="G7" s="15">
        <f>SUM(G3:G6)</f>
        <v>7470.2999999999993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8" t="s">
        <v>34</v>
      </c>
      <c r="B9" s="1" t="s">
        <v>45</v>
      </c>
      <c r="C9" s="1">
        <v>250</v>
      </c>
      <c r="D9" s="1">
        <v>150</v>
      </c>
      <c r="E9" s="1">
        <v>23.17</v>
      </c>
      <c r="F9" s="38" t="s">
        <v>25</v>
      </c>
      <c r="G9" s="1">
        <f>D9*E9</f>
        <v>3475.5000000000005</v>
      </c>
      <c r="H9" s="1"/>
    </row>
    <row r="10" spans="1:8" x14ac:dyDescent="0.25">
      <c r="A10" s="48"/>
      <c r="B10" s="1" t="s">
        <v>46</v>
      </c>
      <c r="C10" s="1">
        <v>2</v>
      </c>
      <c r="D10" s="1">
        <v>108.3</v>
      </c>
      <c r="E10" s="1">
        <v>2</v>
      </c>
      <c r="F10" s="34" t="s">
        <v>25</v>
      </c>
      <c r="G10" s="20">
        <f>D10*E10</f>
        <v>216.6</v>
      </c>
      <c r="H10" s="1"/>
    </row>
    <row r="11" spans="1:8" x14ac:dyDescent="0.25">
      <c r="A11" s="48"/>
      <c r="B11" s="1"/>
      <c r="C11" s="1"/>
      <c r="D11" s="1"/>
      <c r="E11" s="1"/>
      <c r="F11" s="32"/>
      <c r="G11" s="1"/>
      <c r="H11" s="1"/>
    </row>
    <row r="12" spans="1:8" x14ac:dyDescent="0.25">
      <c r="A12" s="48"/>
      <c r="B12" s="1"/>
      <c r="C12" s="1"/>
      <c r="D12" s="1"/>
      <c r="E12" s="1"/>
      <c r="F12" s="32"/>
      <c r="G12" s="1"/>
      <c r="H12" s="1"/>
    </row>
    <row r="13" spans="1:8" x14ac:dyDescent="0.25">
      <c r="A13" s="48"/>
      <c r="B13" s="1"/>
      <c r="C13" s="1"/>
      <c r="D13" s="1"/>
      <c r="E13" s="1"/>
      <c r="F13" s="1"/>
      <c r="G13" s="1"/>
      <c r="H13" s="1"/>
    </row>
    <row r="14" spans="1:8" x14ac:dyDescent="0.25">
      <c r="A14" s="48"/>
      <c r="B14" s="45" t="s">
        <v>7</v>
      </c>
      <c r="C14" s="46"/>
      <c r="D14" s="47"/>
      <c r="E14" s="3"/>
      <c r="F14" s="3"/>
      <c r="G14" s="15">
        <f>SUM(G9:G13)</f>
        <v>3692.1000000000004</v>
      </c>
      <c r="H14" s="1"/>
    </row>
    <row r="15" spans="1:8" x14ac:dyDescent="0.25">
      <c r="A15" s="29" t="s">
        <v>24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8" t="s">
        <v>35</v>
      </c>
      <c r="B16" s="1" t="s">
        <v>47</v>
      </c>
      <c r="C16" s="1">
        <v>15</v>
      </c>
      <c r="D16" s="1">
        <v>30</v>
      </c>
      <c r="E16" s="1">
        <v>15</v>
      </c>
      <c r="F16" s="34" t="s">
        <v>25</v>
      </c>
      <c r="G16" s="1">
        <f>D16*E16</f>
        <v>450</v>
      </c>
      <c r="H16" s="1"/>
    </row>
    <row r="17" spans="1:8" x14ac:dyDescent="0.25">
      <c r="A17" s="48"/>
      <c r="B17" s="1"/>
      <c r="C17" s="1"/>
      <c r="D17" s="1"/>
      <c r="E17" s="1"/>
      <c r="F17" s="1"/>
      <c r="G17" s="20">
        <f t="shared" ref="G17:G20" si="1">D17*E17</f>
        <v>0</v>
      </c>
      <c r="H17" s="1"/>
    </row>
    <row r="18" spans="1:8" x14ac:dyDescent="0.25">
      <c r="A18" s="48"/>
      <c r="B18" s="1"/>
      <c r="C18" s="1"/>
      <c r="D18" s="1"/>
      <c r="E18" s="1"/>
      <c r="F18" s="1"/>
      <c r="G18" s="20">
        <f t="shared" si="1"/>
        <v>0</v>
      </c>
      <c r="H18" s="1"/>
    </row>
    <row r="19" spans="1:8" x14ac:dyDescent="0.25">
      <c r="A19" s="48"/>
      <c r="B19" s="1"/>
      <c r="C19" s="1"/>
      <c r="D19" s="1"/>
      <c r="E19" s="3"/>
      <c r="F19" s="3"/>
      <c r="G19" s="20">
        <f t="shared" si="1"/>
        <v>0</v>
      </c>
      <c r="H19" s="1"/>
    </row>
    <row r="20" spans="1:8" x14ac:dyDescent="0.25">
      <c r="A20" s="48"/>
      <c r="B20" s="1"/>
      <c r="C20" s="1"/>
      <c r="D20" s="1"/>
      <c r="E20" s="3"/>
      <c r="F20" s="3"/>
      <c r="G20" s="20">
        <f t="shared" si="1"/>
        <v>0</v>
      </c>
      <c r="H20" s="1"/>
    </row>
    <row r="21" spans="1:8" x14ac:dyDescent="0.25">
      <c r="A21" s="48"/>
      <c r="B21" s="1"/>
      <c r="C21" s="1"/>
      <c r="D21" s="1"/>
      <c r="E21" s="3"/>
      <c r="F21" s="3"/>
      <c r="G21" s="1"/>
      <c r="H21" s="1"/>
    </row>
    <row r="22" spans="1:8" x14ac:dyDescent="0.25">
      <c r="A22" s="48"/>
      <c r="B22" s="45" t="s">
        <v>7</v>
      </c>
      <c r="C22" s="46"/>
      <c r="D22" s="47"/>
      <c r="E22" s="3"/>
      <c r="F22" s="3"/>
      <c r="G22" s="15">
        <f>SUM(G16:G21)</f>
        <v>450</v>
      </c>
      <c r="H22" s="1"/>
    </row>
    <row r="23" spans="1:8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8"/>
      <c r="B24" s="1" t="s">
        <v>49</v>
      </c>
      <c r="C24" s="1">
        <v>2</v>
      </c>
      <c r="D24" s="1">
        <v>150</v>
      </c>
      <c r="E24" s="1">
        <v>2</v>
      </c>
      <c r="F24" s="34" t="s">
        <v>25</v>
      </c>
      <c r="G24" s="1">
        <f>D24*E24</f>
        <v>300</v>
      </c>
      <c r="H24" s="1"/>
    </row>
    <row r="25" spans="1:8" x14ac:dyDescent="0.25">
      <c r="A25" s="48"/>
      <c r="B25" s="1" t="s">
        <v>44</v>
      </c>
      <c r="C25" s="1" t="s">
        <v>52</v>
      </c>
      <c r="D25" s="1">
        <v>99</v>
      </c>
      <c r="E25" s="1">
        <v>0.5</v>
      </c>
      <c r="F25" s="34" t="s">
        <v>25</v>
      </c>
      <c r="G25" s="20">
        <f t="shared" ref="G25:G35" si="2">D25*E25</f>
        <v>49.5</v>
      </c>
      <c r="H25" s="1"/>
    </row>
    <row r="26" spans="1:8" x14ac:dyDescent="0.25">
      <c r="A26" s="48"/>
      <c r="B26" s="1" t="s">
        <v>50</v>
      </c>
      <c r="C26" s="1">
        <v>8</v>
      </c>
      <c r="D26" s="1">
        <v>96.9</v>
      </c>
      <c r="E26" s="1">
        <v>8</v>
      </c>
      <c r="F26" s="34" t="s">
        <v>25</v>
      </c>
      <c r="G26" s="20">
        <f t="shared" si="2"/>
        <v>775.2</v>
      </c>
      <c r="H26" s="1"/>
    </row>
    <row r="27" spans="1:8" x14ac:dyDescent="0.25">
      <c r="A27" s="48"/>
      <c r="B27" s="1" t="s">
        <v>43</v>
      </c>
      <c r="C27" s="1">
        <v>4</v>
      </c>
      <c r="D27" s="1">
        <v>216</v>
      </c>
      <c r="E27" s="1">
        <v>4</v>
      </c>
      <c r="F27" s="34" t="s">
        <v>25</v>
      </c>
      <c r="G27" s="20">
        <f t="shared" si="2"/>
        <v>864</v>
      </c>
      <c r="H27" s="1"/>
    </row>
    <row r="28" spans="1:8" x14ac:dyDescent="0.25">
      <c r="A28" s="48"/>
      <c r="B28" s="32" t="s">
        <v>48</v>
      </c>
      <c r="C28" s="32">
        <v>2</v>
      </c>
      <c r="D28" s="32">
        <v>45.6</v>
      </c>
      <c r="E28" s="32">
        <v>20</v>
      </c>
      <c r="F28" s="33" t="s">
        <v>40</v>
      </c>
      <c r="G28" s="32">
        <f t="shared" si="2"/>
        <v>912</v>
      </c>
      <c r="H28" s="32"/>
    </row>
    <row r="29" spans="1:8" x14ac:dyDescent="0.25">
      <c r="A29" s="48"/>
      <c r="B29" s="34" t="s">
        <v>27</v>
      </c>
      <c r="C29" s="34">
        <v>4</v>
      </c>
      <c r="D29" s="34">
        <v>105</v>
      </c>
      <c r="E29" s="34">
        <v>4</v>
      </c>
      <c r="F29" s="33" t="s">
        <v>25</v>
      </c>
      <c r="G29" s="38">
        <f t="shared" si="2"/>
        <v>420</v>
      </c>
      <c r="H29" s="34"/>
    </row>
    <row r="30" spans="1:8" x14ac:dyDescent="0.25">
      <c r="A30" s="48"/>
      <c r="B30" s="34" t="s">
        <v>51</v>
      </c>
      <c r="C30" s="34">
        <v>1</v>
      </c>
      <c r="D30" s="38">
        <v>264</v>
      </c>
      <c r="E30" s="38">
        <v>1</v>
      </c>
      <c r="F30" s="37" t="s">
        <v>96</v>
      </c>
      <c r="G30" s="38">
        <f t="shared" si="2"/>
        <v>264</v>
      </c>
      <c r="H30" s="34"/>
    </row>
    <row r="31" spans="1:8" x14ac:dyDescent="0.25">
      <c r="A31" s="48"/>
      <c r="B31" s="34" t="s">
        <v>56</v>
      </c>
      <c r="C31" s="34">
        <v>8</v>
      </c>
      <c r="D31" s="34">
        <v>21</v>
      </c>
      <c r="E31" s="34">
        <v>8</v>
      </c>
      <c r="F31" s="33" t="s">
        <v>25</v>
      </c>
      <c r="G31" s="38">
        <f t="shared" si="2"/>
        <v>168</v>
      </c>
      <c r="H31" s="34"/>
    </row>
    <row r="32" spans="1:8" x14ac:dyDescent="0.25">
      <c r="A32" s="48"/>
      <c r="B32" s="34" t="s">
        <v>55</v>
      </c>
      <c r="C32" s="34">
        <v>2</v>
      </c>
      <c r="D32" s="34">
        <v>180</v>
      </c>
      <c r="E32" s="34">
        <v>2</v>
      </c>
      <c r="F32" s="33" t="s">
        <v>57</v>
      </c>
      <c r="G32" s="34">
        <f t="shared" si="2"/>
        <v>360</v>
      </c>
      <c r="H32" s="34"/>
    </row>
    <row r="33" spans="1:8" x14ac:dyDescent="0.25">
      <c r="A33" s="48"/>
      <c r="B33" s="34"/>
      <c r="C33" s="34"/>
      <c r="D33" s="34"/>
      <c r="E33" s="34"/>
      <c r="F33" s="33"/>
      <c r="G33" s="34"/>
      <c r="H33" s="34"/>
    </row>
    <row r="34" spans="1:8" x14ac:dyDescent="0.25">
      <c r="A34" s="48"/>
      <c r="B34" s="38"/>
      <c r="C34" s="41"/>
      <c r="D34" s="41"/>
      <c r="E34" s="41"/>
      <c r="F34" s="41"/>
      <c r="G34" s="34"/>
      <c r="H34" s="34"/>
    </row>
    <row r="35" spans="1:8" x14ac:dyDescent="0.25">
      <c r="A35" s="48"/>
      <c r="B35" s="20"/>
      <c r="C35" s="20"/>
      <c r="D35" s="20"/>
      <c r="E35" s="20"/>
      <c r="F35" s="31"/>
      <c r="G35" s="20">
        <f t="shared" si="2"/>
        <v>0</v>
      </c>
      <c r="H35" s="20"/>
    </row>
    <row r="36" spans="1:8" x14ac:dyDescent="0.25">
      <c r="A36" s="48"/>
      <c r="B36" s="45" t="s">
        <v>26</v>
      </c>
      <c r="C36" s="46"/>
      <c r="D36" s="47"/>
      <c r="E36" s="3"/>
      <c r="F36" s="3"/>
      <c r="G36" s="17">
        <f>SUM(G24:G35)</f>
        <v>4112.7</v>
      </c>
      <c r="H36" s="1"/>
    </row>
    <row r="37" spans="1:8" x14ac:dyDescent="0.25">
      <c r="A37" s="1" t="s">
        <v>11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 t="s">
        <v>6</v>
      </c>
    </row>
    <row r="38" spans="1:8" x14ac:dyDescent="0.25">
      <c r="A38" s="48" t="s">
        <v>36</v>
      </c>
      <c r="B38" s="1" t="s">
        <v>37</v>
      </c>
      <c r="C38" s="1" t="s">
        <v>38</v>
      </c>
      <c r="D38" s="1"/>
      <c r="E38" s="1"/>
      <c r="F38" s="1"/>
      <c r="G38" s="1">
        <f>D38*E38</f>
        <v>0</v>
      </c>
      <c r="H38" s="1"/>
    </row>
    <row r="39" spans="1:8" x14ac:dyDescent="0.25">
      <c r="A39" s="48"/>
      <c r="B39" s="1" t="s">
        <v>39</v>
      </c>
      <c r="C39" s="1">
        <v>10</v>
      </c>
      <c r="D39" s="1">
        <v>141</v>
      </c>
      <c r="E39" s="1">
        <v>10</v>
      </c>
      <c r="F39" s="32" t="s">
        <v>40</v>
      </c>
      <c r="G39" s="38">
        <f>D39*E39</f>
        <v>1410</v>
      </c>
      <c r="H39" s="1"/>
    </row>
    <row r="40" spans="1:8" x14ac:dyDescent="0.25">
      <c r="A40" s="48"/>
      <c r="B40" s="1"/>
      <c r="C40" s="1"/>
      <c r="D40" s="1"/>
      <c r="E40" s="1"/>
      <c r="F40" s="1"/>
      <c r="G40" s="1"/>
      <c r="H40" s="1"/>
    </row>
    <row r="41" spans="1:8" x14ac:dyDescent="0.25">
      <c r="A41" s="48"/>
      <c r="B41" s="45"/>
      <c r="C41" s="46"/>
      <c r="D41" s="47"/>
      <c r="E41" s="3"/>
      <c r="F41" s="3"/>
      <c r="G41" s="17">
        <f>SUM(G38:G40)</f>
        <v>1410</v>
      </c>
      <c r="H41" s="1"/>
    </row>
    <row r="42" spans="1:8" x14ac:dyDescent="0.25">
      <c r="A42" s="1" t="s">
        <v>12</v>
      </c>
      <c r="B42" s="1" t="s">
        <v>1</v>
      </c>
      <c r="C42" s="1" t="s">
        <v>2</v>
      </c>
      <c r="D42" s="1" t="s">
        <v>3</v>
      </c>
      <c r="E42" s="3" t="s">
        <v>4</v>
      </c>
      <c r="F42" s="3"/>
      <c r="G42" s="3" t="s">
        <v>5</v>
      </c>
      <c r="H42" s="1" t="s">
        <v>6</v>
      </c>
    </row>
    <row r="43" spans="1:8" x14ac:dyDescent="0.25">
      <c r="A43" s="49"/>
      <c r="B43" s="1" t="s">
        <v>101</v>
      </c>
      <c r="C43" s="1"/>
      <c r="D43" s="1">
        <v>45.9</v>
      </c>
      <c r="E43" s="1">
        <v>70</v>
      </c>
      <c r="F43" s="1" t="s">
        <v>100</v>
      </c>
      <c r="G43" s="25">
        <f>D43*E43</f>
        <v>3213</v>
      </c>
      <c r="H43" s="1"/>
    </row>
    <row r="44" spans="1:8" x14ac:dyDescent="0.25">
      <c r="A44" s="50"/>
      <c r="B44" s="1" t="s">
        <v>102</v>
      </c>
      <c r="C44" s="1"/>
      <c r="D44" s="1">
        <v>18.239999999999998</v>
      </c>
      <c r="E44" s="1">
        <v>75</v>
      </c>
      <c r="F44" s="1" t="s">
        <v>100</v>
      </c>
      <c r="G44" s="25">
        <f>D44*E44</f>
        <v>1367.9999999999998</v>
      </c>
      <c r="H44" s="1"/>
    </row>
    <row r="45" spans="1:8" x14ac:dyDescent="0.25">
      <c r="A45" s="51"/>
      <c r="B45" s="45" t="s">
        <v>7</v>
      </c>
      <c r="C45" s="46"/>
      <c r="D45" s="47"/>
      <c r="E45" s="3"/>
      <c r="F45" s="3"/>
      <c r="G45" s="15">
        <f>SUM(G43:G44)</f>
        <v>4581</v>
      </c>
      <c r="H45" s="7"/>
    </row>
    <row r="46" spans="1:8" x14ac:dyDescent="0.25">
      <c r="A46" s="8" t="s">
        <v>13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 t="s">
        <v>5</v>
      </c>
      <c r="H46" s="1"/>
    </row>
    <row r="47" spans="1:8" x14ac:dyDescent="0.25">
      <c r="A47" s="48"/>
      <c r="B47" s="1" t="s">
        <v>97</v>
      </c>
      <c r="C47" s="1"/>
      <c r="D47" s="1">
        <v>4.5</v>
      </c>
      <c r="E47" s="1">
        <v>50</v>
      </c>
      <c r="F47" s="1" t="s">
        <v>98</v>
      </c>
      <c r="G47" s="1">
        <f>D47*E47</f>
        <v>225</v>
      </c>
      <c r="H47" s="1"/>
    </row>
    <row r="48" spans="1:8" x14ac:dyDescent="0.25">
      <c r="A48" s="48"/>
      <c r="B48" s="1" t="s">
        <v>99</v>
      </c>
      <c r="C48" s="1"/>
      <c r="D48" s="1">
        <v>141</v>
      </c>
      <c r="E48" s="1">
        <v>4</v>
      </c>
      <c r="F48" s="1" t="s">
        <v>100</v>
      </c>
      <c r="G48" s="38">
        <f>D48*E48</f>
        <v>564</v>
      </c>
      <c r="H48" s="1"/>
    </row>
    <row r="49" spans="1:8" x14ac:dyDescent="0.25">
      <c r="A49" s="48"/>
      <c r="B49" s="1"/>
      <c r="C49" s="1"/>
      <c r="D49" s="1"/>
      <c r="E49" s="1"/>
      <c r="F49" s="1"/>
      <c r="G49" s="1"/>
      <c r="H49" s="1"/>
    </row>
    <row r="50" spans="1:8" x14ac:dyDescent="0.25">
      <c r="A50" s="48"/>
      <c r="B50" s="1"/>
      <c r="C50" s="1"/>
      <c r="D50" s="1"/>
      <c r="E50" s="1"/>
      <c r="F50" s="1"/>
      <c r="G50" s="1"/>
      <c r="H50" s="1"/>
    </row>
    <row r="51" spans="1:8" x14ac:dyDescent="0.25">
      <c r="A51" s="48"/>
      <c r="B51" s="45" t="s">
        <v>7</v>
      </c>
      <c r="C51" s="46"/>
      <c r="D51" s="47"/>
      <c r="E51" s="3"/>
      <c r="F51" s="3"/>
      <c r="G51" s="17">
        <f>SUM(G47:G50)</f>
        <v>789</v>
      </c>
      <c r="H51" s="1"/>
    </row>
    <row r="52" spans="1:8" x14ac:dyDescent="0.25">
      <c r="A52" s="1"/>
      <c r="B52" s="42" t="s">
        <v>14</v>
      </c>
      <c r="C52" s="43"/>
      <c r="D52" s="44"/>
      <c r="E52" s="9"/>
      <c r="F52" s="9"/>
      <c r="G52" s="10">
        <f>G51+G45+G41+G22+G14+G7+G36</f>
        <v>22505.100000000002</v>
      </c>
      <c r="H52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7:A51"/>
    <mergeCell ref="B51:D51"/>
    <mergeCell ref="B52:D52"/>
    <mergeCell ref="A24:A36"/>
    <mergeCell ref="B36:D36"/>
    <mergeCell ref="A38:A41"/>
    <mergeCell ref="B41:D41"/>
    <mergeCell ref="A43:A45"/>
    <mergeCell ref="B45:D45"/>
  </mergeCells>
  <phoneticPr fontId="2" type="noConversion"/>
  <pageMargins left="0.7" right="0.7" top="0.75" bottom="0.75" header="0.3" footer="0.3"/>
  <pageSetup paperSize="9" scale="8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34" workbookViewId="0">
      <selection activeCell="H50" sqref="A1:H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2" t="s">
        <v>30</v>
      </c>
      <c r="B1" s="53"/>
      <c r="C1" s="53"/>
      <c r="D1" s="53"/>
      <c r="E1" s="53"/>
      <c r="F1" s="53"/>
      <c r="G1" s="53"/>
      <c r="H1" s="5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8" t="s">
        <v>58</v>
      </c>
      <c r="B3" s="1" t="s">
        <v>64</v>
      </c>
      <c r="C3" s="1">
        <v>65</v>
      </c>
      <c r="D3" s="1">
        <v>144</v>
      </c>
      <c r="E3" s="1">
        <v>65</v>
      </c>
      <c r="F3" s="32" t="s">
        <v>72</v>
      </c>
      <c r="G3" s="2">
        <f>D3*E3</f>
        <v>9360</v>
      </c>
      <c r="H3" s="1"/>
    </row>
    <row r="4" spans="1:8" x14ac:dyDescent="0.25">
      <c r="A4" s="48"/>
      <c r="B4" s="1" t="s">
        <v>73</v>
      </c>
      <c r="C4" s="1">
        <v>2</v>
      </c>
      <c r="D4" s="1">
        <v>210</v>
      </c>
      <c r="E4" s="1">
        <v>2</v>
      </c>
      <c r="F4" s="32" t="s">
        <v>74</v>
      </c>
      <c r="G4" s="2">
        <f t="shared" ref="G4:G6" si="0">D4*E4</f>
        <v>420</v>
      </c>
      <c r="H4" s="1"/>
    </row>
    <row r="5" spans="1:8" x14ac:dyDescent="0.25">
      <c r="A5" s="48"/>
      <c r="B5" s="1" t="s">
        <v>65</v>
      </c>
      <c r="C5" s="1">
        <v>2</v>
      </c>
      <c r="D5" s="1">
        <v>587</v>
      </c>
      <c r="E5" s="1">
        <v>2</v>
      </c>
      <c r="F5" s="32" t="s">
        <v>75</v>
      </c>
      <c r="G5" s="2">
        <f t="shared" si="0"/>
        <v>1174</v>
      </c>
      <c r="H5" s="1"/>
    </row>
    <row r="6" spans="1:8" x14ac:dyDescent="0.25">
      <c r="A6" s="48"/>
      <c r="B6" s="32" t="s">
        <v>66</v>
      </c>
      <c r="C6" s="32">
        <v>8</v>
      </c>
      <c r="D6" s="32">
        <v>25.5</v>
      </c>
      <c r="E6" s="31">
        <v>8</v>
      </c>
      <c r="F6" s="35" t="s">
        <v>25</v>
      </c>
      <c r="G6" s="2">
        <f t="shared" si="0"/>
        <v>204</v>
      </c>
      <c r="H6" s="32"/>
    </row>
    <row r="7" spans="1:8" x14ac:dyDescent="0.25">
      <c r="A7" s="48"/>
      <c r="B7" s="32"/>
      <c r="C7" s="32"/>
      <c r="D7" s="32"/>
      <c r="E7" s="31"/>
      <c r="F7" s="31"/>
      <c r="G7" s="31"/>
      <c r="H7" s="32"/>
    </row>
    <row r="8" spans="1:8" x14ac:dyDescent="0.25">
      <c r="A8" s="48"/>
      <c r="B8" s="1"/>
      <c r="C8" s="1"/>
      <c r="D8" s="1"/>
      <c r="E8" s="3"/>
      <c r="F8" s="31"/>
      <c r="G8" s="3"/>
      <c r="H8" s="1"/>
    </row>
    <row r="9" spans="1:8" x14ac:dyDescent="0.25">
      <c r="A9" s="48"/>
      <c r="B9" s="45" t="s">
        <v>7</v>
      </c>
      <c r="C9" s="46"/>
      <c r="D9" s="47"/>
      <c r="E9" s="3"/>
      <c r="F9" s="3"/>
      <c r="G9" s="15">
        <f>SUM(G3:G8)</f>
        <v>11158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48" t="s">
        <v>59</v>
      </c>
      <c r="B11" s="1" t="s">
        <v>67</v>
      </c>
      <c r="C11" s="1">
        <v>4</v>
      </c>
      <c r="D11" s="1">
        <v>110</v>
      </c>
      <c r="E11" s="28">
        <v>4</v>
      </c>
      <c r="F11" s="32" t="s">
        <v>76</v>
      </c>
      <c r="G11" s="1">
        <f>D11*E11</f>
        <v>440</v>
      </c>
      <c r="H11" s="1"/>
    </row>
    <row r="12" spans="1:8" x14ac:dyDescent="0.25">
      <c r="A12" s="48"/>
      <c r="B12" s="1" t="s">
        <v>68</v>
      </c>
      <c r="C12" s="1">
        <v>40</v>
      </c>
      <c r="D12" s="1">
        <v>105</v>
      </c>
      <c r="E12" s="1">
        <v>40</v>
      </c>
      <c r="F12" s="36" t="s">
        <v>25</v>
      </c>
      <c r="G12" s="23">
        <f t="shared" ref="G12:G14" si="1">D12*E12</f>
        <v>4200</v>
      </c>
      <c r="H12" s="1"/>
    </row>
    <row r="13" spans="1:8" x14ac:dyDescent="0.25">
      <c r="A13" s="48"/>
      <c r="B13" s="1" t="s">
        <v>69</v>
      </c>
      <c r="C13" s="1">
        <v>10</v>
      </c>
      <c r="D13" s="1">
        <v>30</v>
      </c>
      <c r="E13" s="1">
        <v>10</v>
      </c>
      <c r="F13" s="36" t="s">
        <v>25</v>
      </c>
      <c r="G13" s="23">
        <f t="shared" si="1"/>
        <v>300</v>
      </c>
      <c r="H13" s="1"/>
    </row>
    <row r="14" spans="1:8" x14ac:dyDescent="0.25">
      <c r="A14" s="48"/>
      <c r="B14" s="1"/>
      <c r="C14" s="1"/>
      <c r="D14" s="1"/>
      <c r="E14" s="1"/>
      <c r="F14" s="32"/>
      <c r="G14" s="23">
        <f t="shared" si="1"/>
        <v>0</v>
      </c>
      <c r="H14" s="1"/>
    </row>
    <row r="15" spans="1:8" x14ac:dyDescent="0.25">
      <c r="A15" s="48"/>
      <c r="B15" s="32"/>
      <c r="C15" s="32"/>
      <c r="D15" s="32"/>
      <c r="E15" s="32"/>
      <c r="F15" s="32"/>
      <c r="G15" s="32"/>
      <c r="H15" s="32"/>
    </row>
    <row r="16" spans="1:8" x14ac:dyDescent="0.25">
      <c r="A16" s="48"/>
      <c r="B16" s="1"/>
      <c r="C16" s="1"/>
      <c r="D16" s="1"/>
      <c r="E16" s="1"/>
      <c r="F16" s="32"/>
      <c r="G16" s="1"/>
      <c r="H16" s="1"/>
    </row>
    <row r="17" spans="1:8" x14ac:dyDescent="0.25">
      <c r="A17" s="1" t="s">
        <v>9</v>
      </c>
      <c r="B17" s="45" t="s">
        <v>7</v>
      </c>
      <c r="C17" s="46"/>
      <c r="D17" s="47"/>
      <c r="E17" s="3"/>
      <c r="F17" s="3"/>
      <c r="G17" s="15">
        <f>SUM(G11:G16)</f>
        <v>4940</v>
      </c>
      <c r="H17" s="1"/>
    </row>
    <row r="18" spans="1:8" x14ac:dyDescent="0.25">
      <c r="A18" s="48" t="s">
        <v>60</v>
      </c>
      <c r="B18" s="1" t="s">
        <v>1</v>
      </c>
      <c r="C18" s="1" t="s">
        <v>2</v>
      </c>
      <c r="D18" s="1" t="s">
        <v>3</v>
      </c>
      <c r="E18" s="1" t="s">
        <v>4</v>
      </c>
      <c r="F18" s="1"/>
      <c r="G18" s="1" t="s">
        <v>5</v>
      </c>
      <c r="H18" s="1" t="s">
        <v>6</v>
      </c>
    </row>
    <row r="19" spans="1:8" x14ac:dyDescent="0.25">
      <c r="A19" s="48"/>
      <c r="B19" s="1" t="s">
        <v>70</v>
      </c>
      <c r="C19" s="1">
        <v>25</v>
      </c>
      <c r="D19" s="1">
        <v>57</v>
      </c>
      <c r="E19" s="1">
        <v>25</v>
      </c>
      <c r="F19" s="36" t="s">
        <v>25</v>
      </c>
      <c r="G19" s="1">
        <f>D19*E19</f>
        <v>1425</v>
      </c>
      <c r="H19" s="1"/>
    </row>
    <row r="20" spans="1:8" x14ac:dyDescent="0.25">
      <c r="A20" s="48"/>
      <c r="B20" s="1" t="s">
        <v>71</v>
      </c>
      <c r="C20" s="1">
        <v>1</v>
      </c>
      <c r="D20" s="1">
        <v>125.4</v>
      </c>
      <c r="E20" s="1">
        <v>1</v>
      </c>
      <c r="F20" s="36" t="s">
        <v>25</v>
      </c>
      <c r="G20" s="38">
        <f>D20*E20</f>
        <v>125.4</v>
      </c>
      <c r="H20" s="1"/>
    </row>
    <row r="21" spans="1:8" x14ac:dyDescent="0.25">
      <c r="A21" s="48"/>
      <c r="B21" s="1"/>
      <c r="C21" s="1"/>
      <c r="D21" s="1"/>
      <c r="E21" s="1"/>
      <c r="F21" s="1"/>
      <c r="G21" s="1"/>
      <c r="H21" s="1"/>
    </row>
    <row r="22" spans="1:8" x14ac:dyDescent="0.25">
      <c r="A22" s="48"/>
      <c r="B22" s="1"/>
      <c r="C22" s="1"/>
      <c r="D22" s="1"/>
      <c r="E22" s="3"/>
      <c r="F22" s="3"/>
      <c r="G22" s="1"/>
      <c r="H22" s="1"/>
    </row>
    <row r="23" spans="1:8" x14ac:dyDescent="0.25">
      <c r="A23" s="6" t="s">
        <v>10</v>
      </c>
      <c r="B23" s="45" t="s">
        <v>7</v>
      </c>
      <c r="C23" s="46"/>
      <c r="D23" s="47"/>
      <c r="E23" s="3"/>
      <c r="F23" s="3"/>
      <c r="G23" s="15">
        <f>SUM(G19:G22)</f>
        <v>1550.4</v>
      </c>
      <c r="H23" s="1"/>
    </row>
    <row r="24" spans="1:8" x14ac:dyDescent="0.25">
      <c r="A24" s="48"/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8" x14ac:dyDescent="0.25">
      <c r="A25" s="48"/>
      <c r="B25" s="1" t="s">
        <v>53</v>
      </c>
      <c r="C25" s="1">
        <v>20</v>
      </c>
      <c r="D25" s="1">
        <v>60</v>
      </c>
      <c r="E25" s="1">
        <v>20</v>
      </c>
      <c r="F25" s="36" t="s">
        <v>25</v>
      </c>
      <c r="G25" s="1">
        <f>D25*E25</f>
        <v>1200</v>
      </c>
      <c r="H25" s="1" t="s">
        <v>22</v>
      </c>
    </row>
    <row r="26" spans="1:8" x14ac:dyDescent="0.25">
      <c r="A26" s="48"/>
      <c r="B26" s="1" t="s">
        <v>54</v>
      </c>
      <c r="C26" s="1">
        <v>2</v>
      </c>
      <c r="D26" s="1">
        <v>530</v>
      </c>
      <c r="E26" s="1">
        <v>8</v>
      </c>
      <c r="F26" s="1" t="s">
        <v>76</v>
      </c>
      <c r="G26" s="23">
        <f t="shared" ref="G26:G30" si="2">D26*E26</f>
        <v>4240</v>
      </c>
      <c r="H26" s="1"/>
    </row>
    <row r="27" spans="1:8" x14ac:dyDescent="0.25">
      <c r="A27" s="48"/>
      <c r="B27" s="1" t="s">
        <v>84</v>
      </c>
      <c r="C27" s="1">
        <v>35</v>
      </c>
      <c r="D27" s="1">
        <v>78</v>
      </c>
      <c r="E27" s="1">
        <v>6.13</v>
      </c>
      <c r="F27" s="1" t="s">
        <v>40</v>
      </c>
      <c r="G27" s="23">
        <f>D27*E27</f>
        <v>478.14</v>
      </c>
      <c r="H27" s="1"/>
    </row>
    <row r="28" spans="1:8" x14ac:dyDescent="0.25">
      <c r="A28" s="48"/>
      <c r="B28" s="41"/>
      <c r="C28" s="41"/>
      <c r="D28" s="41"/>
      <c r="E28" s="41"/>
      <c r="F28" s="41"/>
      <c r="G28" s="41"/>
      <c r="H28" s="1"/>
    </row>
    <row r="29" spans="1:8" x14ac:dyDescent="0.25">
      <c r="A29" s="48"/>
      <c r="B29" s="23"/>
      <c r="C29" s="23"/>
      <c r="D29" s="23"/>
      <c r="E29" s="23"/>
      <c r="F29" s="24"/>
      <c r="G29" s="24">
        <f t="shared" si="2"/>
        <v>0</v>
      </c>
      <c r="H29" s="23"/>
    </row>
    <row r="30" spans="1:8" x14ac:dyDescent="0.25">
      <c r="A30" s="48"/>
      <c r="B30" s="23"/>
      <c r="C30" s="23"/>
      <c r="D30" s="23"/>
      <c r="E30" s="23"/>
      <c r="F30" s="24"/>
      <c r="G30" s="24">
        <f t="shared" si="2"/>
        <v>0</v>
      </c>
      <c r="H30" s="23"/>
    </row>
    <row r="31" spans="1:8" x14ac:dyDescent="0.25">
      <c r="A31" s="1" t="s">
        <v>11</v>
      </c>
      <c r="B31" s="45" t="s">
        <v>7</v>
      </c>
      <c r="C31" s="46"/>
      <c r="D31" s="47"/>
      <c r="E31" s="3"/>
      <c r="F31" s="3"/>
      <c r="G31" s="15">
        <f>SUM(G25:G30)</f>
        <v>5918.14</v>
      </c>
      <c r="H31" s="1"/>
    </row>
    <row r="32" spans="1:8" x14ac:dyDescent="0.25">
      <c r="A32" s="48" t="s">
        <v>61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48"/>
      <c r="B33" s="1" t="s">
        <v>62</v>
      </c>
      <c r="C33" s="1">
        <v>15</v>
      </c>
      <c r="D33" s="1">
        <v>15.3</v>
      </c>
      <c r="E33" s="1">
        <v>15</v>
      </c>
      <c r="F33" s="36" t="s">
        <v>25</v>
      </c>
      <c r="G33" s="1">
        <f>D33*E33</f>
        <v>229.5</v>
      </c>
      <c r="H33" s="1"/>
    </row>
    <row r="34" spans="1:8" x14ac:dyDescent="0.25">
      <c r="A34" s="48"/>
      <c r="B34" s="1" t="s">
        <v>63</v>
      </c>
      <c r="C34" s="1">
        <v>15</v>
      </c>
      <c r="D34" s="1">
        <v>171</v>
      </c>
      <c r="E34" s="1">
        <v>15</v>
      </c>
      <c r="F34" s="36" t="s">
        <v>25</v>
      </c>
      <c r="G34" s="23">
        <f>D34*E34</f>
        <v>2565</v>
      </c>
      <c r="H34" s="1"/>
    </row>
    <row r="35" spans="1:8" x14ac:dyDescent="0.25">
      <c r="A35" s="48"/>
      <c r="B35" s="1"/>
      <c r="C35" s="1"/>
      <c r="D35" s="1"/>
      <c r="E35" s="1"/>
      <c r="F35" s="1"/>
      <c r="G35" s="1"/>
      <c r="H35" s="1"/>
    </row>
    <row r="36" spans="1:8" x14ac:dyDescent="0.25">
      <c r="A36" s="1" t="s">
        <v>12</v>
      </c>
      <c r="B36" s="45" t="s">
        <v>16</v>
      </c>
      <c r="C36" s="46"/>
      <c r="D36" s="47"/>
      <c r="E36" s="3"/>
      <c r="F36" s="3"/>
      <c r="G36" s="15">
        <f>SUM(G33:G35)</f>
        <v>2794.5</v>
      </c>
      <c r="H36" s="1"/>
    </row>
    <row r="37" spans="1:8" x14ac:dyDescent="0.25">
      <c r="A37" s="49"/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50"/>
      <c r="B38" s="1" t="s">
        <v>103</v>
      </c>
      <c r="C38" s="1"/>
      <c r="D38" s="1">
        <v>70</v>
      </c>
      <c r="E38" s="1">
        <v>40</v>
      </c>
      <c r="F38" s="1" t="s">
        <v>104</v>
      </c>
      <c r="G38" s="1">
        <f>D38*E38</f>
        <v>2800</v>
      </c>
      <c r="H38" s="1"/>
    </row>
    <row r="39" spans="1:8" x14ac:dyDescent="0.25">
      <c r="A39" s="50"/>
      <c r="B39" s="38" t="s">
        <v>105</v>
      </c>
      <c r="C39" s="38"/>
      <c r="D39" s="38">
        <v>25.08</v>
      </c>
      <c r="E39" s="38">
        <v>3</v>
      </c>
      <c r="F39" s="38" t="s">
        <v>100</v>
      </c>
      <c r="G39" s="38">
        <f>D39*E39</f>
        <v>75.239999999999995</v>
      </c>
      <c r="H39" s="1"/>
    </row>
    <row r="40" spans="1:8" x14ac:dyDescent="0.25">
      <c r="A40" s="50"/>
      <c r="B40" s="38" t="s">
        <v>106</v>
      </c>
      <c r="C40" s="38"/>
      <c r="D40" s="38">
        <v>100</v>
      </c>
      <c r="E40" s="38">
        <v>7</v>
      </c>
      <c r="F40" s="38" t="s">
        <v>100</v>
      </c>
      <c r="G40" s="38">
        <f t="shared" ref="G40:G41" si="3">D40*E40</f>
        <v>700</v>
      </c>
      <c r="H40" s="38"/>
    </row>
    <row r="41" spans="1:8" x14ac:dyDescent="0.25">
      <c r="A41" s="51"/>
      <c r="B41" s="38" t="s">
        <v>107</v>
      </c>
      <c r="C41" s="38"/>
      <c r="D41" s="38">
        <v>22.08</v>
      </c>
      <c r="E41" s="38">
        <v>75</v>
      </c>
      <c r="F41" s="40" t="s">
        <v>40</v>
      </c>
      <c r="G41" s="38">
        <f t="shared" si="3"/>
        <v>1655.9999999999998</v>
      </c>
      <c r="H41" s="38"/>
    </row>
    <row r="42" spans="1:8" x14ac:dyDescent="0.25">
      <c r="A42" s="8" t="s">
        <v>13</v>
      </c>
      <c r="B42" s="45" t="s">
        <v>7</v>
      </c>
      <c r="C42" s="46"/>
      <c r="D42" s="47"/>
      <c r="E42" s="3"/>
      <c r="F42" s="3"/>
      <c r="G42" s="15">
        <f>SUM(G38:G41)</f>
        <v>5231.24</v>
      </c>
      <c r="H42" s="7"/>
    </row>
    <row r="43" spans="1:8" x14ac:dyDescent="0.25">
      <c r="A43" s="49"/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50"/>
      <c r="B44" s="1"/>
      <c r="C44" s="1"/>
      <c r="D44" s="1"/>
      <c r="E44" s="1"/>
      <c r="F44" s="13"/>
      <c r="G44" s="1">
        <f>D44*E44</f>
        <v>0</v>
      </c>
      <c r="H44" s="1"/>
    </row>
    <row r="45" spans="1:8" x14ac:dyDescent="0.25">
      <c r="A45" s="50"/>
      <c r="B45" s="1"/>
      <c r="C45" s="1"/>
      <c r="D45" s="1"/>
      <c r="E45" s="1"/>
      <c r="F45" s="13"/>
      <c r="G45" s="23">
        <f t="shared" ref="G45:G48" si="4">D45*E45</f>
        <v>0</v>
      </c>
      <c r="H45" s="1"/>
    </row>
    <row r="46" spans="1:8" x14ac:dyDescent="0.25">
      <c r="A46" s="50"/>
      <c r="B46" s="1"/>
      <c r="C46" s="1"/>
      <c r="D46" s="1"/>
      <c r="E46" s="1"/>
      <c r="F46" s="13"/>
      <c r="G46" s="23">
        <f t="shared" si="4"/>
        <v>0</v>
      </c>
      <c r="H46" s="1"/>
    </row>
    <row r="47" spans="1:8" x14ac:dyDescent="0.25">
      <c r="A47" s="50"/>
      <c r="B47" s="1"/>
      <c r="C47" s="1"/>
      <c r="D47" s="1"/>
      <c r="E47" s="1"/>
      <c r="F47" s="13"/>
      <c r="G47" s="23">
        <f t="shared" si="4"/>
        <v>0</v>
      </c>
      <c r="H47" s="1"/>
    </row>
    <row r="48" spans="1:8" x14ac:dyDescent="0.25">
      <c r="A48" s="51"/>
      <c r="B48" s="13"/>
      <c r="C48" s="13"/>
      <c r="D48" s="14"/>
      <c r="E48" s="14"/>
      <c r="F48" s="14"/>
      <c r="G48" s="23">
        <f t="shared" si="4"/>
        <v>0</v>
      </c>
      <c r="H48" s="13"/>
    </row>
    <row r="49" spans="1:8" x14ac:dyDescent="0.25">
      <c r="A49" s="13"/>
      <c r="B49" s="45" t="s">
        <v>7</v>
      </c>
      <c r="C49" s="46"/>
      <c r="D49" s="47"/>
      <c r="E49" s="3"/>
      <c r="F49" s="3"/>
      <c r="G49" s="15">
        <f>SUM(G44:G48)</f>
        <v>0</v>
      </c>
      <c r="H49" s="1"/>
    </row>
    <row r="50" spans="1:8" x14ac:dyDescent="0.25">
      <c r="B50" s="42" t="s">
        <v>14</v>
      </c>
      <c r="C50" s="43"/>
      <c r="D50" s="44"/>
      <c r="E50" s="9"/>
      <c r="F50" s="9"/>
      <c r="G50" s="10">
        <f>G49+G42+G36+G23+G17+G9+G31</f>
        <v>31592.28</v>
      </c>
      <c r="H50" s="1"/>
    </row>
  </sheetData>
  <mergeCells count="16">
    <mergeCell ref="A18:A22"/>
    <mergeCell ref="B23:D23"/>
    <mergeCell ref="A1:H1"/>
    <mergeCell ref="A3:A9"/>
    <mergeCell ref="B9:D9"/>
    <mergeCell ref="A11:A16"/>
    <mergeCell ref="B17:D17"/>
    <mergeCell ref="B49:D49"/>
    <mergeCell ref="B50:D50"/>
    <mergeCell ref="A24:A30"/>
    <mergeCell ref="B31:D31"/>
    <mergeCell ref="A32:A35"/>
    <mergeCell ref="B36:D36"/>
    <mergeCell ref="B42:D42"/>
    <mergeCell ref="A43:A48"/>
    <mergeCell ref="A37:A41"/>
  </mergeCells>
  <phoneticPr fontId="2" type="noConversion"/>
  <pageMargins left="0.7" right="0.7" top="0.75" bottom="0.75" header="0.3" footer="0.3"/>
  <pageSetup paperSize="9" scale="9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0"/>
  <sheetViews>
    <sheetView tabSelected="1" topLeftCell="A30" workbookViewId="0">
      <selection activeCell="G61" sqref="G6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2" t="s">
        <v>31</v>
      </c>
      <c r="B1" s="53"/>
      <c r="C1" s="53"/>
      <c r="D1" s="53"/>
      <c r="E1" s="53"/>
      <c r="F1" s="53"/>
      <c r="G1" s="53"/>
      <c r="H1" s="5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8" t="s">
        <v>77</v>
      </c>
      <c r="B3" s="1" t="s">
        <v>86</v>
      </c>
      <c r="C3" s="1">
        <v>280</v>
      </c>
      <c r="D3" s="1">
        <v>72</v>
      </c>
      <c r="E3" s="1">
        <v>71.650000000000006</v>
      </c>
      <c r="F3" s="32" t="s">
        <v>40</v>
      </c>
      <c r="G3" s="2">
        <f>D3*E3</f>
        <v>5158.8</v>
      </c>
      <c r="H3" s="1"/>
    </row>
    <row r="4" spans="1:8" x14ac:dyDescent="0.25">
      <c r="A4" s="48"/>
      <c r="B4" s="1"/>
      <c r="C4" s="1"/>
      <c r="D4" s="1"/>
      <c r="E4" s="1"/>
      <c r="F4" s="32"/>
      <c r="G4" s="1"/>
      <c r="H4" s="1"/>
    </row>
    <row r="5" spans="1:8" x14ac:dyDescent="0.25">
      <c r="A5" s="48"/>
      <c r="B5" s="1"/>
      <c r="C5" s="1"/>
      <c r="D5" s="1"/>
      <c r="E5" s="1"/>
      <c r="F5" s="32"/>
      <c r="G5" s="1"/>
      <c r="H5" s="1"/>
    </row>
    <row r="6" spans="1:8" x14ac:dyDescent="0.25">
      <c r="A6" s="48"/>
      <c r="B6" s="19"/>
      <c r="C6" s="1"/>
      <c r="D6" s="1"/>
      <c r="E6" s="3"/>
      <c r="F6" s="3"/>
      <c r="G6" s="3"/>
      <c r="H6" s="1"/>
    </row>
    <row r="7" spans="1:8" x14ac:dyDescent="0.25">
      <c r="A7" s="48"/>
      <c r="B7" s="45" t="s">
        <v>7</v>
      </c>
      <c r="C7" s="46"/>
      <c r="D7" s="47"/>
      <c r="E7" s="3"/>
      <c r="F7" s="3"/>
      <c r="G7" s="15">
        <f>SUM(G3:G6)</f>
        <v>5158.8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8" t="s">
        <v>78</v>
      </c>
      <c r="B9" s="19" t="s">
        <v>87</v>
      </c>
      <c r="C9" s="1">
        <v>40</v>
      </c>
      <c r="D9" s="1">
        <v>18.239999999999998</v>
      </c>
      <c r="E9" s="1">
        <v>40</v>
      </c>
      <c r="F9" s="36" t="s">
        <v>25</v>
      </c>
      <c r="G9" s="1">
        <f>D9*E9</f>
        <v>729.59999999999991</v>
      </c>
      <c r="H9" s="1"/>
    </row>
    <row r="10" spans="1:8" x14ac:dyDescent="0.25">
      <c r="A10" s="48"/>
      <c r="B10" s="1" t="s">
        <v>88</v>
      </c>
      <c r="C10" s="1">
        <v>8</v>
      </c>
      <c r="D10" s="1">
        <v>105</v>
      </c>
      <c r="E10" s="1">
        <v>8</v>
      </c>
      <c r="F10" s="36" t="s">
        <v>25</v>
      </c>
      <c r="G10" s="40">
        <f t="shared" ref="G10:G11" si="0">D10*E10</f>
        <v>840</v>
      </c>
      <c r="H10" s="1"/>
    </row>
    <row r="11" spans="1:8" x14ac:dyDescent="0.25">
      <c r="A11" s="48"/>
      <c r="B11" s="1" t="s">
        <v>89</v>
      </c>
      <c r="C11" s="1">
        <v>4</v>
      </c>
      <c r="D11" s="1">
        <v>100</v>
      </c>
      <c r="E11" s="1">
        <v>4</v>
      </c>
      <c r="F11" s="36" t="s">
        <v>25</v>
      </c>
      <c r="G11" s="40">
        <f t="shared" si="0"/>
        <v>400</v>
      </c>
      <c r="H11" s="1"/>
    </row>
    <row r="12" spans="1:8" x14ac:dyDescent="0.25">
      <c r="A12" s="48"/>
      <c r="B12" s="1"/>
      <c r="C12" s="1"/>
      <c r="D12" s="1"/>
      <c r="E12" s="1"/>
      <c r="F12" s="32"/>
      <c r="G12" s="1"/>
      <c r="H12" s="1"/>
    </row>
    <row r="13" spans="1:8" x14ac:dyDescent="0.25">
      <c r="A13" s="48"/>
      <c r="B13" s="1"/>
      <c r="C13" s="1"/>
      <c r="D13" s="1"/>
      <c r="E13" s="1"/>
      <c r="F13" s="1"/>
      <c r="G13" s="1"/>
      <c r="H13" s="1"/>
    </row>
    <row r="14" spans="1:8" x14ac:dyDescent="0.25">
      <c r="A14" s="48"/>
      <c r="B14" s="45" t="s">
        <v>7</v>
      </c>
      <c r="C14" s="46"/>
      <c r="D14" s="47"/>
      <c r="E14" s="3"/>
      <c r="F14" s="3"/>
      <c r="G14" s="15">
        <f>SUM(G9:G13)</f>
        <v>1969.6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8" t="s">
        <v>79</v>
      </c>
      <c r="B16" s="1" t="s">
        <v>90</v>
      </c>
      <c r="C16" s="1">
        <v>45</v>
      </c>
      <c r="D16" s="1">
        <v>29.58</v>
      </c>
      <c r="E16" s="1">
        <v>45</v>
      </c>
      <c r="F16" s="36" t="s">
        <v>25</v>
      </c>
      <c r="G16" s="1">
        <f>D16*E16</f>
        <v>1331.1</v>
      </c>
      <c r="H16" s="1"/>
    </row>
    <row r="17" spans="1:8" x14ac:dyDescent="0.25">
      <c r="A17" s="48"/>
      <c r="B17" s="1" t="s">
        <v>91</v>
      </c>
      <c r="C17" s="1">
        <v>6</v>
      </c>
      <c r="D17" s="1">
        <v>360</v>
      </c>
      <c r="E17" s="1">
        <v>6</v>
      </c>
      <c r="F17" s="13" t="s">
        <v>85</v>
      </c>
      <c r="G17" s="40">
        <f>D17*E17</f>
        <v>2160</v>
      </c>
      <c r="H17" s="1"/>
    </row>
    <row r="18" spans="1:8" x14ac:dyDescent="0.25">
      <c r="A18" s="48"/>
      <c r="B18" s="1"/>
      <c r="C18" s="1"/>
      <c r="D18" s="1"/>
      <c r="E18" s="1"/>
      <c r="F18" s="1"/>
      <c r="G18" s="1"/>
      <c r="H18" s="1"/>
    </row>
    <row r="19" spans="1:8" x14ac:dyDescent="0.25">
      <c r="A19" s="48"/>
      <c r="B19" s="26"/>
      <c r="C19" s="26"/>
      <c r="D19" s="26"/>
      <c r="E19" s="26"/>
      <c r="F19" s="32"/>
      <c r="G19" s="1"/>
      <c r="H19" s="1"/>
    </row>
    <row r="20" spans="1:8" x14ac:dyDescent="0.25">
      <c r="A20" s="48"/>
      <c r="B20" s="45" t="s">
        <v>7</v>
      </c>
      <c r="C20" s="46"/>
      <c r="D20" s="47"/>
      <c r="E20" s="3"/>
      <c r="F20" s="3"/>
      <c r="G20" s="15">
        <f>SUM(G16:G19)</f>
        <v>3491.1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8"/>
      <c r="B22" s="1" t="s">
        <v>92</v>
      </c>
      <c r="C22" s="1">
        <v>40</v>
      </c>
      <c r="D22" s="1">
        <v>132</v>
      </c>
      <c r="E22" s="1">
        <v>2.5</v>
      </c>
      <c r="F22" s="32" t="s">
        <v>40</v>
      </c>
      <c r="G22" s="1">
        <f>D22*E22</f>
        <v>330</v>
      </c>
      <c r="H22" s="1"/>
    </row>
    <row r="23" spans="1:8" x14ac:dyDescent="0.25">
      <c r="A23" s="48"/>
      <c r="B23" s="1" t="s">
        <v>93</v>
      </c>
      <c r="C23" s="1">
        <v>25</v>
      </c>
      <c r="D23" s="1">
        <v>10</v>
      </c>
      <c r="E23" s="1">
        <v>25</v>
      </c>
      <c r="F23" s="32" t="s">
        <v>95</v>
      </c>
      <c r="G23" s="40">
        <f t="shared" ref="G23:G26" si="1">D23*E23</f>
        <v>250</v>
      </c>
      <c r="H23" s="1" t="s">
        <v>23</v>
      </c>
    </row>
    <row r="24" spans="1:8" x14ac:dyDescent="0.25">
      <c r="A24" s="48"/>
      <c r="B24" s="1" t="s">
        <v>94</v>
      </c>
      <c r="C24" s="1">
        <v>4</v>
      </c>
      <c r="D24" s="1">
        <v>180</v>
      </c>
      <c r="E24" s="1">
        <v>4</v>
      </c>
      <c r="F24" s="36" t="s">
        <v>25</v>
      </c>
      <c r="G24" s="40">
        <f t="shared" si="1"/>
        <v>720</v>
      </c>
      <c r="H24" s="1"/>
    </row>
    <row r="25" spans="1:8" x14ac:dyDescent="0.25">
      <c r="A25" s="48"/>
      <c r="B25" s="32" t="s">
        <v>108</v>
      </c>
      <c r="C25" s="32"/>
      <c r="D25" s="32">
        <v>4.5</v>
      </c>
      <c r="E25" s="32">
        <v>50</v>
      </c>
      <c r="F25" s="32" t="s">
        <v>109</v>
      </c>
      <c r="G25" s="40">
        <f t="shared" si="1"/>
        <v>225</v>
      </c>
      <c r="H25" s="32"/>
    </row>
    <row r="26" spans="1:8" x14ac:dyDescent="0.25">
      <c r="A26" s="48"/>
      <c r="B26" s="1" t="s">
        <v>110</v>
      </c>
      <c r="C26" s="1"/>
      <c r="D26" s="1">
        <v>120</v>
      </c>
      <c r="E26" s="1">
        <v>1</v>
      </c>
      <c r="F26" s="32" t="s">
        <v>111</v>
      </c>
      <c r="G26" s="40">
        <f t="shared" si="1"/>
        <v>120</v>
      </c>
      <c r="H26" s="1"/>
    </row>
    <row r="27" spans="1:8" x14ac:dyDescent="0.25">
      <c r="A27" s="48"/>
      <c r="B27" s="45" t="s">
        <v>7</v>
      </c>
      <c r="C27" s="46"/>
      <c r="D27" s="47"/>
      <c r="E27" s="3"/>
      <c r="F27" s="3"/>
      <c r="G27" s="17">
        <f>SUM(G22:G26)</f>
        <v>1645</v>
      </c>
      <c r="H27" s="1"/>
    </row>
    <row r="28" spans="1:8" x14ac:dyDescent="0.25">
      <c r="A28" s="1" t="s">
        <v>11</v>
      </c>
      <c r="B28" s="1" t="s">
        <v>1</v>
      </c>
      <c r="C28" s="1" t="s">
        <v>2</v>
      </c>
      <c r="D28" s="1" t="s">
        <v>3</v>
      </c>
      <c r="E28" s="1" t="s">
        <v>4</v>
      </c>
      <c r="F28" s="1"/>
      <c r="G28" s="1" t="s">
        <v>5</v>
      </c>
      <c r="H28" s="1" t="s">
        <v>6</v>
      </c>
    </row>
    <row r="29" spans="1:8" x14ac:dyDescent="0.25">
      <c r="A29" s="48" t="s">
        <v>80</v>
      </c>
      <c r="B29" s="26" t="s">
        <v>81</v>
      </c>
      <c r="C29" s="26" t="s">
        <v>83</v>
      </c>
      <c r="D29" s="26"/>
      <c r="E29" s="26"/>
      <c r="G29" s="1"/>
      <c r="H29" s="1" t="s">
        <v>15</v>
      </c>
    </row>
    <row r="30" spans="1:8" x14ac:dyDescent="0.25">
      <c r="A30" s="48"/>
      <c r="B30" s="1" t="s">
        <v>82</v>
      </c>
      <c r="C30" s="1" t="s">
        <v>83</v>
      </c>
      <c r="D30" s="1"/>
      <c r="E30" s="1"/>
      <c r="F30" s="1"/>
      <c r="G30" s="1"/>
      <c r="H30" s="1"/>
    </row>
    <row r="31" spans="1:8" x14ac:dyDescent="0.25">
      <c r="A31" s="48"/>
      <c r="B31" s="1"/>
      <c r="C31" s="1"/>
      <c r="D31" s="1"/>
      <c r="E31" s="1"/>
      <c r="F31" s="1"/>
      <c r="G31" s="1"/>
      <c r="H31" s="1"/>
    </row>
    <row r="32" spans="1:8" x14ac:dyDescent="0.25">
      <c r="A32" s="48"/>
      <c r="B32" s="45"/>
      <c r="C32" s="46"/>
      <c r="D32" s="47"/>
      <c r="E32" s="3"/>
      <c r="F32" s="3"/>
      <c r="G32" s="5">
        <f>SUM(G29:G31)</f>
        <v>0</v>
      </c>
      <c r="H32" s="1"/>
    </row>
    <row r="33" spans="1:8" x14ac:dyDescent="0.25">
      <c r="A33" s="1" t="s">
        <v>12</v>
      </c>
      <c r="B33" s="1" t="s">
        <v>1</v>
      </c>
      <c r="C33" s="1" t="s">
        <v>2</v>
      </c>
      <c r="D33" s="1" t="s">
        <v>3</v>
      </c>
      <c r="E33" s="3" t="s">
        <v>4</v>
      </c>
      <c r="F33" s="3"/>
      <c r="G33" s="3" t="s">
        <v>5</v>
      </c>
      <c r="H33" s="1" t="s">
        <v>6</v>
      </c>
    </row>
    <row r="34" spans="1:8" x14ac:dyDescent="0.25">
      <c r="A34" s="49"/>
      <c r="B34" s="1" t="s">
        <v>125</v>
      </c>
      <c r="C34" s="1"/>
      <c r="D34" s="1">
        <v>25.92</v>
      </c>
      <c r="E34" s="1">
        <v>111.67</v>
      </c>
      <c r="F34" s="1" t="s">
        <v>120</v>
      </c>
      <c r="G34" s="2">
        <f>D34*E34</f>
        <v>2894.4864000000002</v>
      </c>
      <c r="H34" s="1"/>
    </row>
    <row r="35" spans="1:8" x14ac:dyDescent="0.25">
      <c r="A35" s="50"/>
      <c r="B35" s="1" t="s">
        <v>126</v>
      </c>
      <c r="C35" s="1"/>
      <c r="D35" s="1">
        <v>11.7</v>
      </c>
      <c r="E35" s="1">
        <v>65</v>
      </c>
      <c r="F35" s="1" t="s">
        <v>120</v>
      </c>
      <c r="G35" s="2">
        <f>D35*E35</f>
        <v>760.5</v>
      </c>
      <c r="H35" s="1"/>
    </row>
    <row r="36" spans="1:8" x14ac:dyDescent="0.25">
      <c r="A36" s="51"/>
      <c r="B36" s="45" t="s">
        <v>7</v>
      </c>
      <c r="C36" s="46"/>
      <c r="D36" s="47"/>
      <c r="E36" s="3"/>
      <c r="F36" s="3"/>
      <c r="G36" s="15">
        <f>SUM(G34:G35)</f>
        <v>3654.9864000000002</v>
      </c>
      <c r="H36" s="7"/>
    </row>
    <row r="37" spans="1:8" x14ac:dyDescent="0.25">
      <c r="A37" s="8" t="s">
        <v>13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/>
    </row>
    <row r="38" spans="1:8" x14ac:dyDescent="0.25">
      <c r="A38" s="48"/>
      <c r="B38" s="1" t="s">
        <v>112</v>
      </c>
      <c r="C38" s="1"/>
      <c r="D38" s="1">
        <v>480</v>
      </c>
      <c r="E38" s="1">
        <v>1</v>
      </c>
      <c r="F38" s="1" t="s">
        <v>113</v>
      </c>
      <c r="G38" s="1">
        <f>D38</f>
        <v>480</v>
      </c>
      <c r="H38" s="1"/>
    </row>
    <row r="39" spans="1:8" x14ac:dyDescent="0.25">
      <c r="A39" s="48"/>
      <c r="B39" s="1" t="s">
        <v>114</v>
      </c>
      <c r="C39" s="1"/>
      <c r="D39" s="1">
        <v>70</v>
      </c>
      <c r="E39" s="1">
        <v>10</v>
      </c>
      <c r="F39" s="1" t="s">
        <v>115</v>
      </c>
      <c r="G39" s="40">
        <f t="shared" ref="G39:G58" si="2">D39</f>
        <v>70</v>
      </c>
      <c r="H39" s="1"/>
    </row>
    <row r="40" spans="1:8" x14ac:dyDescent="0.25">
      <c r="A40" s="48"/>
      <c r="B40" s="1" t="s">
        <v>116</v>
      </c>
      <c r="C40" s="1"/>
      <c r="D40" s="1">
        <v>120</v>
      </c>
      <c r="E40" s="1">
        <v>1</v>
      </c>
      <c r="F40" s="1" t="s">
        <v>117</v>
      </c>
      <c r="G40" s="40">
        <f t="shared" si="2"/>
        <v>120</v>
      </c>
      <c r="H40" s="1"/>
    </row>
    <row r="41" spans="1:8" x14ac:dyDescent="0.25">
      <c r="A41" s="48"/>
      <c r="B41" s="1" t="s">
        <v>118</v>
      </c>
      <c r="C41" s="1"/>
      <c r="D41" s="1">
        <v>225</v>
      </c>
      <c r="E41" s="1">
        <v>2</v>
      </c>
      <c r="F41" s="1" t="s">
        <v>111</v>
      </c>
      <c r="G41" s="40">
        <f t="shared" si="2"/>
        <v>225</v>
      </c>
      <c r="H41" s="1"/>
    </row>
    <row r="42" spans="1:8" x14ac:dyDescent="0.25">
      <c r="A42" s="48"/>
      <c r="B42" s="40" t="s">
        <v>119</v>
      </c>
      <c r="C42" s="40"/>
      <c r="D42" s="40">
        <v>22.8</v>
      </c>
      <c r="E42" s="40">
        <v>5</v>
      </c>
      <c r="F42" s="39" t="s">
        <v>120</v>
      </c>
      <c r="G42" s="40">
        <f t="shared" si="2"/>
        <v>22.8</v>
      </c>
      <c r="H42" s="40"/>
    </row>
    <row r="43" spans="1:8" x14ac:dyDescent="0.25">
      <c r="A43" s="48"/>
      <c r="B43" s="40" t="s">
        <v>121</v>
      </c>
      <c r="C43" s="40"/>
      <c r="D43" s="40">
        <v>225</v>
      </c>
      <c r="E43" s="40">
        <v>4</v>
      </c>
      <c r="F43" s="39" t="s">
        <v>115</v>
      </c>
      <c r="G43" s="40">
        <f t="shared" si="2"/>
        <v>225</v>
      </c>
      <c r="H43" s="40"/>
    </row>
    <row r="44" spans="1:8" x14ac:dyDescent="0.25">
      <c r="A44" s="48"/>
      <c r="B44" s="40" t="s">
        <v>122</v>
      </c>
      <c r="C44" s="40"/>
      <c r="D44" s="40">
        <v>36.9</v>
      </c>
      <c r="E44" s="40">
        <v>4.84</v>
      </c>
      <c r="F44" s="39" t="s">
        <v>120</v>
      </c>
      <c r="G44" s="40">
        <f t="shared" si="2"/>
        <v>36.9</v>
      </c>
      <c r="H44" s="40"/>
    </row>
    <row r="45" spans="1:8" x14ac:dyDescent="0.25">
      <c r="A45" s="48"/>
      <c r="B45" s="40" t="s">
        <v>123</v>
      </c>
      <c r="C45" s="40"/>
      <c r="D45" s="40">
        <v>58.5</v>
      </c>
      <c r="E45" s="40">
        <v>3</v>
      </c>
      <c r="F45" s="40" t="s">
        <v>120</v>
      </c>
      <c r="G45" s="40">
        <f t="shared" si="2"/>
        <v>58.5</v>
      </c>
      <c r="H45" s="40"/>
    </row>
    <row r="46" spans="1:8" x14ac:dyDescent="0.25">
      <c r="A46" s="48"/>
      <c r="B46" s="40" t="s">
        <v>124</v>
      </c>
      <c r="C46" s="40"/>
      <c r="D46" s="40">
        <v>12</v>
      </c>
      <c r="E46" s="40">
        <v>5</v>
      </c>
      <c r="F46" s="40" t="s">
        <v>109</v>
      </c>
      <c r="G46" s="40">
        <f t="shared" si="2"/>
        <v>12</v>
      </c>
      <c r="H46" s="40"/>
    </row>
    <row r="47" spans="1:8" x14ac:dyDescent="0.25">
      <c r="A47" s="48"/>
      <c r="B47" s="40" t="s">
        <v>127</v>
      </c>
      <c r="C47" s="40"/>
      <c r="D47" s="40">
        <v>1188</v>
      </c>
      <c r="E47" s="40">
        <v>1</v>
      </c>
      <c r="F47" s="40" t="s">
        <v>113</v>
      </c>
      <c r="G47" s="40">
        <f t="shared" si="2"/>
        <v>1188</v>
      </c>
      <c r="H47" s="40"/>
    </row>
    <row r="48" spans="1:8" x14ac:dyDescent="0.25">
      <c r="A48" s="48"/>
      <c r="B48" s="40" t="s">
        <v>128</v>
      </c>
      <c r="C48" s="40"/>
      <c r="D48" s="40">
        <v>37</v>
      </c>
      <c r="E48" s="40">
        <v>20</v>
      </c>
      <c r="F48" s="40" t="s">
        <v>129</v>
      </c>
      <c r="G48" s="40">
        <f t="shared" si="2"/>
        <v>37</v>
      </c>
      <c r="H48" s="40"/>
    </row>
    <row r="49" spans="1:8" x14ac:dyDescent="0.25">
      <c r="A49" s="48"/>
      <c r="B49" s="40" t="s">
        <v>130</v>
      </c>
      <c r="C49" s="40"/>
      <c r="D49" s="40">
        <v>45.6</v>
      </c>
      <c r="E49" s="40">
        <v>20</v>
      </c>
      <c r="F49" s="40" t="s">
        <v>120</v>
      </c>
      <c r="G49" s="40">
        <f t="shared" si="2"/>
        <v>45.6</v>
      </c>
      <c r="H49" s="40"/>
    </row>
    <row r="50" spans="1:8" x14ac:dyDescent="0.25">
      <c r="A50" s="48"/>
      <c r="B50" s="40" t="s">
        <v>131</v>
      </c>
      <c r="C50" s="40"/>
      <c r="D50" s="40">
        <v>193</v>
      </c>
      <c r="E50" s="40">
        <v>1</v>
      </c>
      <c r="F50" s="40" t="s">
        <v>113</v>
      </c>
      <c r="G50" s="40">
        <f t="shared" si="2"/>
        <v>193</v>
      </c>
      <c r="H50" s="40"/>
    </row>
    <row r="51" spans="1:8" x14ac:dyDescent="0.25">
      <c r="A51" s="48"/>
      <c r="B51" s="40" t="s">
        <v>132</v>
      </c>
      <c r="C51" s="40"/>
      <c r="D51" s="40">
        <v>121</v>
      </c>
      <c r="E51" s="40">
        <v>0.5</v>
      </c>
      <c r="F51" s="40" t="s">
        <v>120</v>
      </c>
      <c r="G51" s="40">
        <f t="shared" si="2"/>
        <v>121</v>
      </c>
      <c r="H51" s="40"/>
    </row>
    <row r="52" spans="1:8" x14ac:dyDescent="0.25">
      <c r="A52" s="48"/>
      <c r="B52" s="40" t="s">
        <v>133</v>
      </c>
      <c r="C52" s="40"/>
      <c r="D52" s="40">
        <v>255</v>
      </c>
      <c r="E52" s="40">
        <v>1</v>
      </c>
      <c r="F52" s="40" t="s">
        <v>113</v>
      </c>
      <c r="G52" s="40">
        <f t="shared" si="2"/>
        <v>255</v>
      </c>
      <c r="H52" s="40"/>
    </row>
    <row r="53" spans="1:8" x14ac:dyDescent="0.25">
      <c r="A53" s="48"/>
      <c r="B53" s="40" t="s">
        <v>134</v>
      </c>
      <c r="C53" s="40"/>
      <c r="D53" s="40">
        <v>270</v>
      </c>
      <c r="E53" s="40">
        <v>1</v>
      </c>
      <c r="F53" s="40" t="s">
        <v>113</v>
      </c>
      <c r="G53" s="40">
        <f t="shared" si="2"/>
        <v>270</v>
      </c>
      <c r="H53" s="40"/>
    </row>
    <row r="54" spans="1:8" x14ac:dyDescent="0.25">
      <c r="A54" s="48"/>
      <c r="B54" s="40" t="s">
        <v>135</v>
      </c>
      <c r="C54" s="40"/>
      <c r="D54" s="40">
        <v>32</v>
      </c>
      <c r="E54" s="40">
        <v>50</v>
      </c>
      <c r="F54" s="40" t="s">
        <v>120</v>
      </c>
      <c r="G54" s="40">
        <f t="shared" si="2"/>
        <v>32</v>
      </c>
      <c r="H54" s="40"/>
    </row>
    <row r="55" spans="1:8" x14ac:dyDescent="0.25">
      <c r="A55" s="48"/>
      <c r="B55" s="40" t="s">
        <v>136</v>
      </c>
      <c r="C55" s="40"/>
      <c r="D55" s="40">
        <v>1688</v>
      </c>
      <c r="E55" s="40">
        <v>1</v>
      </c>
      <c r="F55" s="40" t="s">
        <v>137</v>
      </c>
      <c r="G55" s="40">
        <f t="shared" si="2"/>
        <v>1688</v>
      </c>
      <c r="H55" s="40"/>
    </row>
    <row r="56" spans="1:8" x14ac:dyDescent="0.25">
      <c r="A56" s="48"/>
      <c r="B56" s="40" t="s">
        <v>138</v>
      </c>
      <c r="C56" s="40"/>
      <c r="D56" s="40">
        <v>141</v>
      </c>
      <c r="E56" s="40">
        <v>5</v>
      </c>
      <c r="F56" s="40" t="s">
        <v>120</v>
      </c>
      <c r="G56" s="40">
        <f t="shared" si="2"/>
        <v>141</v>
      </c>
      <c r="H56" s="40"/>
    </row>
    <row r="57" spans="1:8" x14ac:dyDescent="0.25">
      <c r="A57" s="48"/>
      <c r="B57" s="40" t="s">
        <v>139</v>
      </c>
      <c r="C57" s="40"/>
      <c r="D57" s="40">
        <v>61.2</v>
      </c>
      <c r="E57" s="40"/>
      <c r="F57" s="40" t="s">
        <v>120</v>
      </c>
      <c r="G57" s="40">
        <f t="shared" si="2"/>
        <v>61.2</v>
      </c>
      <c r="H57" s="40"/>
    </row>
    <row r="58" spans="1:8" x14ac:dyDescent="0.25">
      <c r="A58" s="48"/>
      <c r="B58" s="40" t="s">
        <v>140</v>
      </c>
      <c r="C58" s="40"/>
      <c r="D58" s="40">
        <v>25.5</v>
      </c>
      <c r="E58" s="40">
        <v>0.25</v>
      </c>
      <c r="F58" s="40" t="s">
        <v>120</v>
      </c>
      <c r="G58" s="39">
        <f t="shared" si="2"/>
        <v>25.5</v>
      </c>
      <c r="H58" s="40"/>
    </row>
    <row r="59" spans="1:8" x14ac:dyDescent="0.25">
      <c r="A59" s="48"/>
      <c r="B59" s="45" t="s">
        <v>7</v>
      </c>
      <c r="C59" s="46"/>
      <c r="D59" s="47"/>
      <c r="E59" s="3"/>
      <c r="F59" s="3"/>
      <c r="G59" s="15">
        <f>SUM(G38:G58)</f>
        <v>5307.4999999999991</v>
      </c>
      <c r="H59" s="1"/>
    </row>
    <row r="60" spans="1:8" x14ac:dyDescent="0.25">
      <c r="A60" s="1"/>
      <c r="B60" s="42" t="s">
        <v>14</v>
      </c>
      <c r="C60" s="43"/>
      <c r="D60" s="44"/>
      <c r="E60" s="9"/>
      <c r="F60" s="9"/>
      <c r="G60" s="10">
        <f>G59+G36+G32+G20+G14+G7+G27</f>
        <v>21226.986400000002</v>
      </c>
      <c r="H60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8:A59"/>
    <mergeCell ref="B59:D59"/>
    <mergeCell ref="B60:D60"/>
    <mergeCell ref="A22:A27"/>
    <mergeCell ref="B27:D27"/>
    <mergeCell ref="A29:A32"/>
    <mergeCell ref="B32:D32"/>
    <mergeCell ref="A34:A36"/>
    <mergeCell ref="B36:D36"/>
  </mergeCells>
  <phoneticPr fontId="2" type="noConversion"/>
  <pageMargins left="0.7" right="0.7" top="0.75" bottom="0.75" header="0.3" footer="0.3"/>
  <pageSetup paperSize="9" scale="76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selection sqref="A1:H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2" t="s">
        <v>32</v>
      </c>
      <c r="B1" s="53"/>
      <c r="C1" s="53"/>
      <c r="D1" s="53"/>
      <c r="E1" s="53"/>
      <c r="F1" s="53"/>
      <c r="G1" s="53"/>
      <c r="H1" s="5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8"/>
      <c r="B3" s="1"/>
      <c r="C3" s="1"/>
      <c r="D3" s="1"/>
      <c r="E3" s="1"/>
      <c r="F3" s="32"/>
      <c r="G3" s="2"/>
      <c r="H3" s="1"/>
    </row>
    <row r="4" spans="1:8" x14ac:dyDescent="0.25">
      <c r="A4" s="48"/>
      <c r="B4" s="1"/>
      <c r="C4" s="1"/>
      <c r="D4" s="1"/>
      <c r="E4" s="1"/>
      <c r="F4" s="32"/>
      <c r="G4" s="1"/>
      <c r="H4" s="1"/>
    </row>
    <row r="5" spans="1:8" x14ac:dyDescent="0.25">
      <c r="A5" s="48"/>
      <c r="B5" s="1"/>
      <c r="C5" s="1"/>
      <c r="D5" s="1"/>
      <c r="E5" s="1"/>
      <c r="F5" s="32"/>
      <c r="G5" s="1"/>
      <c r="H5" s="1"/>
    </row>
    <row r="6" spans="1:8" x14ac:dyDescent="0.25">
      <c r="A6" s="48"/>
      <c r="B6" s="1"/>
      <c r="C6" s="1"/>
      <c r="D6" s="1"/>
      <c r="E6" s="3"/>
      <c r="F6" s="31"/>
      <c r="G6" s="3"/>
      <c r="H6" s="1"/>
    </row>
    <row r="7" spans="1:8" x14ac:dyDescent="0.25">
      <c r="A7" s="48"/>
      <c r="B7" s="1"/>
      <c r="C7" s="1"/>
      <c r="D7" s="1"/>
      <c r="E7" s="3"/>
      <c r="F7" s="3"/>
      <c r="G7" s="3"/>
      <c r="H7" s="1"/>
    </row>
    <row r="8" spans="1:8" x14ac:dyDescent="0.25">
      <c r="A8" s="48"/>
      <c r="B8" s="45" t="s">
        <v>7</v>
      </c>
      <c r="C8" s="46"/>
      <c r="D8" s="47"/>
      <c r="E8" s="3"/>
      <c r="F8" s="3"/>
      <c r="G8" s="4">
        <f>SUM(G3:G7)</f>
        <v>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32"/>
      <c r="G9" s="1" t="s">
        <v>5</v>
      </c>
      <c r="H9" s="1" t="s">
        <v>6</v>
      </c>
    </row>
    <row r="10" spans="1:8" x14ac:dyDescent="0.25">
      <c r="A10" s="49"/>
      <c r="B10" s="26"/>
      <c r="C10" s="26"/>
      <c r="D10" s="26"/>
      <c r="E10" s="26"/>
      <c r="F10" s="32"/>
      <c r="G10" s="26"/>
      <c r="H10" s="26"/>
    </row>
    <row r="11" spans="1:8" x14ac:dyDescent="0.25">
      <c r="A11" s="50"/>
      <c r="B11" s="1"/>
      <c r="C11" s="1"/>
      <c r="D11" s="1"/>
      <c r="E11" s="1"/>
      <c r="F11" s="13"/>
      <c r="G11" s="1"/>
      <c r="H11" s="1"/>
    </row>
    <row r="12" spans="1:8" x14ac:dyDescent="0.25">
      <c r="A12" s="50"/>
      <c r="B12" s="1"/>
      <c r="C12" s="1"/>
      <c r="D12" s="1"/>
      <c r="E12" s="1"/>
      <c r="F12" s="13"/>
      <c r="G12" s="1"/>
      <c r="H12" s="1"/>
    </row>
    <row r="13" spans="1:8" x14ac:dyDescent="0.25">
      <c r="A13" s="50"/>
      <c r="B13" s="1"/>
      <c r="C13" s="1"/>
      <c r="D13" s="1"/>
      <c r="E13" s="1"/>
      <c r="F13" s="13"/>
      <c r="G13" s="1"/>
      <c r="H13" s="1"/>
    </row>
    <row r="14" spans="1:8" x14ac:dyDescent="0.25">
      <c r="A14" s="50"/>
      <c r="B14" s="1"/>
      <c r="C14" s="1"/>
      <c r="D14" s="1"/>
      <c r="E14" s="1"/>
      <c r="F14" s="13"/>
      <c r="G14" s="1"/>
      <c r="H14" s="1"/>
    </row>
    <row r="15" spans="1:8" x14ac:dyDescent="0.25">
      <c r="A15" s="50"/>
      <c r="B15" s="19"/>
      <c r="C15" s="1"/>
      <c r="D15" s="1"/>
      <c r="E15" s="1"/>
      <c r="F15" s="1"/>
      <c r="G15" s="1"/>
      <c r="H15" s="13"/>
    </row>
    <row r="16" spans="1:8" x14ac:dyDescent="0.25">
      <c r="A16" s="51"/>
      <c r="B16" s="45" t="s">
        <v>7</v>
      </c>
      <c r="C16" s="46"/>
      <c r="D16" s="47"/>
      <c r="E16" s="3"/>
      <c r="F16" s="3"/>
      <c r="G16" s="4">
        <f>SUM(G11:G15)</f>
        <v>0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8"/>
      <c r="B18" s="1"/>
      <c r="C18" s="1"/>
      <c r="D18" s="1"/>
      <c r="E18" s="1"/>
      <c r="F18" s="32"/>
      <c r="G18" s="1"/>
      <c r="H18" s="1"/>
    </row>
    <row r="19" spans="1:8" x14ac:dyDescent="0.25">
      <c r="A19" s="48"/>
      <c r="B19" s="1"/>
      <c r="C19" s="1"/>
      <c r="D19" s="1"/>
      <c r="E19" s="1"/>
      <c r="F19" s="32"/>
      <c r="G19" s="1"/>
      <c r="H19" s="1"/>
    </row>
    <row r="20" spans="1:8" x14ac:dyDescent="0.25">
      <c r="A20" s="48"/>
      <c r="B20" s="1"/>
      <c r="C20" s="1"/>
      <c r="D20" s="1"/>
      <c r="E20" s="1"/>
      <c r="F20" s="32"/>
      <c r="G20" s="1"/>
      <c r="H20" s="1"/>
    </row>
    <row r="21" spans="1:8" x14ac:dyDescent="0.25">
      <c r="A21" s="48"/>
      <c r="B21" s="1"/>
      <c r="C21" s="1"/>
      <c r="D21" s="1"/>
      <c r="E21" s="3"/>
      <c r="F21" s="3"/>
      <c r="G21" s="1"/>
      <c r="H21" s="1"/>
    </row>
    <row r="22" spans="1:8" x14ac:dyDescent="0.25">
      <c r="A22" s="48"/>
      <c r="B22" s="45" t="s">
        <v>7</v>
      </c>
      <c r="C22" s="46"/>
      <c r="D22" s="47"/>
      <c r="E22" s="3"/>
      <c r="F22" s="3"/>
      <c r="G22" s="5">
        <f>SUM(G18:G21)</f>
        <v>0</v>
      </c>
      <c r="H22" s="1"/>
    </row>
    <row r="23" spans="1:8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5"/>
      <c r="B24" s="19"/>
      <c r="C24" s="13"/>
      <c r="D24" s="13"/>
      <c r="E24" s="13"/>
      <c r="F24" s="32"/>
      <c r="G24" s="13"/>
      <c r="H24" s="13" t="s">
        <v>19</v>
      </c>
    </row>
    <row r="25" spans="1:8" x14ac:dyDescent="0.25">
      <c r="A25" s="56"/>
      <c r="B25" s="13"/>
      <c r="C25" s="13"/>
      <c r="D25" s="13"/>
      <c r="E25" s="13"/>
      <c r="F25" s="32"/>
      <c r="G25" s="13"/>
      <c r="H25" s="13" t="s">
        <v>19</v>
      </c>
    </row>
    <row r="26" spans="1:8" x14ac:dyDescent="0.25">
      <c r="A26" s="56"/>
      <c r="B26" s="13"/>
      <c r="C26" s="13"/>
      <c r="D26" s="13"/>
      <c r="E26" s="13"/>
      <c r="F26" s="13"/>
      <c r="G26" s="13"/>
      <c r="H26" s="1" t="s">
        <v>18</v>
      </c>
    </row>
    <row r="27" spans="1:8" x14ac:dyDescent="0.25">
      <c r="A27" s="56"/>
      <c r="B27" s="1"/>
      <c r="C27" s="1"/>
      <c r="D27" s="1"/>
      <c r="E27" s="1"/>
      <c r="F27" s="1"/>
      <c r="G27" s="1"/>
      <c r="H27" s="13" t="s">
        <v>18</v>
      </c>
    </row>
    <row r="28" spans="1:8" x14ac:dyDescent="0.25">
      <c r="A28" s="56"/>
      <c r="B28" s="1"/>
      <c r="C28" s="1"/>
      <c r="D28" s="1"/>
      <c r="E28" s="1"/>
      <c r="F28" s="1"/>
      <c r="G28" s="1"/>
      <c r="H28" s="13" t="s">
        <v>18</v>
      </c>
    </row>
    <row r="29" spans="1:8" x14ac:dyDescent="0.25">
      <c r="A29" s="56"/>
      <c r="B29" s="1"/>
      <c r="C29" s="1"/>
      <c r="D29" s="1"/>
      <c r="E29" s="1"/>
      <c r="F29" s="1"/>
      <c r="G29" s="1"/>
      <c r="H29" s="26"/>
    </row>
    <row r="30" spans="1:8" x14ac:dyDescent="0.25">
      <c r="A30" s="56"/>
      <c r="B30" s="1"/>
      <c r="C30" s="1"/>
      <c r="D30" s="1"/>
      <c r="E30" s="1"/>
      <c r="F30" s="1"/>
      <c r="G30" s="1"/>
      <c r="H30" s="1"/>
    </row>
    <row r="31" spans="1:8" x14ac:dyDescent="0.25">
      <c r="A31" s="57"/>
      <c r="B31" s="45" t="s">
        <v>7</v>
      </c>
      <c r="C31" s="46"/>
      <c r="D31" s="47"/>
      <c r="E31" s="3"/>
      <c r="F31" s="3"/>
      <c r="G31" s="3"/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48"/>
      <c r="B33" s="1"/>
      <c r="C33" s="1"/>
      <c r="D33" s="1"/>
      <c r="E33" s="1"/>
      <c r="F33" s="1"/>
      <c r="G33" s="1"/>
      <c r="H33" s="1"/>
    </row>
    <row r="34" spans="1:8" x14ac:dyDescent="0.25">
      <c r="A34" s="48"/>
      <c r="B34" s="1"/>
      <c r="C34" s="1"/>
      <c r="D34" s="1"/>
      <c r="E34" s="1"/>
      <c r="F34" s="1"/>
      <c r="G34" s="1"/>
      <c r="H34" s="1"/>
    </row>
    <row r="35" spans="1:8" x14ac:dyDescent="0.25">
      <c r="A35" s="48"/>
      <c r="B35" s="1"/>
      <c r="C35" s="1"/>
      <c r="D35" s="1"/>
      <c r="E35" s="1"/>
      <c r="F35" s="1"/>
      <c r="G35" s="1"/>
      <c r="H35" s="1"/>
    </row>
    <row r="36" spans="1:8" x14ac:dyDescent="0.25">
      <c r="A36" s="48"/>
      <c r="B36" s="45"/>
      <c r="C36" s="46"/>
      <c r="D36" s="47"/>
      <c r="E36" s="3"/>
      <c r="F36" s="3"/>
      <c r="G36" s="5">
        <f>SUM(G33:G35)</f>
        <v>0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49"/>
      <c r="B38" s="1"/>
      <c r="C38" s="1"/>
      <c r="D38" s="1"/>
      <c r="E38" s="1"/>
      <c r="F38" s="1"/>
      <c r="G38" s="1"/>
      <c r="H38" s="1"/>
    </row>
    <row r="39" spans="1:8" x14ac:dyDescent="0.25">
      <c r="A39" s="50"/>
      <c r="B39" s="1"/>
      <c r="C39" s="1"/>
      <c r="D39" s="1"/>
      <c r="E39" s="1"/>
      <c r="F39" s="1"/>
      <c r="G39" s="2"/>
      <c r="H39" s="1"/>
    </row>
    <row r="40" spans="1:8" x14ac:dyDescent="0.25">
      <c r="A40" s="51"/>
      <c r="B40" s="45" t="s">
        <v>7</v>
      </c>
      <c r="C40" s="46"/>
      <c r="D40" s="47"/>
      <c r="E40" s="3"/>
      <c r="F40" s="3"/>
      <c r="G40" s="4">
        <f>SUM(G38:G39)</f>
        <v>0</v>
      </c>
      <c r="H40" s="7"/>
    </row>
    <row r="41" spans="1:8" x14ac:dyDescent="0.25">
      <c r="A41" s="8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48"/>
      <c r="B42" s="1"/>
      <c r="C42" s="1"/>
      <c r="D42" s="1"/>
      <c r="E42" s="1"/>
      <c r="F42" s="1"/>
      <c r="G42" s="1"/>
      <c r="H42" s="1"/>
    </row>
    <row r="43" spans="1:8" x14ac:dyDescent="0.25">
      <c r="A43" s="48"/>
      <c r="B43" s="1"/>
      <c r="C43" s="1"/>
      <c r="D43" s="1"/>
      <c r="E43" s="1"/>
      <c r="F43" s="1"/>
      <c r="G43" s="1"/>
      <c r="H43" s="1"/>
    </row>
    <row r="44" spans="1:8" x14ac:dyDescent="0.25">
      <c r="A44" s="48"/>
      <c r="B44" s="1"/>
      <c r="C44" s="1"/>
      <c r="D44" s="1"/>
      <c r="E44" s="1"/>
      <c r="F44" s="1"/>
      <c r="G44" s="1"/>
      <c r="H44" s="1"/>
    </row>
    <row r="45" spans="1:8" x14ac:dyDescent="0.25">
      <c r="A45" s="48"/>
      <c r="B45" s="1"/>
      <c r="C45" s="1"/>
      <c r="D45" s="1"/>
      <c r="E45" s="1"/>
      <c r="F45" s="1"/>
      <c r="G45" s="1"/>
      <c r="H45" s="1"/>
    </row>
    <row r="46" spans="1:8" x14ac:dyDescent="0.25">
      <c r="A46" s="48"/>
      <c r="B46" s="45" t="s">
        <v>7</v>
      </c>
      <c r="C46" s="46"/>
      <c r="D46" s="47"/>
      <c r="E46" s="3"/>
      <c r="F46" s="3"/>
      <c r="G46" s="5">
        <f>SUM(G42:G45)</f>
        <v>0</v>
      </c>
      <c r="H46" s="1"/>
    </row>
    <row r="47" spans="1:8" x14ac:dyDescent="0.25">
      <c r="A47" s="1"/>
      <c r="B47" s="42" t="s">
        <v>14</v>
      </c>
      <c r="C47" s="43"/>
      <c r="D47" s="44"/>
      <c r="E47" s="9"/>
      <c r="F47" s="9"/>
      <c r="G47" s="10">
        <f>G46+G40+G36+G22+G16+G8</f>
        <v>0</v>
      </c>
      <c r="H47" s="1"/>
    </row>
  </sheetData>
  <mergeCells count="16">
    <mergeCell ref="A18:A22"/>
    <mergeCell ref="B22:D22"/>
    <mergeCell ref="A1:H1"/>
    <mergeCell ref="A3:A8"/>
    <mergeCell ref="B8:D8"/>
    <mergeCell ref="B16:D16"/>
    <mergeCell ref="A10:A16"/>
    <mergeCell ref="A42:A46"/>
    <mergeCell ref="B46:D46"/>
    <mergeCell ref="B47:D47"/>
    <mergeCell ref="B31:D31"/>
    <mergeCell ref="A33:A36"/>
    <mergeCell ref="B36:D36"/>
    <mergeCell ref="A38:A40"/>
    <mergeCell ref="B40:D40"/>
    <mergeCell ref="A24:A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4</vt:i4>
      </vt:variant>
    </vt:vector>
  </HeadingPairs>
  <TitlesOfParts>
    <vt:vector size="9" baseType="lpstr">
      <vt:lpstr>1006休</vt:lpstr>
      <vt:lpstr>1007</vt:lpstr>
      <vt:lpstr>1008</vt:lpstr>
      <vt:lpstr>1009</vt:lpstr>
      <vt:lpstr>1010休</vt:lpstr>
      <vt:lpstr>'1006休'!Print_Area</vt:lpstr>
      <vt:lpstr>'1007'!Print_Area</vt:lpstr>
      <vt:lpstr>'1008'!Print_Area</vt:lpstr>
      <vt:lpstr>'1009'!Print_Area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2025-10-08T04:27:04Z</cp:lastPrinted>
  <dcterms:created xsi:type="dcterms:W3CDTF">2025-02-19T17:01:12Z</dcterms:created>
  <dcterms:modified xsi:type="dcterms:W3CDTF">2025-10-08T04:27:06Z</dcterms:modified>
</cp:coreProperties>
</file>