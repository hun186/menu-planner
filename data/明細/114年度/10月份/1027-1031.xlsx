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0月份\"/>
    </mc:Choice>
  </mc:AlternateContent>
  <bookViews>
    <workbookView xWindow="0" yWindow="0" windowWidth="28800" windowHeight="11595" activeTab="4"/>
  </bookViews>
  <sheets>
    <sheet name="1027" sheetId="1" r:id="rId1"/>
    <sheet name="1028" sheetId="2" r:id="rId2"/>
    <sheet name="1029" sheetId="3" r:id="rId3"/>
    <sheet name="1030" sheetId="4" r:id="rId4"/>
    <sheet name="1031" sheetId="5" r:id="rId5"/>
  </sheets>
  <definedNames>
    <definedName name="_xlnm.Print_Area" localSheetId="0">'1027'!$A$1:$H$52</definedName>
    <definedName name="_xlnm.Print_Area" localSheetId="1">'1028'!$A$1:$H$46</definedName>
    <definedName name="_xlnm.Print_Area" localSheetId="2">'1029'!$A$1:$H$48</definedName>
    <definedName name="_xlnm.Print_Area" localSheetId="3">'1030'!$A$1:$H$48</definedName>
    <definedName name="_xlnm.Print_Area" localSheetId="4">'1031'!$A$1:$H$53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3" i="5" l="1"/>
  <c r="G37" i="5"/>
  <c r="G8" i="5"/>
  <c r="G4" i="5"/>
  <c r="G5" i="5"/>
  <c r="G3" i="5"/>
  <c r="G13" i="5"/>
  <c r="G11" i="5"/>
  <c r="G10" i="5"/>
  <c r="G16" i="5"/>
  <c r="G15" i="5"/>
  <c r="G22" i="5"/>
  <c r="G23" i="5"/>
  <c r="G24" i="5"/>
  <c r="G25" i="5"/>
  <c r="G26" i="5"/>
  <c r="G27" i="5"/>
  <c r="G21" i="5"/>
  <c r="G28" i="5" s="1"/>
  <c r="G31" i="5"/>
  <c r="G30" i="5"/>
  <c r="G36" i="5"/>
  <c r="G35" i="5"/>
  <c r="G40" i="5"/>
  <c r="G41" i="5"/>
  <c r="G42" i="5"/>
  <c r="G43" i="5"/>
  <c r="G44" i="5"/>
  <c r="G45" i="5"/>
  <c r="G46" i="5"/>
  <c r="G47" i="5"/>
  <c r="G48" i="5"/>
  <c r="G49" i="5"/>
  <c r="G50" i="5"/>
  <c r="G51" i="5"/>
  <c r="G39" i="5"/>
  <c r="G52" i="5" s="1"/>
  <c r="G48" i="4"/>
  <c r="G47" i="4"/>
  <c r="G42" i="4"/>
  <c r="G43" i="4"/>
  <c r="G44" i="4"/>
  <c r="G45" i="4"/>
  <c r="G46" i="4"/>
  <c r="G41" i="4"/>
  <c r="G39" i="4"/>
  <c r="G38" i="4"/>
  <c r="G37" i="4"/>
  <c r="G34" i="4"/>
  <c r="G33" i="4"/>
  <c r="G30" i="4"/>
  <c r="G23" i="4"/>
  <c r="G24" i="4"/>
  <c r="G25" i="4"/>
  <c r="G26" i="4"/>
  <c r="G27" i="4"/>
  <c r="G28" i="4"/>
  <c r="G29" i="4"/>
  <c r="G22" i="4"/>
  <c r="G20" i="4"/>
  <c r="G17" i="4"/>
  <c r="G18" i="4"/>
  <c r="G19" i="4"/>
  <c r="G16" i="4"/>
  <c r="G14" i="4"/>
  <c r="G10" i="4"/>
  <c r="G9" i="4"/>
  <c r="G3" i="4"/>
  <c r="G48" i="3"/>
  <c r="G9" i="3" l="1"/>
  <c r="G4" i="3"/>
  <c r="G5" i="3"/>
  <c r="G6" i="3"/>
  <c r="G7" i="3"/>
  <c r="G47" i="3"/>
  <c r="G20" i="3"/>
  <c r="G19" i="3"/>
  <c r="G46" i="2"/>
  <c r="G7" i="2" l="1"/>
  <c r="G14" i="2"/>
  <c r="G35" i="2"/>
  <c r="G33" i="2"/>
  <c r="G34" i="2"/>
  <c r="G10" i="2"/>
  <c r="G11" i="2"/>
  <c r="G36" i="1"/>
  <c r="G52" i="1"/>
  <c r="G44" i="1"/>
  <c r="G51" i="1"/>
  <c r="G48" i="1"/>
  <c r="G49" i="1"/>
  <c r="G50" i="1"/>
  <c r="G27" i="1"/>
  <c r="G28" i="1"/>
  <c r="G29" i="1"/>
  <c r="G30" i="1"/>
  <c r="G31" i="1"/>
  <c r="G32" i="1"/>
  <c r="G33" i="1"/>
  <c r="G34" i="1"/>
  <c r="G35" i="1"/>
  <c r="G39" i="3" l="1"/>
  <c r="G38" i="3"/>
  <c r="G12" i="3"/>
  <c r="G13" i="3"/>
  <c r="G14" i="3"/>
  <c r="G11" i="3"/>
  <c r="G30" i="3"/>
  <c r="G29" i="3"/>
  <c r="G26" i="3"/>
  <c r="G27" i="3"/>
  <c r="G28" i="3"/>
  <c r="G25" i="3"/>
  <c r="G31" i="3" s="1"/>
  <c r="G34" i="3"/>
  <c r="G33" i="3"/>
  <c r="G3" i="3"/>
  <c r="G43" i="3"/>
  <c r="G44" i="3"/>
  <c r="G45" i="3"/>
  <c r="G46" i="3"/>
  <c r="G42" i="3"/>
  <c r="G25" i="2" l="1"/>
  <c r="G26" i="2"/>
  <c r="G27" i="2"/>
  <c r="G29" i="2"/>
  <c r="G24" i="2"/>
  <c r="G38" i="2"/>
  <c r="G9" i="2"/>
  <c r="G17" i="2"/>
  <c r="G18" i="2"/>
  <c r="G19" i="2"/>
  <c r="G20" i="2"/>
  <c r="G16" i="2"/>
  <c r="G32" i="2"/>
  <c r="G4" i="2"/>
  <c r="G5" i="2"/>
  <c r="G6" i="2"/>
  <c r="G3" i="2"/>
  <c r="G37" i="2"/>
  <c r="G30" i="2" l="1"/>
  <c r="G22" i="2"/>
  <c r="G17" i="1"/>
  <c r="G18" i="1"/>
  <c r="G19" i="1"/>
  <c r="G3" i="1"/>
  <c r="G47" i="1" l="1"/>
  <c r="G16" i="1"/>
  <c r="G20" i="1" s="1"/>
  <c r="G43" i="1"/>
  <c r="G45" i="1" s="1"/>
  <c r="G24" i="1" l="1"/>
  <c r="G25" i="1"/>
  <c r="G26" i="1"/>
  <c r="G23" i="1"/>
  <c r="G22" i="1"/>
  <c r="G10" i="1"/>
  <c r="G11" i="1"/>
  <c r="G12" i="1"/>
  <c r="G9" i="1"/>
  <c r="G14" i="1" l="1"/>
  <c r="G33" i="5"/>
  <c r="G19" i="5"/>
  <c r="G35" i="4"/>
  <c r="G7" i="4"/>
  <c r="G40" i="3"/>
  <c r="G36" i="3"/>
  <c r="G23" i="3"/>
  <c r="G17" i="3"/>
  <c r="G45" i="2"/>
  <c r="G39" i="2"/>
  <c r="G41" i="1"/>
  <c r="G7" i="1"/>
</calcChain>
</file>

<file path=xl/sharedStrings.xml><?xml version="1.0" encoding="utf-8"?>
<sst xmlns="http://schemas.openxmlformats.org/spreadsheetml/2006/main" count="569" uniqueCount="196">
  <si>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</si>
  <si>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</si>
  <si>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</si>
  <si>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</si>
  <si>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</si>
  <si>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</si>
  <si>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</si>
  <si>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</si>
  <si>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</si>
  <si>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</si>
  <si>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</si>
  <si>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</si>
  <si>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</si>
  <si>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</si>
  <si>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</si>
  <si>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</si>
  <si>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</si>
  <si>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</si>
  <si>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</si>
  <si>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</si>
  <si>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</si>
  <si>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</si>
  <si>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</si>
  <si>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顆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</si>
  <si>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</si>
  <si>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</si>
  <si>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</si>
  <si>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</si>
  <si>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</si>
  <si>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</si>
  <si>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</si>
  <si>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</si>
  <si>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</si>
  <si>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</si>
  <si>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</si>
  <si>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</si>
  <si>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</si>
  <si>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</si>
  <si>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</si>
  <si>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合      計</t>
    <phoneticPr fontId="2" type="noConversion"/>
  </si>
  <si>
    <t>杏鮑菇</t>
    <phoneticPr fontId="2" type="noConversion"/>
  </si>
  <si>
    <t>電訊科技中心(安康營區)     114年     10月   27日      午餐明細表</t>
    <phoneticPr fontId="2" type="noConversion"/>
  </si>
  <si>
    <t>電訊科技中心(安康營區)     114年      10月   28日      午餐明細表</t>
    <phoneticPr fontId="2" type="noConversion"/>
  </si>
  <si>
    <t>電訊科技中心(安康營區)     114年      10月   29日      午餐明細表</t>
    <phoneticPr fontId="2" type="noConversion"/>
  </si>
  <si>
    <t>電訊科技中心(安康營區)     114年      10月   30日      午餐明細表</t>
    <phoneticPr fontId="2" type="noConversion"/>
  </si>
  <si>
    <t>電訊科技中心(安康營區)     114年      10月   31日      午餐明細表</t>
    <phoneticPr fontId="2" type="noConversion"/>
  </si>
  <si>
    <t>蔥油雞</t>
    <phoneticPr fontId="2" type="noConversion"/>
  </si>
  <si>
    <t>木耳炒肉絲</t>
    <phoneticPr fontId="2" type="noConversion"/>
  </si>
  <si>
    <t>泰式豆腐</t>
    <phoneticPr fontId="2" type="noConversion"/>
  </si>
  <si>
    <t>海帶芽蛋花湯</t>
    <phoneticPr fontId="2" type="noConversion"/>
  </si>
  <si>
    <t>乾海芽</t>
    <phoneticPr fontId="2" type="noConversion"/>
  </si>
  <si>
    <t>雞蛋</t>
    <phoneticPr fontId="2" type="noConversion"/>
  </si>
  <si>
    <t>庫存</t>
    <phoneticPr fontId="2" type="noConversion"/>
  </si>
  <si>
    <t>棒腿</t>
    <phoneticPr fontId="2" type="noConversion"/>
  </si>
  <si>
    <t>青蔥</t>
    <phoneticPr fontId="2" type="noConversion"/>
  </si>
  <si>
    <t>胡蘿蔔絲</t>
    <phoneticPr fontId="2" type="noConversion"/>
  </si>
  <si>
    <t>肉絲</t>
    <phoneticPr fontId="2" type="noConversion"/>
  </si>
  <si>
    <t>雪白菇</t>
    <phoneticPr fontId="2" type="noConversion"/>
  </si>
  <si>
    <t>斤</t>
    <phoneticPr fontId="2" type="noConversion"/>
  </si>
  <si>
    <t>4.3豆腐</t>
    <phoneticPr fontId="2" type="noConversion"/>
  </si>
  <si>
    <t>板</t>
    <phoneticPr fontId="2" type="noConversion"/>
  </si>
  <si>
    <t>瓶</t>
    <phoneticPr fontId="2" type="noConversion"/>
  </si>
  <si>
    <t>燒雞醬</t>
    <phoneticPr fontId="2" type="noConversion"/>
  </si>
  <si>
    <t>檸檬汁</t>
    <phoneticPr fontId="2" type="noConversion"/>
  </si>
  <si>
    <t>肉羹</t>
    <phoneticPr fontId="2" type="noConversion"/>
  </si>
  <si>
    <t>油麵</t>
    <phoneticPr fontId="2" type="noConversion"/>
  </si>
  <si>
    <t>筍絲</t>
    <phoneticPr fontId="2" type="noConversion"/>
  </si>
  <si>
    <t>米粉</t>
    <phoneticPr fontId="2" type="noConversion"/>
  </si>
  <si>
    <t>木耳絲</t>
    <phoneticPr fontId="2" type="noConversion"/>
  </si>
  <si>
    <t>半</t>
    <phoneticPr fontId="2" type="noConversion"/>
  </si>
  <si>
    <t>包</t>
    <phoneticPr fontId="2" type="noConversion"/>
  </si>
  <si>
    <t>豆豉排骨</t>
    <phoneticPr fontId="2" type="noConversion"/>
  </si>
  <si>
    <t>蔥爆豆乾</t>
    <phoneticPr fontId="2" type="noConversion"/>
  </si>
  <si>
    <t>番茄炒蛋</t>
    <phoneticPr fontId="2" type="noConversion"/>
  </si>
  <si>
    <t>芥花油</t>
    <phoneticPr fontId="2" type="noConversion"/>
  </si>
  <si>
    <t>檸檬愛玉</t>
    <phoneticPr fontId="2" type="noConversion"/>
  </si>
  <si>
    <t>小排</t>
    <phoneticPr fontId="2" type="noConversion"/>
  </si>
  <si>
    <t>去皮洋蔥</t>
    <phoneticPr fontId="2" type="noConversion"/>
  </si>
  <si>
    <t>薑絲</t>
    <phoneticPr fontId="2" type="noConversion"/>
  </si>
  <si>
    <t>4*4豆乾</t>
    <phoneticPr fontId="2" type="noConversion"/>
  </si>
  <si>
    <t>牛番茄</t>
    <phoneticPr fontId="2" type="noConversion"/>
  </si>
  <si>
    <t>檸檬</t>
    <phoneticPr fontId="2" type="noConversion"/>
  </si>
  <si>
    <t>愛玉</t>
    <phoneticPr fontId="2" type="noConversion"/>
  </si>
  <si>
    <t>粒</t>
    <phoneticPr fontId="2" type="noConversion"/>
  </si>
  <si>
    <t>皮蛋炸醬麵</t>
    <phoneticPr fontId="2" type="noConversion"/>
  </si>
  <si>
    <t>時蔬雞丁</t>
    <phoneticPr fontId="2" type="noConversion"/>
  </si>
  <si>
    <t>涼拌小黃瓜</t>
    <phoneticPr fontId="2" type="noConversion"/>
  </si>
  <si>
    <t>金針肉絲湯</t>
    <phoneticPr fontId="2" type="noConversion"/>
  </si>
  <si>
    <t>皮蛋</t>
    <phoneticPr fontId="2" type="noConversion"/>
  </si>
  <si>
    <t>絞肉</t>
    <phoneticPr fontId="2" type="noConversion"/>
  </si>
  <si>
    <t>豆乾丁</t>
    <phoneticPr fontId="2" type="noConversion"/>
  </si>
  <si>
    <t>甜麵醬</t>
    <phoneticPr fontId="2" type="noConversion"/>
  </si>
  <si>
    <t>去骨腿丁</t>
    <phoneticPr fontId="2" type="noConversion"/>
  </si>
  <si>
    <t>玉米筍</t>
    <phoneticPr fontId="2" type="noConversion"/>
  </si>
  <si>
    <t>杏鮑菇</t>
    <phoneticPr fontId="2" type="noConversion"/>
  </si>
  <si>
    <t>小黃瓜</t>
    <phoneticPr fontId="2" type="noConversion"/>
  </si>
  <si>
    <t>白糖</t>
    <phoneticPr fontId="2" type="noConversion"/>
  </si>
  <si>
    <t>金針</t>
    <phoneticPr fontId="2" type="noConversion"/>
  </si>
  <si>
    <t>桶</t>
    <phoneticPr fontId="2" type="noConversion"/>
  </si>
  <si>
    <t>烤腿排</t>
    <phoneticPr fontId="2" type="noConversion"/>
  </si>
  <si>
    <t>涼拌桂竹筍</t>
    <phoneticPr fontId="2" type="noConversion"/>
  </si>
  <si>
    <t>芹菜炒魷魚</t>
    <phoneticPr fontId="2" type="noConversion"/>
  </si>
  <si>
    <t>腿排</t>
    <phoneticPr fontId="2" type="noConversion"/>
  </si>
  <si>
    <t>桂竹筍</t>
    <phoneticPr fontId="2" type="noConversion"/>
  </si>
  <si>
    <t>罐</t>
    <phoneticPr fontId="2" type="noConversion"/>
  </si>
  <si>
    <t>去葉芹菜</t>
    <phoneticPr fontId="2" type="noConversion"/>
  </si>
  <si>
    <t>魷魚細圈</t>
    <phoneticPr fontId="2" type="noConversion"/>
  </si>
  <si>
    <t>紅豆芋園湯</t>
    <phoneticPr fontId="2" type="noConversion"/>
  </si>
  <si>
    <t>紅豆</t>
    <phoneticPr fontId="2" type="noConversion"/>
  </si>
  <si>
    <t>芋圓</t>
    <phoneticPr fontId="2" type="noConversion"/>
  </si>
  <si>
    <t>地瓜圓</t>
    <phoneticPr fontId="2" type="noConversion"/>
  </si>
  <si>
    <t>個</t>
    <phoneticPr fontId="2" type="noConversion"/>
  </si>
  <si>
    <t>豬肉片</t>
    <phoneticPr fontId="2" type="noConversion"/>
  </si>
  <si>
    <t>雞翅</t>
    <phoneticPr fontId="2" type="noConversion"/>
  </si>
  <si>
    <t>無鹽奶油</t>
    <phoneticPr fontId="2" type="noConversion"/>
  </si>
  <si>
    <t>紅椒</t>
    <phoneticPr fontId="2" type="noConversion"/>
  </si>
  <si>
    <t>黃椒</t>
    <phoneticPr fontId="2" type="noConversion"/>
  </si>
  <si>
    <t>生香菇</t>
    <phoneticPr fontId="2" type="noConversion"/>
  </si>
  <si>
    <t>塊</t>
    <phoneticPr fontId="2" type="noConversion"/>
  </si>
  <si>
    <t>腐乳肉片</t>
    <phoneticPr fontId="2" type="noConversion"/>
  </si>
  <si>
    <t>薑燒南瓜</t>
    <phoneticPr fontId="2" type="noConversion"/>
  </si>
  <si>
    <t>醬燒麵腸</t>
    <phoneticPr fontId="2" type="noConversion"/>
  </si>
  <si>
    <t>榨菜筍片湯</t>
    <phoneticPr fontId="2" type="noConversion"/>
  </si>
  <si>
    <t>五花肉片</t>
    <phoneticPr fontId="2" type="noConversion"/>
  </si>
  <si>
    <t>豆腐乳</t>
    <phoneticPr fontId="2" type="noConversion"/>
  </si>
  <si>
    <t>南瓜塊</t>
    <phoneticPr fontId="2" type="noConversion"/>
  </si>
  <si>
    <t>麵腸切片</t>
    <phoneticPr fontId="2" type="noConversion"/>
  </si>
  <si>
    <t>榨菜絲</t>
    <phoneticPr fontId="2" type="noConversion"/>
  </si>
  <si>
    <t>桶筍片</t>
    <phoneticPr fontId="2" type="noConversion"/>
  </si>
  <si>
    <t>鮑魚菇</t>
    <phoneticPr fontId="2" type="noConversion"/>
  </si>
  <si>
    <t>五花絞肉</t>
    <phoneticPr fontId="2" type="noConversion"/>
  </si>
  <si>
    <t>滷蛋</t>
    <phoneticPr fontId="2" type="noConversion"/>
  </si>
  <si>
    <t>香腸</t>
    <phoneticPr fontId="2" type="noConversion"/>
  </si>
  <si>
    <t>薑絲</t>
    <phoneticPr fontId="2" type="noConversion"/>
  </si>
  <si>
    <t>斤</t>
    <phoneticPr fontId="2" type="noConversion"/>
  </si>
  <si>
    <t>鮮木耳</t>
    <phoneticPr fontId="2" type="noConversion"/>
  </si>
  <si>
    <t>胡蘿蔔絲</t>
    <phoneticPr fontId="2" type="noConversion"/>
  </si>
  <si>
    <t>冷凍青花菜</t>
    <phoneticPr fontId="2" type="noConversion"/>
  </si>
  <si>
    <t>包</t>
    <phoneticPr fontId="2" type="noConversion"/>
  </si>
  <si>
    <t>大亨堡</t>
    <phoneticPr fontId="2" type="noConversion"/>
  </si>
  <si>
    <t>西瓜</t>
    <phoneticPr fontId="2" type="noConversion"/>
  </si>
  <si>
    <t>桶</t>
    <phoneticPr fontId="2" type="noConversion"/>
  </si>
  <si>
    <t>高麗菜</t>
    <phoneticPr fontId="2" type="noConversion"/>
  </si>
  <si>
    <t>香蕉</t>
    <phoneticPr fontId="2" type="noConversion"/>
  </si>
  <si>
    <t>件</t>
    <phoneticPr fontId="2" type="noConversion"/>
  </si>
  <si>
    <t>前腿肉片</t>
    <phoneticPr fontId="2" type="noConversion"/>
  </si>
  <si>
    <t>斤</t>
    <phoneticPr fontId="2" type="noConversion"/>
  </si>
  <si>
    <t>蒜泥</t>
    <phoneticPr fontId="2" type="noConversion"/>
  </si>
  <si>
    <t>去皮洋蔥</t>
    <phoneticPr fontId="2" type="noConversion"/>
  </si>
  <si>
    <t>油菜</t>
    <phoneticPr fontId="2" type="noConversion"/>
  </si>
  <si>
    <t>洗選蛋</t>
    <phoneticPr fontId="2" type="noConversion"/>
  </si>
  <si>
    <t>米</t>
    <phoneticPr fontId="2" type="noConversion"/>
  </si>
  <si>
    <t>番茄醬</t>
    <phoneticPr fontId="2" type="noConversion"/>
  </si>
  <si>
    <t>桶</t>
    <phoneticPr fontId="2" type="noConversion"/>
  </si>
  <si>
    <t>素蠔油</t>
    <phoneticPr fontId="2" type="noConversion"/>
  </si>
  <si>
    <t>無骨香雞排</t>
    <phoneticPr fontId="2" type="noConversion"/>
  </si>
  <si>
    <t>包</t>
    <phoneticPr fontId="2" type="noConversion"/>
  </si>
  <si>
    <t>五花肉片</t>
    <phoneticPr fontId="2" type="noConversion"/>
  </si>
  <si>
    <t>冷凍青花菜</t>
    <phoneticPr fontId="2" type="noConversion"/>
  </si>
  <si>
    <t>胡椒鹽</t>
    <phoneticPr fontId="2" type="noConversion"/>
  </si>
  <si>
    <t>盒</t>
    <phoneticPr fontId="2" type="noConversion"/>
  </si>
  <si>
    <t>無骨豬排</t>
    <phoneticPr fontId="2" type="noConversion"/>
  </si>
  <si>
    <t>蘋果</t>
    <phoneticPr fontId="2" type="noConversion"/>
  </si>
  <si>
    <t>香蕉</t>
    <phoneticPr fontId="2" type="noConversion"/>
  </si>
  <si>
    <t>條</t>
    <phoneticPr fontId="2" type="noConversion"/>
  </si>
  <si>
    <t>斤</t>
    <phoneticPr fontId="2" type="noConversion"/>
  </si>
  <si>
    <t>高麗菜</t>
    <phoneticPr fontId="2" type="noConversion"/>
  </si>
  <si>
    <t>酥炸粉</t>
    <phoneticPr fontId="2" type="noConversion"/>
  </si>
  <si>
    <t>包</t>
    <phoneticPr fontId="2" type="noConversion"/>
  </si>
  <si>
    <t>綠豆芽</t>
    <phoneticPr fontId="2" type="noConversion"/>
  </si>
  <si>
    <t>水餃</t>
    <phoneticPr fontId="2" type="noConversion"/>
  </si>
  <si>
    <t>豆漿</t>
    <phoneticPr fontId="2" type="noConversion"/>
  </si>
  <si>
    <t>瓶</t>
    <phoneticPr fontId="2" type="noConversion"/>
  </si>
  <si>
    <t>厚片土司</t>
    <phoneticPr fontId="2" type="noConversion"/>
  </si>
  <si>
    <t>清雞腿肉丁</t>
    <phoneticPr fontId="2" type="noConversion"/>
  </si>
  <si>
    <t>辣豆瓣</t>
    <phoneticPr fontId="2" type="noConversion"/>
  </si>
  <si>
    <t>桶</t>
    <phoneticPr fontId="2" type="noConversion"/>
  </si>
  <si>
    <t>鍋貼</t>
    <phoneticPr fontId="2" type="noConversion"/>
  </si>
  <si>
    <t>個</t>
    <phoneticPr fontId="2" type="noConversion"/>
  </si>
  <si>
    <t>烤肉醬</t>
    <phoneticPr fontId="2" type="noConversion"/>
  </si>
  <si>
    <t>肉柳</t>
    <phoneticPr fontId="2" type="noConversion"/>
  </si>
  <si>
    <t>沙拉</t>
    <phoneticPr fontId="2" type="noConversion"/>
  </si>
  <si>
    <t>鮮奶</t>
    <phoneticPr fontId="2" type="noConversion"/>
  </si>
  <si>
    <t>味素</t>
    <phoneticPr fontId="2" type="noConversion"/>
  </si>
  <si>
    <t>盒</t>
    <phoneticPr fontId="2" type="noConversion"/>
  </si>
  <si>
    <t>小玉西瓜</t>
    <phoneticPr fontId="2" type="noConversion"/>
  </si>
  <si>
    <t>素蠔油</t>
    <phoneticPr fontId="2" type="noConversion"/>
  </si>
  <si>
    <t>金蘭醬油</t>
    <phoneticPr fontId="2" type="noConversion"/>
  </si>
  <si>
    <t>沙拉油</t>
    <phoneticPr fontId="2" type="noConversion"/>
  </si>
  <si>
    <t>味霖</t>
    <phoneticPr fontId="2" type="noConversion"/>
  </si>
  <si>
    <t>蒜仁</t>
    <phoneticPr fontId="2" type="noConversion"/>
  </si>
  <si>
    <t>辣椒</t>
    <phoneticPr fontId="2" type="noConversion"/>
  </si>
  <si>
    <t>去皮洋蔥</t>
    <phoneticPr fontId="2" type="noConversion"/>
  </si>
  <si>
    <t>番茄醬</t>
    <phoneticPr fontId="2" type="noConversion"/>
  </si>
  <si>
    <t>蔥酥</t>
    <phoneticPr fontId="2" type="noConversion"/>
  </si>
  <si>
    <t>起司片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</si>
</sst>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6"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41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46</v>
      </c>
      <c r="B3" s="1" t="s">
        <v>53</v>
      </c>
      <c r="C3" s="1">
        <v>270</v>
      </c>
      <c r="D3" s="1">
        <v>99</v>
      </c>
      <c r="E3" s="20">
        <v>66.13</v>
      </c>
      <c r="F3" s="20" t="s">
        <v>17</v>
      </c>
      <c r="G3" s="21">
        <f>D3*E3</f>
        <v>6546.87</v>
      </c>
      <c r="H3" s="1"/>
    </row>
    <row r="4" spans="1:8" x14ac:dyDescent="0.25">
      <c r="A4" s="46"/>
      <c r="B4" s="10"/>
      <c r="C4" s="10"/>
      <c r="D4" s="10"/>
      <c r="E4" s="10"/>
      <c r="F4" s="31"/>
      <c r="G4" s="2"/>
      <c r="H4" s="1"/>
    </row>
    <row r="5" spans="1:8" x14ac:dyDescent="0.25">
      <c r="A5" s="46"/>
      <c r="B5" s="1"/>
      <c r="C5" s="1"/>
      <c r="D5" s="1"/>
      <c r="E5" s="1"/>
      <c r="F5" s="1"/>
      <c r="G5" s="1"/>
      <c r="H5" s="1"/>
    </row>
    <row r="6" spans="1:8" x14ac:dyDescent="0.25">
      <c r="A6" s="46"/>
      <c r="B6" s="1"/>
      <c r="C6" s="1"/>
      <c r="D6" s="1"/>
      <c r="E6" s="3"/>
      <c r="F6" s="30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4">
        <f>SUM(G3:G6)</f>
        <v>6546.87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47</v>
      </c>
      <c r="B9" s="1" t="s">
        <v>55</v>
      </c>
      <c r="C9" s="1">
        <v>3</v>
      </c>
      <c r="D9" s="1">
        <v>21.66</v>
      </c>
      <c r="E9" s="1">
        <v>3</v>
      </c>
      <c r="F9" s="31" t="s">
        <v>58</v>
      </c>
      <c r="G9" s="1">
        <f>D9*E9</f>
        <v>64.98</v>
      </c>
      <c r="H9" s="1"/>
    </row>
    <row r="10" spans="1:8" x14ac:dyDescent="0.25">
      <c r="A10" s="46"/>
      <c r="B10" s="1" t="s">
        <v>56</v>
      </c>
      <c r="C10" s="1">
        <v>20</v>
      </c>
      <c r="D10" s="1">
        <v>141</v>
      </c>
      <c r="E10" s="1">
        <v>20</v>
      </c>
      <c r="F10" s="33" t="s">
        <v>38</v>
      </c>
      <c r="G10" s="10">
        <f t="shared" ref="G10:G12" si="0">D10*E10</f>
        <v>2820</v>
      </c>
      <c r="H10" s="1"/>
    </row>
    <row r="11" spans="1:8" x14ac:dyDescent="0.25">
      <c r="A11" s="46"/>
      <c r="B11" s="1" t="s">
        <v>57</v>
      </c>
      <c r="C11" s="1">
        <v>8</v>
      </c>
      <c r="D11" s="1">
        <v>105</v>
      </c>
      <c r="E11" s="1">
        <v>8</v>
      </c>
      <c r="F11" s="33" t="s">
        <v>38</v>
      </c>
      <c r="G11" s="10">
        <f t="shared" si="0"/>
        <v>840</v>
      </c>
      <c r="H11" s="1"/>
    </row>
    <row r="12" spans="1:8" x14ac:dyDescent="0.25">
      <c r="A12" s="46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4">
        <f>SUM(G9:G13)</f>
        <v>3724.98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48</v>
      </c>
      <c r="B16" s="1" t="s">
        <v>59</v>
      </c>
      <c r="C16" s="1">
        <v>7</v>
      </c>
      <c r="D16" s="1">
        <v>180</v>
      </c>
      <c r="E16" s="1">
        <v>7</v>
      </c>
      <c r="F16" s="31" t="s">
        <v>60</v>
      </c>
      <c r="G16" s="1">
        <f>D16*E16</f>
        <v>1260</v>
      </c>
      <c r="H16" s="1"/>
    </row>
    <row r="17" spans="1:8" x14ac:dyDescent="0.25">
      <c r="A17" s="46"/>
      <c r="B17" s="1" t="s">
        <v>62</v>
      </c>
      <c r="C17" s="1">
        <v>4</v>
      </c>
      <c r="D17" s="1">
        <v>110</v>
      </c>
      <c r="E17" s="1">
        <v>4</v>
      </c>
      <c r="F17" s="31" t="s">
        <v>61</v>
      </c>
      <c r="G17" s="17">
        <f t="shared" ref="G17:G19" si="1">D17*E17</f>
        <v>440</v>
      </c>
      <c r="H17" s="1"/>
    </row>
    <row r="18" spans="1:8" x14ac:dyDescent="0.25">
      <c r="A18" s="46"/>
      <c r="B18" s="1" t="s">
        <v>63</v>
      </c>
      <c r="C18" s="1">
        <v>1</v>
      </c>
      <c r="D18" s="1">
        <v>225</v>
      </c>
      <c r="E18" s="1">
        <v>3</v>
      </c>
      <c r="F18" s="31" t="s">
        <v>61</v>
      </c>
      <c r="G18" s="2">
        <f t="shared" si="1"/>
        <v>675</v>
      </c>
      <c r="H18" s="1"/>
    </row>
    <row r="19" spans="1:8" x14ac:dyDescent="0.25">
      <c r="A19" s="46"/>
      <c r="B19" s="1"/>
      <c r="C19" s="1"/>
      <c r="D19" s="1"/>
      <c r="E19" s="3"/>
      <c r="F19" s="3"/>
      <c r="G19" s="17">
        <f t="shared" si="1"/>
        <v>0</v>
      </c>
      <c r="H19" s="1"/>
    </row>
    <row r="20" spans="1:8" x14ac:dyDescent="0.25">
      <c r="A20" s="46"/>
      <c r="B20" s="40"/>
      <c r="C20" s="41"/>
      <c r="D20" s="42"/>
      <c r="E20" s="3"/>
      <c r="F20" s="3"/>
      <c r="G20" s="14">
        <f>SUM(G16:G19)</f>
        <v>2375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33</v>
      </c>
      <c r="C22" s="1">
        <v>2</v>
      </c>
      <c r="D22" s="1">
        <v>150</v>
      </c>
      <c r="E22" s="1">
        <v>2</v>
      </c>
      <c r="F22" s="1" t="s">
        <v>34</v>
      </c>
      <c r="G22" s="1">
        <f>D22*E22</f>
        <v>300</v>
      </c>
      <c r="H22" s="1"/>
    </row>
    <row r="23" spans="1:8" x14ac:dyDescent="0.25">
      <c r="A23" s="46"/>
      <c r="B23" s="26" t="s">
        <v>36</v>
      </c>
      <c r="C23" s="1">
        <v>2</v>
      </c>
      <c r="D23" s="1">
        <v>99</v>
      </c>
      <c r="E23" s="1">
        <v>2</v>
      </c>
      <c r="F23" s="1" t="s">
        <v>30</v>
      </c>
      <c r="G23" s="10">
        <f>D23*E23</f>
        <v>198</v>
      </c>
      <c r="H23" s="1"/>
    </row>
    <row r="24" spans="1:8" x14ac:dyDescent="0.25">
      <c r="A24" s="46"/>
      <c r="B24" s="26" t="s">
        <v>24</v>
      </c>
      <c r="C24" s="1">
        <v>8</v>
      </c>
      <c r="D24" s="1">
        <v>96.9</v>
      </c>
      <c r="E24" s="1">
        <v>8</v>
      </c>
      <c r="F24" s="1" t="s">
        <v>22</v>
      </c>
      <c r="G24" s="10">
        <f t="shared" ref="G24:G35" si="2">D24*E24</f>
        <v>775.2</v>
      </c>
      <c r="H24" s="1"/>
    </row>
    <row r="25" spans="1:8" x14ac:dyDescent="0.25">
      <c r="A25" s="46"/>
      <c r="B25" s="1" t="s">
        <v>25</v>
      </c>
      <c r="C25" s="1">
        <v>7</v>
      </c>
      <c r="D25" s="1">
        <v>202.5</v>
      </c>
      <c r="E25" s="1">
        <v>7</v>
      </c>
      <c r="F25" s="1" t="s">
        <v>22</v>
      </c>
      <c r="G25" s="2">
        <f t="shared" si="2"/>
        <v>1417.5</v>
      </c>
      <c r="H25" s="1"/>
    </row>
    <row r="26" spans="1:8" x14ac:dyDescent="0.25">
      <c r="A26" s="46"/>
      <c r="B26" s="10" t="s">
        <v>26</v>
      </c>
      <c r="C26" s="10">
        <v>2</v>
      </c>
      <c r="D26" s="10">
        <v>45.6</v>
      </c>
      <c r="E26" s="10">
        <v>20</v>
      </c>
      <c r="F26" s="11" t="s">
        <v>17</v>
      </c>
      <c r="G26" s="10">
        <f t="shared" si="2"/>
        <v>912</v>
      </c>
      <c r="H26" s="10"/>
    </row>
    <row r="27" spans="1:8" x14ac:dyDescent="0.25">
      <c r="A27" s="46"/>
      <c r="B27" s="10" t="s">
        <v>40</v>
      </c>
      <c r="C27" s="10">
        <v>4</v>
      </c>
      <c r="D27" s="10">
        <v>105</v>
      </c>
      <c r="E27" s="10">
        <v>4</v>
      </c>
      <c r="F27" s="10" t="s">
        <v>34</v>
      </c>
      <c r="G27" s="34">
        <f t="shared" si="2"/>
        <v>420</v>
      </c>
      <c r="H27" s="10"/>
    </row>
    <row r="28" spans="1:8" x14ac:dyDescent="0.25">
      <c r="A28" s="46"/>
      <c r="B28" s="33" t="s">
        <v>64</v>
      </c>
      <c r="C28" s="33">
        <v>5</v>
      </c>
      <c r="D28" s="33">
        <v>125</v>
      </c>
      <c r="E28" s="33">
        <v>5</v>
      </c>
      <c r="F28" s="33" t="s">
        <v>38</v>
      </c>
      <c r="G28" s="34">
        <f t="shared" si="2"/>
        <v>625</v>
      </c>
      <c r="H28" s="33"/>
    </row>
    <row r="29" spans="1:8" x14ac:dyDescent="0.25">
      <c r="A29" s="46"/>
      <c r="B29" s="33" t="s">
        <v>65</v>
      </c>
      <c r="C29" s="33">
        <v>8</v>
      </c>
      <c r="D29" s="33">
        <v>22.8</v>
      </c>
      <c r="E29" s="33">
        <v>8</v>
      </c>
      <c r="F29" s="33" t="s">
        <v>38</v>
      </c>
      <c r="G29" s="34">
        <f t="shared" si="2"/>
        <v>182.4</v>
      </c>
      <c r="H29" s="33"/>
    </row>
    <row r="30" spans="1:8" x14ac:dyDescent="0.25">
      <c r="A30" s="46"/>
      <c r="B30" s="10" t="s">
        <v>66</v>
      </c>
      <c r="C30" s="10">
        <v>2</v>
      </c>
      <c r="D30" s="10">
        <v>42.18</v>
      </c>
      <c r="E30" s="10">
        <v>2</v>
      </c>
      <c r="F30" s="33" t="s">
        <v>38</v>
      </c>
      <c r="G30" s="34">
        <f t="shared" si="2"/>
        <v>84.36</v>
      </c>
      <c r="H30" s="10"/>
    </row>
    <row r="31" spans="1:8" x14ac:dyDescent="0.25">
      <c r="A31" s="46"/>
      <c r="B31" s="33" t="s">
        <v>67</v>
      </c>
      <c r="C31" s="33">
        <v>2</v>
      </c>
      <c r="D31" s="33">
        <v>45</v>
      </c>
      <c r="E31" s="33">
        <v>2</v>
      </c>
      <c r="F31" s="33" t="s">
        <v>70</v>
      </c>
      <c r="G31" s="34">
        <f t="shared" si="2"/>
        <v>90</v>
      </c>
      <c r="H31" s="33"/>
    </row>
    <row r="32" spans="1:8" x14ac:dyDescent="0.25">
      <c r="A32" s="46"/>
      <c r="B32" s="10" t="s">
        <v>55</v>
      </c>
      <c r="C32" s="10" t="s">
        <v>69</v>
      </c>
      <c r="D32" s="10">
        <v>21.66</v>
      </c>
      <c r="E32" s="10">
        <v>0.5</v>
      </c>
      <c r="F32" s="33" t="s">
        <v>38</v>
      </c>
      <c r="G32" s="34">
        <f t="shared" si="2"/>
        <v>10.83</v>
      </c>
      <c r="H32" s="10"/>
    </row>
    <row r="33" spans="1:8" x14ac:dyDescent="0.25">
      <c r="A33" s="46"/>
      <c r="B33" s="10" t="s">
        <v>68</v>
      </c>
      <c r="C33" s="10" t="s">
        <v>69</v>
      </c>
      <c r="D33" s="10">
        <v>60</v>
      </c>
      <c r="E33" s="10">
        <v>0.5</v>
      </c>
      <c r="F33" s="33" t="s">
        <v>38</v>
      </c>
      <c r="G33" s="34">
        <f t="shared" si="2"/>
        <v>30</v>
      </c>
      <c r="H33" s="10"/>
    </row>
    <row r="34" spans="1:8" x14ac:dyDescent="0.25">
      <c r="A34" s="46"/>
      <c r="B34" s="10" t="s">
        <v>35</v>
      </c>
      <c r="C34" s="10">
        <v>1</v>
      </c>
      <c r="D34" s="10">
        <v>4.5</v>
      </c>
      <c r="E34" s="10">
        <v>50</v>
      </c>
      <c r="F34" s="10" t="s">
        <v>111</v>
      </c>
      <c r="G34" s="34">
        <f t="shared" si="2"/>
        <v>225</v>
      </c>
      <c r="H34" s="10"/>
    </row>
    <row r="35" spans="1:8" x14ac:dyDescent="0.25">
      <c r="A35" s="46"/>
      <c r="B35" s="28" t="s">
        <v>32</v>
      </c>
      <c r="C35" s="28">
        <v>1</v>
      </c>
      <c r="D35" s="28">
        <v>270</v>
      </c>
      <c r="E35" s="28">
        <v>1</v>
      </c>
      <c r="F35" s="28" t="s">
        <v>31</v>
      </c>
      <c r="G35" s="34">
        <f t="shared" si="2"/>
        <v>270</v>
      </c>
      <c r="H35" s="1"/>
    </row>
    <row r="36" spans="1:8" x14ac:dyDescent="0.25">
      <c r="A36" s="10"/>
      <c r="B36" s="40" t="s">
        <v>18</v>
      </c>
      <c r="C36" s="41"/>
      <c r="D36" s="42"/>
      <c r="E36" s="28"/>
      <c r="F36" s="28"/>
      <c r="G36" s="15">
        <f>SUM(G22:G35)</f>
        <v>5540.2899999999991</v>
      </c>
      <c r="H36" s="10"/>
    </row>
    <row r="37" spans="1:8" x14ac:dyDescent="0.25">
      <c r="A37" s="1" t="s">
        <v>11</v>
      </c>
      <c r="B37" s="28" t="s">
        <v>1</v>
      </c>
      <c r="C37" s="28" t="s">
        <v>2</v>
      </c>
      <c r="D37" s="28" t="s">
        <v>3</v>
      </c>
      <c r="E37" s="28" t="s">
        <v>4</v>
      </c>
      <c r="F37" s="28"/>
      <c r="G37" s="1" t="s">
        <v>5</v>
      </c>
      <c r="H37" s="1" t="s">
        <v>6</v>
      </c>
    </row>
    <row r="38" spans="1:8" x14ac:dyDescent="0.25">
      <c r="A38" s="46" t="s">
        <v>49</v>
      </c>
      <c r="B38" s="28" t="s">
        <v>50</v>
      </c>
      <c r="C38" s="28" t="s">
        <v>52</v>
      </c>
      <c r="D38" s="28"/>
      <c r="E38" s="28"/>
      <c r="F38" s="28"/>
      <c r="G38" s="1"/>
      <c r="H38" s="1"/>
    </row>
    <row r="39" spans="1:8" x14ac:dyDescent="0.25">
      <c r="A39" s="46"/>
      <c r="B39" s="28" t="s">
        <v>51</v>
      </c>
      <c r="C39" s="28" t="s">
        <v>52</v>
      </c>
      <c r="D39" s="28"/>
      <c r="E39" s="28"/>
      <c r="F39" s="28"/>
      <c r="G39" s="1"/>
      <c r="H39" s="1" t="s">
        <v>15</v>
      </c>
    </row>
    <row r="40" spans="1:8" x14ac:dyDescent="0.25">
      <c r="A40" s="46"/>
      <c r="B40" s="28"/>
      <c r="C40" s="28"/>
      <c r="D40" s="28"/>
      <c r="E40" s="28"/>
      <c r="F40" s="28"/>
      <c r="G40" s="1"/>
      <c r="H40" s="1"/>
    </row>
    <row r="41" spans="1:8" x14ac:dyDescent="0.25">
      <c r="A41" s="46"/>
      <c r="B41" s="40"/>
      <c r="C41" s="41"/>
      <c r="D41" s="42"/>
      <c r="E41" s="29"/>
      <c r="F41" s="29"/>
      <c r="G41" s="4">
        <f>SUM(G38:G40)</f>
        <v>0</v>
      </c>
      <c r="H41" s="1"/>
    </row>
    <row r="42" spans="1:8" x14ac:dyDescent="0.25">
      <c r="A42" s="1" t="s">
        <v>12</v>
      </c>
      <c r="B42" s="28" t="s">
        <v>1</v>
      </c>
      <c r="C42" s="28" t="s">
        <v>2</v>
      </c>
      <c r="D42" s="28" t="s">
        <v>3</v>
      </c>
      <c r="E42" s="29" t="s">
        <v>4</v>
      </c>
      <c r="F42" s="29"/>
      <c r="G42" s="3" t="s">
        <v>5</v>
      </c>
      <c r="H42" s="1" t="s">
        <v>6</v>
      </c>
    </row>
    <row r="43" spans="1:8" x14ac:dyDescent="0.25">
      <c r="A43" s="47"/>
      <c r="B43" s="1" t="s">
        <v>137</v>
      </c>
      <c r="C43" s="1"/>
      <c r="D43" s="1">
        <v>70</v>
      </c>
      <c r="E43" s="1">
        <v>40</v>
      </c>
      <c r="F43" s="1" t="s">
        <v>138</v>
      </c>
      <c r="G43" s="2">
        <f>D43*E43</f>
        <v>2800</v>
      </c>
      <c r="H43" s="1"/>
    </row>
    <row r="44" spans="1:8" x14ac:dyDescent="0.25">
      <c r="A44" s="48"/>
      <c r="B44" s="1" t="s">
        <v>140</v>
      </c>
      <c r="C44" s="1"/>
      <c r="D44" s="1">
        <v>15.36</v>
      </c>
      <c r="E44" s="1">
        <v>100</v>
      </c>
      <c r="F44" s="1" t="s">
        <v>134</v>
      </c>
      <c r="G44" s="2">
        <f>D44*E44</f>
        <v>1536</v>
      </c>
      <c r="H44" s="1"/>
    </row>
    <row r="45" spans="1:8" x14ac:dyDescent="0.25">
      <c r="A45" s="49"/>
      <c r="B45" s="40" t="s">
        <v>7</v>
      </c>
      <c r="C45" s="41"/>
      <c r="D45" s="42"/>
      <c r="E45" s="3"/>
      <c r="F45" s="3"/>
      <c r="G45" s="14">
        <f>SUM(G43:G44)</f>
        <v>4336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6"/>
      <c r="B47" s="1" t="s">
        <v>139</v>
      </c>
      <c r="C47" s="1"/>
      <c r="D47" s="1">
        <v>12</v>
      </c>
      <c r="E47" s="1">
        <v>20</v>
      </c>
      <c r="F47" s="1" t="s">
        <v>111</v>
      </c>
      <c r="G47" s="1">
        <f>D47*E47</f>
        <v>240</v>
      </c>
      <c r="H47" s="1"/>
    </row>
    <row r="48" spans="1:8" x14ac:dyDescent="0.25">
      <c r="A48" s="46"/>
      <c r="B48" s="1" t="s">
        <v>133</v>
      </c>
      <c r="C48" s="1"/>
      <c r="D48" s="1">
        <v>125.4</v>
      </c>
      <c r="E48" s="1">
        <v>1</v>
      </c>
      <c r="F48" s="1" t="s">
        <v>134</v>
      </c>
      <c r="G48" s="34">
        <f t="shared" ref="G48:G50" si="3">D48*E48</f>
        <v>125.4</v>
      </c>
      <c r="H48" s="1"/>
    </row>
    <row r="49" spans="1:8" x14ac:dyDescent="0.25">
      <c r="A49" s="46"/>
      <c r="B49" s="1" t="s">
        <v>135</v>
      </c>
      <c r="C49" s="1"/>
      <c r="D49" s="1">
        <v>100</v>
      </c>
      <c r="E49" s="1">
        <v>4</v>
      </c>
      <c r="F49" s="1" t="s">
        <v>134</v>
      </c>
      <c r="G49" s="34">
        <f t="shared" si="3"/>
        <v>400</v>
      </c>
      <c r="H49" s="1"/>
    </row>
    <row r="50" spans="1:8" x14ac:dyDescent="0.25">
      <c r="A50" s="46"/>
      <c r="B50" s="1" t="s">
        <v>136</v>
      </c>
      <c r="C50" s="1"/>
      <c r="D50" s="1">
        <v>21.66</v>
      </c>
      <c r="E50" s="1">
        <v>3</v>
      </c>
      <c r="F50" s="1" t="s">
        <v>134</v>
      </c>
      <c r="G50" s="34">
        <f t="shared" si="3"/>
        <v>64.98</v>
      </c>
      <c r="H50" s="1"/>
    </row>
    <row r="51" spans="1:8" x14ac:dyDescent="0.25">
      <c r="A51" s="46"/>
      <c r="B51" s="40" t="s">
        <v>7</v>
      </c>
      <c r="C51" s="41"/>
      <c r="D51" s="42"/>
      <c r="E51" s="3"/>
      <c r="F51" s="3"/>
      <c r="G51" s="14">
        <f>SUM(G47:G50)</f>
        <v>830.38</v>
      </c>
      <c r="H51" s="1"/>
    </row>
    <row r="52" spans="1:8" x14ac:dyDescent="0.25">
      <c r="A52" s="1"/>
      <c r="B52" s="50" t="s">
        <v>14</v>
      </c>
      <c r="C52" s="51"/>
      <c r="D52" s="52"/>
      <c r="E52" s="8"/>
      <c r="F52" s="8"/>
      <c r="G52" s="9">
        <f>G51+G45+G41+G20+G14+G7+G36</f>
        <v>23353.519999999997</v>
      </c>
      <c r="H52" s="1"/>
    </row>
  </sheetData>
  <mergeCells count="16">
    <mergeCell ref="B52:D52"/>
    <mergeCell ref="B51:D51"/>
    <mergeCell ref="B45:D45"/>
    <mergeCell ref="B41:D41"/>
    <mergeCell ref="B36:D36"/>
    <mergeCell ref="A47:A51"/>
    <mergeCell ref="A22:A35"/>
    <mergeCell ref="A38:A41"/>
    <mergeCell ref="A43:A4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30" workbookViewId="0">
      <selection activeCell="H46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42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71</v>
      </c>
      <c r="B3" s="1" t="s">
        <v>76</v>
      </c>
      <c r="C3" s="1">
        <v>55</v>
      </c>
      <c r="D3" s="1">
        <v>171</v>
      </c>
      <c r="E3" s="1">
        <v>55</v>
      </c>
      <c r="F3" s="33" t="s">
        <v>38</v>
      </c>
      <c r="G3" s="2">
        <f>D3*E3</f>
        <v>9405</v>
      </c>
      <c r="H3" s="1"/>
    </row>
    <row r="4" spans="1:8" x14ac:dyDescent="0.25">
      <c r="A4" s="46"/>
      <c r="B4" s="1" t="s">
        <v>77</v>
      </c>
      <c r="C4" s="1">
        <v>20</v>
      </c>
      <c r="D4" s="1">
        <v>25.5</v>
      </c>
      <c r="E4" s="1">
        <v>20</v>
      </c>
      <c r="F4" s="33" t="s">
        <v>38</v>
      </c>
      <c r="G4" s="2">
        <f t="shared" ref="G4:G6" si="0">D4*E4</f>
        <v>510</v>
      </c>
      <c r="H4" s="1"/>
    </row>
    <row r="5" spans="1:8" x14ac:dyDescent="0.25">
      <c r="A5" s="46"/>
      <c r="B5" s="1" t="s">
        <v>78</v>
      </c>
      <c r="C5" s="1">
        <v>1</v>
      </c>
      <c r="D5" s="1">
        <v>125.4</v>
      </c>
      <c r="E5" s="1">
        <v>1</v>
      </c>
      <c r="F5" s="33" t="s">
        <v>38</v>
      </c>
      <c r="G5" s="2">
        <f t="shared" si="0"/>
        <v>125.4</v>
      </c>
      <c r="H5" s="1"/>
    </row>
    <row r="6" spans="1:8" x14ac:dyDescent="0.25">
      <c r="A6" s="46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4">
        <f>SUM(G3:G6)</f>
        <v>10040.4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72</v>
      </c>
      <c r="B9" s="1" t="s">
        <v>79</v>
      </c>
      <c r="C9" s="1">
        <v>35</v>
      </c>
      <c r="D9" s="1">
        <v>45</v>
      </c>
      <c r="E9" s="1">
        <v>35</v>
      </c>
      <c r="F9" s="33" t="s">
        <v>38</v>
      </c>
      <c r="G9" s="1">
        <f>D9*E9</f>
        <v>1575</v>
      </c>
      <c r="H9" s="1"/>
    </row>
    <row r="10" spans="1:8" x14ac:dyDescent="0.25">
      <c r="A10" s="46"/>
      <c r="B10" s="1" t="s">
        <v>56</v>
      </c>
      <c r="C10" s="1">
        <v>15</v>
      </c>
      <c r="D10" s="1">
        <v>141</v>
      </c>
      <c r="E10" s="1">
        <v>15</v>
      </c>
      <c r="F10" s="33" t="s">
        <v>38</v>
      </c>
      <c r="G10" s="34">
        <f t="shared" ref="G10:G11" si="1">D10*E10</f>
        <v>2115</v>
      </c>
      <c r="H10" s="1"/>
    </row>
    <row r="11" spans="1:8" x14ac:dyDescent="0.25">
      <c r="A11" s="46"/>
      <c r="B11" s="1" t="s">
        <v>54</v>
      </c>
      <c r="C11" s="1">
        <v>3</v>
      </c>
      <c r="D11" s="1">
        <v>202.5</v>
      </c>
      <c r="E11" s="1">
        <v>3</v>
      </c>
      <c r="F11" s="33" t="s">
        <v>38</v>
      </c>
      <c r="G11" s="34">
        <f t="shared" si="1"/>
        <v>607.5</v>
      </c>
      <c r="H11" s="1"/>
    </row>
    <row r="12" spans="1:8" x14ac:dyDescent="0.25">
      <c r="A12" s="46"/>
      <c r="B12" s="1"/>
      <c r="C12" s="1"/>
      <c r="D12" s="1"/>
      <c r="E12" s="1"/>
      <c r="F12" s="3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4">
        <f>SUM(G9:G13)</f>
        <v>4297.5</v>
      </c>
      <c r="H14" s="1"/>
    </row>
    <row r="15" spans="1:8" x14ac:dyDescent="0.25">
      <c r="A15" s="28" t="s">
        <v>37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73</v>
      </c>
      <c r="B16" s="1" t="s">
        <v>80</v>
      </c>
      <c r="C16" s="1">
        <v>15</v>
      </c>
      <c r="D16" s="1">
        <v>38.700000000000003</v>
      </c>
      <c r="E16" s="1">
        <v>15</v>
      </c>
      <c r="F16" s="33" t="s">
        <v>38</v>
      </c>
      <c r="G16" s="1">
        <f>D16*E16</f>
        <v>580.5</v>
      </c>
      <c r="H16" s="1"/>
    </row>
    <row r="17" spans="1:8" x14ac:dyDescent="0.25">
      <c r="A17" s="46"/>
      <c r="B17" s="1" t="s">
        <v>51</v>
      </c>
      <c r="C17" s="1">
        <v>1</v>
      </c>
      <c r="D17" s="1">
        <v>45.6</v>
      </c>
      <c r="E17" s="1">
        <v>20</v>
      </c>
      <c r="F17" s="1" t="s">
        <v>17</v>
      </c>
      <c r="G17" s="19">
        <f t="shared" ref="G17:G20" si="2">D17*E17</f>
        <v>912</v>
      </c>
      <c r="H17" s="1"/>
    </row>
    <row r="18" spans="1:8" x14ac:dyDescent="0.25">
      <c r="A18" s="46"/>
      <c r="B18" s="1"/>
      <c r="C18" s="1"/>
      <c r="D18" s="1"/>
      <c r="E18" s="1"/>
      <c r="F18" s="1"/>
      <c r="G18" s="19">
        <f t="shared" si="2"/>
        <v>0</v>
      </c>
      <c r="H18" s="1"/>
    </row>
    <row r="19" spans="1:8" x14ac:dyDescent="0.25">
      <c r="A19" s="46"/>
      <c r="B19" s="1"/>
      <c r="C19" s="1"/>
      <c r="D19" s="1"/>
      <c r="E19" s="3"/>
      <c r="F19" s="3"/>
      <c r="G19" s="19">
        <f t="shared" si="2"/>
        <v>0</v>
      </c>
      <c r="H19" s="1"/>
    </row>
    <row r="20" spans="1:8" x14ac:dyDescent="0.25">
      <c r="A20" s="46"/>
      <c r="B20" s="1"/>
      <c r="C20" s="1"/>
      <c r="D20" s="1"/>
      <c r="E20" s="3"/>
      <c r="F20" s="3"/>
      <c r="G20" s="19">
        <f t="shared" si="2"/>
        <v>0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0" t="s">
        <v>7</v>
      </c>
      <c r="C22" s="41"/>
      <c r="D22" s="42"/>
      <c r="E22" s="3"/>
      <c r="F22" s="3"/>
      <c r="G22" s="14">
        <f>SUM(G16:G21)</f>
        <v>1492.5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27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6"/>
      <c r="B25" s="1" t="s">
        <v>74</v>
      </c>
      <c r="C25" s="1">
        <v>2</v>
      </c>
      <c r="D25" s="1">
        <v>530</v>
      </c>
      <c r="E25" s="1">
        <v>8</v>
      </c>
      <c r="F25" s="31" t="s">
        <v>98</v>
      </c>
      <c r="G25" s="19">
        <f t="shared" ref="G25:G29" si="3">D25*E25</f>
        <v>4240</v>
      </c>
      <c r="H25" s="1"/>
    </row>
    <row r="26" spans="1:8" x14ac:dyDescent="0.25">
      <c r="A26" s="46"/>
      <c r="B26" s="1" t="s">
        <v>66</v>
      </c>
      <c r="C26" s="1">
        <v>1</v>
      </c>
      <c r="D26" s="1">
        <v>42.19</v>
      </c>
      <c r="E26" s="1">
        <v>1</v>
      </c>
      <c r="F26" s="33" t="s">
        <v>38</v>
      </c>
      <c r="G26" s="19">
        <f t="shared" si="3"/>
        <v>42.19</v>
      </c>
      <c r="H26" s="1"/>
    </row>
    <row r="27" spans="1:8" x14ac:dyDescent="0.25">
      <c r="A27" s="46"/>
      <c r="B27" s="1"/>
      <c r="C27" s="1"/>
      <c r="D27" s="1"/>
      <c r="E27" s="1"/>
      <c r="F27" s="1"/>
      <c r="G27" s="19">
        <f t="shared" si="3"/>
        <v>0</v>
      </c>
      <c r="H27" s="1"/>
    </row>
    <row r="28" spans="1:8" x14ac:dyDescent="0.25">
      <c r="A28" s="46"/>
      <c r="B28" s="31"/>
      <c r="C28" s="31"/>
      <c r="D28" s="31"/>
      <c r="E28" s="31"/>
      <c r="F28" s="30"/>
      <c r="G28" s="31"/>
      <c r="H28" s="31"/>
    </row>
    <row r="29" spans="1:8" x14ac:dyDescent="0.25">
      <c r="A29" s="46"/>
      <c r="B29" s="19"/>
      <c r="C29" s="19"/>
      <c r="D29" s="19"/>
      <c r="E29" s="19"/>
      <c r="F29" s="30"/>
      <c r="G29" s="19">
        <f t="shared" si="3"/>
        <v>0</v>
      </c>
      <c r="H29" s="19"/>
    </row>
    <row r="30" spans="1:8" x14ac:dyDescent="0.25">
      <c r="A30" s="46"/>
      <c r="B30" s="40" t="s">
        <v>39</v>
      </c>
      <c r="C30" s="41"/>
      <c r="D30" s="42"/>
      <c r="E30" s="3"/>
      <c r="F30" s="3"/>
      <c r="G30" s="14">
        <f>SUM(G24:G29)</f>
        <v>5482.19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6" t="s">
        <v>75</v>
      </c>
      <c r="B32" s="1" t="s">
        <v>81</v>
      </c>
      <c r="C32" s="1">
        <v>10</v>
      </c>
      <c r="D32" s="1">
        <v>94.08</v>
      </c>
      <c r="E32" s="1">
        <v>1.67</v>
      </c>
      <c r="F32" s="1" t="s">
        <v>17</v>
      </c>
      <c r="G32" s="2">
        <f>D32*E32</f>
        <v>157.11359999999999</v>
      </c>
      <c r="H32" s="1"/>
    </row>
    <row r="33" spans="1:8" x14ac:dyDescent="0.25">
      <c r="A33" s="46"/>
      <c r="B33" s="1" t="s">
        <v>63</v>
      </c>
      <c r="C33" s="1">
        <v>3</v>
      </c>
      <c r="D33" s="1">
        <v>225</v>
      </c>
      <c r="E33" s="1">
        <v>3</v>
      </c>
      <c r="F33" s="31" t="s">
        <v>61</v>
      </c>
      <c r="G33" s="2">
        <f t="shared" ref="G33:G34" si="4">D33*E33</f>
        <v>675</v>
      </c>
      <c r="H33" s="1"/>
    </row>
    <row r="34" spans="1:8" x14ac:dyDescent="0.25">
      <c r="A34" s="46"/>
      <c r="B34" s="1" t="s">
        <v>82</v>
      </c>
      <c r="C34" s="1">
        <v>30</v>
      </c>
      <c r="D34" s="1">
        <v>120</v>
      </c>
      <c r="E34" s="1">
        <v>3</v>
      </c>
      <c r="F34" s="33" t="s">
        <v>141</v>
      </c>
      <c r="G34" s="2">
        <f t="shared" si="4"/>
        <v>360</v>
      </c>
      <c r="H34" s="1"/>
    </row>
    <row r="35" spans="1:8" x14ac:dyDescent="0.25">
      <c r="A35" s="46"/>
      <c r="B35" s="40"/>
      <c r="C35" s="41"/>
      <c r="D35" s="42"/>
      <c r="E35" s="3"/>
      <c r="F35" s="3"/>
      <c r="G35" s="14">
        <f>SUM(G32:G34)</f>
        <v>1192.1136000000001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7"/>
      <c r="B37" s="1" t="s">
        <v>142</v>
      </c>
      <c r="C37" s="1"/>
      <c r="D37" s="1">
        <v>31.62</v>
      </c>
      <c r="E37" s="1">
        <v>70</v>
      </c>
      <c r="F37" s="1" t="s">
        <v>134</v>
      </c>
      <c r="G37" s="24">
        <f>D37*E37</f>
        <v>2213.4</v>
      </c>
      <c r="H37" s="1"/>
    </row>
    <row r="38" spans="1:8" x14ac:dyDescent="0.25">
      <c r="A38" s="48"/>
      <c r="B38" s="1" t="s">
        <v>143</v>
      </c>
      <c r="C38" s="1"/>
      <c r="D38" s="1">
        <v>22.08</v>
      </c>
      <c r="E38" s="1"/>
      <c r="F38" s="35" t="s">
        <v>17</v>
      </c>
      <c r="G38" s="38">
        <f>D38*E38</f>
        <v>0</v>
      </c>
      <c r="H38" s="1"/>
    </row>
    <row r="39" spans="1:8" x14ac:dyDescent="0.25">
      <c r="A39" s="49"/>
      <c r="B39" s="40" t="s">
        <v>7</v>
      </c>
      <c r="C39" s="41"/>
      <c r="D39" s="42"/>
      <c r="E39" s="3"/>
      <c r="F39" s="3"/>
      <c r="G39" s="14">
        <f>SUM(G37:G38)</f>
        <v>2213.4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1"/>
      <c r="C43" s="1"/>
      <c r="D43" s="1"/>
      <c r="E43" s="1"/>
      <c r="F43" s="1"/>
      <c r="G43" s="1"/>
      <c r="H43" s="1"/>
    </row>
    <row r="44" spans="1:8" x14ac:dyDescent="0.25">
      <c r="A44" s="46"/>
      <c r="B44" s="1"/>
      <c r="C44" s="1"/>
      <c r="D44" s="1"/>
      <c r="E44" s="1"/>
      <c r="F44" s="1"/>
      <c r="G44" s="1"/>
      <c r="H44" s="1"/>
    </row>
    <row r="45" spans="1:8" x14ac:dyDescent="0.25">
      <c r="A45" s="46"/>
      <c r="B45" s="40" t="s">
        <v>7</v>
      </c>
      <c r="C45" s="41"/>
      <c r="D45" s="42"/>
      <c r="E45" s="3"/>
      <c r="F45" s="3"/>
      <c r="G45" s="4">
        <f>SUM(G41:G44)</f>
        <v>0</v>
      </c>
      <c r="H45" s="1"/>
    </row>
    <row r="46" spans="1:8" x14ac:dyDescent="0.25">
      <c r="A46" s="1"/>
      <c r="B46" s="50" t="s">
        <v>14</v>
      </c>
      <c r="C46" s="51"/>
      <c r="D46" s="52"/>
      <c r="E46" s="8"/>
      <c r="F46" s="8"/>
      <c r="G46" s="9">
        <f>G45+G39+G35+G22+G14+G7+G30</f>
        <v>24718.103599999999</v>
      </c>
      <c r="H46" s="1"/>
    </row>
  </sheetData>
  <mergeCells count="16">
    <mergeCell ref="A41:A45"/>
    <mergeCell ref="B45:D45"/>
    <mergeCell ref="B46:D46"/>
    <mergeCell ref="A24:A30"/>
    <mergeCell ref="B30:D30"/>
    <mergeCell ref="A32:A35"/>
    <mergeCell ref="B35:D35"/>
    <mergeCell ref="A37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2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43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84</v>
      </c>
      <c r="B3" s="1" t="s">
        <v>88</v>
      </c>
      <c r="C3" s="1">
        <v>150</v>
      </c>
      <c r="D3" s="1">
        <v>12</v>
      </c>
      <c r="E3" s="1">
        <v>150</v>
      </c>
      <c r="F3" s="31" t="s">
        <v>83</v>
      </c>
      <c r="G3" s="2">
        <f>D3*E3</f>
        <v>1800</v>
      </c>
      <c r="H3" s="1"/>
    </row>
    <row r="4" spans="1:8" x14ac:dyDescent="0.25">
      <c r="A4" s="46"/>
      <c r="B4" s="1" t="s">
        <v>89</v>
      </c>
      <c r="C4" s="1">
        <v>25</v>
      </c>
      <c r="D4" s="1">
        <v>117</v>
      </c>
      <c r="E4" s="1">
        <v>25</v>
      </c>
      <c r="F4" s="33" t="s">
        <v>38</v>
      </c>
      <c r="G4" s="2">
        <f t="shared" ref="G4:G7" si="0">D4*E4</f>
        <v>2925</v>
      </c>
      <c r="H4" s="1"/>
    </row>
    <row r="5" spans="1:8" x14ac:dyDescent="0.25">
      <c r="A5" s="46"/>
      <c r="B5" s="1" t="s">
        <v>90</v>
      </c>
      <c r="C5" s="1">
        <v>10</v>
      </c>
      <c r="D5" s="1"/>
      <c r="E5" s="1"/>
      <c r="F5" s="33" t="s">
        <v>38</v>
      </c>
      <c r="G5" s="2">
        <f t="shared" si="0"/>
        <v>0</v>
      </c>
      <c r="H5" s="1"/>
    </row>
    <row r="6" spans="1:8" x14ac:dyDescent="0.25">
      <c r="A6" s="46"/>
      <c r="B6" s="31" t="s">
        <v>91</v>
      </c>
      <c r="C6" s="31">
        <v>1</v>
      </c>
      <c r="D6" s="31">
        <v>213</v>
      </c>
      <c r="E6" s="30">
        <v>1</v>
      </c>
      <c r="F6" s="32" t="s">
        <v>144</v>
      </c>
      <c r="G6" s="2">
        <f t="shared" si="0"/>
        <v>213</v>
      </c>
      <c r="H6" s="31"/>
    </row>
    <row r="7" spans="1:8" x14ac:dyDescent="0.25">
      <c r="A7" s="46"/>
      <c r="B7" s="31" t="s">
        <v>65</v>
      </c>
      <c r="C7" s="31">
        <v>65</v>
      </c>
      <c r="D7" s="31">
        <v>22.8</v>
      </c>
      <c r="E7" s="30">
        <v>65</v>
      </c>
      <c r="F7" s="32" t="s">
        <v>38</v>
      </c>
      <c r="G7" s="2">
        <f t="shared" si="0"/>
        <v>1482</v>
      </c>
      <c r="H7" s="31"/>
    </row>
    <row r="8" spans="1:8" x14ac:dyDescent="0.25">
      <c r="A8" s="46"/>
      <c r="B8" s="1"/>
      <c r="C8" s="1"/>
      <c r="D8" s="1"/>
      <c r="E8" s="3"/>
      <c r="F8" s="30"/>
      <c r="G8" s="3"/>
      <c r="H8" s="1"/>
    </row>
    <row r="9" spans="1:8" x14ac:dyDescent="0.25">
      <c r="A9" s="46"/>
      <c r="B9" s="40" t="s">
        <v>7</v>
      </c>
      <c r="C9" s="41"/>
      <c r="D9" s="42"/>
      <c r="E9" s="3"/>
      <c r="F9" s="3"/>
      <c r="G9" s="14">
        <f>SUM(G3:G8)</f>
        <v>6420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46" t="s">
        <v>85</v>
      </c>
      <c r="B11" s="1" t="s">
        <v>92</v>
      </c>
      <c r="C11" s="1">
        <v>70</v>
      </c>
      <c r="D11" s="1">
        <v>168</v>
      </c>
      <c r="E11" s="27">
        <v>70</v>
      </c>
      <c r="F11" s="33" t="s">
        <v>38</v>
      </c>
      <c r="G11" s="1">
        <f>D11*E11</f>
        <v>11760</v>
      </c>
      <c r="H11" s="1"/>
    </row>
    <row r="12" spans="1:8" x14ac:dyDescent="0.25">
      <c r="A12" s="46"/>
      <c r="B12" s="1" t="s">
        <v>93</v>
      </c>
      <c r="C12" s="1">
        <v>4</v>
      </c>
      <c r="D12" s="1">
        <v>220</v>
      </c>
      <c r="E12" s="1">
        <v>4</v>
      </c>
      <c r="F12" s="33" t="s">
        <v>104</v>
      </c>
      <c r="G12" s="22">
        <f t="shared" ref="G12:G14" si="1">D12*E12</f>
        <v>880</v>
      </c>
      <c r="H12" s="1"/>
    </row>
    <row r="13" spans="1:8" x14ac:dyDescent="0.25">
      <c r="A13" s="46"/>
      <c r="B13" s="1" t="s">
        <v>94</v>
      </c>
      <c r="C13" s="1">
        <v>15</v>
      </c>
      <c r="D13" s="1">
        <v>105</v>
      </c>
      <c r="E13" s="1">
        <v>15</v>
      </c>
      <c r="F13" s="33" t="s">
        <v>38</v>
      </c>
      <c r="G13" s="22">
        <f t="shared" si="1"/>
        <v>1575</v>
      </c>
      <c r="H13" s="1"/>
    </row>
    <row r="14" spans="1:8" x14ac:dyDescent="0.25">
      <c r="A14" s="46"/>
      <c r="B14" s="1" t="s">
        <v>158</v>
      </c>
      <c r="C14" s="1"/>
      <c r="D14" s="1">
        <v>70</v>
      </c>
      <c r="E14" s="1">
        <v>30</v>
      </c>
      <c r="F14" s="31" t="s">
        <v>156</v>
      </c>
      <c r="G14" s="22">
        <f t="shared" si="1"/>
        <v>2100</v>
      </c>
      <c r="H14" s="1"/>
    </row>
    <row r="15" spans="1:8" x14ac:dyDescent="0.25">
      <c r="A15" s="46"/>
      <c r="B15" s="31"/>
      <c r="C15" s="31"/>
      <c r="D15" s="31"/>
      <c r="E15" s="31"/>
      <c r="F15" s="31"/>
      <c r="G15" s="31"/>
      <c r="H15" s="31"/>
    </row>
    <row r="16" spans="1:8" x14ac:dyDescent="0.25">
      <c r="A16" s="46"/>
      <c r="B16" s="1"/>
      <c r="C16" s="1"/>
      <c r="D16" s="1"/>
      <c r="E16" s="1"/>
      <c r="F16" s="31"/>
      <c r="G16" s="1"/>
      <c r="H16" s="1"/>
    </row>
    <row r="17" spans="1:8" x14ac:dyDescent="0.25">
      <c r="A17" s="1" t="s">
        <v>9</v>
      </c>
      <c r="B17" s="40" t="s">
        <v>7</v>
      </c>
      <c r="C17" s="41"/>
      <c r="D17" s="42"/>
      <c r="E17" s="3"/>
      <c r="F17" s="3"/>
      <c r="G17" s="14">
        <f>SUM(G11:G16)</f>
        <v>16315</v>
      </c>
      <c r="H17" s="1"/>
    </row>
    <row r="18" spans="1:8" x14ac:dyDescent="0.25">
      <c r="A18" s="47" t="s">
        <v>86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48"/>
      <c r="B19" s="1" t="s">
        <v>95</v>
      </c>
      <c r="C19" s="1">
        <v>75</v>
      </c>
      <c r="D19" s="1">
        <v>67.5</v>
      </c>
      <c r="E19" s="1">
        <v>65</v>
      </c>
      <c r="F19" s="33" t="s">
        <v>38</v>
      </c>
      <c r="G19" s="1">
        <f>D19*E19</f>
        <v>4387.5</v>
      </c>
      <c r="H19" s="1"/>
    </row>
    <row r="20" spans="1:8" x14ac:dyDescent="0.25">
      <c r="A20" s="48"/>
      <c r="B20" s="1" t="s">
        <v>96</v>
      </c>
      <c r="C20" s="1">
        <v>5</v>
      </c>
      <c r="D20" s="1">
        <v>80</v>
      </c>
      <c r="E20" s="1">
        <v>3</v>
      </c>
      <c r="F20" s="33" t="s">
        <v>156</v>
      </c>
      <c r="G20" s="35">
        <f>D20*E20</f>
        <v>240</v>
      </c>
      <c r="H20" s="1"/>
    </row>
    <row r="21" spans="1:8" x14ac:dyDescent="0.25">
      <c r="A21" s="48"/>
      <c r="B21" s="1"/>
      <c r="C21" s="1"/>
      <c r="D21" s="1"/>
      <c r="E21" s="1"/>
      <c r="F21" s="1"/>
      <c r="G21" s="1"/>
      <c r="H21" s="1"/>
    </row>
    <row r="22" spans="1:8" x14ac:dyDescent="0.25">
      <c r="A22" s="48"/>
      <c r="B22" s="1"/>
      <c r="C22" s="1"/>
      <c r="D22" s="1"/>
      <c r="E22" s="3"/>
      <c r="F22" s="3"/>
      <c r="G22" s="1"/>
      <c r="H22" s="1"/>
    </row>
    <row r="23" spans="1:8" x14ac:dyDescent="0.25">
      <c r="A23" s="49"/>
      <c r="B23" s="40" t="s">
        <v>7</v>
      </c>
      <c r="C23" s="41"/>
      <c r="D23" s="42"/>
      <c r="E23" s="3"/>
      <c r="F23" s="3"/>
      <c r="G23" s="14">
        <f>SUM(G19:G22)</f>
        <v>4627.5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46"/>
      <c r="B25" s="1" t="s">
        <v>145</v>
      </c>
      <c r="C25" s="1"/>
      <c r="D25" s="1">
        <v>141</v>
      </c>
      <c r="E25" s="1">
        <v>6</v>
      </c>
      <c r="F25" s="1" t="s">
        <v>146</v>
      </c>
      <c r="G25" s="1">
        <f>D25*E25</f>
        <v>846</v>
      </c>
      <c r="H25" s="1" t="s">
        <v>29</v>
      </c>
    </row>
    <row r="26" spans="1:8" x14ac:dyDescent="0.25">
      <c r="A26" s="46"/>
      <c r="B26" s="1" t="s">
        <v>147</v>
      </c>
      <c r="C26" s="1"/>
      <c r="D26" s="1">
        <v>108.3</v>
      </c>
      <c r="E26" s="1">
        <v>0.5</v>
      </c>
      <c r="F26" s="1" t="s">
        <v>146</v>
      </c>
      <c r="G26" s="22">
        <f t="shared" ref="G26:G30" si="2">D26*E26</f>
        <v>54.15</v>
      </c>
      <c r="H26" s="1"/>
    </row>
    <row r="27" spans="1:8" x14ac:dyDescent="0.25">
      <c r="A27" s="46"/>
      <c r="B27" s="1" t="s">
        <v>148</v>
      </c>
      <c r="C27" s="1"/>
      <c r="D27" s="1">
        <v>25.5</v>
      </c>
      <c r="E27" s="1"/>
      <c r="F27" s="35" t="s">
        <v>146</v>
      </c>
      <c r="G27" s="39">
        <f t="shared" si="2"/>
        <v>0</v>
      </c>
      <c r="H27" s="1"/>
    </row>
    <row r="28" spans="1:8" x14ac:dyDescent="0.25">
      <c r="A28" s="46"/>
      <c r="B28" s="1" t="s">
        <v>150</v>
      </c>
      <c r="C28" s="1"/>
      <c r="D28" s="1">
        <v>45.6</v>
      </c>
      <c r="E28" s="1">
        <v>40</v>
      </c>
      <c r="F28" s="1" t="s">
        <v>146</v>
      </c>
      <c r="G28" s="22">
        <f t="shared" si="2"/>
        <v>1824</v>
      </c>
      <c r="H28" s="1"/>
    </row>
    <row r="29" spans="1:8" x14ac:dyDescent="0.25">
      <c r="A29" s="46"/>
      <c r="B29" s="22" t="s">
        <v>151</v>
      </c>
      <c r="C29" s="22"/>
      <c r="D29" s="22">
        <v>32</v>
      </c>
      <c r="E29" s="22">
        <v>100</v>
      </c>
      <c r="F29" s="23" t="s">
        <v>146</v>
      </c>
      <c r="G29" s="23">
        <f t="shared" si="2"/>
        <v>3200</v>
      </c>
      <c r="H29" s="22"/>
    </row>
    <row r="30" spans="1:8" x14ac:dyDescent="0.25">
      <c r="A30" s="46"/>
      <c r="B30" s="22" t="s">
        <v>152</v>
      </c>
      <c r="C30" s="22"/>
      <c r="D30" s="22">
        <v>273</v>
      </c>
      <c r="E30" s="22">
        <v>2</v>
      </c>
      <c r="F30" s="23" t="s">
        <v>153</v>
      </c>
      <c r="G30" s="23">
        <f t="shared" si="2"/>
        <v>546</v>
      </c>
      <c r="H30" s="22"/>
    </row>
    <row r="31" spans="1:8" x14ac:dyDescent="0.25">
      <c r="A31" s="46"/>
      <c r="B31" s="40" t="s">
        <v>7</v>
      </c>
      <c r="C31" s="41"/>
      <c r="D31" s="42"/>
      <c r="E31" s="3"/>
      <c r="F31" s="3"/>
      <c r="G31" s="16">
        <f>SUM(G25:G30)</f>
        <v>6470.15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6" t="s">
        <v>87</v>
      </c>
      <c r="B33" s="1" t="s">
        <v>97</v>
      </c>
      <c r="C33" s="1" t="s">
        <v>52</v>
      </c>
      <c r="D33" s="1"/>
      <c r="E33" s="1"/>
      <c r="F33" s="12"/>
      <c r="G33" s="1">
        <f>D33*E33</f>
        <v>0</v>
      </c>
      <c r="H33" s="1"/>
    </row>
    <row r="34" spans="1:8" x14ac:dyDescent="0.25">
      <c r="A34" s="46"/>
      <c r="B34" s="1" t="s">
        <v>56</v>
      </c>
      <c r="C34" s="1">
        <v>15</v>
      </c>
      <c r="D34" s="1">
        <v>141</v>
      </c>
      <c r="E34" s="1">
        <v>15</v>
      </c>
      <c r="F34" s="33" t="s">
        <v>38</v>
      </c>
      <c r="G34" s="22">
        <f>D34*E34</f>
        <v>2115</v>
      </c>
      <c r="H34" s="1" t="s">
        <v>28</v>
      </c>
    </row>
    <row r="35" spans="1:8" x14ac:dyDescent="0.25">
      <c r="A35" s="46"/>
      <c r="B35" s="1"/>
      <c r="C35" s="1"/>
      <c r="D35" s="1"/>
      <c r="E35" s="1"/>
      <c r="F35" s="1"/>
      <c r="G35" s="1"/>
      <c r="H35" s="1"/>
    </row>
    <row r="36" spans="1:8" x14ac:dyDescent="0.25">
      <c r="A36" s="46"/>
      <c r="B36" s="40" t="s">
        <v>16</v>
      </c>
      <c r="C36" s="41"/>
      <c r="D36" s="42"/>
      <c r="E36" s="3"/>
      <c r="F36" s="3"/>
      <c r="G36" s="14">
        <f>SUM(G33:G35)</f>
        <v>2115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7"/>
      <c r="B38" s="1" t="s">
        <v>149</v>
      </c>
      <c r="C38" s="1"/>
      <c r="D38" s="1">
        <v>51.3</v>
      </c>
      <c r="E38" s="1">
        <v>70</v>
      </c>
      <c r="F38" s="1" t="s">
        <v>21</v>
      </c>
      <c r="G38" s="1">
        <f>D38*E38</f>
        <v>3591</v>
      </c>
      <c r="H38" s="1"/>
    </row>
    <row r="39" spans="1:8" x14ac:dyDescent="0.25">
      <c r="A39" s="48"/>
      <c r="B39" s="1" t="s">
        <v>162</v>
      </c>
      <c r="C39" s="1"/>
      <c r="D39" s="1">
        <v>16</v>
      </c>
      <c r="E39" s="1">
        <v>250</v>
      </c>
      <c r="F39" s="22" t="s">
        <v>23</v>
      </c>
      <c r="G39" s="22">
        <f>D39*E39</f>
        <v>4000</v>
      </c>
      <c r="H39" s="1"/>
    </row>
    <row r="40" spans="1:8" x14ac:dyDescent="0.25">
      <c r="A40" s="49"/>
      <c r="B40" s="40" t="s">
        <v>7</v>
      </c>
      <c r="C40" s="41"/>
      <c r="D40" s="42"/>
      <c r="E40" s="3"/>
      <c r="F40" s="3"/>
      <c r="G40" s="14">
        <f>SUM(G38:G39)</f>
        <v>7591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7"/>
      <c r="B42" s="1" t="s">
        <v>154</v>
      </c>
      <c r="C42" s="1"/>
      <c r="D42" s="1">
        <v>310</v>
      </c>
      <c r="E42" s="1">
        <v>1</v>
      </c>
      <c r="F42" s="12" t="s">
        <v>153</v>
      </c>
      <c r="G42" s="1">
        <f>D42*E42</f>
        <v>310</v>
      </c>
      <c r="H42" s="1"/>
    </row>
    <row r="43" spans="1:8" x14ac:dyDescent="0.25">
      <c r="A43" s="48"/>
      <c r="B43" s="1" t="s">
        <v>155</v>
      </c>
      <c r="C43" s="1"/>
      <c r="D43" s="1">
        <v>1236</v>
      </c>
      <c r="E43" s="1">
        <v>1</v>
      </c>
      <c r="F43" s="12" t="s">
        <v>144</v>
      </c>
      <c r="G43" s="22">
        <f t="shared" ref="G43:G46" si="3">D43*E43</f>
        <v>1236</v>
      </c>
      <c r="H43" s="1"/>
    </row>
    <row r="44" spans="1:8" x14ac:dyDescent="0.25">
      <c r="A44" s="48"/>
      <c r="B44" s="1" t="s">
        <v>157</v>
      </c>
      <c r="C44" s="1"/>
      <c r="D44" s="1">
        <v>177</v>
      </c>
      <c r="E44" s="1">
        <v>2</v>
      </c>
      <c r="F44" s="12" t="s">
        <v>146</v>
      </c>
      <c r="G44" s="22">
        <f t="shared" si="3"/>
        <v>354</v>
      </c>
      <c r="H44" s="1"/>
    </row>
    <row r="45" spans="1:8" x14ac:dyDescent="0.25">
      <c r="A45" s="48"/>
      <c r="B45" s="1" t="s">
        <v>159</v>
      </c>
      <c r="C45" s="1"/>
      <c r="D45" s="1">
        <v>120</v>
      </c>
      <c r="E45" s="1">
        <v>1</v>
      </c>
      <c r="F45" s="12" t="s">
        <v>160</v>
      </c>
      <c r="G45" s="22">
        <f t="shared" si="3"/>
        <v>120</v>
      </c>
      <c r="H45" s="1"/>
    </row>
    <row r="46" spans="1:8" x14ac:dyDescent="0.25">
      <c r="A46" s="48"/>
      <c r="B46" s="12" t="s">
        <v>161</v>
      </c>
      <c r="C46" s="12"/>
      <c r="D46" s="13">
        <v>1350</v>
      </c>
      <c r="E46" s="13">
        <v>1</v>
      </c>
      <c r="F46" s="13" t="s">
        <v>144</v>
      </c>
      <c r="G46" s="22">
        <f t="shared" si="3"/>
        <v>1350</v>
      </c>
      <c r="H46" s="12"/>
    </row>
    <row r="47" spans="1:8" x14ac:dyDescent="0.25">
      <c r="A47" s="49"/>
      <c r="B47" s="40" t="s">
        <v>7</v>
      </c>
      <c r="C47" s="41"/>
      <c r="D47" s="42"/>
      <c r="E47" s="3"/>
      <c r="F47" s="3"/>
      <c r="G47" s="14">
        <f>SUM(G42:G46)</f>
        <v>3370</v>
      </c>
      <c r="H47" s="1"/>
    </row>
    <row r="48" spans="1:8" x14ac:dyDescent="0.25">
      <c r="A48" s="12"/>
      <c r="B48" s="50" t="s">
        <v>14</v>
      </c>
      <c r="C48" s="51"/>
      <c r="D48" s="52"/>
      <c r="E48" s="8"/>
      <c r="F48" s="8"/>
      <c r="G48" s="9">
        <f>G47+G40+G36+G23+G17+G9+G31</f>
        <v>46908.65</v>
      </c>
      <c r="H48" s="1"/>
    </row>
  </sheetData>
  <mergeCells count="16">
    <mergeCell ref="B47:D47"/>
    <mergeCell ref="B48:D48"/>
    <mergeCell ref="A25:A31"/>
    <mergeCell ref="B31:D31"/>
    <mergeCell ref="A33:A36"/>
    <mergeCell ref="B36:D36"/>
    <mergeCell ref="A38:A40"/>
    <mergeCell ref="B40:D40"/>
    <mergeCell ref="A42:A47"/>
    <mergeCell ref="B23:D23"/>
    <mergeCell ref="A1:H1"/>
    <mergeCell ref="A3:A9"/>
    <mergeCell ref="B9:D9"/>
    <mergeCell ref="A11:A16"/>
    <mergeCell ref="B17:D17"/>
    <mergeCell ref="A18:A23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2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44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99</v>
      </c>
      <c r="B3" s="1" t="s">
        <v>102</v>
      </c>
      <c r="C3" s="1">
        <v>270</v>
      </c>
      <c r="D3" s="1">
        <v>72</v>
      </c>
      <c r="E3" s="1">
        <v>66.25</v>
      </c>
      <c r="F3" s="31" t="s">
        <v>17</v>
      </c>
      <c r="G3" s="2">
        <f>D3*E3</f>
        <v>4770</v>
      </c>
      <c r="H3" s="1"/>
    </row>
    <row r="4" spans="1:8" x14ac:dyDescent="0.25">
      <c r="A4" s="46"/>
      <c r="B4" s="1"/>
      <c r="C4" s="1"/>
      <c r="D4" s="1"/>
      <c r="E4" s="1"/>
      <c r="F4" s="31"/>
      <c r="G4" s="1"/>
      <c r="H4" s="1"/>
    </row>
    <row r="5" spans="1:8" x14ac:dyDescent="0.25">
      <c r="A5" s="46"/>
      <c r="B5" s="1"/>
      <c r="C5" s="1"/>
      <c r="D5" s="1"/>
      <c r="E5" s="1"/>
      <c r="F5" s="31"/>
      <c r="G5" s="1"/>
      <c r="H5" s="1"/>
    </row>
    <row r="6" spans="1:8" x14ac:dyDescent="0.25">
      <c r="A6" s="46"/>
      <c r="B6" s="18"/>
      <c r="C6" s="1"/>
      <c r="D6" s="1"/>
      <c r="E6" s="3"/>
      <c r="F6" s="3"/>
      <c r="G6" s="3"/>
      <c r="H6" s="1"/>
    </row>
    <row r="7" spans="1:8" x14ac:dyDescent="0.25">
      <c r="A7" s="46"/>
      <c r="B7" s="40" t="s">
        <v>7</v>
      </c>
      <c r="C7" s="41"/>
      <c r="D7" s="42"/>
      <c r="E7" s="3"/>
      <c r="F7" s="3"/>
      <c r="G7" s="14">
        <f>SUM(G3:G6)</f>
        <v>4770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100</v>
      </c>
      <c r="B9" s="18" t="s">
        <v>103</v>
      </c>
      <c r="C9" s="1">
        <v>40</v>
      </c>
      <c r="D9" s="1">
        <v>82.55</v>
      </c>
      <c r="E9" s="1">
        <v>40</v>
      </c>
      <c r="F9" s="33" t="s">
        <v>38</v>
      </c>
      <c r="G9" s="1">
        <f>E9*D9</f>
        <v>3302</v>
      </c>
      <c r="H9" s="1"/>
    </row>
    <row r="10" spans="1:8" x14ac:dyDescent="0.25">
      <c r="A10" s="46"/>
      <c r="B10" s="1" t="s">
        <v>68</v>
      </c>
      <c r="C10" s="1">
        <v>4</v>
      </c>
      <c r="D10" s="1">
        <v>60</v>
      </c>
      <c r="E10" s="1">
        <v>3</v>
      </c>
      <c r="F10" s="33" t="s">
        <v>38</v>
      </c>
      <c r="G10" s="37">
        <f>E10*D10</f>
        <v>180</v>
      </c>
      <c r="H10" s="1"/>
    </row>
    <row r="11" spans="1:8" x14ac:dyDescent="0.25">
      <c r="A11" s="46"/>
      <c r="B11" s="1"/>
      <c r="C11" s="1"/>
      <c r="D11" s="1"/>
      <c r="E11" s="1"/>
      <c r="F11" s="31"/>
      <c r="G11" s="1"/>
      <c r="H11" s="1"/>
    </row>
    <row r="12" spans="1:8" x14ac:dyDescent="0.25">
      <c r="A12" s="46"/>
      <c r="B12" s="1"/>
      <c r="C12" s="1"/>
      <c r="D12" s="1"/>
      <c r="E12" s="1"/>
      <c r="F12" s="31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0" t="s">
        <v>7</v>
      </c>
      <c r="C14" s="41"/>
      <c r="D14" s="42"/>
      <c r="E14" s="3"/>
      <c r="F14" s="3"/>
      <c r="G14" s="14">
        <f>SUM(G9:G13)</f>
        <v>3482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101</v>
      </c>
      <c r="B16" s="1" t="s">
        <v>105</v>
      </c>
      <c r="C16" s="1">
        <v>8</v>
      </c>
      <c r="D16" s="1">
        <v>168.3</v>
      </c>
      <c r="E16" s="1">
        <v>8</v>
      </c>
      <c r="F16" s="33" t="s">
        <v>38</v>
      </c>
      <c r="G16" s="1">
        <f>E16*D16</f>
        <v>1346.4</v>
      </c>
      <c r="H16" s="1"/>
    </row>
    <row r="17" spans="1:8" x14ac:dyDescent="0.25">
      <c r="A17" s="46"/>
      <c r="B17" s="1" t="s">
        <v>106</v>
      </c>
      <c r="C17" s="1">
        <v>30</v>
      </c>
      <c r="D17" s="1">
        <v>174</v>
      </c>
      <c r="E17" s="1">
        <v>30</v>
      </c>
      <c r="F17" s="33" t="s">
        <v>38</v>
      </c>
      <c r="G17" s="37">
        <f t="shared" ref="G17:G19" si="0">E17*D17</f>
        <v>5220</v>
      </c>
      <c r="H17" s="1"/>
    </row>
    <row r="18" spans="1:8" x14ac:dyDescent="0.25">
      <c r="A18" s="46"/>
      <c r="B18" s="1" t="s">
        <v>55</v>
      </c>
      <c r="C18" s="1">
        <v>3</v>
      </c>
      <c r="D18" s="1">
        <v>26.22</v>
      </c>
      <c r="E18" s="1">
        <v>3</v>
      </c>
      <c r="F18" s="33" t="s">
        <v>38</v>
      </c>
      <c r="G18" s="37">
        <f t="shared" si="0"/>
        <v>78.66</v>
      </c>
      <c r="H18" s="1"/>
    </row>
    <row r="19" spans="1:8" x14ac:dyDescent="0.25">
      <c r="A19" s="46"/>
      <c r="B19" s="25" t="s">
        <v>79</v>
      </c>
      <c r="C19" s="25">
        <v>15</v>
      </c>
      <c r="D19" s="25">
        <v>45</v>
      </c>
      <c r="E19" s="25">
        <v>15</v>
      </c>
      <c r="F19" s="33" t="s">
        <v>38</v>
      </c>
      <c r="G19" s="37">
        <f t="shared" si="0"/>
        <v>675</v>
      </c>
      <c r="H19" s="1"/>
    </row>
    <row r="20" spans="1:8" x14ac:dyDescent="0.25">
      <c r="A20" s="46"/>
      <c r="B20" s="40" t="s">
        <v>7</v>
      </c>
      <c r="C20" s="41"/>
      <c r="D20" s="42"/>
      <c r="E20" s="3"/>
      <c r="F20" s="3"/>
      <c r="G20" s="14">
        <f>SUM(G16:G19)</f>
        <v>7320.0599999999995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112</v>
      </c>
      <c r="C22" s="1">
        <v>4</v>
      </c>
      <c r="D22" s="1">
        <v>141</v>
      </c>
      <c r="E22" s="1">
        <v>4</v>
      </c>
      <c r="F22" s="33" t="s">
        <v>38</v>
      </c>
      <c r="G22" s="1">
        <f>D22*E22</f>
        <v>564</v>
      </c>
      <c r="H22" s="1"/>
    </row>
    <row r="23" spans="1:8" x14ac:dyDescent="0.25">
      <c r="A23" s="46"/>
      <c r="B23" s="1" t="s">
        <v>65</v>
      </c>
      <c r="C23" s="1">
        <v>8</v>
      </c>
      <c r="D23" s="1">
        <v>22.8</v>
      </c>
      <c r="E23" s="1">
        <v>8</v>
      </c>
      <c r="F23" s="33" t="s">
        <v>38</v>
      </c>
      <c r="G23" s="37">
        <f t="shared" ref="G23:G29" si="1">D23*E23</f>
        <v>182.4</v>
      </c>
      <c r="H23" s="1"/>
    </row>
    <row r="24" spans="1:8" x14ac:dyDescent="0.25">
      <c r="A24" s="46"/>
      <c r="B24" s="1" t="s">
        <v>77</v>
      </c>
      <c r="C24" s="1">
        <v>3</v>
      </c>
      <c r="D24" s="1">
        <v>25.5</v>
      </c>
      <c r="E24" s="1">
        <v>1.67</v>
      </c>
      <c r="F24" s="33" t="s">
        <v>17</v>
      </c>
      <c r="G24" s="37">
        <f t="shared" si="1"/>
        <v>42.585000000000001</v>
      </c>
      <c r="H24" s="1"/>
    </row>
    <row r="25" spans="1:8" x14ac:dyDescent="0.25">
      <c r="A25" s="46"/>
      <c r="B25" s="33" t="s">
        <v>113</v>
      </c>
      <c r="C25" s="33">
        <v>35</v>
      </c>
      <c r="D25" s="33">
        <v>78</v>
      </c>
      <c r="E25" s="33">
        <v>5.97</v>
      </c>
      <c r="F25" s="33" t="s">
        <v>17</v>
      </c>
      <c r="G25" s="37">
        <f t="shared" si="1"/>
        <v>465.65999999999997</v>
      </c>
      <c r="H25" s="33"/>
    </row>
    <row r="26" spans="1:8" x14ac:dyDescent="0.25">
      <c r="A26" s="46"/>
      <c r="B26" s="33" t="s">
        <v>114</v>
      </c>
      <c r="C26" s="33">
        <v>1</v>
      </c>
      <c r="D26" s="33">
        <v>285</v>
      </c>
      <c r="E26" s="33">
        <v>1</v>
      </c>
      <c r="F26" s="33" t="s">
        <v>118</v>
      </c>
      <c r="G26" s="37">
        <f t="shared" si="1"/>
        <v>285</v>
      </c>
      <c r="H26" s="33"/>
    </row>
    <row r="27" spans="1:8" x14ac:dyDescent="0.25">
      <c r="A27" s="46"/>
      <c r="B27" s="31" t="s">
        <v>115</v>
      </c>
      <c r="C27" s="31" t="s">
        <v>69</v>
      </c>
      <c r="D27" s="31">
        <v>117</v>
      </c>
      <c r="E27" s="31">
        <v>0.5</v>
      </c>
      <c r="F27" s="33" t="s">
        <v>38</v>
      </c>
      <c r="G27" s="37">
        <f t="shared" si="1"/>
        <v>58.5</v>
      </c>
      <c r="H27" s="31"/>
    </row>
    <row r="28" spans="1:8" x14ac:dyDescent="0.25">
      <c r="A28" s="46"/>
      <c r="B28" s="33" t="s">
        <v>116</v>
      </c>
      <c r="C28" s="33" t="s">
        <v>69</v>
      </c>
      <c r="D28" s="33">
        <v>126</v>
      </c>
      <c r="E28" s="33">
        <v>0.5</v>
      </c>
      <c r="F28" s="33" t="s">
        <v>38</v>
      </c>
      <c r="G28" s="37">
        <f t="shared" si="1"/>
        <v>63</v>
      </c>
      <c r="H28" s="33"/>
    </row>
    <row r="29" spans="1:8" x14ac:dyDescent="0.25">
      <c r="A29" s="46"/>
      <c r="B29" s="1" t="s">
        <v>117</v>
      </c>
      <c r="C29" s="1">
        <v>1</v>
      </c>
      <c r="D29" s="1">
        <v>165</v>
      </c>
      <c r="E29" s="1">
        <v>1</v>
      </c>
      <c r="F29" s="33" t="s">
        <v>38</v>
      </c>
      <c r="G29" s="37">
        <f t="shared" si="1"/>
        <v>165</v>
      </c>
      <c r="H29" s="1"/>
    </row>
    <row r="30" spans="1:8" x14ac:dyDescent="0.25">
      <c r="A30" s="46"/>
      <c r="B30" s="40" t="s">
        <v>7</v>
      </c>
      <c r="C30" s="41"/>
      <c r="D30" s="42"/>
      <c r="E30" s="3"/>
      <c r="F30" s="3"/>
      <c r="G30" s="14">
        <f>SUM(G22:G29)</f>
        <v>1826.145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46" t="s">
        <v>107</v>
      </c>
      <c r="B32" s="25" t="s">
        <v>108</v>
      </c>
      <c r="C32" s="25" t="s">
        <v>52</v>
      </c>
      <c r="D32" s="25"/>
      <c r="E32" s="25"/>
      <c r="G32" s="1"/>
      <c r="H32" s="1" t="s">
        <v>15</v>
      </c>
    </row>
    <row r="33" spans="1:8" x14ac:dyDescent="0.25">
      <c r="A33" s="46"/>
      <c r="B33" s="1" t="s">
        <v>109</v>
      </c>
      <c r="C33" s="1">
        <v>4</v>
      </c>
      <c r="D33" s="1">
        <v>60</v>
      </c>
      <c r="E33" s="1">
        <v>4</v>
      </c>
      <c r="F33" s="33" t="s">
        <v>38</v>
      </c>
      <c r="G33" s="1">
        <f>D33*E33</f>
        <v>240</v>
      </c>
      <c r="H33" s="1"/>
    </row>
    <row r="34" spans="1:8" x14ac:dyDescent="0.25">
      <c r="A34" s="46"/>
      <c r="B34" s="1" t="s">
        <v>110</v>
      </c>
      <c r="C34" s="1">
        <v>4</v>
      </c>
      <c r="D34" s="1">
        <v>60</v>
      </c>
      <c r="E34" s="1">
        <v>4</v>
      </c>
      <c r="F34" s="33" t="s">
        <v>38</v>
      </c>
      <c r="G34" s="37">
        <f>D34*E34</f>
        <v>240</v>
      </c>
      <c r="H34" s="1"/>
    </row>
    <row r="35" spans="1:8" x14ac:dyDescent="0.25">
      <c r="A35" s="46"/>
      <c r="B35" s="40"/>
      <c r="C35" s="41"/>
      <c r="D35" s="42"/>
      <c r="E35" s="3"/>
      <c r="F35" s="3"/>
      <c r="G35" s="16">
        <f>SUM(G32:G34)</f>
        <v>480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7"/>
      <c r="B37" s="1" t="s">
        <v>163</v>
      </c>
      <c r="C37" s="1"/>
      <c r="D37" s="1">
        <v>20.16</v>
      </c>
      <c r="E37" s="1">
        <v>75</v>
      </c>
      <c r="F37" s="1" t="s">
        <v>165</v>
      </c>
      <c r="G37" s="1">
        <f>D37*E37</f>
        <v>1512</v>
      </c>
      <c r="H37" s="1"/>
    </row>
    <row r="38" spans="1:8" x14ac:dyDescent="0.25">
      <c r="A38" s="48"/>
      <c r="B38" s="1" t="s">
        <v>169</v>
      </c>
      <c r="C38" s="1"/>
      <c r="D38" s="1">
        <v>11.7</v>
      </c>
      <c r="E38" s="1">
        <v>65</v>
      </c>
      <c r="F38" s="1" t="s">
        <v>165</v>
      </c>
      <c r="G38" s="37">
        <f>D38*E38</f>
        <v>760.5</v>
      </c>
      <c r="H38" s="1"/>
    </row>
    <row r="39" spans="1:8" x14ac:dyDescent="0.25">
      <c r="A39" s="49"/>
      <c r="B39" s="40" t="s">
        <v>7</v>
      </c>
      <c r="C39" s="41"/>
      <c r="D39" s="42"/>
      <c r="E39" s="3"/>
      <c r="F39" s="3"/>
      <c r="G39" s="14">
        <f>SUM(G37:G38)</f>
        <v>2272.5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6"/>
      <c r="B41" s="1" t="s">
        <v>167</v>
      </c>
      <c r="C41" s="1"/>
      <c r="D41" s="1">
        <v>93</v>
      </c>
      <c r="E41" s="1">
        <v>2</v>
      </c>
      <c r="F41" s="1" t="s">
        <v>168</v>
      </c>
      <c r="G41" s="1">
        <f>D41*E41</f>
        <v>186</v>
      </c>
      <c r="H41" s="1"/>
    </row>
    <row r="42" spans="1:8" x14ac:dyDescent="0.25">
      <c r="A42" s="46"/>
      <c r="B42" s="1" t="s">
        <v>170</v>
      </c>
      <c r="C42" s="1"/>
      <c r="D42" s="1">
        <v>125</v>
      </c>
      <c r="E42" s="1">
        <v>12</v>
      </c>
      <c r="F42" s="1" t="s">
        <v>168</v>
      </c>
      <c r="G42" s="37">
        <f t="shared" ref="G42:G46" si="2">D42*E42</f>
        <v>1500</v>
      </c>
      <c r="H42" s="1"/>
    </row>
    <row r="43" spans="1:8" x14ac:dyDescent="0.25">
      <c r="A43" s="46"/>
      <c r="B43" s="1" t="s">
        <v>171</v>
      </c>
      <c r="C43" s="1"/>
      <c r="D43" s="1">
        <v>18</v>
      </c>
      <c r="E43" s="1">
        <v>24</v>
      </c>
      <c r="F43" s="1" t="s">
        <v>172</v>
      </c>
      <c r="G43" s="37">
        <f t="shared" si="2"/>
        <v>432</v>
      </c>
      <c r="H43" s="1"/>
    </row>
    <row r="44" spans="1:8" x14ac:dyDescent="0.25">
      <c r="A44" s="46"/>
      <c r="B44" s="1" t="s">
        <v>173</v>
      </c>
      <c r="C44" s="1"/>
      <c r="D44" s="1">
        <v>60</v>
      </c>
      <c r="E44" s="1">
        <v>1</v>
      </c>
      <c r="F44" s="1" t="s">
        <v>164</v>
      </c>
      <c r="G44" s="37">
        <f t="shared" si="2"/>
        <v>60</v>
      </c>
      <c r="H44" s="1"/>
    </row>
    <row r="45" spans="1:8" x14ac:dyDescent="0.25">
      <c r="A45" s="46"/>
      <c r="B45" s="37" t="s">
        <v>174</v>
      </c>
      <c r="C45" s="37"/>
      <c r="D45" s="37">
        <v>168</v>
      </c>
      <c r="E45" s="37">
        <v>5</v>
      </c>
      <c r="F45" s="36" t="s">
        <v>165</v>
      </c>
      <c r="G45" s="37">
        <f t="shared" si="2"/>
        <v>840</v>
      </c>
      <c r="H45" s="37"/>
    </row>
    <row r="46" spans="1:8" x14ac:dyDescent="0.25">
      <c r="A46" s="46"/>
      <c r="B46" s="37" t="s">
        <v>175</v>
      </c>
      <c r="C46" s="37"/>
      <c r="D46" s="37">
        <v>300</v>
      </c>
      <c r="E46" s="37">
        <v>1</v>
      </c>
      <c r="F46" s="36" t="s">
        <v>176</v>
      </c>
      <c r="G46" s="37">
        <f t="shared" si="2"/>
        <v>300</v>
      </c>
      <c r="H46" s="37"/>
    </row>
    <row r="47" spans="1:8" x14ac:dyDescent="0.25">
      <c r="A47" s="46"/>
      <c r="B47" s="40" t="s">
        <v>7</v>
      </c>
      <c r="C47" s="41"/>
      <c r="D47" s="42"/>
      <c r="E47" s="3"/>
      <c r="F47" s="3"/>
      <c r="G47" s="16">
        <f>SUM(G41:G46)</f>
        <v>3318</v>
      </c>
      <c r="H47" s="1"/>
    </row>
    <row r="48" spans="1:8" x14ac:dyDescent="0.25">
      <c r="A48" s="1"/>
      <c r="B48" s="50" t="s">
        <v>14</v>
      </c>
      <c r="C48" s="51"/>
      <c r="D48" s="52"/>
      <c r="E48" s="8"/>
      <c r="F48" s="8"/>
      <c r="G48" s="9">
        <f>G47+G39+G35+G20+G14+G7+G30</f>
        <v>23468.704999999998</v>
      </c>
      <c r="H48" s="1"/>
    </row>
  </sheetData>
  <mergeCells count="16">
    <mergeCell ref="A41:A47"/>
    <mergeCell ref="B47:D47"/>
    <mergeCell ref="B48:D48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topLeftCell="A37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3" t="s">
        <v>45</v>
      </c>
      <c r="B1" s="44"/>
      <c r="C1" s="44"/>
      <c r="D1" s="44"/>
      <c r="E1" s="44"/>
      <c r="F1" s="44"/>
      <c r="G1" s="44"/>
      <c r="H1" s="45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119</v>
      </c>
      <c r="B3" s="1" t="s">
        <v>112</v>
      </c>
      <c r="C3" s="1">
        <v>35</v>
      </c>
      <c r="D3" s="1">
        <v>141</v>
      </c>
      <c r="E3" s="1">
        <v>35</v>
      </c>
      <c r="F3" s="33" t="s">
        <v>38</v>
      </c>
      <c r="G3" s="2">
        <f>D3*E3</f>
        <v>4935</v>
      </c>
      <c r="H3" s="1"/>
    </row>
    <row r="4" spans="1:8" x14ac:dyDescent="0.25">
      <c r="A4" s="46"/>
      <c r="B4" s="1" t="s">
        <v>123</v>
      </c>
      <c r="C4" s="1">
        <v>15</v>
      </c>
      <c r="D4" s="1">
        <v>177</v>
      </c>
      <c r="E4" s="1">
        <v>15</v>
      </c>
      <c r="F4" s="33" t="s">
        <v>38</v>
      </c>
      <c r="G4" s="2">
        <f t="shared" ref="G4:G5" si="0">D4*E4</f>
        <v>2655</v>
      </c>
      <c r="H4" s="1"/>
    </row>
    <row r="5" spans="1:8" x14ac:dyDescent="0.25">
      <c r="A5" s="46"/>
      <c r="B5" s="1" t="s">
        <v>124</v>
      </c>
      <c r="C5" s="1">
        <v>1</v>
      </c>
      <c r="D5" s="1">
        <v>400</v>
      </c>
      <c r="E5" s="1">
        <v>1</v>
      </c>
      <c r="F5" s="31" t="s">
        <v>98</v>
      </c>
      <c r="G5" s="2">
        <f t="shared" si="0"/>
        <v>400</v>
      </c>
      <c r="H5" s="1"/>
    </row>
    <row r="6" spans="1:8" x14ac:dyDescent="0.25">
      <c r="A6" s="46"/>
      <c r="B6" s="1"/>
      <c r="C6" s="1"/>
      <c r="D6" s="1"/>
      <c r="E6" s="3"/>
      <c r="F6" s="30"/>
      <c r="G6" s="3"/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0" t="s">
        <v>7</v>
      </c>
      <c r="C8" s="41"/>
      <c r="D8" s="42"/>
      <c r="E8" s="3"/>
      <c r="F8" s="3"/>
      <c r="G8" s="14">
        <f>SUM(G3:G7)</f>
        <v>7990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47" t="s">
        <v>120</v>
      </c>
      <c r="B10" s="25" t="s">
        <v>125</v>
      </c>
      <c r="C10" s="25">
        <v>45</v>
      </c>
      <c r="D10" s="25">
        <v>29.64</v>
      </c>
      <c r="E10" s="25">
        <v>45</v>
      </c>
      <c r="F10" s="33" t="s">
        <v>38</v>
      </c>
      <c r="G10" s="25">
        <f>D10*E10</f>
        <v>1333.8</v>
      </c>
      <c r="H10" s="25"/>
    </row>
    <row r="11" spans="1:8" x14ac:dyDescent="0.25">
      <c r="A11" s="48"/>
      <c r="B11" s="1" t="s">
        <v>78</v>
      </c>
      <c r="C11" s="1">
        <v>2</v>
      </c>
      <c r="D11" s="1">
        <v>125.4</v>
      </c>
      <c r="E11" s="1">
        <v>2</v>
      </c>
      <c r="F11" s="33" t="s">
        <v>38</v>
      </c>
      <c r="G11" s="37">
        <f>D11*E11</f>
        <v>250.8</v>
      </c>
      <c r="H11" s="1"/>
    </row>
    <row r="12" spans="1:8" x14ac:dyDescent="0.25">
      <c r="A12" s="48"/>
      <c r="B12" s="18"/>
      <c r="C12" s="1"/>
      <c r="D12" s="1"/>
      <c r="E12" s="1"/>
      <c r="F12" s="1"/>
      <c r="G12" s="1"/>
      <c r="H12" s="12"/>
    </row>
    <row r="13" spans="1:8" x14ac:dyDescent="0.25">
      <c r="A13" s="49"/>
      <c r="B13" s="40" t="s">
        <v>7</v>
      </c>
      <c r="C13" s="41"/>
      <c r="D13" s="42"/>
      <c r="E13" s="3"/>
      <c r="F13" s="3"/>
      <c r="G13" s="14">
        <f>SUM(G10:G12)</f>
        <v>1584.6</v>
      </c>
      <c r="H13" s="1"/>
    </row>
    <row r="14" spans="1:8" x14ac:dyDescent="0.25">
      <c r="A14" s="1" t="s">
        <v>9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 t="s">
        <v>5</v>
      </c>
      <c r="H14" s="1" t="s">
        <v>6</v>
      </c>
    </row>
    <row r="15" spans="1:8" x14ac:dyDescent="0.25">
      <c r="A15" s="46" t="s">
        <v>121</v>
      </c>
      <c r="B15" s="1" t="s">
        <v>126</v>
      </c>
      <c r="C15" s="1">
        <v>30</v>
      </c>
      <c r="D15" s="1">
        <v>55.8</v>
      </c>
      <c r="E15" s="1">
        <v>30</v>
      </c>
      <c r="F15" s="33" t="s">
        <v>38</v>
      </c>
      <c r="G15" s="1">
        <f>D15*E15</f>
        <v>1674</v>
      </c>
      <c r="H15" s="1"/>
    </row>
    <row r="16" spans="1:8" x14ac:dyDescent="0.25">
      <c r="A16" s="46"/>
      <c r="B16" s="1" t="s">
        <v>94</v>
      </c>
      <c r="C16" s="1">
        <v>10</v>
      </c>
      <c r="D16" s="1">
        <v>105</v>
      </c>
      <c r="E16" s="1">
        <v>10</v>
      </c>
      <c r="F16" s="33" t="s">
        <v>38</v>
      </c>
      <c r="G16" s="37">
        <f>D16*E16</f>
        <v>1050</v>
      </c>
      <c r="H16" s="1"/>
    </row>
    <row r="17" spans="1:8" x14ac:dyDescent="0.25">
      <c r="A17" s="46"/>
      <c r="B17" s="1"/>
      <c r="C17" s="1"/>
      <c r="D17" s="1"/>
      <c r="E17" s="1"/>
      <c r="F17" s="31"/>
      <c r="G17" s="1"/>
      <c r="H17" s="1"/>
    </row>
    <row r="18" spans="1:8" x14ac:dyDescent="0.25">
      <c r="A18" s="46"/>
      <c r="B18" s="1"/>
      <c r="C18" s="1"/>
      <c r="D18" s="1"/>
      <c r="E18" s="3"/>
      <c r="F18" s="3"/>
      <c r="G18" s="1"/>
      <c r="H18" s="1"/>
    </row>
    <row r="19" spans="1:8" x14ac:dyDescent="0.25">
      <c r="A19" s="46"/>
      <c r="B19" s="40" t="s">
        <v>7</v>
      </c>
      <c r="C19" s="41"/>
      <c r="D19" s="42"/>
      <c r="E19" s="3"/>
      <c r="F19" s="3"/>
      <c r="G19" s="16">
        <f>SUM(G15:G18)</f>
        <v>2724</v>
      </c>
      <c r="H19" s="1"/>
    </row>
    <row r="20" spans="1:8" x14ac:dyDescent="0.25">
      <c r="A20" s="5" t="s">
        <v>10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 t="s">
        <v>5</v>
      </c>
      <c r="H20" s="1" t="s">
        <v>6</v>
      </c>
    </row>
    <row r="21" spans="1:8" x14ac:dyDescent="0.25">
      <c r="A21" s="53"/>
      <c r="B21" s="18" t="s">
        <v>129</v>
      </c>
      <c r="C21" s="12">
        <v>2</v>
      </c>
      <c r="D21" s="12">
        <v>97.5</v>
      </c>
      <c r="E21" s="12">
        <v>2</v>
      </c>
      <c r="F21" s="33" t="s">
        <v>38</v>
      </c>
      <c r="G21" s="12">
        <f>D21*E21</f>
        <v>195</v>
      </c>
      <c r="H21" s="12" t="s">
        <v>20</v>
      </c>
    </row>
    <row r="22" spans="1:8" x14ac:dyDescent="0.25">
      <c r="A22" s="54"/>
      <c r="B22" s="12" t="s">
        <v>130</v>
      </c>
      <c r="C22" s="12">
        <v>4</v>
      </c>
      <c r="D22" s="12">
        <v>177</v>
      </c>
      <c r="E22" s="12">
        <v>4</v>
      </c>
      <c r="F22" s="33" t="s">
        <v>38</v>
      </c>
      <c r="G22" s="37">
        <f t="shared" ref="G22:G27" si="1">D22*E22</f>
        <v>708</v>
      </c>
      <c r="H22" s="12" t="s">
        <v>20</v>
      </c>
    </row>
    <row r="23" spans="1:8" x14ac:dyDescent="0.25">
      <c r="A23" s="54"/>
      <c r="B23" s="12" t="s">
        <v>131</v>
      </c>
      <c r="C23" s="12">
        <v>25</v>
      </c>
      <c r="D23" s="12">
        <v>10</v>
      </c>
      <c r="E23" s="12">
        <v>25</v>
      </c>
      <c r="F23" s="12" t="s">
        <v>83</v>
      </c>
      <c r="G23" s="37">
        <f t="shared" si="1"/>
        <v>250</v>
      </c>
      <c r="H23" s="1" t="s">
        <v>19</v>
      </c>
    </row>
    <row r="24" spans="1:8" x14ac:dyDescent="0.25">
      <c r="A24" s="54"/>
      <c r="B24" s="1" t="s">
        <v>132</v>
      </c>
      <c r="C24" s="1">
        <v>40</v>
      </c>
      <c r="D24" s="1">
        <v>132</v>
      </c>
      <c r="E24" s="1">
        <v>2.5</v>
      </c>
      <c r="F24" s="1" t="s">
        <v>17</v>
      </c>
      <c r="G24" s="37">
        <f t="shared" si="1"/>
        <v>330</v>
      </c>
      <c r="H24" s="12" t="s">
        <v>19</v>
      </c>
    </row>
    <row r="25" spans="1:8" x14ac:dyDescent="0.25">
      <c r="A25" s="54"/>
      <c r="B25" s="1" t="s">
        <v>177</v>
      </c>
      <c r="C25" s="1"/>
      <c r="D25" s="1">
        <v>4.5</v>
      </c>
      <c r="E25" s="1">
        <v>50</v>
      </c>
      <c r="F25" s="1" t="s">
        <v>178</v>
      </c>
      <c r="G25" s="37">
        <f t="shared" si="1"/>
        <v>225</v>
      </c>
      <c r="H25" s="12" t="s">
        <v>19</v>
      </c>
    </row>
    <row r="26" spans="1:8" x14ac:dyDescent="0.25">
      <c r="A26" s="54"/>
      <c r="B26" s="1" t="s">
        <v>179</v>
      </c>
      <c r="C26" s="1"/>
      <c r="D26" s="1">
        <v>480</v>
      </c>
      <c r="E26" s="1">
        <v>1</v>
      </c>
      <c r="F26" s="1" t="s">
        <v>176</v>
      </c>
      <c r="G26" s="37">
        <f t="shared" si="1"/>
        <v>480</v>
      </c>
      <c r="H26" s="25"/>
    </row>
    <row r="27" spans="1:8" x14ac:dyDescent="0.25">
      <c r="A27" s="54"/>
      <c r="B27" s="1" t="s">
        <v>180</v>
      </c>
      <c r="C27" s="1"/>
      <c r="D27" s="1">
        <v>144</v>
      </c>
      <c r="E27" s="1">
        <v>5</v>
      </c>
      <c r="F27" s="1" t="s">
        <v>165</v>
      </c>
      <c r="G27" s="37">
        <f t="shared" si="1"/>
        <v>720</v>
      </c>
      <c r="H27" s="1"/>
    </row>
    <row r="28" spans="1:8" x14ac:dyDescent="0.25">
      <c r="A28" s="55"/>
      <c r="B28" s="40" t="s">
        <v>7</v>
      </c>
      <c r="C28" s="41"/>
      <c r="D28" s="42"/>
      <c r="E28" s="3"/>
      <c r="F28" s="3"/>
      <c r="G28" s="16">
        <f>SUM(G21:G27)</f>
        <v>2908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6" t="s">
        <v>122</v>
      </c>
      <c r="B30" s="1" t="s">
        <v>127</v>
      </c>
      <c r="C30" s="1">
        <v>5</v>
      </c>
      <c r="D30" s="1">
        <v>21</v>
      </c>
      <c r="E30" s="1">
        <v>5</v>
      </c>
      <c r="F30" s="33" t="s">
        <v>38</v>
      </c>
      <c r="G30" s="1">
        <f>D30*E30</f>
        <v>105</v>
      </c>
      <c r="H30" s="1"/>
    </row>
    <row r="31" spans="1:8" x14ac:dyDescent="0.25">
      <c r="A31" s="46"/>
      <c r="B31" s="1" t="s">
        <v>128</v>
      </c>
      <c r="C31" s="1">
        <v>15</v>
      </c>
      <c r="D31" s="1">
        <v>39.6</v>
      </c>
      <c r="E31" s="1">
        <v>15</v>
      </c>
      <c r="F31" s="33" t="s">
        <v>38</v>
      </c>
      <c r="G31" s="37">
        <f>D31*E31</f>
        <v>594</v>
      </c>
      <c r="H31" s="1"/>
    </row>
    <row r="32" spans="1:8" x14ac:dyDescent="0.25">
      <c r="A32" s="46"/>
      <c r="B32" s="1"/>
      <c r="C32" s="1"/>
      <c r="D32" s="1"/>
      <c r="E32" s="1"/>
      <c r="F32" s="1"/>
      <c r="G32" s="1"/>
      <c r="H32" s="1"/>
    </row>
    <row r="33" spans="1:8" x14ac:dyDescent="0.25">
      <c r="A33" s="46"/>
      <c r="B33" s="40"/>
      <c r="C33" s="41"/>
      <c r="D33" s="42"/>
      <c r="E33" s="3"/>
      <c r="F33" s="3"/>
      <c r="G33" s="16">
        <f>SUM(G30:G32)</f>
        <v>699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7"/>
      <c r="B35" s="1" t="s">
        <v>185</v>
      </c>
      <c r="C35" s="1"/>
      <c r="D35" s="1">
        <v>11.52</v>
      </c>
      <c r="E35" s="1">
        <v>100</v>
      </c>
      <c r="F35" s="1" t="s">
        <v>165</v>
      </c>
      <c r="G35" s="1">
        <f>D35*E35</f>
        <v>1152</v>
      </c>
      <c r="H35" s="1"/>
    </row>
    <row r="36" spans="1:8" x14ac:dyDescent="0.25">
      <c r="A36" s="48"/>
      <c r="B36" s="1" t="s">
        <v>166</v>
      </c>
      <c r="C36" s="1"/>
      <c r="D36" s="1">
        <v>28.56</v>
      </c>
      <c r="E36" s="1">
        <v>80</v>
      </c>
      <c r="F36" s="1" t="s">
        <v>165</v>
      </c>
      <c r="G36" s="21">
        <f>D36*E36</f>
        <v>2284.7999999999997</v>
      </c>
      <c r="H36" s="1"/>
    </row>
    <row r="37" spans="1:8" x14ac:dyDescent="0.25">
      <c r="A37" s="49"/>
      <c r="B37" s="40" t="s">
        <v>7</v>
      </c>
      <c r="C37" s="41"/>
      <c r="D37" s="42"/>
      <c r="E37" s="3"/>
      <c r="F37" s="3"/>
      <c r="G37" s="14">
        <f>SUM(G35:G36)</f>
        <v>3436.7999999999997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6"/>
      <c r="B39" s="1" t="s">
        <v>181</v>
      </c>
      <c r="C39" s="1"/>
      <c r="D39" s="1">
        <v>77</v>
      </c>
      <c r="E39" s="1">
        <v>1</v>
      </c>
      <c r="F39" s="1" t="s">
        <v>168</v>
      </c>
      <c r="G39" s="1">
        <f>D39*E39</f>
        <v>77</v>
      </c>
      <c r="H39" s="1"/>
    </row>
    <row r="40" spans="1:8" x14ac:dyDescent="0.25">
      <c r="A40" s="46"/>
      <c r="B40" s="1" t="s">
        <v>182</v>
      </c>
      <c r="C40" s="1"/>
      <c r="D40" s="1">
        <v>100</v>
      </c>
      <c r="E40" s="1">
        <v>1</v>
      </c>
      <c r="F40" s="1" t="s">
        <v>172</v>
      </c>
      <c r="G40" s="37">
        <f t="shared" ref="G40:G51" si="2">D40*E40</f>
        <v>100</v>
      </c>
      <c r="H40" s="1"/>
    </row>
    <row r="41" spans="1:8" x14ac:dyDescent="0.25">
      <c r="A41" s="46"/>
      <c r="B41" s="1" t="s">
        <v>183</v>
      </c>
      <c r="C41" s="1"/>
      <c r="D41" s="1">
        <v>235</v>
      </c>
      <c r="E41" s="1">
        <v>3</v>
      </c>
      <c r="F41" s="1" t="s">
        <v>184</v>
      </c>
      <c r="G41" s="37">
        <f t="shared" si="2"/>
        <v>705</v>
      </c>
      <c r="H41" s="1"/>
    </row>
    <row r="42" spans="1:8" x14ac:dyDescent="0.25">
      <c r="A42" s="46"/>
      <c r="B42" s="1" t="s">
        <v>186</v>
      </c>
      <c r="C42" s="1"/>
      <c r="D42" s="1">
        <v>310</v>
      </c>
      <c r="E42" s="1">
        <v>1</v>
      </c>
      <c r="F42" s="1" t="s">
        <v>176</v>
      </c>
      <c r="G42" s="37">
        <f t="shared" si="2"/>
        <v>310</v>
      </c>
      <c r="H42" s="1"/>
    </row>
    <row r="43" spans="1:8" x14ac:dyDescent="0.25">
      <c r="A43" s="46"/>
      <c r="B43" s="37" t="s">
        <v>187</v>
      </c>
      <c r="C43" s="37"/>
      <c r="D43" s="37">
        <v>255</v>
      </c>
      <c r="E43" s="37">
        <v>1</v>
      </c>
      <c r="F43" s="37" t="s">
        <v>176</v>
      </c>
      <c r="G43" s="37">
        <f t="shared" si="2"/>
        <v>255</v>
      </c>
      <c r="H43" s="37"/>
    </row>
    <row r="44" spans="1:8" x14ac:dyDescent="0.25">
      <c r="A44" s="46"/>
      <c r="B44" s="37" t="s">
        <v>188</v>
      </c>
      <c r="C44" s="37"/>
      <c r="D44" s="37">
        <v>1188</v>
      </c>
      <c r="E44" s="37">
        <v>1</v>
      </c>
      <c r="F44" s="37" t="s">
        <v>176</v>
      </c>
      <c r="G44" s="37">
        <f t="shared" si="2"/>
        <v>1188</v>
      </c>
      <c r="H44" s="37"/>
    </row>
    <row r="45" spans="1:8" x14ac:dyDescent="0.25">
      <c r="A45" s="46"/>
      <c r="B45" s="37" t="s">
        <v>189</v>
      </c>
      <c r="C45" s="37"/>
      <c r="D45" s="37">
        <v>193</v>
      </c>
      <c r="E45" s="37">
        <v>1</v>
      </c>
      <c r="F45" s="37" t="s">
        <v>176</v>
      </c>
      <c r="G45" s="37">
        <f t="shared" si="2"/>
        <v>193</v>
      </c>
      <c r="H45" s="37"/>
    </row>
    <row r="46" spans="1:8" x14ac:dyDescent="0.25">
      <c r="A46" s="46"/>
      <c r="B46" s="37" t="s">
        <v>190</v>
      </c>
      <c r="C46" s="37"/>
      <c r="D46" s="37">
        <v>96.9</v>
      </c>
      <c r="E46" s="37">
        <v>5</v>
      </c>
      <c r="F46" s="37" t="s">
        <v>165</v>
      </c>
      <c r="G46" s="37">
        <f t="shared" si="2"/>
        <v>484.5</v>
      </c>
      <c r="H46" s="37"/>
    </row>
    <row r="47" spans="1:8" x14ac:dyDescent="0.25">
      <c r="A47" s="46"/>
      <c r="B47" s="37" t="s">
        <v>191</v>
      </c>
      <c r="C47" s="37"/>
      <c r="D47" s="37">
        <v>150</v>
      </c>
      <c r="E47" s="37">
        <v>1</v>
      </c>
      <c r="F47" s="37" t="s">
        <v>165</v>
      </c>
      <c r="G47" s="37">
        <f t="shared" si="2"/>
        <v>150</v>
      </c>
      <c r="H47" s="37"/>
    </row>
    <row r="48" spans="1:8" x14ac:dyDescent="0.25">
      <c r="A48" s="46"/>
      <c r="B48" s="37" t="s">
        <v>192</v>
      </c>
      <c r="C48" s="37"/>
      <c r="D48" s="37">
        <v>30.6</v>
      </c>
      <c r="E48" s="39"/>
      <c r="F48" s="37" t="s">
        <v>165</v>
      </c>
      <c r="G48" s="37">
        <f t="shared" si="2"/>
        <v>0</v>
      </c>
      <c r="H48" s="37"/>
    </row>
    <row r="49" spans="1:8" x14ac:dyDescent="0.25">
      <c r="A49" s="46"/>
      <c r="B49" s="37" t="s">
        <v>193</v>
      </c>
      <c r="C49" s="37"/>
      <c r="D49" s="37">
        <v>273</v>
      </c>
      <c r="E49" s="37">
        <v>2</v>
      </c>
      <c r="F49" s="37" t="s">
        <v>176</v>
      </c>
      <c r="G49" s="37">
        <f t="shared" si="2"/>
        <v>546</v>
      </c>
      <c r="H49" s="37"/>
    </row>
    <row r="50" spans="1:8" x14ac:dyDescent="0.25">
      <c r="A50" s="46"/>
      <c r="B50" s="37" t="s">
        <v>194</v>
      </c>
      <c r="C50" s="37"/>
      <c r="D50" s="37">
        <v>75</v>
      </c>
      <c r="E50" s="37">
        <v>1</v>
      </c>
      <c r="F50" s="37" t="s">
        <v>168</v>
      </c>
      <c r="G50" s="37">
        <f t="shared" si="2"/>
        <v>75</v>
      </c>
      <c r="H50" s="37"/>
    </row>
    <row r="51" spans="1:8" x14ac:dyDescent="0.25">
      <c r="A51" s="46"/>
      <c r="B51" s="37" t="s">
        <v>195</v>
      </c>
      <c r="C51" s="37"/>
      <c r="D51" s="37">
        <v>420</v>
      </c>
      <c r="E51" s="37">
        <v>1</v>
      </c>
      <c r="F51" s="36" t="s">
        <v>168</v>
      </c>
      <c r="G51" s="37">
        <f t="shared" si="2"/>
        <v>420</v>
      </c>
      <c r="H51" s="37"/>
    </row>
    <row r="52" spans="1:8" x14ac:dyDescent="0.25">
      <c r="A52" s="46"/>
      <c r="B52" s="40" t="s">
        <v>7</v>
      </c>
      <c r="C52" s="41"/>
      <c r="D52" s="42"/>
      <c r="E52" s="3"/>
      <c r="F52" s="3"/>
      <c r="G52" s="14">
        <f>SUM(G39:G51)</f>
        <v>4503.5</v>
      </c>
      <c r="H52" s="1"/>
    </row>
    <row r="53" spans="1:8" x14ac:dyDescent="0.25">
      <c r="A53" s="1"/>
      <c r="B53" s="50" t="s">
        <v>14</v>
      </c>
      <c r="C53" s="51"/>
      <c r="D53" s="52"/>
      <c r="E53" s="8"/>
      <c r="F53" s="8"/>
      <c r="G53" s="9">
        <f>G52+G37+G33+G19+G13+G8+G28</f>
        <v>23845.9</v>
      </c>
      <c r="H53" s="1"/>
    </row>
  </sheetData>
  <mergeCells count="16">
    <mergeCell ref="A39:A52"/>
    <mergeCell ref="B52:D52"/>
    <mergeCell ref="B53:D53"/>
    <mergeCell ref="B28:D28"/>
    <mergeCell ref="A30:A33"/>
    <mergeCell ref="B33:D33"/>
    <mergeCell ref="A35:A37"/>
    <mergeCell ref="B37:D37"/>
    <mergeCell ref="A21:A28"/>
    <mergeCell ref="A15:A19"/>
    <mergeCell ref="B19:D19"/>
    <mergeCell ref="A1:H1"/>
    <mergeCell ref="A3:A8"/>
    <mergeCell ref="B8:D8"/>
    <mergeCell ref="B13:D13"/>
    <mergeCell ref="A10:A13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1027</vt:lpstr>
      <vt:lpstr>1028</vt:lpstr>
      <vt:lpstr>1029</vt:lpstr>
      <vt:lpstr>1030</vt:lpstr>
      <vt:lpstr>1031</vt:lpstr>
      <vt:lpstr>'1027'!Print_Area</vt:lpstr>
      <vt:lpstr>'1028'!Print_Area</vt:lpstr>
      <vt:lpstr>'1029'!Print_Area</vt:lpstr>
      <vt:lpstr>'1030'!Print_Area</vt:lpstr>
      <vt:lpstr>'1031'!Print_Area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2025-10-30T02:26:55Z</cp:lastPrinted>
  <dcterms:created xsi:type="dcterms:W3CDTF">2025-02-19T17:01:12Z</dcterms:created>
  <dcterms:modified xsi:type="dcterms:W3CDTF">2025-10-30T02:32:37Z</dcterms:modified>
</cp:coreProperties>
</file>