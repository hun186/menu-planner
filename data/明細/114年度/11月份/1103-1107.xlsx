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1月份\"/>
    </mc:Choice>
  </mc:AlternateContent>
  <bookViews>
    <workbookView xWindow="0" yWindow="0" windowWidth="28800" windowHeight="12255" activeTab="4"/>
  </bookViews>
  <sheets>
    <sheet name="1103" sheetId="1" r:id="rId1"/>
    <sheet name="1104" sheetId="2" r:id="rId2"/>
    <sheet name="1105" sheetId="3" r:id="rId3"/>
    <sheet name="1106" sheetId="4" r:id="rId4"/>
    <sheet name="1107" sheetId="5" r:id="rId5"/>
  </sheets>
  <definedNames>
    <definedName name="_xlnm.Print_Area" localSheetId="0">'1103'!$A$1:$H$54</definedName>
    <definedName name="_xlnm.Print_Area" localSheetId="1">'1104'!$A$1:$H$46</definedName>
    <definedName name="_xlnm.Print_Area" localSheetId="2">'1105'!$A$1:$H$58</definedName>
    <definedName name="_xlnm.Print_Area" localSheetId="3">'1106'!$A$1:$H$46</definedName>
    <definedName name="_xlnm.Print_Area" localSheetId="4">'1107'!$A$1:$H$62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4" l="1"/>
  <c r="G20" i="4"/>
  <c r="G18" i="4"/>
  <c r="G17" i="4"/>
  <c r="G16" i="4"/>
  <c r="G11" i="5"/>
  <c r="G10" i="5"/>
  <c r="G28" i="5" l="1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50" i="5"/>
  <c r="G15" i="5"/>
  <c r="G24" i="5"/>
  <c r="G25" i="5"/>
  <c r="G26" i="5"/>
  <c r="G27" i="5"/>
  <c r="G23" i="5"/>
  <c r="G42" i="5" s="1"/>
  <c r="G45" i="5"/>
  <c r="G46" i="5"/>
  <c r="G44" i="5"/>
  <c r="G54" i="5"/>
  <c r="G55" i="5"/>
  <c r="G56" i="5"/>
  <c r="G57" i="5"/>
  <c r="G58" i="5"/>
  <c r="G59" i="5"/>
  <c r="G60" i="5"/>
  <c r="G53" i="5"/>
  <c r="G4" i="5"/>
  <c r="G5" i="5"/>
  <c r="G6" i="5"/>
  <c r="G3" i="5"/>
  <c r="G18" i="5"/>
  <c r="G17" i="5"/>
  <c r="G21" i="5" s="1"/>
  <c r="G8" i="5" l="1"/>
  <c r="D49" i="5"/>
  <c r="G49" i="5" s="1"/>
  <c r="G34" i="4"/>
  <c r="G33" i="4"/>
  <c r="G42" i="4"/>
  <c r="G43" i="4"/>
  <c r="G41" i="4"/>
  <c r="G23" i="4"/>
  <c r="G24" i="4"/>
  <c r="G25" i="4"/>
  <c r="G26" i="4"/>
  <c r="G30" i="4" s="1"/>
  <c r="G27" i="4"/>
  <c r="G28" i="4"/>
  <c r="G22" i="4"/>
  <c r="G10" i="4"/>
  <c r="G9" i="4"/>
  <c r="G4" i="4"/>
  <c r="G3" i="4"/>
  <c r="G37" i="4"/>
  <c r="G35" i="3" l="1"/>
  <c r="G43" i="3"/>
  <c r="G57" i="3"/>
  <c r="G51" i="3"/>
  <c r="G52" i="3"/>
  <c r="G53" i="3"/>
  <c r="G54" i="3"/>
  <c r="G55" i="3"/>
  <c r="G56" i="3"/>
  <c r="G33" i="3"/>
  <c r="G32" i="3"/>
  <c r="G31" i="3"/>
  <c r="G30" i="3"/>
  <c r="G38" i="3"/>
  <c r="G39" i="3"/>
  <c r="G40" i="3"/>
  <c r="G41" i="3"/>
  <c r="G37" i="3"/>
  <c r="G19" i="3"/>
  <c r="G4" i="3"/>
  <c r="G46" i="2"/>
  <c r="G42" i="2" l="1"/>
  <c r="G41" i="2"/>
  <c r="G27" i="2"/>
  <c r="G30" i="2" s="1"/>
  <c r="G28" i="2"/>
  <c r="G29" i="2"/>
  <c r="G41" i="1" l="1"/>
  <c r="G33" i="1"/>
  <c r="G36" i="1"/>
  <c r="G53" i="1"/>
  <c r="G45" i="1"/>
  <c r="G46" i="1"/>
  <c r="G47" i="1"/>
  <c r="G48" i="1"/>
  <c r="G49" i="1"/>
  <c r="G50" i="1"/>
  <c r="G51" i="1"/>
  <c r="G52" i="1"/>
  <c r="G27" i="1"/>
  <c r="G28" i="1"/>
  <c r="G29" i="1"/>
  <c r="G30" i="1"/>
  <c r="G31" i="1"/>
  <c r="G32" i="1"/>
  <c r="G26" i="2" l="1"/>
  <c r="G25" i="2"/>
  <c r="G46" i="3" l="1"/>
  <c r="G45" i="3"/>
  <c r="G12" i="3"/>
  <c r="G13" i="3"/>
  <c r="G14" i="3"/>
  <c r="G11" i="3"/>
  <c r="G34" i="3"/>
  <c r="G29" i="3"/>
  <c r="G26" i="3"/>
  <c r="G27" i="3"/>
  <c r="G28" i="3"/>
  <c r="G25" i="3"/>
  <c r="G3" i="3"/>
  <c r="G50" i="3"/>
  <c r="G49" i="3"/>
  <c r="G24" i="2" l="1"/>
  <c r="G38" i="2"/>
  <c r="G10" i="2"/>
  <c r="G9" i="2"/>
  <c r="G14" i="2" s="1"/>
  <c r="G17" i="2"/>
  <c r="G18" i="2"/>
  <c r="G19" i="2"/>
  <c r="G20" i="2"/>
  <c r="G16" i="2"/>
  <c r="G32" i="2"/>
  <c r="G4" i="2"/>
  <c r="G5" i="2"/>
  <c r="G6" i="2"/>
  <c r="G3" i="2"/>
  <c r="G37" i="2"/>
  <c r="G22" i="2" l="1"/>
  <c r="G17" i="1"/>
  <c r="G18" i="1"/>
  <c r="G19" i="1"/>
  <c r="G3" i="1"/>
  <c r="G44" i="1" l="1"/>
  <c r="G16" i="1"/>
  <c r="G20" i="1" s="1"/>
  <c r="G40" i="1"/>
  <c r="G42" i="1" s="1"/>
  <c r="G54" i="1" l="1"/>
  <c r="G24" i="1"/>
  <c r="G25" i="1"/>
  <c r="G26" i="1"/>
  <c r="G23" i="1"/>
  <c r="G22" i="1"/>
  <c r="G10" i="1"/>
  <c r="G11" i="1"/>
  <c r="G12" i="1"/>
  <c r="G9" i="1"/>
  <c r="G14" i="1" l="1"/>
  <c r="G61" i="5"/>
  <c r="G51" i="5"/>
  <c r="G47" i="5"/>
  <c r="G45" i="4"/>
  <c r="G39" i="4"/>
  <c r="G35" i="4"/>
  <c r="G14" i="4"/>
  <c r="G7" i="4"/>
  <c r="G47" i="3"/>
  <c r="G58" i="3" s="1"/>
  <c r="G23" i="3"/>
  <c r="G17" i="3"/>
  <c r="G9" i="3"/>
  <c r="G45" i="2"/>
  <c r="G39" i="2"/>
  <c r="G35" i="2"/>
  <c r="G7" i="2"/>
  <c r="G38" i="1"/>
  <c r="G7" i="1"/>
  <c r="G62" i="5" l="1"/>
</calcChain>
</file>

<file path=xl/sharedStrings.xml><?xml version="1.0" encoding="utf-8"?>
<sst xmlns="http://schemas.openxmlformats.org/spreadsheetml/2006/main" count="597" uniqueCount="221">
  <si>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</si>
  <si>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</si>
  <si>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</si>
  <si>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</si>
  <si>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</si>
  <si>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</si>
  <si>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</si>
  <si>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</si>
  <si>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</si>
  <si>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</si>
  <si>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</si>
  <si>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</si>
  <si>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</si>
  <si>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</si>
  <si>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</si>
  <si>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</si>
  <si>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</si>
  <si>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</si>
  <si>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</si>
  <si>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</si>
  <si>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</si>
  <si>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</si>
  <si>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</si>
  <si>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</si>
  <si>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五穀米</t>
    <phoneticPr fontId="2" type="noConversion"/>
  </si>
  <si>
    <t>庫存</t>
    <phoneticPr fontId="2" type="noConversion"/>
  </si>
  <si>
    <t>早餐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</si>
  <si>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</si>
  <si>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</si>
  <si>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</si>
  <si>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</si>
  <si>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</si>
  <si>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</si>
  <si>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</si>
  <si>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</si>
  <si>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芥花油</t>
    <phoneticPr fontId="2" type="noConversion"/>
  </si>
  <si>
    <t>合      計</t>
    <phoneticPr fontId="2" type="noConversion"/>
  </si>
  <si>
    <t>杏鮑菇</t>
    <phoneticPr fontId="2" type="noConversion"/>
  </si>
  <si>
    <t>半</t>
    <phoneticPr fontId="2" type="noConversion"/>
  </si>
  <si>
    <t>電訊科技中心(安康營區)     114年     11月   3日      午餐明細表</t>
    <phoneticPr fontId="2" type="noConversion"/>
  </si>
  <si>
    <t>電訊科技中心(安康營區)     114年      11月   04日      午餐明細表</t>
    <phoneticPr fontId="2" type="noConversion"/>
  </si>
  <si>
    <t>電訊科技中心(安康營區)     114年      11月   05日      午餐明細表</t>
    <phoneticPr fontId="2" type="noConversion"/>
  </si>
  <si>
    <t>電訊科技中心(安康營區)     114年      11月   06日      午餐明細表</t>
    <phoneticPr fontId="2" type="noConversion"/>
  </si>
  <si>
    <t>電訊科技中心(安康營區)     114年      11月   07日      午餐明細表</t>
    <phoneticPr fontId="2" type="noConversion"/>
  </si>
  <si>
    <t>烤腿排</t>
    <phoneticPr fontId="2" type="noConversion"/>
  </si>
  <si>
    <t>糖醋豆包</t>
    <phoneticPr fontId="2" type="noConversion"/>
  </si>
  <si>
    <t>青椒甜條</t>
    <phoneticPr fontId="2" type="noConversion"/>
  </si>
  <si>
    <t>金針肉絲湯</t>
    <phoneticPr fontId="2" type="noConversion"/>
  </si>
  <si>
    <t>蔥爆肉片</t>
    <phoneticPr fontId="2" type="noConversion"/>
  </si>
  <si>
    <t>胡瓜炒蛋</t>
    <phoneticPr fontId="2" type="noConversion"/>
  </si>
  <si>
    <t>芹香雞卷</t>
    <phoneticPr fontId="2" type="noConversion"/>
  </si>
  <si>
    <t>水餃</t>
    <phoneticPr fontId="2" type="noConversion"/>
  </si>
  <si>
    <t>皮蛋豆腐</t>
    <phoneticPr fontId="2" type="noConversion"/>
  </si>
  <si>
    <t>台式泡菜</t>
    <phoneticPr fontId="2" type="noConversion"/>
  </si>
  <si>
    <t>酸辣湯</t>
    <phoneticPr fontId="2" type="noConversion"/>
  </si>
  <si>
    <t>綠豆薏仁湯</t>
    <phoneticPr fontId="2" type="noConversion"/>
  </si>
  <si>
    <t>檸檬鯖魚</t>
    <phoneticPr fontId="2" type="noConversion"/>
  </si>
  <si>
    <t>瓜仔肉</t>
    <phoneticPr fontId="2" type="noConversion"/>
  </si>
  <si>
    <t>玉米蒸蛋</t>
    <phoneticPr fontId="2" type="noConversion"/>
  </si>
  <si>
    <t>青蛙下蛋</t>
    <phoneticPr fontId="2" type="noConversion"/>
  </si>
  <si>
    <t>絲瓜寬粉</t>
    <phoneticPr fontId="2" type="noConversion"/>
  </si>
  <si>
    <t>紅燒馬鈴薯</t>
    <phoneticPr fontId="2" type="noConversion"/>
  </si>
  <si>
    <t>腿排</t>
    <phoneticPr fontId="2" type="noConversion"/>
  </si>
  <si>
    <t>炸豆包</t>
    <phoneticPr fontId="2" type="noConversion"/>
  </si>
  <si>
    <t>去皮洋蔥</t>
    <phoneticPr fontId="2" type="noConversion"/>
  </si>
  <si>
    <t>青椒切絲</t>
    <phoneticPr fontId="2" type="noConversion"/>
  </si>
  <si>
    <t>甜不辣條</t>
    <phoneticPr fontId="2" type="noConversion"/>
  </si>
  <si>
    <t>個</t>
    <phoneticPr fontId="2" type="noConversion"/>
  </si>
  <si>
    <t>斤</t>
  </si>
  <si>
    <t>棒腿</t>
    <phoneticPr fontId="2" type="noConversion"/>
  </si>
  <si>
    <t>金針</t>
    <phoneticPr fontId="2" type="noConversion"/>
  </si>
  <si>
    <t>肉絲</t>
    <phoneticPr fontId="2" type="noConversion"/>
  </si>
  <si>
    <t>庫存</t>
    <phoneticPr fontId="2" type="noConversion"/>
  </si>
  <si>
    <t>豬肉片</t>
    <phoneticPr fontId="2" type="noConversion"/>
  </si>
  <si>
    <t>五花肉片</t>
    <phoneticPr fontId="2" type="noConversion"/>
  </si>
  <si>
    <t>胡瓜切絲</t>
    <phoneticPr fontId="2" type="noConversion"/>
  </si>
  <si>
    <t>雞蛋</t>
    <phoneticPr fontId="2" type="noConversion"/>
  </si>
  <si>
    <t>去葉芹菜</t>
    <phoneticPr fontId="2" type="noConversion"/>
  </si>
  <si>
    <t>雞卷</t>
    <phoneticPr fontId="2" type="noConversion"/>
  </si>
  <si>
    <t>胡蘿蔔</t>
    <phoneticPr fontId="2" type="noConversion"/>
  </si>
  <si>
    <t>九層塔</t>
    <phoneticPr fontId="2" type="noConversion"/>
  </si>
  <si>
    <t>素肚</t>
    <phoneticPr fontId="2" type="noConversion"/>
  </si>
  <si>
    <t>油麵</t>
    <phoneticPr fontId="2" type="noConversion"/>
  </si>
  <si>
    <t>綠豆</t>
    <phoneticPr fontId="2" type="noConversion"/>
  </si>
  <si>
    <t>薏仁</t>
    <phoneticPr fontId="2" type="noConversion"/>
  </si>
  <si>
    <t>條</t>
    <phoneticPr fontId="2" type="noConversion"/>
  </si>
  <si>
    <t>半</t>
    <phoneticPr fontId="2" type="noConversion"/>
  </si>
  <si>
    <t>山東水餃</t>
    <phoneticPr fontId="2" type="noConversion"/>
  </si>
  <si>
    <t>素食水餃</t>
    <phoneticPr fontId="2" type="noConversion"/>
  </si>
  <si>
    <t>包</t>
    <phoneticPr fontId="2" type="noConversion"/>
  </si>
  <si>
    <t>皮蛋</t>
    <phoneticPr fontId="2" type="noConversion"/>
  </si>
  <si>
    <t>盒裝豆腐</t>
    <phoneticPr fontId="2" type="noConversion"/>
  </si>
  <si>
    <t>粒</t>
    <phoneticPr fontId="2" type="noConversion"/>
  </si>
  <si>
    <t>盒</t>
    <phoneticPr fontId="2" type="noConversion"/>
  </si>
  <si>
    <t>鴨血</t>
    <phoneticPr fontId="2" type="noConversion"/>
  </si>
  <si>
    <t>家常豆腐</t>
    <phoneticPr fontId="2" type="noConversion"/>
  </si>
  <si>
    <t>木耳絲</t>
    <phoneticPr fontId="2" type="noConversion"/>
  </si>
  <si>
    <t>胡蘿蔔絲</t>
    <phoneticPr fontId="2" type="noConversion"/>
  </si>
  <si>
    <t>雞翅</t>
    <phoneticPr fontId="2" type="noConversion"/>
  </si>
  <si>
    <t>海帶結</t>
    <phoneticPr fontId="2" type="noConversion"/>
  </si>
  <si>
    <t>鳥蛋</t>
    <phoneticPr fontId="2" type="noConversion"/>
  </si>
  <si>
    <t>油豆腐丁</t>
    <phoneticPr fontId="2" type="noConversion"/>
  </si>
  <si>
    <t>鯖魚</t>
    <phoneticPr fontId="2" type="noConversion"/>
  </si>
  <si>
    <t>檸檬</t>
    <phoneticPr fontId="2" type="noConversion"/>
  </si>
  <si>
    <t>絞肉</t>
    <phoneticPr fontId="2" type="noConversion"/>
  </si>
  <si>
    <t>脆瓜罐頭</t>
    <phoneticPr fontId="2" type="noConversion"/>
  </si>
  <si>
    <t>冷凍玉米粒</t>
    <phoneticPr fontId="2" type="noConversion"/>
  </si>
  <si>
    <t>紅椒</t>
    <phoneticPr fontId="2" type="noConversion"/>
  </si>
  <si>
    <t>黃椒</t>
    <phoneticPr fontId="2" type="noConversion"/>
  </si>
  <si>
    <t>烏龍麵</t>
    <phoneticPr fontId="2" type="noConversion"/>
  </si>
  <si>
    <t>冬瓜磚</t>
    <phoneticPr fontId="2" type="noConversion"/>
  </si>
  <si>
    <t>檸檬汁</t>
    <phoneticPr fontId="2" type="noConversion"/>
  </si>
  <si>
    <t>山粉圓</t>
    <phoneticPr fontId="2" type="noConversion"/>
  </si>
  <si>
    <t>罐</t>
    <phoneticPr fontId="2" type="noConversion"/>
  </si>
  <si>
    <t>去皮絲瓜</t>
    <phoneticPr fontId="2" type="noConversion"/>
  </si>
  <si>
    <t>寬粉</t>
    <phoneticPr fontId="2" type="noConversion"/>
  </si>
  <si>
    <t>滷包</t>
    <phoneticPr fontId="2" type="noConversion"/>
  </si>
  <si>
    <t>去皮馬鈴薯</t>
    <phoneticPr fontId="2" type="noConversion"/>
  </si>
  <si>
    <t>生香菇</t>
    <phoneticPr fontId="2" type="noConversion"/>
  </si>
  <si>
    <t>五花絞肉</t>
    <phoneticPr fontId="2" type="noConversion"/>
  </si>
  <si>
    <t>香腸</t>
    <phoneticPr fontId="2" type="noConversion"/>
  </si>
  <si>
    <t>滷蛋</t>
    <phoneticPr fontId="2" type="noConversion"/>
  </si>
  <si>
    <t>去皮冬瓜</t>
    <phoneticPr fontId="2" type="noConversion"/>
  </si>
  <si>
    <t>紅蘿蔔切絲</t>
    <phoneticPr fontId="2" type="noConversion"/>
  </si>
  <si>
    <t>斤</t>
    <phoneticPr fontId="2" type="noConversion"/>
  </si>
  <si>
    <t>高麗菜</t>
    <phoneticPr fontId="2" type="noConversion"/>
  </si>
  <si>
    <t>24瓶</t>
    <phoneticPr fontId="2" type="noConversion"/>
  </si>
  <si>
    <t>蜂蜜</t>
    <phoneticPr fontId="2" type="noConversion"/>
  </si>
  <si>
    <t>桶</t>
    <phoneticPr fontId="2" type="noConversion"/>
  </si>
  <si>
    <t>義大利香料</t>
    <phoneticPr fontId="2" type="noConversion"/>
  </si>
  <si>
    <t>罐</t>
    <phoneticPr fontId="2" type="noConversion"/>
  </si>
  <si>
    <t>什錦火鍋料</t>
    <phoneticPr fontId="2" type="noConversion"/>
  </si>
  <si>
    <t>乳瑪琳</t>
    <phoneticPr fontId="2" type="noConversion"/>
  </si>
  <si>
    <t>白麵線</t>
    <phoneticPr fontId="2" type="noConversion"/>
  </si>
  <si>
    <t>包</t>
    <phoneticPr fontId="2" type="noConversion"/>
  </si>
  <si>
    <t>豆管皮</t>
    <phoneticPr fontId="2" type="noConversion"/>
  </si>
  <si>
    <t>秀珍菇</t>
    <phoneticPr fontId="2" type="noConversion"/>
  </si>
  <si>
    <t>玉米筍</t>
    <phoneticPr fontId="2" type="noConversion"/>
  </si>
  <si>
    <t>盒</t>
    <phoneticPr fontId="2" type="noConversion"/>
  </si>
  <si>
    <t>豬血糕</t>
    <phoneticPr fontId="2" type="noConversion"/>
  </si>
  <si>
    <t>油麵</t>
    <phoneticPr fontId="2" type="noConversion"/>
  </si>
  <si>
    <t>調理米酒</t>
    <phoneticPr fontId="2" type="noConversion"/>
  </si>
  <si>
    <t>瓶</t>
    <phoneticPr fontId="2" type="noConversion"/>
  </si>
  <si>
    <t>庫存</t>
    <phoneticPr fontId="2" type="noConversion"/>
  </si>
  <si>
    <t>香蕉</t>
    <phoneticPr fontId="2" type="noConversion"/>
  </si>
  <si>
    <t>胡蘿蔔切絲</t>
    <phoneticPr fontId="2" type="noConversion"/>
  </si>
  <si>
    <t>鮮木耳</t>
    <phoneticPr fontId="2" type="noConversion"/>
  </si>
  <si>
    <t>冷凍青花菜</t>
    <phoneticPr fontId="2" type="noConversion"/>
  </si>
  <si>
    <t>桶</t>
    <phoneticPr fontId="2" type="noConversion"/>
  </si>
  <si>
    <t>厚片土司</t>
    <phoneticPr fontId="2" type="noConversion"/>
  </si>
  <si>
    <t>條</t>
    <phoneticPr fontId="2" type="noConversion"/>
  </si>
  <si>
    <t>黃肉西瓜</t>
    <phoneticPr fontId="2" type="noConversion"/>
  </si>
  <si>
    <t>斤</t>
    <phoneticPr fontId="2" type="noConversion"/>
  </si>
  <si>
    <t>包</t>
    <phoneticPr fontId="2" type="noConversion"/>
  </si>
  <si>
    <t>起司豬排</t>
    <phoneticPr fontId="2" type="noConversion"/>
  </si>
  <si>
    <t>件</t>
    <phoneticPr fontId="2" type="noConversion"/>
  </si>
  <si>
    <t>乾海芽</t>
    <phoneticPr fontId="2" type="noConversion"/>
  </si>
  <si>
    <t>紫菜</t>
    <phoneticPr fontId="2" type="noConversion"/>
  </si>
  <si>
    <t>義大利香料</t>
    <phoneticPr fontId="2" type="noConversion"/>
  </si>
  <si>
    <t>罐</t>
    <phoneticPr fontId="2" type="noConversion"/>
  </si>
  <si>
    <t>豬肉漢堡片</t>
    <phoneticPr fontId="2" type="noConversion"/>
  </si>
  <si>
    <t>小薏仁</t>
    <phoneticPr fontId="2" type="noConversion"/>
  </si>
  <si>
    <t>阿在伯水餃</t>
    <phoneticPr fontId="2" type="noConversion"/>
  </si>
  <si>
    <t>吐司</t>
    <phoneticPr fontId="2" type="noConversion"/>
  </si>
  <si>
    <t>條</t>
    <phoneticPr fontId="2" type="noConversion"/>
  </si>
  <si>
    <t>金針</t>
    <phoneticPr fontId="2" type="noConversion"/>
  </si>
  <si>
    <t>三好米</t>
    <phoneticPr fontId="2" type="noConversion"/>
  </si>
  <si>
    <t>鯛魚片</t>
    <phoneticPr fontId="2" type="noConversion"/>
  </si>
  <si>
    <t>豆腐</t>
    <phoneticPr fontId="2" type="noConversion"/>
  </si>
  <si>
    <t>盒</t>
    <phoneticPr fontId="2" type="noConversion"/>
  </si>
  <si>
    <t>白胡椒粉</t>
    <phoneticPr fontId="2" type="noConversion"/>
  </si>
  <si>
    <t>豆芽菜</t>
    <phoneticPr fontId="2" type="noConversion"/>
  </si>
  <si>
    <t>香蕉</t>
    <phoneticPr fontId="2" type="noConversion"/>
  </si>
  <si>
    <t>黑麻油</t>
    <phoneticPr fontId="2" type="noConversion"/>
  </si>
  <si>
    <t>桶</t>
    <phoneticPr fontId="2" type="noConversion"/>
  </si>
  <si>
    <t>麻油雞腿</t>
    <phoneticPr fontId="2" type="noConversion"/>
  </si>
  <si>
    <t>老薑</t>
    <phoneticPr fontId="2" type="noConversion"/>
  </si>
  <si>
    <t>斤</t>
    <phoneticPr fontId="2" type="noConversion"/>
  </si>
  <si>
    <t>冬瓜排骨</t>
    <phoneticPr fontId="2" type="noConversion"/>
  </si>
  <si>
    <t>軟排</t>
    <phoneticPr fontId="2" type="noConversion"/>
  </si>
  <si>
    <t>油麵</t>
    <phoneticPr fontId="2" type="noConversion"/>
  </si>
  <si>
    <t>罐</t>
    <phoneticPr fontId="2" type="noConversion"/>
  </si>
  <si>
    <t>烏龍茶</t>
    <phoneticPr fontId="2" type="noConversion"/>
  </si>
  <si>
    <t>件</t>
    <phoneticPr fontId="2" type="noConversion"/>
  </si>
  <si>
    <t>漢堡麵包</t>
    <phoneticPr fontId="2" type="noConversion"/>
  </si>
  <si>
    <t>個</t>
    <phoneticPr fontId="2" type="noConversion"/>
  </si>
  <si>
    <t>義大利香料</t>
    <phoneticPr fontId="2" type="noConversion"/>
  </si>
  <si>
    <t>芭樂</t>
    <phoneticPr fontId="2" type="noConversion"/>
  </si>
  <si>
    <t>箱</t>
    <phoneticPr fontId="2" type="noConversion"/>
  </si>
  <si>
    <t>包</t>
    <phoneticPr fontId="2" type="noConversion"/>
  </si>
  <si>
    <t>海帶結</t>
    <phoneticPr fontId="2" type="noConversion"/>
  </si>
  <si>
    <t>斤</t>
    <phoneticPr fontId="2" type="noConversion"/>
  </si>
  <si>
    <t>鮮木耳</t>
    <phoneticPr fontId="2" type="noConversion"/>
  </si>
  <si>
    <t>胡蘿蔔絲</t>
    <phoneticPr fontId="2" type="noConversion"/>
  </si>
  <si>
    <t>醬油</t>
    <phoneticPr fontId="2" type="noConversion"/>
  </si>
  <si>
    <t>桶</t>
    <phoneticPr fontId="2" type="noConversion"/>
  </si>
  <si>
    <t>素蠔油</t>
    <phoneticPr fontId="2" type="noConversion"/>
  </si>
  <si>
    <t>油膏</t>
    <phoneticPr fontId="2" type="noConversion"/>
  </si>
  <si>
    <t>洗選蛋</t>
    <phoneticPr fontId="2" type="noConversion"/>
  </si>
  <si>
    <t>蒜仁</t>
    <phoneticPr fontId="2" type="noConversion"/>
  </si>
  <si>
    <t>皮蛋</t>
    <phoneticPr fontId="2" type="noConversion"/>
  </si>
  <si>
    <t>個</t>
    <phoneticPr fontId="2" type="noConversion"/>
  </si>
  <si>
    <t>青花菜</t>
    <phoneticPr fontId="2" type="noConversion"/>
  </si>
  <si>
    <t>鍋貼</t>
    <phoneticPr fontId="2" type="noConversion"/>
  </si>
  <si>
    <t>味素</t>
    <phoneticPr fontId="2" type="noConversion"/>
  </si>
  <si>
    <t>盒</t>
    <phoneticPr fontId="2" type="noConversion"/>
  </si>
  <si>
    <t>烤肉醬</t>
    <phoneticPr fontId="2" type="noConversion"/>
  </si>
  <si>
    <t>蜂蜜</t>
    <phoneticPr fontId="2" type="noConversion"/>
  </si>
  <si>
    <t>米豆醬</t>
    <phoneticPr fontId="2" type="noConversion"/>
  </si>
  <si>
    <t>油條</t>
    <phoneticPr fontId="2" type="noConversion"/>
  </si>
  <si>
    <t>條</t>
    <phoneticPr fontId="2" type="noConversion"/>
  </si>
  <si>
    <t>烹大師</t>
    <phoneticPr fontId="2" type="noConversion"/>
  </si>
  <si>
    <t>白胡椒粉</t>
    <phoneticPr fontId="2" type="noConversion"/>
  </si>
  <si>
    <t>二砂</t>
    <phoneticPr fontId="2" type="noConversion"/>
  </si>
  <si>
    <t>調理米酒</t>
    <phoneticPr fontId="2" type="noConversion"/>
  </si>
  <si>
    <t>瓶</t>
    <phoneticPr fontId="2" type="noConversion"/>
  </si>
  <si>
    <t>油麵</t>
    <phoneticPr fontId="2" type="noConversion"/>
  </si>
  <si>
    <t>老薑</t>
    <phoneticPr fontId="2" type="noConversion"/>
  </si>
  <si>
    <t>沙拉油</t>
    <phoneticPr fontId="2" type="noConversion"/>
  </si>
  <si>
    <t>小玉西瓜</t>
    <phoneticPr fontId="2" type="noConversion"/>
  </si>
  <si>
    <t>庫存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</si>
</sst>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opLeftCell="A38" workbookViewId="0">
      <selection activeCell="H54" sqref="A1:H5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39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2" t="s">
        <v>44</v>
      </c>
      <c r="B3" s="1" t="s">
        <v>62</v>
      </c>
      <c r="C3" s="1">
        <v>270</v>
      </c>
      <c r="D3" s="1">
        <v>72</v>
      </c>
      <c r="E3" s="19">
        <v>70.88</v>
      </c>
      <c r="F3" s="19" t="s">
        <v>17</v>
      </c>
      <c r="G3" s="20">
        <f>D3*E3</f>
        <v>5103.3599999999997</v>
      </c>
      <c r="H3" s="1"/>
    </row>
    <row r="4" spans="1:8" x14ac:dyDescent="0.25">
      <c r="A4" s="52"/>
      <c r="B4" s="9"/>
      <c r="C4" s="9"/>
      <c r="D4" s="9"/>
      <c r="E4" s="9"/>
      <c r="F4" s="30"/>
      <c r="G4" s="2"/>
      <c r="H4" s="1"/>
    </row>
    <row r="5" spans="1:8" x14ac:dyDescent="0.25">
      <c r="A5" s="52"/>
      <c r="B5" s="1"/>
      <c r="C5" s="1"/>
      <c r="D5" s="1"/>
      <c r="E5" s="1"/>
      <c r="F5" s="1"/>
      <c r="G5" s="1"/>
      <c r="H5" s="1"/>
    </row>
    <row r="6" spans="1:8" x14ac:dyDescent="0.25">
      <c r="A6" s="52"/>
      <c r="B6" s="1"/>
      <c r="C6" s="1"/>
      <c r="D6" s="1"/>
      <c r="E6" s="3"/>
      <c r="F6" s="29"/>
      <c r="G6" s="3"/>
      <c r="H6" s="1"/>
    </row>
    <row r="7" spans="1:8" x14ac:dyDescent="0.25">
      <c r="A7" s="52"/>
      <c r="B7" s="46" t="s">
        <v>7</v>
      </c>
      <c r="C7" s="47"/>
      <c r="D7" s="48"/>
      <c r="E7" s="3"/>
      <c r="F7" s="3"/>
      <c r="G7" s="13">
        <f>SUM(G3:G6)</f>
        <v>5103.3599999999997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2" t="s">
        <v>45</v>
      </c>
      <c r="B9" s="1" t="s">
        <v>63</v>
      </c>
      <c r="C9" s="1">
        <v>270</v>
      </c>
      <c r="D9" s="34">
        <v>150</v>
      </c>
      <c r="E9" s="19">
        <v>22.34</v>
      </c>
      <c r="F9" s="19" t="s">
        <v>17</v>
      </c>
      <c r="G9" s="1">
        <f>D9*E9</f>
        <v>3351</v>
      </c>
      <c r="H9" s="1"/>
    </row>
    <row r="10" spans="1:8" x14ac:dyDescent="0.25">
      <c r="A10" s="52"/>
      <c r="B10" s="1" t="s">
        <v>64</v>
      </c>
      <c r="C10" s="1">
        <v>6</v>
      </c>
      <c r="D10" s="1">
        <v>30.6</v>
      </c>
      <c r="E10" s="1">
        <v>6</v>
      </c>
      <c r="F10" s="33" t="s">
        <v>68</v>
      </c>
      <c r="G10" s="9">
        <f t="shared" ref="G10:G12" si="0">D10*E10</f>
        <v>183.60000000000002</v>
      </c>
      <c r="H10" s="1"/>
    </row>
    <row r="11" spans="1:8" x14ac:dyDescent="0.25">
      <c r="A11" s="52"/>
      <c r="B11" s="1"/>
      <c r="C11" s="1"/>
      <c r="D11" s="1"/>
      <c r="E11" s="1"/>
      <c r="F11" s="1"/>
      <c r="G11" s="9">
        <f t="shared" si="0"/>
        <v>0</v>
      </c>
      <c r="H11" s="1"/>
    </row>
    <row r="12" spans="1:8" x14ac:dyDescent="0.25">
      <c r="A12" s="52"/>
      <c r="B12" s="1"/>
      <c r="C12" s="1"/>
      <c r="D12" s="1"/>
      <c r="E12" s="1"/>
      <c r="F12" s="1"/>
      <c r="G12" s="9">
        <f t="shared" si="0"/>
        <v>0</v>
      </c>
      <c r="H12" s="1"/>
    </row>
    <row r="13" spans="1:8" x14ac:dyDescent="0.25">
      <c r="A13" s="52"/>
      <c r="B13" s="1"/>
      <c r="C13" s="1"/>
      <c r="D13" s="1"/>
      <c r="E13" s="1"/>
      <c r="F13" s="1"/>
      <c r="G13" s="1"/>
      <c r="H13" s="1"/>
    </row>
    <row r="14" spans="1:8" x14ac:dyDescent="0.25">
      <c r="A14" s="52"/>
      <c r="B14" s="46" t="s">
        <v>7</v>
      </c>
      <c r="C14" s="47"/>
      <c r="D14" s="48"/>
      <c r="E14" s="3"/>
      <c r="F14" s="3"/>
      <c r="G14" s="13">
        <f>SUM(G9:G13)</f>
        <v>3534.6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2" t="s">
        <v>46</v>
      </c>
      <c r="B16" s="1" t="s">
        <v>65</v>
      </c>
      <c r="C16" s="1">
        <v>25</v>
      </c>
      <c r="D16" s="1">
        <v>70.680000000000007</v>
      </c>
      <c r="E16" s="1">
        <v>25</v>
      </c>
      <c r="F16" s="33" t="s">
        <v>68</v>
      </c>
      <c r="G16" s="1">
        <f>D16*E16</f>
        <v>1767.0000000000002</v>
      </c>
      <c r="H16" s="1"/>
    </row>
    <row r="17" spans="1:8" x14ac:dyDescent="0.25">
      <c r="A17" s="52"/>
      <c r="B17" s="1" t="s">
        <v>66</v>
      </c>
      <c r="C17" s="1">
        <v>10</v>
      </c>
      <c r="D17" s="1">
        <v>48</v>
      </c>
      <c r="E17" s="1">
        <v>10</v>
      </c>
      <c r="F17" s="33" t="s">
        <v>68</v>
      </c>
      <c r="G17" s="16">
        <f t="shared" ref="G17:G19" si="1">D17*E17</f>
        <v>480</v>
      </c>
      <c r="H17" s="1"/>
    </row>
    <row r="18" spans="1:8" x14ac:dyDescent="0.25">
      <c r="A18" s="52"/>
      <c r="B18" s="1" t="s">
        <v>123</v>
      </c>
      <c r="C18" s="1"/>
      <c r="D18" s="1">
        <v>23.94</v>
      </c>
      <c r="E18" s="1">
        <v>2</v>
      </c>
      <c r="F18" s="30" t="s">
        <v>124</v>
      </c>
      <c r="G18" s="2">
        <f t="shared" si="1"/>
        <v>47.88</v>
      </c>
      <c r="H18" s="1"/>
    </row>
    <row r="19" spans="1:8" x14ac:dyDescent="0.25">
      <c r="A19" s="52"/>
      <c r="B19" s="1"/>
      <c r="C19" s="1"/>
      <c r="D19" s="1"/>
      <c r="E19" s="3"/>
      <c r="F19" s="3"/>
      <c r="G19" s="16">
        <f t="shared" si="1"/>
        <v>0</v>
      </c>
      <c r="H19" s="1"/>
    </row>
    <row r="20" spans="1:8" x14ac:dyDescent="0.25">
      <c r="A20" s="52"/>
      <c r="B20" s="46"/>
      <c r="C20" s="47"/>
      <c r="D20" s="48"/>
      <c r="E20" s="3"/>
      <c r="F20" s="3"/>
      <c r="G20" s="13">
        <f>SUM(G16:G19)</f>
        <v>2294.88</v>
      </c>
      <c r="H20" s="1"/>
    </row>
    <row r="21" spans="1:8" x14ac:dyDescent="0.25">
      <c r="A21" s="4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2"/>
      <c r="B22" s="1" t="s">
        <v>30</v>
      </c>
      <c r="C22" s="1">
        <v>2</v>
      </c>
      <c r="D22" s="1">
        <v>150</v>
      </c>
      <c r="E22" s="1">
        <v>2</v>
      </c>
      <c r="F22" s="1" t="s">
        <v>31</v>
      </c>
      <c r="G22" s="1">
        <f>D22*E22</f>
        <v>300</v>
      </c>
      <c r="H22" s="1"/>
    </row>
    <row r="23" spans="1:8" x14ac:dyDescent="0.25">
      <c r="A23" s="52"/>
      <c r="B23" s="25" t="s">
        <v>33</v>
      </c>
      <c r="C23" s="1" t="s">
        <v>38</v>
      </c>
      <c r="D23" s="1">
        <v>99</v>
      </c>
      <c r="E23" s="1">
        <v>0.5</v>
      </c>
      <c r="F23" s="1" t="s">
        <v>27</v>
      </c>
      <c r="G23" s="9">
        <f>D23*E23</f>
        <v>49.5</v>
      </c>
      <c r="H23" s="1"/>
    </row>
    <row r="24" spans="1:8" x14ac:dyDescent="0.25">
      <c r="A24" s="52"/>
      <c r="B24" s="25" t="s">
        <v>21</v>
      </c>
      <c r="C24" s="1">
        <v>8</v>
      </c>
      <c r="D24" s="1">
        <v>96.9</v>
      </c>
      <c r="E24" s="1">
        <v>8</v>
      </c>
      <c r="F24" s="1" t="s">
        <v>20</v>
      </c>
      <c r="G24" s="9">
        <f t="shared" ref="G24:G32" si="2">D24*E24</f>
        <v>775.2</v>
      </c>
      <c r="H24" s="1"/>
    </row>
    <row r="25" spans="1:8" x14ac:dyDescent="0.25">
      <c r="A25" s="52"/>
      <c r="B25" s="1" t="s">
        <v>22</v>
      </c>
      <c r="C25" s="1">
        <v>6</v>
      </c>
      <c r="D25" s="1">
        <v>202.5</v>
      </c>
      <c r="E25" s="1">
        <v>4</v>
      </c>
      <c r="F25" s="1" t="s">
        <v>20</v>
      </c>
      <c r="G25" s="2">
        <f t="shared" si="2"/>
        <v>810</v>
      </c>
      <c r="H25" s="1"/>
    </row>
    <row r="26" spans="1:8" x14ac:dyDescent="0.25">
      <c r="A26" s="52"/>
      <c r="B26" s="9" t="s">
        <v>23</v>
      </c>
      <c r="C26" s="9">
        <v>2</v>
      </c>
      <c r="D26" s="9">
        <v>49.2</v>
      </c>
      <c r="E26" s="9">
        <v>20</v>
      </c>
      <c r="F26" s="10" t="s">
        <v>17</v>
      </c>
      <c r="G26" s="9">
        <f t="shared" si="2"/>
        <v>984</v>
      </c>
      <c r="H26" s="9"/>
    </row>
    <row r="27" spans="1:8" x14ac:dyDescent="0.25">
      <c r="A27" s="52"/>
      <c r="B27" s="9" t="s">
        <v>37</v>
      </c>
      <c r="C27" s="9">
        <v>4</v>
      </c>
      <c r="D27" s="9">
        <v>105</v>
      </c>
      <c r="E27" s="9">
        <v>4</v>
      </c>
      <c r="F27" s="9" t="s">
        <v>31</v>
      </c>
      <c r="G27" s="34">
        <f t="shared" si="2"/>
        <v>420</v>
      </c>
      <c r="H27" s="9"/>
    </row>
    <row r="28" spans="1:8" x14ac:dyDescent="0.25">
      <c r="A28" s="52"/>
      <c r="B28" s="9" t="s">
        <v>69</v>
      </c>
      <c r="C28" s="9">
        <v>35</v>
      </c>
      <c r="D28" s="9">
        <v>99</v>
      </c>
      <c r="E28" s="9">
        <v>8.8699999999999992</v>
      </c>
      <c r="F28" s="9" t="s">
        <v>17</v>
      </c>
      <c r="G28" s="34">
        <f t="shared" si="2"/>
        <v>878.12999999999988</v>
      </c>
      <c r="H28" s="9"/>
    </row>
    <row r="29" spans="1:8" x14ac:dyDescent="0.25">
      <c r="A29" s="52"/>
      <c r="B29" s="9" t="s">
        <v>127</v>
      </c>
      <c r="C29" s="9"/>
      <c r="D29" s="9">
        <v>480</v>
      </c>
      <c r="E29" s="9">
        <v>1</v>
      </c>
      <c r="F29" s="9" t="s">
        <v>128</v>
      </c>
      <c r="G29" s="34">
        <f t="shared" si="2"/>
        <v>480</v>
      </c>
      <c r="H29" s="9"/>
    </row>
    <row r="30" spans="1:8" x14ac:dyDescent="0.25">
      <c r="A30" s="52"/>
      <c r="B30" s="9" t="s">
        <v>129</v>
      </c>
      <c r="C30" s="9"/>
      <c r="D30" s="9">
        <v>160</v>
      </c>
      <c r="E30" s="9">
        <v>1</v>
      </c>
      <c r="F30" s="9" t="s">
        <v>130</v>
      </c>
      <c r="G30" s="34">
        <f t="shared" si="2"/>
        <v>160</v>
      </c>
      <c r="H30" s="9"/>
    </row>
    <row r="31" spans="1:8" x14ac:dyDescent="0.25">
      <c r="A31" s="52"/>
      <c r="B31" s="9" t="s">
        <v>32</v>
      </c>
      <c r="C31" s="9">
        <v>1</v>
      </c>
      <c r="D31" s="9">
        <v>4.5</v>
      </c>
      <c r="E31" s="9">
        <v>50</v>
      </c>
      <c r="F31" s="9" t="s">
        <v>67</v>
      </c>
      <c r="G31" s="34">
        <f t="shared" si="2"/>
        <v>225</v>
      </c>
      <c r="H31" s="9"/>
    </row>
    <row r="32" spans="1:8" x14ac:dyDescent="0.25">
      <c r="A32" s="52"/>
      <c r="B32" s="27" t="s">
        <v>29</v>
      </c>
      <c r="C32" s="27">
        <v>1</v>
      </c>
      <c r="D32" s="27">
        <v>432</v>
      </c>
      <c r="E32" s="27">
        <v>1</v>
      </c>
      <c r="F32" s="27" t="s">
        <v>28</v>
      </c>
      <c r="G32" s="34">
        <f t="shared" si="2"/>
        <v>432</v>
      </c>
      <c r="H32" s="1" t="s">
        <v>126</v>
      </c>
    </row>
    <row r="33" spans="1:8" x14ac:dyDescent="0.25">
      <c r="A33" s="9"/>
      <c r="B33" s="46" t="s">
        <v>18</v>
      </c>
      <c r="C33" s="47"/>
      <c r="D33" s="48"/>
      <c r="E33" s="27"/>
      <c r="F33" s="27"/>
      <c r="G33" s="14">
        <f>SUM(G22:G32)</f>
        <v>5513.83</v>
      </c>
      <c r="H33" s="9"/>
    </row>
    <row r="34" spans="1:8" x14ac:dyDescent="0.25">
      <c r="A34" s="1" t="s">
        <v>11</v>
      </c>
      <c r="B34" s="27" t="s">
        <v>1</v>
      </c>
      <c r="C34" s="27" t="s">
        <v>2</v>
      </c>
      <c r="D34" s="27" t="s">
        <v>3</v>
      </c>
      <c r="E34" s="27" t="s">
        <v>4</v>
      </c>
      <c r="F34" s="27"/>
      <c r="G34" s="1" t="s">
        <v>5</v>
      </c>
      <c r="H34" s="1" t="s">
        <v>6</v>
      </c>
    </row>
    <row r="35" spans="1:8" x14ac:dyDescent="0.25">
      <c r="A35" s="52" t="s">
        <v>47</v>
      </c>
      <c r="B35" s="27" t="s">
        <v>70</v>
      </c>
      <c r="C35" s="27" t="s">
        <v>72</v>
      </c>
      <c r="D35" s="27"/>
      <c r="E35" s="27"/>
      <c r="F35" s="27"/>
      <c r="G35" s="1">
        <v>0</v>
      </c>
      <c r="H35" s="1" t="s">
        <v>143</v>
      </c>
    </row>
    <row r="36" spans="1:8" x14ac:dyDescent="0.25">
      <c r="A36" s="52"/>
      <c r="B36" s="27" t="s">
        <v>71</v>
      </c>
      <c r="C36" s="27">
        <v>15</v>
      </c>
      <c r="D36" s="27">
        <v>141</v>
      </c>
      <c r="E36" s="27">
        <v>15</v>
      </c>
      <c r="F36" s="33" t="s">
        <v>68</v>
      </c>
      <c r="G36" s="1">
        <f>D36*E36</f>
        <v>2115</v>
      </c>
      <c r="H36" s="1"/>
    </row>
    <row r="37" spans="1:8" x14ac:dyDescent="0.25">
      <c r="A37" s="52"/>
      <c r="B37" s="27"/>
      <c r="C37" s="27"/>
      <c r="D37" s="27"/>
      <c r="E37" s="27"/>
      <c r="F37" s="27"/>
      <c r="G37" s="1"/>
      <c r="H37" s="1"/>
    </row>
    <row r="38" spans="1:8" x14ac:dyDescent="0.25">
      <c r="A38" s="52"/>
      <c r="B38" s="46"/>
      <c r="C38" s="47"/>
      <c r="D38" s="48"/>
      <c r="E38" s="28"/>
      <c r="F38" s="28"/>
      <c r="G38" s="15">
        <f>SUM(G35:G37)</f>
        <v>2115</v>
      </c>
      <c r="H38" s="1"/>
    </row>
    <row r="39" spans="1:8" x14ac:dyDescent="0.25">
      <c r="A39" s="1" t="s">
        <v>12</v>
      </c>
      <c r="B39" s="27" t="s">
        <v>1</v>
      </c>
      <c r="C39" s="27" t="s">
        <v>2</v>
      </c>
      <c r="D39" s="27" t="s">
        <v>3</v>
      </c>
      <c r="E39" s="28" t="s">
        <v>4</v>
      </c>
      <c r="F39" s="28"/>
      <c r="G39" s="3" t="s">
        <v>5</v>
      </c>
      <c r="H39" s="1" t="s">
        <v>6</v>
      </c>
    </row>
    <row r="40" spans="1:8" x14ac:dyDescent="0.25">
      <c r="A40" s="53"/>
      <c r="B40" s="1" t="s">
        <v>125</v>
      </c>
      <c r="C40" s="1"/>
      <c r="D40" s="1">
        <v>26.52</v>
      </c>
      <c r="E40" s="1">
        <v>70</v>
      </c>
      <c r="F40" s="1" t="s">
        <v>124</v>
      </c>
      <c r="G40" s="2">
        <f>D40*E40</f>
        <v>1856.3999999999999</v>
      </c>
      <c r="H40" s="1"/>
    </row>
    <row r="41" spans="1:8" x14ac:dyDescent="0.25">
      <c r="A41" s="54"/>
      <c r="B41" s="1" t="s">
        <v>144</v>
      </c>
      <c r="C41" s="1"/>
      <c r="D41" s="1">
        <v>22.08</v>
      </c>
      <c r="E41" s="1">
        <v>75</v>
      </c>
      <c r="F41" s="34" t="s">
        <v>124</v>
      </c>
      <c r="G41" s="2">
        <f>D41*E41</f>
        <v>1655.9999999999998</v>
      </c>
      <c r="H41" s="1"/>
    </row>
    <row r="42" spans="1:8" x14ac:dyDescent="0.25">
      <c r="A42" s="55"/>
      <c r="B42" s="46" t="s">
        <v>7</v>
      </c>
      <c r="C42" s="47"/>
      <c r="D42" s="48"/>
      <c r="E42" s="3"/>
      <c r="F42" s="3"/>
      <c r="G42" s="13">
        <f>SUM(G40:G41)</f>
        <v>3512.3999999999996</v>
      </c>
      <c r="H42" s="5"/>
    </row>
    <row r="43" spans="1:8" x14ac:dyDescent="0.25">
      <c r="A43" s="6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52"/>
      <c r="B44" s="1" t="s">
        <v>131</v>
      </c>
      <c r="C44" s="1">
        <v>1</v>
      </c>
      <c r="D44" s="1">
        <v>120</v>
      </c>
      <c r="E44" s="1">
        <v>2</v>
      </c>
      <c r="F44" s="1" t="s">
        <v>17</v>
      </c>
      <c r="G44" s="1">
        <f>D44*E44</f>
        <v>240</v>
      </c>
      <c r="H44" s="1"/>
    </row>
    <row r="45" spans="1:8" x14ac:dyDescent="0.25">
      <c r="A45" s="52"/>
      <c r="B45" s="1" t="s">
        <v>132</v>
      </c>
      <c r="C45" s="1"/>
      <c r="D45" s="1">
        <v>210</v>
      </c>
      <c r="E45" s="1">
        <v>1</v>
      </c>
      <c r="F45" s="1" t="s">
        <v>130</v>
      </c>
      <c r="G45" s="34">
        <f t="shared" ref="G45:G52" si="3">D45*E45</f>
        <v>210</v>
      </c>
      <c r="H45" s="1"/>
    </row>
    <row r="46" spans="1:8" x14ac:dyDescent="0.25">
      <c r="A46" s="52"/>
      <c r="B46" s="1" t="s">
        <v>133</v>
      </c>
      <c r="C46" s="1"/>
      <c r="D46" s="1">
        <v>33</v>
      </c>
      <c r="E46" s="1">
        <v>3</v>
      </c>
      <c r="F46" s="1" t="s">
        <v>134</v>
      </c>
      <c r="G46" s="34">
        <f t="shared" si="3"/>
        <v>99</v>
      </c>
      <c r="H46" s="1"/>
    </row>
    <row r="47" spans="1:8" x14ac:dyDescent="0.25">
      <c r="A47" s="52"/>
      <c r="B47" s="1" t="s">
        <v>135</v>
      </c>
      <c r="C47" s="1"/>
      <c r="D47" s="1">
        <v>150</v>
      </c>
      <c r="E47" s="1">
        <v>1</v>
      </c>
      <c r="F47" s="1" t="s">
        <v>124</v>
      </c>
      <c r="G47" s="34">
        <f t="shared" si="3"/>
        <v>150</v>
      </c>
      <c r="H47" s="1"/>
    </row>
    <row r="48" spans="1:8" x14ac:dyDescent="0.25">
      <c r="A48" s="52"/>
      <c r="B48" s="34" t="s">
        <v>136</v>
      </c>
      <c r="C48" s="34"/>
      <c r="D48" s="34">
        <v>105</v>
      </c>
      <c r="E48" s="34">
        <v>1</v>
      </c>
      <c r="F48" s="34" t="s">
        <v>124</v>
      </c>
      <c r="G48" s="34">
        <f t="shared" si="3"/>
        <v>105</v>
      </c>
      <c r="H48" s="34"/>
    </row>
    <row r="49" spans="1:8" x14ac:dyDescent="0.25">
      <c r="A49" s="52"/>
      <c r="B49" s="34" t="s">
        <v>137</v>
      </c>
      <c r="C49" s="34"/>
      <c r="D49" s="34">
        <v>38</v>
      </c>
      <c r="E49" s="34">
        <v>2</v>
      </c>
      <c r="F49" s="34" t="s">
        <v>138</v>
      </c>
      <c r="G49" s="34">
        <f t="shared" si="3"/>
        <v>76</v>
      </c>
      <c r="H49" s="34"/>
    </row>
    <row r="50" spans="1:8" x14ac:dyDescent="0.25">
      <c r="A50" s="52"/>
      <c r="B50" s="34" t="s">
        <v>139</v>
      </c>
      <c r="C50" s="34"/>
      <c r="D50" s="34">
        <v>52.8</v>
      </c>
      <c r="E50" s="34">
        <v>1</v>
      </c>
      <c r="F50" s="34" t="s">
        <v>124</v>
      </c>
      <c r="G50" s="34">
        <f t="shared" si="3"/>
        <v>52.8</v>
      </c>
      <c r="H50" s="34"/>
    </row>
    <row r="51" spans="1:8" x14ac:dyDescent="0.25">
      <c r="A51" s="52"/>
      <c r="B51" s="34" t="s">
        <v>140</v>
      </c>
      <c r="C51" s="34"/>
      <c r="D51" s="34">
        <v>22.8</v>
      </c>
      <c r="E51" s="34">
        <v>2</v>
      </c>
      <c r="F51" s="34" t="s">
        <v>124</v>
      </c>
      <c r="G51" s="34">
        <f t="shared" si="3"/>
        <v>45.6</v>
      </c>
      <c r="H51" s="34"/>
    </row>
    <row r="52" spans="1:8" x14ac:dyDescent="0.25">
      <c r="A52" s="52"/>
      <c r="B52" s="34" t="s">
        <v>141</v>
      </c>
      <c r="C52" s="34"/>
      <c r="D52" s="34">
        <v>37</v>
      </c>
      <c r="E52" s="34">
        <v>20</v>
      </c>
      <c r="F52" s="34" t="s">
        <v>142</v>
      </c>
      <c r="G52" s="34">
        <f t="shared" si="3"/>
        <v>740</v>
      </c>
      <c r="H52" s="34"/>
    </row>
    <row r="53" spans="1:8" x14ac:dyDescent="0.25">
      <c r="A53" s="52"/>
      <c r="B53" s="46" t="s">
        <v>7</v>
      </c>
      <c r="C53" s="47"/>
      <c r="D53" s="48"/>
      <c r="E53" s="3"/>
      <c r="F53" s="3"/>
      <c r="G53" s="13">
        <f>SUM(G44:G52)</f>
        <v>1718.4</v>
      </c>
      <c r="H53" s="1"/>
    </row>
    <row r="54" spans="1:8" x14ac:dyDescent="0.25">
      <c r="A54" s="1"/>
      <c r="B54" s="56" t="s">
        <v>14</v>
      </c>
      <c r="C54" s="57"/>
      <c r="D54" s="58"/>
      <c r="E54" s="7"/>
      <c r="F54" s="7"/>
      <c r="G54" s="8">
        <f>G53+G42+G38+G20+G14+G7+G33</f>
        <v>23792.47</v>
      </c>
      <c r="H54" s="1"/>
    </row>
  </sheetData>
  <mergeCells count="16">
    <mergeCell ref="B54:D54"/>
    <mergeCell ref="B53:D53"/>
    <mergeCell ref="B42:D42"/>
    <mergeCell ref="B38:D38"/>
    <mergeCell ref="B33:D33"/>
    <mergeCell ref="A44:A53"/>
    <mergeCell ref="A22:A32"/>
    <mergeCell ref="A35:A38"/>
    <mergeCell ref="A40:A42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workbookViewId="0">
      <selection activeCell="G46" sqref="G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40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2" t="s">
        <v>48</v>
      </c>
      <c r="B3" s="1" t="s">
        <v>73</v>
      </c>
      <c r="C3" s="1">
        <v>35</v>
      </c>
      <c r="D3" s="1">
        <v>141</v>
      </c>
      <c r="E3" s="1">
        <v>35</v>
      </c>
      <c r="F3" s="33" t="s">
        <v>68</v>
      </c>
      <c r="G3" s="2">
        <f>D3*E3</f>
        <v>4935</v>
      </c>
      <c r="H3" s="1"/>
    </row>
    <row r="4" spans="1:8" x14ac:dyDescent="0.25">
      <c r="A4" s="52"/>
      <c r="B4" s="1" t="s">
        <v>74</v>
      </c>
      <c r="C4" s="1">
        <v>15</v>
      </c>
      <c r="D4" s="1">
        <v>50</v>
      </c>
      <c r="E4" s="1">
        <v>15</v>
      </c>
      <c r="F4" s="33" t="s">
        <v>68</v>
      </c>
      <c r="G4" s="2">
        <f t="shared" ref="G4:G6" si="0">D4*E4</f>
        <v>750</v>
      </c>
      <c r="H4" s="1"/>
    </row>
    <row r="5" spans="1:8" x14ac:dyDescent="0.25">
      <c r="A5" s="52"/>
      <c r="B5" s="1" t="s">
        <v>64</v>
      </c>
      <c r="C5" s="1">
        <v>10</v>
      </c>
      <c r="D5" s="1">
        <v>30.6</v>
      </c>
      <c r="E5" s="1">
        <v>6</v>
      </c>
      <c r="F5" s="33" t="s">
        <v>68</v>
      </c>
      <c r="G5" s="2">
        <f t="shared" si="0"/>
        <v>183.60000000000002</v>
      </c>
      <c r="H5" s="1"/>
    </row>
    <row r="6" spans="1:8" x14ac:dyDescent="0.25">
      <c r="A6" s="52"/>
      <c r="B6" s="1"/>
      <c r="C6" s="1"/>
      <c r="D6" s="1"/>
      <c r="E6" s="3"/>
      <c r="F6" s="3"/>
      <c r="G6" s="2">
        <f t="shared" si="0"/>
        <v>0</v>
      </c>
      <c r="H6" s="1"/>
    </row>
    <row r="7" spans="1:8" x14ac:dyDescent="0.25">
      <c r="A7" s="52"/>
      <c r="B7" s="46" t="s">
        <v>7</v>
      </c>
      <c r="C7" s="47"/>
      <c r="D7" s="48"/>
      <c r="E7" s="3"/>
      <c r="F7" s="3"/>
      <c r="G7" s="13">
        <f>SUM(G3:G6)</f>
        <v>5868.6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2" t="s">
        <v>49</v>
      </c>
      <c r="B9" s="1" t="s">
        <v>75</v>
      </c>
      <c r="C9" s="1">
        <v>30</v>
      </c>
      <c r="D9" s="1">
        <v>9.6</v>
      </c>
      <c r="E9" s="1">
        <v>30</v>
      </c>
      <c r="F9" s="33" t="s">
        <v>68</v>
      </c>
      <c r="G9" s="1">
        <f>D9*E9</f>
        <v>288</v>
      </c>
      <c r="H9" s="1"/>
    </row>
    <row r="10" spans="1:8" x14ac:dyDescent="0.25">
      <c r="A10" s="52"/>
      <c r="B10" s="1" t="s">
        <v>76</v>
      </c>
      <c r="C10" s="1">
        <v>1</v>
      </c>
      <c r="D10" s="1">
        <v>49.2</v>
      </c>
      <c r="E10" s="1">
        <v>20</v>
      </c>
      <c r="F10" s="30" t="s">
        <v>17</v>
      </c>
      <c r="G10" s="18">
        <f>D10*E10</f>
        <v>984</v>
      </c>
      <c r="H10" s="1"/>
    </row>
    <row r="11" spans="1:8" x14ac:dyDescent="0.25">
      <c r="A11" s="52"/>
      <c r="B11" s="1"/>
      <c r="C11" s="1"/>
      <c r="D11" s="1"/>
      <c r="E11" s="1"/>
      <c r="F11" s="30"/>
      <c r="G11" s="1"/>
      <c r="H11" s="1"/>
    </row>
    <row r="12" spans="1:8" x14ac:dyDescent="0.25">
      <c r="A12" s="52"/>
      <c r="B12" s="1"/>
      <c r="C12" s="1"/>
      <c r="D12" s="1"/>
      <c r="E12" s="1"/>
      <c r="F12" s="30"/>
      <c r="G12" s="1"/>
      <c r="H12" s="1"/>
    </row>
    <row r="13" spans="1:8" x14ac:dyDescent="0.25">
      <c r="A13" s="52"/>
      <c r="B13" s="1"/>
      <c r="C13" s="1"/>
      <c r="D13" s="1"/>
      <c r="E13" s="1"/>
      <c r="F13" s="1"/>
      <c r="G13" s="1"/>
      <c r="H13" s="1"/>
    </row>
    <row r="14" spans="1:8" x14ac:dyDescent="0.25">
      <c r="A14" s="52"/>
      <c r="B14" s="46" t="s">
        <v>7</v>
      </c>
      <c r="C14" s="47"/>
      <c r="D14" s="48"/>
      <c r="E14" s="3"/>
      <c r="F14" s="3"/>
      <c r="G14" s="13">
        <f>SUM(G9:G13)</f>
        <v>1272</v>
      </c>
      <c r="H14" s="1"/>
    </row>
    <row r="15" spans="1:8" x14ac:dyDescent="0.25">
      <c r="A15" s="27" t="s">
        <v>34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2" t="s">
        <v>50</v>
      </c>
      <c r="B16" s="1" t="s">
        <v>77</v>
      </c>
      <c r="C16" s="1">
        <v>8</v>
      </c>
      <c r="D16" s="1">
        <v>112.2</v>
      </c>
      <c r="E16" s="1">
        <v>8</v>
      </c>
      <c r="F16" s="33" t="s">
        <v>68</v>
      </c>
      <c r="G16" s="1">
        <f>D16*E16</f>
        <v>897.6</v>
      </c>
      <c r="H16" s="1"/>
    </row>
    <row r="17" spans="1:8" x14ac:dyDescent="0.25">
      <c r="A17" s="52"/>
      <c r="B17" s="1" t="s">
        <v>78</v>
      </c>
      <c r="C17" s="1">
        <v>30</v>
      </c>
      <c r="D17" s="1">
        <v>50</v>
      </c>
      <c r="E17" s="1">
        <v>30</v>
      </c>
      <c r="F17" s="33" t="s">
        <v>68</v>
      </c>
      <c r="G17" s="18">
        <f t="shared" ref="G17:G20" si="1">D17*E17</f>
        <v>1500</v>
      </c>
      <c r="H17" s="1"/>
    </row>
    <row r="18" spans="1:8" x14ac:dyDescent="0.25">
      <c r="A18" s="52"/>
      <c r="B18" s="1" t="s">
        <v>79</v>
      </c>
      <c r="C18" s="1">
        <v>2</v>
      </c>
      <c r="D18" s="1">
        <v>18.899999999999999</v>
      </c>
      <c r="E18" s="1">
        <v>1.34</v>
      </c>
      <c r="F18" s="1" t="s">
        <v>17</v>
      </c>
      <c r="G18" s="18">
        <f t="shared" si="1"/>
        <v>25.326000000000001</v>
      </c>
      <c r="H18" s="1"/>
    </row>
    <row r="19" spans="1:8" x14ac:dyDescent="0.25">
      <c r="A19" s="52"/>
      <c r="B19" s="1"/>
      <c r="C19" s="1"/>
      <c r="D19" s="1"/>
      <c r="E19" s="3"/>
      <c r="F19" s="3"/>
      <c r="G19" s="18">
        <f t="shared" si="1"/>
        <v>0</v>
      </c>
      <c r="H19" s="1"/>
    </row>
    <row r="20" spans="1:8" x14ac:dyDescent="0.25">
      <c r="A20" s="52"/>
      <c r="B20" s="1"/>
      <c r="C20" s="1"/>
      <c r="D20" s="1"/>
      <c r="E20" s="3"/>
      <c r="F20" s="3"/>
      <c r="G20" s="18">
        <f t="shared" si="1"/>
        <v>0</v>
      </c>
      <c r="H20" s="1"/>
    </row>
    <row r="21" spans="1:8" x14ac:dyDescent="0.25">
      <c r="A21" s="52"/>
      <c r="B21" s="1"/>
      <c r="C21" s="1"/>
      <c r="D21" s="1"/>
      <c r="E21" s="3"/>
      <c r="F21" s="3"/>
      <c r="G21" s="1"/>
      <c r="H21" s="1"/>
    </row>
    <row r="22" spans="1:8" x14ac:dyDescent="0.25">
      <c r="A22" s="52"/>
      <c r="B22" s="46" t="s">
        <v>7</v>
      </c>
      <c r="C22" s="47"/>
      <c r="D22" s="48"/>
      <c r="E22" s="3"/>
      <c r="F22" s="3"/>
      <c r="G22" s="13">
        <f>SUM(G16:G21)</f>
        <v>2422.9259999999999</v>
      </c>
      <c r="H22" s="1"/>
    </row>
    <row r="23" spans="1:8" x14ac:dyDescent="0.25">
      <c r="A23" s="4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2"/>
      <c r="B24" s="1" t="s">
        <v>24</v>
      </c>
      <c r="C24" s="1">
        <v>20</v>
      </c>
      <c r="D24" s="1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52"/>
      <c r="B25" s="31" t="s">
        <v>35</v>
      </c>
      <c r="C25" s="31">
        <v>2</v>
      </c>
      <c r="D25" s="31">
        <v>530</v>
      </c>
      <c r="E25" s="31">
        <v>8</v>
      </c>
      <c r="F25" s="31" t="s">
        <v>148</v>
      </c>
      <c r="G25" s="31">
        <f t="shared" ref="G25" si="2">D25*E25</f>
        <v>4240</v>
      </c>
      <c r="H25" s="1"/>
    </row>
    <row r="26" spans="1:8" x14ac:dyDescent="0.25">
      <c r="A26" s="52"/>
      <c r="B26" s="31" t="s">
        <v>80</v>
      </c>
      <c r="C26" s="31" t="s">
        <v>86</v>
      </c>
      <c r="D26" s="31">
        <v>30.6</v>
      </c>
      <c r="E26" s="31">
        <v>0.5</v>
      </c>
      <c r="F26" s="33" t="s">
        <v>68</v>
      </c>
      <c r="G26" s="18">
        <f t="shared" ref="G26:G29" si="3">D26*E26</f>
        <v>15.3</v>
      </c>
      <c r="H26" s="1"/>
    </row>
    <row r="27" spans="1:8" x14ac:dyDescent="0.25">
      <c r="A27" s="52"/>
      <c r="B27" s="1" t="s">
        <v>81</v>
      </c>
      <c r="C27" s="1">
        <v>5</v>
      </c>
      <c r="D27" s="1">
        <v>78</v>
      </c>
      <c r="E27" s="38"/>
      <c r="F27" s="34" t="s">
        <v>68</v>
      </c>
      <c r="G27" s="38">
        <f t="shared" si="3"/>
        <v>0</v>
      </c>
      <c r="H27" s="1"/>
    </row>
    <row r="28" spans="1:8" x14ac:dyDescent="0.25">
      <c r="A28" s="52"/>
      <c r="B28" s="30" t="s">
        <v>82</v>
      </c>
      <c r="C28" s="30">
        <v>8</v>
      </c>
      <c r="D28" s="30">
        <v>22.8</v>
      </c>
      <c r="E28" s="30">
        <v>2</v>
      </c>
      <c r="F28" s="32" t="s">
        <v>68</v>
      </c>
      <c r="G28" s="34">
        <f t="shared" si="3"/>
        <v>45.6</v>
      </c>
      <c r="H28" s="30"/>
    </row>
    <row r="29" spans="1:8" x14ac:dyDescent="0.25">
      <c r="A29" s="52"/>
      <c r="B29" s="18" t="s">
        <v>145</v>
      </c>
      <c r="C29" s="18"/>
      <c r="D29" s="18">
        <v>23.94</v>
      </c>
      <c r="E29" s="18">
        <v>3</v>
      </c>
      <c r="F29" s="29" t="s">
        <v>124</v>
      </c>
      <c r="G29" s="34">
        <f t="shared" si="3"/>
        <v>71.820000000000007</v>
      </c>
      <c r="H29" s="18"/>
    </row>
    <row r="30" spans="1:8" x14ac:dyDescent="0.25">
      <c r="A30" s="52"/>
      <c r="B30" s="46" t="s">
        <v>36</v>
      </c>
      <c r="C30" s="47"/>
      <c r="D30" s="48"/>
      <c r="E30" s="3"/>
      <c r="F30" s="3"/>
      <c r="G30" s="13">
        <f>SUM(G24:G29)</f>
        <v>5572.72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52" t="s">
        <v>55</v>
      </c>
      <c r="B32" s="1" t="s">
        <v>83</v>
      </c>
      <c r="C32" s="1" t="s">
        <v>72</v>
      </c>
      <c r="D32" s="1"/>
      <c r="E32" s="1"/>
      <c r="F32" s="1"/>
      <c r="G32" s="1">
        <f>D32*E32</f>
        <v>0</v>
      </c>
      <c r="H32" s="1"/>
    </row>
    <row r="33" spans="1:8" x14ac:dyDescent="0.25">
      <c r="A33" s="52"/>
      <c r="B33" s="1" t="s">
        <v>84</v>
      </c>
      <c r="C33" s="1" t="s">
        <v>72</v>
      </c>
      <c r="D33" s="1"/>
      <c r="E33" s="1"/>
      <c r="F33" s="30"/>
      <c r="G33" s="1"/>
      <c r="H33" s="1"/>
    </row>
    <row r="34" spans="1:8" x14ac:dyDescent="0.25">
      <c r="A34" s="52"/>
      <c r="B34" s="1"/>
      <c r="C34" s="1"/>
      <c r="D34" s="1"/>
      <c r="E34" s="1"/>
      <c r="F34" s="1"/>
      <c r="G34" s="1"/>
      <c r="H34" s="1"/>
    </row>
    <row r="35" spans="1:8" x14ac:dyDescent="0.25">
      <c r="A35" s="52"/>
      <c r="B35" s="46"/>
      <c r="C35" s="47"/>
      <c r="D35" s="48"/>
      <c r="E35" s="3"/>
      <c r="F35" s="3"/>
      <c r="G35" s="15">
        <f>SUM(G32:G34)</f>
        <v>0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53"/>
      <c r="B37" s="1" t="s">
        <v>147</v>
      </c>
      <c r="C37" s="1"/>
      <c r="D37" s="1">
        <v>70</v>
      </c>
      <c r="E37" s="1">
        <v>40</v>
      </c>
      <c r="F37" s="1" t="s">
        <v>134</v>
      </c>
      <c r="G37" s="23">
        <f>D37*E37</f>
        <v>2800</v>
      </c>
      <c r="H37" s="1"/>
    </row>
    <row r="38" spans="1:8" x14ac:dyDescent="0.25">
      <c r="A38" s="54"/>
      <c r="B38" s="1" t="s">
        <v>151</v>
      </c>
      <c r="C38" s="1"/>
      <c r="D38" s="1">
        <v>9.6</v>
      </c>
      <c r="E38" s="1">
        <v>100</v>
      </c>
      <c r="F38" s="1" t="s">
        <v>152</v>
      </c>
      <c r="G38" s="23">
        <f>D38*E38</f>
        <v>960</v>
      </c>
      <c r="H38" s="1"/>
    </row>
    <row r="39" spans="1:8" x14ac:dyDescent="0.25">
      <c r="A39" s="55"/>
      <c r="B39" s="46" t="s">
        <v>7</v>
      </c>
      <c r="C39" s="47"/>
      <c r="D39" s="48"/>
      <c r="E39" s="3"/>
      <c r="F39" s="3"/>
      <c r="G39" s="13">
        <f>SUM(G37:G38)</f>
        <v>3760</v>
      </c>
      <c r="H39" s="5"/>
    </row>
    <row r="40" spans="1:8" x14ac:dyDescent="0.25">
      <c r="A40" s="6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52"/>
      <c r="B41" s="1" t="s">
        <v>146</v>
      </c>
      <c r="C41" s="1"/>
      <c r="D41" s="1">
        <v>100</v>
      </c>
      <c r="E41" s="1">
        <v>4</v>
      </c>
      <c r="F41" s="1" t="s">
        <v>124</v>
      </c>
      <c r="G41" s="1">
        <f>D41*E41</f>
        <v>400</v>
      </c>
      <c r="H41" s="1"/>
    </row>
    <row r="42" spans="1:8" x14ac:dyDescent="0.25">
      <c r="A42" s="52"/>
      <c r="B42" s="1" t="s">
        <v>149</v>
      </c>
      <c r="C42" s="1"/>
      <c r="D42" s="1">
        <v>60</v>
      </c>
      <c r="E42" s="1">
        <v>1</v>
      </c>
      <c r="F42" s="1" t="s">
        <v>150</v>
      </c>
      <c r="G42" s="34">
        <f>D42*E42</f>
        <v>60</v>
      </c>
      <c r="H42" s="1"/>
    </row>
    <row r="43" spans="1:8" x14ac:dyDescent="0.25">
      <c r="A43" s="52"/>
      <c r="B43" s="1"/>
      <c r="C43" s="1"/>
      <c r="D43" s="1"/>
      <c r="E43" s="1"/>
      <c r="F43" s="1"/>
      <c r="G43" s="1"/>
      <c r="H43" s="1"/>
    </row>
    <row r="44" spans="1:8" x14ac:dyDescent="0.25">
      <c r="A44" s="52"/>
      <c r="B44" s="1"/>
      <c r="C44" s="1"/>
      <c r="D44" s="1"/>
      <c r="E44" s="1"/>
      <c r="F44" s="1"/>
      <c r="G44" s="1"/>
      <c r="H44" s="1"/>
    </row>
    <row r="45" spans="1:8" x14ac:dyDescent="0.25">
      <c r="A45" s="52"/>
      <c r="B45" s="46" t="s">
        <v>7</v>
      </c>
      <c r="C45" s="47"/>
      <c r="D45" s="48"/>
      <c r="E45" s="3"/>
      <c r="F45" s="3"/>
      <c r="G45" s="15">
        <f>SUM(G41:G44)</f>
        <v>460</v>
      </c>
      <c r="H45" s="1"/>
    </row>
    <row r="46" spans="1:8" x14ac:dyDescent="0.25">
      <c r="A46" s="1"/>
      <c r="B46" s="56" t="s">
        <v>14</v>
      </c>
      <c r="C46" s="57"/>
      <c r="D46" s="58"/>
      <c r="E46" s="7"/>
      <c r="F46" s="7"/>
      <c r="G46" s="8">
        <f>G45+G39+G35+G22+G14+G7+G30</f>
        <v>19356.245999999999</v>
      </c>
      <c r="H46" s="1"/>
    </row>
  </sheetData>
  <mergeCells count="16">
    <mergeCell ref="A41:A45"/>
    <mergeCell ref="B45:D45"/>
    <mergeCell ref="B46:D46"/>
    <mergeCell ref="A24:A30"/>
    <mergeCell ref="B30:D30"/>
    <mergeCell ref="A32:A35"/>
    <mergeCell ref="B35:D35"/>
    <mergeCell ref="A37:A39"/>
    <mergeCell ref="B39:D39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topLeftCell="A41" workbookViewId="0">
      <selection activeCell="C71" sqref="C7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41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2" t="s">
        <v>51</v>
      </c>
      <c r="B3" s="1" t="s">
        <v>87</v>
      </c>
      <c r="C3" s="1"/>
      <c r="D3" s="1">
        <v>220</v>
      </c>
      <c r="E3" s="1">
        <v>65</v>
      </c>
      <c r="F3" s="30" t="s">
        <v>153</v>
      </c>
      <c r="G3" s="2">
        <f>D3*E3</f>
        <v>14300</v>
      </c>
      <c r="H3" s="1"/>
    </row>
    <row r="4" spans="1:8" x14ac:dyDescent="0.25">
      <c r="A4" s="52"/>
      <c r="B4" s="1" t="s">
        <v>88</v>
      </c>
      <c r="C4" s="1">
        <v>2</v>
      </c>
      <c r="D4" s="1">
        <v>132</v>
      </c>
      <c r="E4" s="1">
        <v>2</v>
      </c>
      <c r="F4" s="30" t="s">
        <v>89</v>
      </c>
      <c r="G4" s="2">
        <f>D4*E4</f>
        <v>264</v>
      </c>
      <c r="H4" s="1"/>
    </row>
    <row r="5" spans="1:8" x14ac:dyDescent="0.25">
      <c r="A5" s="52"/>
      <c r="B5" s="1"/>
      <c r="C5" s="1"/>
      <c r="D5" s="1"/>
      <c r="E5" s="1"/>
      <c r="F5" s="30"/>
      <c r="G5" s="1"/>
      <c r="H5" s="1"/>
    </row>
    <row r="6" spans="1:8" x14ac:dyDescent="0.25">
      <c r="A6" s="52"/>
      <c r="B6" s="30"/>
      <c r="C6" s="30"/>
      <c r="D6" s="30"/>
      <c r="E6" s="29"/>
      <c r="F6" s="29"/>
      <c r="G6" s="29"/>
      <c r="H6" s="30"/>
    </row>
    <row r="7" spans="1:8" x14ac:dyDescent="0.25">
      <c r="A7" s="52"/>
      <c r="B7" s="30"/>
      <c r="C7" s="30"/>
      <c r="D7" s="30"/>
      <c r="E7" s="29"/>
      <c r="F7" s="29"/>
      <c r="G7" s="29"/>
      <c r="H7" s="30"/>
    </row>
    <row r="8" spans="1:8" x14ac:dyDescent="0.25">
      <c r="A8" s="52"/>
      <c r="B8" s="1"/>
      <c r="C8" s="1"/>
      <c r="D8" s="1"/>
      <c r="E8" s="3"/>
      <c r="F8" s="29"/>
      <c r="G8" s="3"/>
      <c r="H8" s="1"/>
    </row>
    <row r="9" spans="1:8" x14ac:dyDescent="0.25">
      <c r="A9" s="52"/>
      <c r="B9" s="46" t="s">
        <v>7</v>
      </c>
      <c r="C9" s="47"/>
      <c r="D9" s="48"/>
      <c r="E9" s="3"/>
      <c r="F9" s="3"/>
      <c r="G9" s="13">
        <f>SUM(G3:G8)</f>
        <v>14564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52" t="s">
        <v>52</v>
      </c>
      <c r="B11" s="1" t="s">
        <v>90</v>
      </c>
      <c r="C11" s="1">
        <v>150</v>
      </c>
      <c r="D11" s="1">
        <v>12</v>
      </c>
      <c r="E11" s="26">
        <v>150</v>
      </c>
      <c r="F11" s="30" t="s">
        <v>92</v>
      </c>
      <c r="G11" s="1">
        <f>D11*E11</f>
        <v>1800</v>
      </c>
      <c r="H11" s="1"/>
    </row>
    <row r="12" spans="1:8" x14ac:dyDescent="0.25">
      <c r="A12" s="52"/>
      <c r="B12" s="1" t="s">
        <v>91</v>
      </c>
      <c r="C12" s="1">
        <v>50</v>
      </c>
      <c r="D12" s="1">
        <v>16</v>
      </c>
      <c r="E12" s="1">
        <v>50</v>
      </c>
      <c r="F12" s="30" t="s">
        <v>93</v>
      </c>
      <c r="G12" s="21">
        <f t="shared" ref="G12:G14" si="0">D12*E12</f>
        <v>800</v>
      </c>
      <c r="H12" s="1"/>
    </row>
    <row r="13" spans="1:8" x14ac:dyDescent="0.25">
      <c r="A13" s="52"/>
      <c r="B13" s="1"/>
      <c r="C13" s="1"/>
      <c r="D13" s="1"/>
      <c r="E13" s="1"/>
      <c r="F13" s="30"/>
      <c r="G13" s="21">
        <f t="shared" si="0"/>
        <v>0</v>
      </c>
      <c r="H13" s="1"/>
    </row>
    <row r="14" spans="1:8" x14ac:dyDescent="0.25">
      <c r="A14" s="52"/>
      <c r="B14" s="1"/>
      <c r="C14" s="1"/>
      <c r="D14" s="1"/>
      <c r="E14" s="1"/>
      <c r="F14" s="30"/>
      <c r="G14" s="21">
        <f t="shared" si="0"/>
        <v>0</v>
      </c>
      <c r="H14" s="1"/>
    </row>
    <row r="15" spans="1:8" x14ac:dyDescent="0.25">
      <c r="A15" s="52"/>
      <c r="B15" s="30"/>
      <c r="C15" s="30"/>
      <c r="D15" s="30"/>
      <c r="E15" s="30"/>
      <c r="F15" s="30"/>
      <c r="G15" s="30"/>
      <c r="H15" s="30"/>
    </row>
    <row r="16" spans="1:8" x14ac:dyDescent="0.25">
      <c r="A16" s="52"/>
      <c r="B16" s="1"/>
      <c r="C16" s="1"/>
      <c r="D16" s="1"/>
      <c r="E16" s="1"/>
      <c r="F16" s="30"/>
      <c r="G16" s="1"/>
      <c r="H16" s="1"/>
    </row>
    <row r="17" spans="1:8" x14ac:dyDescent="0.25">
      <c r="A17" s="1" t="s">
        <v>9</v>
      </c>
      <c r="B17" s="46" t="s">
        <v>7</v>
      </c>
      <c r="C17" s="47"/>
      <c r="D17" s="48"/>
      <c r="E17" s="3"/>
      <c r="F17" s="3"/>
      <c r="G17" s="13">
        <f>SUM(G11:G16)</f>
        <v>2600</v>
      </c>
      <c r="H17" s="1"/>
    </row>
    <row r="18" spans="1:8" x14ac:dyDescent="0.25">
      <c r="A18" s="52" t="s">
        <v>53</v>
      </c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 t="s">
        <v>5</v>
      </c>
      <c r="H18" s="1" t="s">
        <v>6</v>
      </c>
    </row>
    <row r="19" spans="1:8" x14ac:dyDescent="0.25">
      <c r="A19" s="52"/>
      <c r="B19" s="1" t="s">
        <v>53</v>
      </c>
      <c r="C19" s="1">
        <v>40</v>
      </c>
      <c r="D19" s="1">
        <v>126</v>
      </c>
      <c r="E19" s="1">
        <v>40</v>
      </c>
      <c r="F19" s="33" t="s">
        <v>68</v>
      </c>
      <c r="G19" s="1">
        <f>D19*E19</f>
        <v>5040</v>
      </c>
      <c r="H19" s="1"/>
    </row>
    <row r="20" spans="1:8" x14ac:dyDescent="0.25">
      <c r="A20" s="52"/>
      <c r="B20" s="1"/>
      <c r="C20" s="1"/>
      <c r="D20" s="1"/>
      <c r="E20" s="1"/>
      <c r="F20" s="30"/>
      <c r="G20" s="1"/>
      <c r="H20" s="1"/>
    </row>
    <row r="21" spans="1:8" x14ac:dyDescent="0.25">
      <c r="A21" s="52"/>
      <c r="B21" s="1"/>
      <c r="C21" s="1"/>
      <c r="D21" s="1"/>
      <c r="E21" s="1"/>
      <c r="F21" s="1"/>
      <c r="G21" s="1"/>
      <c r="H21" s="1"/>
    </row>
    <row r="22" spans="1:8" x14ac:dyDescent="0.25">
      <c r="A22" s="52"/>
      <c r="B22" s="1"/>
      <c r="C22" s="1"/>
      <c r="D22" s="1"/>
      <c r="E22" s="3"/>
      <c r="F22" s="3"/>
      <c r="G22" s="1"/>
      <c r="H22" s="1"/>
    </row>
    <row r="23" spans="1:8" x14ac:dyDescent="0.25">
      <c r="A23" s="4" t="s">
        <v>10</v>
      </c>
      <c r="B23" s="46" t="s">
        <v>7</v>
      </c>
      <c r="C23" s="47"/>
      <c r="D23" s="48"/>
      <c r="E23" s="3"/>
      <c r="F23" s="3"/>
      <c r="G23" s="15">
        <f>SUM(G19:G22)</f>
        <v>5040</v>
      </c>
      <c r="H23" s="1"/>
    </row>
    <row r="24" spans="1:8" x14ac:dyDescent="0.25">
      <c r="A24" s="52"/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8" x14ac:dyDescent="0.25">
      <c r="A25" s="52"/>
      <c r="B25" s="1" t="s">
        <v>71</v>
      </c>
      <c r="C25" s="1">
        <v>4</v>
      </c>
      <c r="D25" s="1">
        <v>141</v>
      </c>
      <c r="E25" s="1">
        <v>4</v>
      </c>
      <c r="F25" s="33" t="s">
        <v>68</v>
      </c>
      <c r="G25" s="1">
        <f>D25*E25</f>
        <v>564</v>
      </c>
      <c r="H25" s="1" t="s">
        <v>26</v>
      </c>
    </row>
    <row r="26" spans="1:8" x14ac:dyDescent="0.25">
      <c r="A26" s="52"/>
      <c r="B26" s="1" t="s">
        <v>98</v>
      </c>
      <c r="C26" s="1">
        <v>35</v>
      </c>
      <c r="D26" s="1">
        <v>78</v>
      </c>
      <c r="E26" s="1">
        <v>6.17</v>
      </c>
      <c r="F26" s="33" t="s">
        <v>17</v>
      </c>
      <c r="G26" s="21">
        <f t="shared" ref="G26:G34" si="1">D26*E26</f>
        <v>481.26</v>
      </c>
      <c r="H26" s="1"/>
    </row>
    <row r="27" spans="1:8" x14ac:dyDescent="0.25">
      <c r="A27" s="52"/>
      <c r="B27" s="1" t="s">
        <v>99</v>
      </c>
      <c r="C27" s="1" t="s">
        <v>86</v>
      </c>
      <c r="D27" s="1">
        <v>63</v>
      </c>
      <c r="E27" s="1">
        <v>0.5</v>
      </c>
      <c r="F27" s="33" t="s">
        <v>68</v>
      </c>
      <c r="G27" s="21">
        <f t="shared" si="1"/>
        <v>31.5</v>
      </c>
      <c r="H27" s="1"/>
    </row>
    <row r="28" spans="1:8" x14ac:dyDescent="0.25">
      <c r="A28" s="52"/>
      <c r="B28" s="1" t="s">
        <v>100</v>
      </c>
      <c r="C28" s="1">
        <v>30</v>
      </c>
      <c r="D28" s="1">
        <v>156</v>
      </c>
      <c r="E28" s="38"/>
      <c r="F28" s="37" t="s">
        <v>68</v>
      </c>
      <c r="G28" s="21">
        <f t="shared" si="1"/>
        <v>0</v>
      </c>
      <c r="H28" s="1"/>
    </row>
    <row r="29" spans="1:8" x14ac:dyDescent="0.25">
      <c r="A29" s="52"/>
      <c r="B29" s="21" t="s">
        <v>101</v>
      </c>
      <c r="C29" s="21" t="s">
        <v>86</v>
      </c>
      <c r="D29" s="21">
        <v>60</v>
      </c>
      <c r="E29" s="21">
        <v>0.5</v>
      </c>
      <c r="F29" s="32" t="s">
        <v>68</v>
      </c>
      <c r="G29" s="22">
        <f t="shared" si="1"/>
        <v>30</v>
      </c>
      <c r="H29" s="21"/>
    </row>
    <row r="30" spans="1:8" x14ac:dyDescent="0.25">
      <c r="A30" s="52"/>
      <c r="B30" s="37" t="s">
        <v>162</v>
      </c>
      <c r="C30" s="37"/>
      <c r="D30" s="37">
        <v>125</v>
      </c>
      <c r="E30" s="37">
        <v>12</v>
      </c>
      <c r="F30" s="36" t="s">
        <v>153</v>
      </c>
      <c r="G30" s="36">
        <f t="shared" si="1"/>
        <v>1500</v>
      </c>
      <c r="H30" s="37"/>
    </row>
    <row r="31" spans="1:8" x14ac:dyDescent="0.25">
      <c r="A31" s="52"/>
      <c r="B31" s="37" t="s">
        <v>163</v>
      </c>
      <c r="C31" s="37"/>
      <c r="D31" s="37">
        <v>56</v>
      </c>
      <c r="E31" s="37">
        <v>2</v>
      </c>
      <c r="F31" s="36" t="s">
        <v>164</v>
      </c>
      <c r="G31" s="36">
        <f t="shared" si="1"/>
        <v>112</v>
      </c>
      <c r="H31" s="37"/>
    </row>
    <row r="32" spans="1:8" x14ac:dyDescent="0.25">
      <c r="A32" s="52"/>
      <c r="B32" s="37" t="s">
        <v>165</v>
      </c>
      <c r="C32" s="37"/>
      <c r="D32" s="37">
        <v>637.79999999999995</v>
      </c>
      <c r="E32" s="37">
        <v>2</v>
      </c>
      <c r="F32" s="36" t="s">
        <v>152</v>
      </c>
      <c r="G32" s="36">
        <f t="shared" si="1"/>
        <v>1275.5999999999999</v>
      </c>
      <c r="H32" s="37"/>
    </row>
    <row r="33" spans="1:8" x14ac:dyDescent="0.25">
      <c r="A33" s="52"/>
      <c r="B33" s="37" t="s">
        <v>166</v>
      </c>
      <c r="C33" s="37"/>
      <c r="D33" s="37">
        <v>32</v>
      </c>
      <c r="E33" s="37">
        <v>100</v>
      </c>
      <c r="F33" s="36" t="s">
        <v>152</v>
      </c>
      <c r="G33" s="36">
        <f t="shared" si="1"/>
        <v>3200</v>
      </c>
      <c r="H33" s="37"/>
    </row>
    <row r="34" spans="1:8" x14ac:dyDescent="0.25">
      <c r="A34" s="52"/>
      <c r="B34" s="21" t="s">
        <v>167</v>
      </c>
      <c r="C34" s="21"/>
      <c r="D34" s="21">
        <v>225</v>
      </c>
      <c r="E34" s="21">
        <v>2</v>
      </c>
      <c r="F34" s="22" t="s">
        <v>153</v>
      </c>
      <c r="G34" s="22">
        <f t="shared" si="1"/>
        <v>450</v>
      </c>
      <c r="H34" s="21"/>
    </row>
    <row r="35" spans="1:8" x14ac:dyDescent="0.25">
      <c r="A35" s="1" t="s">
        <v>11</v>
      </c>
      <c r="B35" s="46" t="s">
        <v>7</v>
      </c>
      <c r="C35" s="47"/>
      <c r="D35" s="48"/>
      <c r="E35" s="3"/>
      <c r="F35" s="3"/>
      <c r="G35" s="13">
        <f>SUM(G25:G34)</f>
        <v>7644.3600000000006</v>
      </c>
      <c r="H35" s="1"/>
    </row>
    <row r="36" spans="1:8" x14ac:dyDescent="0.25">
      <c r="A36" s="53" t="s">
        <v>54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 t="s">
        <v>6</v>
      </c>
    </row>
    <row r="37" spans="1:8" x14ac:dyDescent="0.25">
      <c r="A37" s="54"/>
      <c r="B37" s="33" t="s">
        <v>94</v>
      </c>
      <c r="C37" s="33">
        <v>10</v>
      </c>
      <c r="D37" s="33">
        <v>11</v>
      </c>
      <c r="E37" s="33">
        <v>10</v>
      </c>
      <c r="F37" s="33" t="s">
        <v>67</v>
      </c>
      <c r="G37" s="33">
        <f>D37*E37</f>
        <v>110</v>
      </c>
      <c r="H37" s="33"/>
    </row>
    <row r="38" spans="1:8" x14ac:dyDescent="0.25">
      <c r="A38" s="54"/>
      <c r="B38" s="33" t="s">
        <v>95</v>
      </c>
      <c r="C38" s="33">
        <v>10</v>
      </c>
      <c r="D38" s="33">
        <v>16</v>
      </c>
      <c r="E38" s="33">
        <v>10</v>
      </c>
      <c r="F38" s="33" t="s">
        <v>93</v>
      </c>
      <c r="G38" s="37">
        <f t="shared" ref="G38:G41" si="2">D38*E38</f>
        <v>160</v>
      </c>
      <c r="H38" s="33"/>
    </row>
    <row r="39" spans="1:8" x14ac:dyDescent="0.25">
      <c r="A39" s="54"/>
      <c r="B39" s="33" t="s">
        <v>71</v>
      </c>
      <c r="C39" s="33">
        <v>10</v>
      </c>
      <c r="D39" s="33">
        <v>141</v>
      </c>
      <c r="E39" s="33">
        <v>10</v>
      </c>
      <c r="F39" s="33" t="s">
        <v>68</v>
      </c>
      <c r="G39" s="37">
        <f t="shared" si="2"/>
        <v>1410</v>
      </c>
      <c r="H39" s="33"/>
    </row>
    <row r="40" spans="1:8" x14ac:dyDescent="0.25">
      <c r="A40" s="54"/>
      <c r="B40" s="1" t="s">
        <v>96</v>
      </c>
      <c r="C40" s="1">
        <v>4</v>
      </c>
      <c r="D40" s="1">
        <v>60</v>
      </c>
      <c r="E40" s="1">
        <v>4</v>
      </c>
      <c r="F40" s="33" t="s">
        <v>68</v>
      </c>
      <c r="G40" s="37">
        <f t="shared" si="2"/>
        <v>240</v>
      </c>
      <c r="H40" s="1"/>
    </row>
    <row r="41" spans="1:8" x14ac:dyDescent="0.25">
      <c r="A41" s="54"/>
      <c r="B41" s="1" t="s">
        <v>97</v>
      </c>
      <c r="C41" s="1">
        <v>4</v>
      </c>
      <c r="D41" s="1">
        <v>21.66</v>
      </c>
      <c r="E41" s="1">
        <v>4</v>
      </c>
      <c r="F41" s="33" t="s">
        <v>68</v>
      </c>
      <c r="G41" s="37">
        <f t="shared" si="2"/>
        <v>86.64</v>
      </c>
      <c r="H41" s="1" t="s">
        <v>25</v>
      </c>
    </row>
    <row r="42" spans="1:8" x14ac:dyDescent="0.25">
      <c r="A42" s="54"/>
      <c r="B42" s="1"/>
      <c r="C42" s="1"/>
      <c r="D42" s="1"/>
      <c r="E42" s="1"/>
      <c r="F42" s="1"/>
      <c r="G42" s="1"/>
      <c r="H42" s="1"/>
    </row>
    <row r="43" spans="1:8" x14ac:dyDescent="0.25">
      <c r="A43" s="55"/>
      <c r="B43" s="46" t="s">
        <v>16</v>
      </c>
      <c r="C43" s="47"/>
      <c r="D43" s="48"/>
      <c r="E43" s="3"/>
      <c r="F43" s="3"/>
      <c r="G43" s="13">
        <f>SUM(G37:G42)</f>
        <v>2006.64</v>
      </c>
      <c r="H43" s="1"/>
    </row>
    <row r="44" spans="1:8" x14ac:dyDescent="0.25">
      <c r="A44" s="1" t="s">
        <v>12</v>
      </c>
      <c r="B44" s="1" t="s">
        <v>1</v>
      </c>
      <c r="C44" s="1" t="s">
        <v>2</v>
      </c>
      <c r="D44" s="1" t="s">
        <v>3</v>
      </c>
      <c r="E44" s="3" t="s">
        <v>4</v>
      </c>
      <c r="F44" s="3"/>
      <c r="G44" s="3" t="s">
        <v>5</v>
      </c>
      <c r="H44" s="1" t="s">
        <v>6</v>
      </c>
    </row>
    <row r="45" spans="1:8" x14ac:dyDescent="0.25">
      <c r="A45" s="53"/>
      <c r="B45" s="1" t="s">
        <v>171</v>
      </c>
      <c r="C45" s="1"/>
      <c r="D45" s="1">
        <v>11.7</v>
      </c>
      <c r="E45" s="1">
        <v>65</v>
      </c>
      <c r="F45" s="1" t="s">
        <v>19</v>
      </c>
      <c r="G45" s="1">
        <f>D45*E45</f>
        <v>760.5</v>
      </c>
      <c r="H45" s="1"/>
    </row>
    <row r="46" spans="1:8" x14ac:dyDescent="0.25">
      <c r="A46" s="54"/>
      <c r="B46" s="1" t="s">
        <v>172</v>
      </c>
      <c r="C46" s="1"/>
      <c r="D46" s="1">
        <v>24.96</v>
      </c>
      <c r="E46" s="1">
        <v>75</v>
      </c>
      <c r="F46" s="39" t="s">
        <v>17</v>
      </c>
      <c r="G46" s="21">
        <f>D46*E46</f>
        <v>1872</v>
      </c>
      <c r="H46" s="1"/>
    </row>
    <row r="47" spans="1:8" x14ac:dyDescent="0.25">
      <c r="A47" s="55"/>
      <c r="B47" s="46" t="s">
        <v>7</v>
      </c>
      <c r="C47" s="47"/>
      <c r="D47" s="48"/>
      <c r="E47" s="3"/>
      <c r="F47" s="3"/>
      <c r="G47" s="13">
        <f>SUM(G45:G46)</f>
        <v>2632.5</v>
      </c>
      <c r="H47" s="5"/>
    </row>
    <row r="48" spans="1:8" x14ac:dyDescent="0.25">
      <c r="A48" s="6" t="s">
        <v>13</v>
      </c>
      <c r="B48" s="1" t="s">
        <v>1</v>
      </c>
      <c r="C48" s="1" t="s">
        <v>2</v>
      </c>
      <c r="D48" s="1" t="s">
        <v>3</v>
      </c>
      <c r="E48" s="1" t="s">
        <v>4</v>
      </c>
      <c r="F48" s="1"/>
      <c r="G48" s="1" t="s">
        <v>5</v>
      </c>
      <c r="H48" s="1"/>
    </row>
    <row r="49" spans="1:8" x14ac:dyDescent="0.25">
      <c r="A49" s="53"/>
      <c r="B49" s="1" t="s">
        <v>154</v>
      </c>
      <c r="C49" s="1"/>
      <c r="D49" s="1">
        <v>1250</v>
      </c>
      <c r="E49" s="1">
        <v>1</v>
      </c>
      <c r="F49" s="11" t="s">
        <v>155</v>
      </c>
      <c r="G49" s="1">
        <f>D49*E49</f>
        <v>1250</v>
      </c>
      <c r="H49" s="1"/>
    </row>
    <row r="50" spans="1:8" x14ac:dyDescent="0.25">
      <c r="A50" s="54"/>
      <c r="B50" s="1" t="s">
        <v>156</v>
      </c>
      <c r="C50" s="1"/>
      <c r="D50" s="1">
        <v>100</v>
      </c>
      <c r="E50" s="1">
        <v>2</v>
      </c>
      <c r="F50" s="11" t="s">
        <v>153</v>
      </c>
      <c r="G50" s="21">
        <f t="shared" ref="G50:G56" si="3">D50*E50</f>
        <v>200</v>
      </c>
      <c r="H50" s="1"/>
    </row>
    <row r="51" spans="1:8" x14ac:dyDescent="0.25">
      <c r="A51" s="54"/>
      <c r="B51" s="1" t="s">
        <v>157</v>
      </c>
      <c r="C51" s="1"/>
      <c r="D51" s="1">
        <v>580</v>
      </c>
      <c r="E51" s="1">
        <v>1</v>
      </c>
      <c r="F51" s="11" t="s">
        <v>153</v>
      </c>
      <c r="G51" s="37">
        <f t="shared" si="3"/>
        <v>580</v>
      </c>
      <c r="H51" s="1"/>
    </row>
    <row r="52" spans="1:8" x14ac:dyDescent="0.25">
      <c r="A52" s="54"/>
      <c r="B52" s="37" t="s">
        <v>168</v>
      </c>
      <c r="C52" s="37"/>
      <c r="D52" s="37">
        <v>16</v>
      </c>
      <c r="E52" s="37">
        <v>3</v>
      </c>
      <c r="F52" s="37" t="s">
        <v>169</v>
      </c>
      <c r="G52" s="37">
        <f t="shared" si="3"/>
        <v>48</v>
      </c>
      <c r="H52" s="37"/>
    </row>
    <row r="53" spans="1:8" x14ac:dyDescent="0.25">
      <c r="A53" s="54"/>
      <c r="B53" s="37" t="s">
        <v>170</v>
      </c>
      <c r="C53" s="37"/>
      <c r="D53" s="37">
        <v>120</v>
      </c>
      <c r="E53" s="37">
        <v>1</v>
      </c>
      <c r="F53" s="37" t="s">
        <v>169</v>
      </c>
      <c r="G53" s="37">
        <f t="shared" si="3"/>
        <v>120</v>
      </c>
      <c r="H53" s="37"/>
    </row>
    <row r="54" spans="1:8" x14ac:dyDescent="0.25">
      <c r="A54" s="54"/>
      <c r="B54" s="1" t="s">
        <v>158</v>
      </c>
      <c r="C54" s="1"/>
      <c r="D54" s="1">
        <v>160</v>
      </c>
      <c r="E54" s="1">
        <v>1</v>
      </c>
      <c r="F54" s="11" t="s">
        <v>159</v>
      </c>
      <c r="G54" s="37">
        <f t="shared" si="3"/>
        <v>160</v>
      </c>
      <c r="H54" s="1"/>
    </row>
    <row r="55" spans="1:8" x14ac:dyDescent="0.25">
      <c r="A55" s="54"/>
      <c r="B55" s="11" t="s">
        <v>160</v>
      </c>
      <c r="C55" s="11"/>
      <c r="D55" s="12">
        <v>200</v>
      </c>
      <c r="E55" s="12">
        <v>1</v>
      </c>
      <c r="F55" s="12" t="s">
        <v>153</v>
      </c>
      <c r="G55" s="37">
        <f t="shared" si="3"/>
        <v>200</v>
      </c>
      <c r="H55" s="11"/>
    </row>
    <row r="56" spans="1:8" x14ac:dyDescent="0.25">
      <c r="A56" s="54"/>
      <c r="B56" s="37" t="s">
        <v>161</v>
      </c>
      <c r="C56" s="41"/>
      <c r="D56" s="41">
        <v>48</v>
      </c>
      <c r="E56" s="37">
        <v>10</v>
      </c>
      <c r="F56" s="3" t="s">
        <v>152</v>
      </c>
      <c r="G56" s="37">
        <f t="shared" si="3"/>
        <v>480</v>
      </c>
      <c r="H56" s="1"/>
    </row>
    <row r="57" spans="1:8" x14ac:dyDescent="0.25">
      <c r="A57" s="55"/>
      <c r="B57" s="46" t="s">
        <v>7</v>
      </c>
      <c r="C57" s="47"/>
      <c r="D57" s="48"/>
      <c r="E57" s="36"/>
      <c r="F57" s="36"/>
      <c r="G57" s="13">
        <f>SUM(G49:G56)</f>
        <v>3038</v>
      </c>
      <c r="H57" s="1"/>
    </row>
    <row r="58" spans="1:8" x14ac:dyDescent="0.25">
      <c r="A58" s="40"/>
      <c r="B58" s="56" t="s">
        <v>14</v>
      </c>
      <c r="C58" s="57"/>
      <c r="D58" s="58"/>
      <c r="E58" s="35"/>
      <c r="F58" s="35"/>
      <c r="G58" s="8">
        <f>G57+G47+G43+G35+G23+G17+G9</f>
        <v>37525.5</v>
      </c>
      <c r="H58" s="37"/>
    </row>
  </sheetData>
  <mergeCells count="16">
    <mergeCell ref="B58:D58"/>
    <mergeCell ref="A49:A57"/>
    <mergeCell ref="B57:D57"/>
    <mergeCell ref="A24:A34"/>
    <mergeCell ref="B35:D35"/>
    <mergeCell ref="B43:D43"/>
    <mergeCell ref="A45:A47"/>
    <mergeCell ref="B47:D47"/>
    <mergeCell ref="A36:A43"/>
    <mergeCell ref="A18:A22"/>
    <mergeCell ref="B23:D23"/>
    <mergeCell ref="A1:H1"/>
    <mergeCell ref="A3:A9"/>
    <mergeCell ref="B9:D9"/>
    <mergeCell ref="A11:A16"/>
    <mergeCell ref="B17:D17"/>
  </mergeCells>
  <phoneticPr fontId="2" type="noConversion"/>
  <pageMargins left="0.7" right="0.7" top="0.75" bottom="0.75" header="0.3" footer="0.3"/>
  <pageSetup paperSize="9" scale="8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7" workbookViewId="0">
      <selection sqref="A1:H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42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2" t="s">
        <v>56</v>
      </c>
      <c r="B3" s="1" t="s">
        <v>102</v>
      </c>
      <c r="C3" s="1">
        <v>150</v>
      </c>
      <c r="D3" s="1">
        <v>55</v>
      </c>
      <c r="E3" s="1">
        <v>150</v>
      </c>
      <c r="F3" s="30" t="s">
        <v>85</v>
      </c>
      <c r="G3" s="2">
        <f>D3*E3</f>
        <v>8250</v>
      </c>
      <c r="H3" s="1"/>
    </row>
    <row r="4" spans="1:8" x14ac:dyDescent="0.25">
      <c r="A4" s="52"/>
      <c r="B4" s="1" t="s">
        <v>103</v>
      </c>
      <c r="C4" s="1">
        <v>25</v>
      </c>
      <c r="D4" s="1">
        <v>66.239999999999995</v>
      </c>
      <c r="E4" s="1">
        <v>5.17</v>
      </c>
      <c r="F4" s="30" t="s">
        <v>17</v>
      </c>
      <c r="G4" s="2">
        <f>D4*E4</f>
        <v>342.46079999999995</v>
      </c>
      <c r="H4" s="1"/>
    </row>
    <row r="5" spans="1:8" x14ac:dyDescent="0.25">
      <c r="A5" s="52"/>
      <c r="B5" s="1"/>
      <c r="C5" s="1"/>
      <c r="D5" s="1"/>
      <c r="E5" s="1"/>
      <c r="F5" s="30"/>
      <c r="G5" s="1"/>
      <c r="H5" s="1"/>
    </row>
    <row r="6" spans="1:8" x14ac:dyDescent="0.25">
      <c r="A6" s="52"/>
      <c r="B6" s="17"/>
      <c r="C6" s="1"/>
      <c r="D6" s="1"/>
      <c r="E6" s="3"/>
      <c r="F6" s="3"/>
      <c r="G6" s="3"/>
      <c r="H6" s="1"/>
    </row>
    <row r="7" spans="1:8" x14ac:dyDescent="0.25">
      <c r="A7" s="52"/>
      <c r="B7" s="46" t="s">
        <v>7</v>
      </c>
      <c r="C7" s="47"/>
      <c r="D7" s="48"/>
      <c r="E7" s="3"/>
      <c r="F7" s="3"/>
      <c r="G7" s="13">
        <f>SUM(G3:G6)</f>
        <v>8592.4608000000007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2" t="s">
        <v>57</v>
      </c>
      <c r="B9" s="17" t="s">
        <v>104</v>
      </c>
      <c r="C9" s="1">
        <v>45</v>
      </c>
      <c r="D9" s="1">
        <v>117</v>
      </c>
      <c r="E9" s="1">
        <v>45</v>
      </c>
      <c r="F9" s="33" t="s">
        <v>68</v>
      </c>
      <c r="G9" s="1">
        <f>D9*E9</f>
        <v>5265</v>
      </c>
      <c r="H9" s="1"/>
    </row>
    <row r="10" spans="1:8" x14ac:dyDescent="0.25">
      <c r="A10" s="52"/>
      <c r="B10" s="1" t="s">
        <v>105</v>
      </c>
      <c r="C10" s="1">
        <v>3</v>
      </c>
      <c r="D10" s="1">
        <v>269</v>
      </c>
      <c r="E10" s="1">
        <v>3</v>
      </c>
      <c r="F10" s="30" t="s">
        <v>113</v>
      </c>
      <c r="G10" s="39">
        <f>D10*E10</f>
        <v>807</v>
      </c>
      <c r="H10" s="1"/>
    </row>
    <row r="11" spans="1:8" x14ac:dyDescent="0.25">
      <c r="A11" s="52"/>
      <c r="B11" s="1"/>
      <c r="C11" s="1"/>
      <c r="D11" s="1"/>
      <c r="E11" s="1"/>
      <c r="F11" s="30"/>
      <c r="G11" s="1"/>
      <c r="H11" s="1"/>
    </row>
    <row r="12" spans="1:8" x14ac:dyDescent="0.25">
      <c r="A12" s="52"/>
      <c r="B12" s="1"/>
      <c r="C12" s="1"/>
      <c r="D12" s="1"/>
      <c r="E12" s="1"/>
      <c r="F12" s="30"/>
      <c r="G12" s="1"/>
      <c r="H12" s="1"/>
    </row>
    <row r="13" spans="1:8" x14ac:dyDescent="0.25">
      <c r="A13" s="52"/>
      <c r="B13" s="1"/>
      <c r="C13" s="1"/>
      <c r="D13" s="1"/>
      <c r="E13" s="1"/>
      <c r="F13" s="1"/>
      <c r="G13" s="1"/>
      <c r="H13" s="1"/>
    </row>
    <row r="14" spans="1:8" x14ac:dyDescent="0.25">
      <c r="A14" s="52"/>
      <c r="B14" s="46" t="s">
        <v>7</v>
      </c>
      <c r="C14" s="47"/>
      <c r="D14" s="48"/>
      <c r="E14" s="3"/>
      <c r="F14" s="3"/>
      <c r="G14" s="13">
        <f>SUM(G9:G13)</f>
        <v>6072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2" t="s">
        <v>60</v>
      </c>
      <c r="B16" s="45" t="s">
        <v>114</v>
      </c>
      <c r="C16" s="45">
        <v>50</v>
      </c>
      <c r="D16" s="45">
        <v>33.659999999999997</v>
      </c>
      <c r="E16" s="45">
        <v>50</v>
      </c>
      <c r="F16" s="45" t="s">
        <v>68</v>
      </c>
      <c r="G16" s="45">
        <f>D16*E16</f>
        <v>1682.9999999999998</v>
      </c>
      <c r="H16" s="43"/>
    </row>
    <row r="17" spans="1:8" x14ac:dyDescent="0.25">
      <c r="A17" s="52"/>
      <c r="B17" s="45" t="s">
        <v>115</v>
      </c>
      <c r="C17" s="45">
        <v>10</v>
      </c>
      <c r="D17" s="45">
        <v>93</v>
      </c>
      <c r="E17" s="45">
        <v>10</v>
      </c>
      <c r="F17" s="45" t="s">
        <v>68</v>
      </c>
      <c r="G17" s="45">
        <f t="shared" ref="G17:G18" si="0">D17*E17</f>
        <v>930</v>
      </c>
      <c r="H17" s="43"/>
    </row>
    <row r="18" spans="1:8" x14ac:dyDescent="0.25">
      <c r="A18" s="52"/>
      <c r="B18" s="45" t="s">
        <v>97</v>
      </c>
      <c r="C18" s="45">
        <v>3</v>
      </c>
      <c r="D18" s="45">
        <v>22.8</v>
      </c>
      <c r="E18" s="45">
        <v>3</v>
      </c>
      <c r="F18" s="45" t="s">
        <v>68</v>
      </c>
      <c r="G18" s="45">
        <f t="shared" si="0"/>
        <v>68.400000000000006</v>
      </c>
      <c r="H18" s="43"/>
    </row>
    <row r="19" spans="1:8" x14ac:dyDescent="0.25">
      <c r="A19" s="52"/>
      <c r="B19" s="43"/>
      <c r="C19" s="43"/>
      <c r="D19" s="43"/>
      <c r="E19" s="42"/>
      <c r="F19" s="42"/>
      <c r="G19" s="43"/>
      <c r="H19" s="43"/>
    </row>
    <row r="20" spans="1:8" x14ac:dyDescent="0.25">
      <c r="A20" s="52"/>
      <c r="B20" s="46" t="s">
        <v>7</v>
      </c>
      <c r="C20" s="47"/>
      <c r="D20" s="48"/>
      <c r="E20" s="42"/>
      <c r="F20" s="42"/>
      <c r="G20" s="13">
        <f>SUM(G16:G19)</f>
        <v>2681.4</v>
      </c>
      <c r="H20" s="43"/>
    </row>
    <row r="21" spans="1:8" x14ac:dyDescent="0.25">
      <c r="A21" s="4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2"/>
      <c r="B22" s="1" t="s">
        <v>107</v>
      </c>
      <c r="C22" s="1">
        <v>2</v>
      </c>
      <c r="D22" s="1">
        <v>90</v>
      </c>
      <c r="E22" s="1">
        <v>0.67</v>
      </c>
      <c r="F22" s="30" t="s">
        <v>17</v>
      </c>
      <c r="G22" s="1">
        <f>D22*E22</f>
        <v>60.300000000000004</v>
      </c>
      <c r="H22" s="1"/>
    </row>
    <row r="23" spans="1:8" x14ac:dyDescent="0.25">
      <c r="A23" s="52"/>
      <c r="B23" s="1" t="s">
        <v>108</v>
      </c>
      <c r="C23" s="1">
        <v>2</v>
      </c>
      <c r="D23" s="1">
        <v>126</v>
      </c>
      <c r="E23" s="1">
        <v>0.5</v>
      </c>
      <c r="F23" s="30" t="s">
        <v>17</v>
      </c>
      <c r="G23" s="39">
        <f t="shared" ref="G23:G28" si="1">D23*E23</f>
        <v>63</v>
      </c>
      <c r="H23" s="1"/>
    </row>
    <row r="24" spans="1:8" x14ac:dyDescent="0.25">
      <c r="A24" s="52"/>
      <c r="B24" s="33" t="s">
        <v>73</v>
      </c>
      <c r="C24" s="33">
        <v>4</v>
      </c>
      <c r="D24" s="33">
        <v>141</v>
      </c>
      <c r="E24" s="33">
        <v>4</v>
      </c>
      <c r="F24" s="33" t="s">
        <v>68</v>
      </c>
      <c r="G24" s="39">
        <f t="shared" si="1"/>
        <v>564</v>
      </c>
      <c r="H24" s="33"/>
    </row>
    <row r="25" spans="1:8" x14ac:dyDescent="0.25">
      <c r="A25" s="52"/>
      <c r="B25" s="1" t="s">
        <v>109</v>
      </c>
      <c r="C25" s="1">
        <v>8</v>
      </c>
      <c r="D25" s="1">
        <v>21</v>
      </c>
      <c r="E25" s="1">
        <v>8</v>
      </c>
      <c r="F25" s="33" t="s">
        <v>68</v>
      </c>
      <c r="G25" s="39">
        <f t="shared" si="1"/>
        <v>168</v>
      </c>
      <c r="H25" s="1"/>
    </row>
    <row r="26" spans="1:8" x14ac:dyDescent="0.25">
      <c r="A26" s="52"/>
      <c r="B26" s="33" t="s">
        <v>97</v>
      </c>
      <c r="C26" s="33" t="s">
        <v>86</v>
      </c>
      <c r="D26" s="33">
        <v>25.08</v>
      </c>
      <c r="E26" s="33">
        <v>0.5</v>
      </c>
      <c r="F26" s="33" t="s">
        <v>68</v>
      </c>
      <c r="G26" s="39">
        <f t="shared" si="1"/>
        <v>12.54</v>
      </c>
      <c r="H26" s="33"/>
    </row>
    <row r="27" spans="1:8" x14ac:dyDescent="0.25">
      <c r="A27" s="52"/>
      <c r="B27" s="33" t="s">
        <v>96</v>
      </c>
      <c r="C27" s="33" t="s">
        <v>86</v>
      </c>
      <c r="D27" s="33">
        <v>11.7</v>
      </c>
      <c r="E27" s="33">
        <v>0.5</v>
      </c>
      <c r="F27" s="33" t="s">
        <v>68</v>
      </c>
      <c r="G27" s="39">
        <f t="shared" si="1"/>
        <v>5.85</v>
      </c>
      <c r="H27" s="33"/>
    </row>
    <row r="28" spans="1:8" x14ac:dyDescent="0.25">
      <c r="A28" s="52"/>
      <c r="B28" s="30" t="s">
        <v>180</v>
      </c>
      <c r="C28" s="30"/>
      <c r="D28" s="30">
        <v>22.08</v>
      </c>
      <c r="E28" s="30">
        <v>8</v>
      </c>
      <c r="F28" s="30" t="s">
        <v>177</v>
      </c>
      <c r="G28" s="39">
        <f t="shared" si="1"/>
        <v>176.64</v>
      </c>
      <c r="H28" s="30"/>
    </row>
    <row r="29" spans="1:8" x14ac:dyDescent="0.25">
      <c r="A29" s="52"/>
      <c r="B29" s="1"/>
      <c r="C29" s="1"/>
      <c r="D29" s="1"/>
      <c r="E29" s="1"/>
      <c r="F29" s="30"/>
      <c r="G29" s="1"/>
      <c r="H29" s="1"/>
    </row>
    <row r="30" spans="1:8" x14ac:dyDescent="0.25">
      <c r="A30" s="52"/>
      <c r="B30" s="46" t="s">
        <v>7</v>
      </c>
      <c r="C30" s="47"/>
      <c r="D30" s="48"/>
      <c r="E30" s="3"/>
      <c r="F30" s="3"/>
      <c r="G30" s="13">
        <f>SUM(G22:G29)</f>
        <v>1050.33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52" t="s">
        <v>59</v>
      </c>
      <c r="B32" s="24" t="s">
        <v>112</v>
      </c>
      <c r="C32" s="24" t="s">
        <v>72</v>
      </c>
      <c r="D32" s="24"/>
      <c r="E32" s="24"/>
      <c r="G32" s="1"/>
      <c r="H32" s="1" t="s">
        <v>15</v>
      </c>
    </row>
    <row r="33" spans="1:8" x14ac:dyDescent="0.25">
      <c r="A33" s="52"/>
      <c r="B33" s="1" t="s">
        <v>110</v>
      </c>
      <c r="C33" s="1">
        <v>1</v>
      </c>
      <c r="D33" s="1">
        <v>40.200000000000003</v>
      </c>
      <c r="E33" s="1">
        <v>10</v>
      </c>
      <c r="F33" s="1" t="s">
        <v>67</v>
      </c>
      <c r="G33" s="1">
        <f>D33*E33</f>
        <v>402</v>
      </c>
      <c r="H33" s="1"/>
    </row>
    <row r="34" spans="1:8" x14ac:dyDescent="0.25">
      <c r="A34" s="52"/>
      <c r="B34" s="1" t="s">
        <v>111</v>
      </c>
      <c r="C34" s="1">
        <v>3</v>
      </c>
      <c r="D34" s="1">
        <v>225</v>
      </c>
      <c r="E34" s="1">
        <v>3</v>
      </c>
      <c r="F34" s="1" t="s">
        <v>181</v>
      </c>
      <c r="G34" s="39">
        <f>D34*E34</f>
        <v>675</v>
      </c>
      <c r="H34" s="1"/>
    </row>
    <row r="35" spans="1:8" x14ac:dyDescent="0.25">
      <c r="A35" s="52"/>
      <c r="B35" s="46"/>
      <c r="C35" s="47"/>
      <c r="D35" s="48"/>
      <c r="E35" s="3"/>
      <c r="F35" s="3"/>
      <c r="G35" s="15">
        <f>SUM(G32:G34)</f>
        <v>1077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53"/>
      <c r="B37" s="39" t="s">
        <v>125</v>
      </c>
      <c r="C37" s="39"/>
      <c r="D37" s="39">
        <v>17.34</v>
      </c>
      <c r="E37" s="39">
        <v>70</v>
      </c>
      <c r="F37" s="39" t="s">
        <v>17</v>
      </c>
      <c r="G37" s="39">
        <f>D37*E37</f>
        <v>1213.8</v>
      </c>
      <c r="H37" s="1"/>
    </row>
    <row r="38" spans="1:8" x14ac:dyDescent="0.25">
      <c r="A38" s="54"/>
      <c r="B38" s="1" t="s">
        <v>219</v>
      </c>
      <c r="C38" s="1"/>
      <c r="D38" s="1"/>
      <c r="E38" s="1"/>
      <c r="F38" s="1"/>
      <c r="G38" s="39"/>
      <c r="H38" s="1" t="s">
        <v>220</v>
      </c>
    </row>
    <row r="39" spans="1:8" x14ac:dyDescent="0.25">
      <c r="A39" s="55"/>
      <c r="B39" s="46" t="s">
        <v>7</v>
      </c>
      <c r="C39" s="47"/>
      <c r="D39" s="48"/>
      <c r="E39" s="3"/>
      <c r="F39" s="3"/>
      <c r="G39" s="13">
        <f>SUM(G37:G38)</f>
        <v>1213.8</v>
      </c>
      <c r="H39" s="5"/>
    </row>
    <row r="40" spans="1:8" x14ac:dyDescent="0.25">
      <c r="A40" s="6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52"/>
      <c r="B41" s="1" t="s">
        <v>182</v>
      </c>
      <c r="C41" s="1"/>
      <c r="D41" s="1">
        <v>240</v>
      </c>
      <c r="E41" s="1">
        <v>1</v>
      </c>
      <c r="F41" s="1" t="s">
        <v>183</v>
      </c>
      <c r="G41" s="1">
        <f>D41*E41</f>
        <v>240</v>
      </c>
      <c r="H41" s="1"/>
    </row>
    <row r="42" spans="1:8" x14ac:dyDescent="0.25">
      <c r="A42" s="52"/>
      <c r="B42" s="1" t="s">
        <v>184</v>
      </c>
      <c r="C42" s="1"/>
      <c r="D42" s="1">
        <v>12</v>
      </c>
      <c r="E42" s="1">
        <v>10</v>
      </c>
      <c r="F42" s="1" t="s">
        <v>185</v>
      </c>
      <c r="G42" s="39">
        <f t="shared" ref="G42:G43" si="2">D42*E42</f>
        <v>120</v>
      </c>
      <c r="H42" s="1"/>
    </row>
    <row r="43" spans="1:8" x14ac:dyDescent="0.25">
      <c r="A43" s="52"/>
      <c r="B43" s="1" t="s">
        <v>186</v>
      </c>
      <c r="C43" s="1"/>
      <c r="D43" s="1">
        <v>160</v>
      </c>
      <c r="E43" s="1">
        <v>1</v>
      </c>
      <c r="F43" s="1" t="s">
        <v>181</v>
      </c>
      <c r="G43" s="39">
        <f t="shared" si="2"/>
        <v>160</v>
      </c>
      <c r="H43" s="1"/>
    </row>
    <row r="44" spans="1:8" x14ac:dyDescent="0.25">
      <c r="A44" s="52"/>
      <c r="B44" s="1"/>
      <c r="C44" s="1"/>
      <c r="D44" s="1"/>
      <c r="E44" s="1"/>
      <c r="F44" s="1"/>
      <c r="G44" s="1"/>
      <c r="H44" s="1"/>
    </row>
    <row r="45" spans="1:8" x14ac:dyDescent="0.25">
      <c r="A45" s="52"/>
      <c r="B45" s="46" t="s">
        <v>7</v>
      </c>
      <c r="C45" s="47"/>
      <c r="D45" s="48"/>
      <c r="E45" s="3"/>
      <c r="F45" s="3"/>
      <c r="G45" s="15">
        <f>SUM(G41:G44)</f>
        <v>520</v>
      </c>
      <c r="H45" s="1"/>
    </row>
    <row r="46" spans="1:8" x14ac:dyDescent="0.25">
      <c r="A46" s="1"/>
      <c r="B46" s="56" t="s">
        <v>14</v>
      </c>
      <c r="C46" s="57"/>
      <c r="D46" s="58"/>
      <c r="E46" s="7"/>
      <c r="F46" s="7"/>
      <c r="G46" s="8">
        <f>G45+G39+G35+G20+G14+G7+G30</f>
        <v>21206.9908</v>
      </c>
      <c r="H46" s="1"/>
    </row>
  </sheetData>
  <mergeCells count="16">
    <mergeCell ref="A41:A45"/>
    <mergeCell ref="B45:D45"/>
    <mergeCell ref="B46:D46"/>
    <mergeCell ref="A22:A30"/>
    <mergeCell ref="B30:D30"/>
    <mergeCell ref="A32:A35"/>
    <mergeCell ref="B35:D35"/>
    <mergeCell ref="A37:A39"/>
    <mergeCell ref="B39:D39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2"/>
  <sheetViews>
    <sheetView tabSelected="1" topLeftCell="A45" workbookViewId="0">
      <selection activeCell="H62" sqref="A1:H6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</cols>
  <sheetData>
    <row r="1" spans="1:8" x14ac:dyDescent="0.25">
      <c r="A1" s="49" t="s">
        <v>43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2" t="s">
        <v>175</v>
      </c>
      <c r="B3" s="1" t="s">
        <v>69</v>
      </c>
      <c r="C3" s="1">
        <v>260</v>
      </c>
      <c r="D3" s="1">
        <v>99</v>
      </c>
      <c r="E3" s="1">
        <v>62.23</v>
      </c>
      <c r="F3" s="30" t="s">
        <v>17</v>
      </c>
      <c r="G3" s="2">
        <f>D3*E3</f>
        <v>6160.7699999999995</v>
      </c>
      <c r="H3" s="1"/>
    </row>
    <row r="4" spans="1:8" x14ac:dyDescent="0.25">
      <c r="A4" s="52"/>
      <c r="B4" s="1" t="s">
        <v>116</v>
      </c>
      <c r="C4" s="1">
        <v>1</v>
      </c>
      <c r="D4" s="1">
        <v>138</v>
      </c>
      <c r="E4" s="1">
        <v>1</v>
      </c>
      <c r="F4" s="30" t="s">
        <v>189</v>
      </c>
      <c r="G4" s="2">
        <f t="shared" ref="G4:G6" si="0">D4*E4</f>
        <v>138</v>
      </c>
      <c r="H4" s="1"/>
    </row>
    <row r="5" spans="1:8" x14ac:dyDescent="0.25">
      <c r="A5" s="52"/>
      <c r="B5" s="1" t="s">
        <v>173</v>
      </c>
      <c r="C5" s="1"/>
      <c r="D5" s="1">
        <v>630</v>
      </c>
      <c r="E5" s="1">
        <v>1</v>
      </c>
      <c r="F5" s="30" t="s">
        <v>174</v>
      </c>
      <c r="G5" s="2">
        <f t="shared" si="0"/>
        <v>630</v>
      </c>
      <c r="H5" s="1"/>
    </row>
    <row r="6" spans="1:8" x14ac:dyDescent="0.25">
      <c r="A6" s="52"/>
      <c r="B6" s="1" t="s">
        <v>176</v>
      </c>
      <c r="C6" s="1"/>
      <c r="D6" s="1">
        <v>99</v>
      </c>
      <c r="E6" s="3">
        <v>1</v>
      </c>
      <c r="F6" s="29" t="s">
        <v>177</v>
      </c>
      <c r="G6" s="2">
        <f t="shared" si="0"/>
        <v>99</v>
      </c>
      <c r="H6" s="1"/>
    </row>
    <row r="7" spans="1:8" x14ac:dyDescent="0.25">
      <c r="A7" s="52"/>
      <c r="B7" s="1"/>
      <c r="C7" s="1"/>
      <c r="D7" s="1"/>
      <c r="E7" s="3"/>
      <c r="F7" s="3"/>
      <c r="G7" s="3"/>
      <c r="H7" s="1"/>
    </row>
    <row r="8" spans="1:8" x14ac:dyDescent="0.25">
      <c r="A8" s="52"/>
      <c r="B8" s="46" t="s">
        <v>7</v>
      </c>
      <c r="C8" s="47"/>
      <c r="D8" s="48"/>
      <c r="E8" s="3"/>
      <c r="F8" s="3"/>
      <c r="G8" s="13">
        <f>SUM(G3:G7)</f>
        <v>7027.7699999999995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30"/>
      <c r="G9" s="1" t="s">
        <v>5</v>
      </c>
      <c r="H9" s="1" t="s">
        <v>6</v>
      </c>
    </row>
    <row r="10" spans="1:8" x14ac:dyDescent="0.25">
      <c r="A10" s="53" t="s">
        <v>61</v>
      </c>
      <c r="B10" s="45" t="s">
        <v>117</v>
      </c>
      <c r="C10" s="45">
        <v>40</v>
      </c>
      <c r="D10" s="45">
        <v>29.58</v>
      </c>
      <c r="E10" s="45">
        <v>40</v>
      </c>
      <c r="F10" s="45" t="s">
        <v>68</v>
      </c>
      <c r="G10" s="45">
        <f>D10*E10</f>
        <v>1183.1999999999998</v>
      </c>
      <c r="H10" s="24"/>
    </row>
    <row r="11" spans="1:8" x14ac:dyDescent="0.25">
      <c r="A11" s="54"/>
      <c r="B11" s="45" t="s">
        <v>37</v>
      </c>
      <c r="C11" s="45">
        <v>15</v>
      </c>
      <c r="D11" s="45">
        <v>105</v>
      </c>
      <c r="E11" s="45">
        <v>15</v>
      </c>
      <c r="F11" s="45" t="s">
        <v>68</v>
      </c>
      <c r="G11" s="45">
        <f>D11*E11</f>
        <v>1575</v>
      </c>
      <c r="H11" s="1"/>
    </row>
    <row r="12" spans="1:8" x14ac:dyDescent="0.25">
      <c r="A12" s="54"/>
      <c r="B12" s="1"/>
      <c r="C12" s="1"/>
      <c r="D12" s="1"/>
      <c r="E12" s="1"/>
      <c r="F12" s="33"/>
      <c r="G12" s="43"/>
      <c r="H12" s="1"/>
    </row>
    <row r="13" spans="1:8" x14ac:dyDescent="0.25">
      <c r="A13" s="54"/>
      <c r="B13" s="1"/>
      <c r="C13" s="1"/>
      <c r="D13" s="1"/>
      <c r="E13" s="1"/>
      <c r="F13" s="11"/>
      <c r="G13" s="1"/>
      <c r="H13" s="1"/>
    </row>
    <row r="14" spans="1:8" x14ac:dyDescent="0.25">
      <c r="A14" s="54"/>
      <c r="B14" s="45"/>
      <c r="C14" s="45"/>
      <c r="D14" s="45"/>
      <c r="E14" s="45"/>
      <c r="F14" s="44"/>
      <c r="G14" s="44"/>
      <c r="H14" s="45"/>
    </row>
    <row r="15" spans="1:8" x14ac:dyDescent="0.25">
      <c r="A15" s="55"/>
      <c r="B15" s="46" t="s">
        <v>7</v>
      </c>
      <c r="C15" s="47"/>
      <c r="D15" s="48"/>
      <c r="E15" s="3"/>
      <c r="F15" s="3"/>
      <c r="G15" s="13">
        <f>SUM(G10:G13)</f>
        <v>2758.2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52" t="s">
        <v>58</v>
      </c>
      <c r="B17" s="43" t="s">
        <v>76</v>
      </c>
      <c r="C17" s="43">
        <v>1</v>
      </c>
      <c r="D17" s="43">
        <v>51.6</v>
      </c>
      <c r="E17" s="43">
        <v>20</v>
      </c>
      <c r="F17" s="43" t="s">
        <v>17</v>
      </c>
      <c r="G17" s="43">
        <f>D17*E17</f>
        <v>1032</v>
      </c>
      <c r="H17" s="43"/>
    </row>
    <row r="18" spans="1:8" x14ac:dyDescent="0.25">
      <c r="A18" s="52"/>
      <c r="B18" s="43" t="s">
        <v>106</v>
      </c>
      <c r="C18" s="43">
        <v>1</v>
      </c>
      <c r="D18" s="43">
        <v>84</v>
      </c>
      <c r="E18" s="43">
        <v>15</v>
      </c>
      <c r="F18" s="43" t="s">
        <v>89</v>
      </c>
      <c r="G18" s="43">
        <f>D18*E18</f>
        <v>1260</v>
      </c>
      <c r="H18" s="43"/>
    </row>
    <row r="19" spans="1:8" x14ac:dyDescent="0.25">
      <c r="A19" s="52"/>
      <c r="B19" s="43"/>
      <c r="C19" s="43"/>
      <c r="D19" s="43"/>
      <c r="E19" s="43"/>
      <c r="F19" s="43"/>
      <c r="G19" s="43"/>
      <c r="H19" s="43"/>
    </row>
    <row r="20" spans="1:8" x14ac:dyDescent="0.25">
      <c r="A20" s="52"/>
      <c r="B20" s="43"/>
      <c r="C20" s="43"/>
      <c r="D20" s="43"/>
      <c r="E20" s="43"/>
      <c r="F20" s="43"/>
      <c r="G20" s="43"/>
      <c r="H20" s="43"/>
    </row>
    <row r="21" spans="1:8" x14ac:dyDescent="0.25">
      <c r="A21" s="52"/>
      <c r="B21" s="46" t="s">
        <v>7</v>
      </c>
      <c r="C21" s="47"/>
      <c r="D21" s="48"/>
      <c r="E21" s="42"/>
      <c r="F21" s="42"/>
      <c r="G21" s="15">
        <f>SUM(G17:G20)</f>
        <v>2292</v>
      </c>
      <c r="H21" s="43"/>
    </row>
    <row r="22" spans="1:8" x14ac:dyDescent="0.25">
      <c r="A22" s="4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59"/>
      <c r="B23" s="17" t="s">
        <v>118</v>
      </c>
      <c r="C23" s="11" t="s">
        <v>86</v>
      </c>
      <c r="D23" s="11">
        <v>165</v>
      </c>
      <c r="E23" s="11">
        <v>0.5</v>
      </c>
      <c r="F23" s="33" t="s">
        <v>68</v>
      </c>
      <c r="G23" s="11">
        <f>D23*E23</f>
        <v>82.5</v>
      </c>
      <c r="H23" s="11"/>
    </row>
    <row r="24" spans="1:8" x14ac:dyDescent="0.25">
      <c r="A24" s="60"/>
      <c r="B24" s="11" t="s">
        <v>96</v>
      </c>
      <c r="C24" s="11" t="s">
        <v>86</v>
      </c>
      <c r="D24" s="11">
        <v>60</v>
      </c>
      <c r="E24" s="11">
        <v>0.5</v>
      </c>
      <c r="F24" s="33" t="s">
        <v>68</v>
      </c>
      <c r="G24" s="43">
        <f t="shared" ref="G24:G41" si="1">D24*E24</f>
        <v>30</v>
      </c>
      <c r="H24" s="11"/>
    </row>
    <row r="25" spans="1:8" x14ac:dyDescent="0.25">
      <c r="A25" s="60"/>
      <c r="B25" s="11" t="s">
        <v>82</v>
      </c>
      <c r="C25" s="11">
        <v>2</v>
      </c>
      <c r="D25" s="11">
        <v>22.8</v>
      </c>
      <c r="E25" s="11">
        <v>2</v>
      </c>
      <c r="F25" s="33" t="s">
        <v>68</v>
      </c>
      <c r="G25" s="43">
        <f t="shared" si="1"/>
        <v>45.6</v>
      </c>
      <c r="H25" s="1"/>
    </row>
    <row r="26" spans="1:8" x14ac:dyDescent="0.25">
      <c r="A26" s="60"/>
      <c r="B26" s="1" t="s">
        <v>119</v>
      </c>
      <c r="C26" s="1">
        <v>4</v>
      </c>
      <c r="D26" s="1">
        <v>177</v>
      </c>
      <c r="E26" s="1">
        <v>4</v>
      </c>
      <c r="F26" s="33" t="s">
        <v>68</v>
      </c>
      <c r="G26" s="43">
        <f t="shared" si="1"/>
        <v>708</v>
      </c>
      <c r="H26" s="11"/>
    </row>
    <row r="27" spans="1:8" x14ac:dyDescent="0.25">
      <c r="A27" s="60"/>
      <c r="B27" s="1" t="s">
        <v>120</v>
      </c>
      <c r="C27" s="1">
        <v>40</v>
      </c>
      <c r="D27" s="1">
        <v>132</v>
      </c>
      <c r="E27" s="1">
        <v>2.5</v>
      </c>
      <c r="F27" s="1" t="s">
        <v>17</v>
      </c>
      <c r="G27" s="43">
        <f t="shared" si="1"/>
        <v>330</v>
      </c>
      <c r="H27" s="11"/>
    </row>
    <row r="28" spans="1:8" x14ac:dyDescent="0.25">
      <c r="A28" s="60"/>
      <c r="B28" s="1" t="s">
        <v>121</v>
      </c>
      <c r="C28" s="1">
        <v>25</v>
      </c>
      <c r="D28" s="1">
        <v>10</v>
      </c>
      <c r="E28" s="1">
        <v>25</v>
      </c>
      <c r="F28" s="1" t="s">
        <v>92</v>
      </c>
      <c r="G28" s="43">
        <f t="shared" si="1"/>
        <v>250</v>
      </c>
      <c r="H28" s="24"/>
    </row>
    <row r="29" spans="1:8" x14ac:dyDescent="0.25">
      <c r="A29" s="60"/>
      <c r="B29" s="1" t="s">
        <v>203</v>
      </c>
      <c r="C29" s="1"/>
      <c r="D29" s="1">
        <v>4.5</v>
      </c>
      <c r="E29" s="1">
        <v>50</v>
      </c>
      <c r="F29" s="1" t="s">
        <v>201</v>
      </c>
      <c r="G29" s="43">
        <f t="shared" si="1"/>
        <v>225</v>
      </c>
      <c r="H29" s="1"/>
    </row>
    <row r="30" spans="1:8" x14ac:dyDescent="0.25">
      <c r="A30" s="60"/>
      <c r="B30" s="43" t="s">
        <v>204</v>
      </c>
      <c r="C30" s="43"/>
      <c r="D30" s="43">
        <v>235</v>
      </c>
      <c r="E30" s="43">
        <v>2</v>
      </c>
      <c r="F30" s="43" t="s">
        <v>205</v>
      </c>
      <c r="G30" s="43">
        <f t="shared" si="1"/>
        <v>470</v>
      </c>
      <c r="H30" s="43"/>
    </row>
    <row r="31" spans="1:8" x14ac:dyDescent="0.25">
      <c r="A31" s="60"/>
      <c r="B31" s="43" t="s">
        <v>206</v>
      </c>
      <c r="C31" s="43"/>
      <c r="D31" s="43">
        <v>480</v>
      </c>
      <c r="E31" s="43">
        <v>1</v>
      </c>
      <c r="F31" s="43" t="s">
        <v>195</v>
      </c>
      <c r="G31" s="43">
        <f t="shared" si="1"/>
        <v>480</v>
      </c>
      <c r="H31" s="43"/>
    </row>
    <row r="32" spans="1:8" x14ac:dyDescent="0.25">
      <c r="A32" s="60"/>
      <c r="B32" s="43" t="s">
        <v>207</v>
      </c>
      <c r="C32" s="43"/>
      <c r="D32" s="43">
        <v>480</v>
      </c>
      <c r="E32" s="43">
        <v>1</v>
      </c>
      <c r="F32" s="43" t="s">
        <v>195</v>
      </c>
      <c r="G32" s="43">
        <f t="shared" si="1"/>
        <v>480</v>
      </c>
      <c r="H32" s="43"/>
    </row>
    <row r="33" spans="1:8" x14ac:dyDescent="0.25">
      <c r="A33" s="60"/>
      <c r="B33" s="43" t="s">
        <v>208</v>
      </c>
      <c r="C33" s="43"/>
      <c r="D33" s="43">
        <v>281</v>
      </c>
      <c r="E33" s="43">
        <v>1</v>
      </c>
      <c r="F33" s="43" t="s">
        <v>195</v>
      </c>
      <c r="G33" s="43">
        <f t="shared" si="1"/>
        <v>281</v>
      </c>
      <c r="H33" s="43"/>
    </row>
    <row r="34" spans="1:8" x14ac:dyDescent="0.25">
      <c r="A34" s="60"/>
      <c r="B34" s="43" t="s">
        <v>209</v>
      </c>
      <c r="C34" s="43"/>
      <c r="D34" s="43">
        <v>20</v>
      </c>
      <c r="E34" s="43">
        <v>3</v>
      </c>
      <c r="F34" s="43" t="s">
        <v>210</v>
      </c>
      <c r="G34" s="43">
        <f t="shared" si="1"/>
        <v>60</v>
      </c>
      <c r="H34" s="43"/>
    </row>
    <row r="35" spans="1:8" x14ac:dyDescent="0.25">
      <c r="A35" s="60"/>
      <c r="B35" s="43" t="s">
        <v>211</v>
      </c>
      <c r="C35" s="43"/>
      <c r="D35" s="43">
        <v>360</v>
      </c>
      <c r="E35" s="43">
        <v>1</v>
      </c>
      <c r="F35" s="43" t="s">
        <v>189</v>
      </c>
      <c r="G35" s="43">
        <f t="shared" si="1"/>
        <v>360</v>
      </c>
      <c r="H35" s="43"/>
    </row>
    <row r="36" spans="1:8" x14ac:dyDescent="0.25">
      <c r="A36" s="60"/>
      <c r="B36" s="43" t="s">
        <v>212</v>
      </c>
      <c r="C36" s="43"/>
      <c r="D36" s="43">
        <v>120</v>
      </c>
      <c r="E36" s="43">
        <v>1</v>
      </c>
      <c r="F36" s="43" t="s">
        <v>205</v>
      </c>
      <c r="G36" s="43">
        <f t="shared" si="1"/>
        <v>120</v>
      </c>
      <c r="H36" s="43"/>
    </row>
    <row r="37" spans="1:8" x14ac:dyDescent="0.25">
      <c r="A37" s="60"/>
      <c r="B37" s="43" t="s">
        <v>213</v>
      </c>
      <c r="C37" s="43"/>
      <c r="D37" s="43">
        <v>1688</v>
      </c>
      <c r="E37" s="43">
        <v>1</v>
      </c>
      <c r="F37" s="43" t="s">
        <v>189</v>
      </c>
      <c r="G37" s="43">
        <f t="shared" si="1"/>
        <v>1688</v>
      </c>
      <c r="H37" s="43"/>
    </row>
    <row r="38" spans="1:8" x14ac:dyDescent="0.25">
      <c r="A38" s="60"/>
      <c r="B38" s="43" t="s">
        <v>214</v>
      </c>
      <c r="C38" s="43"/>
      <c r="D38" s="43">
        <v>37</v>
      </c>
      <c r="E38" s="43">
        <v>20</v>
      </c>
      <c r="F38" s="43" t="s">
        <v>215</v>
      </c>
      <c r="G38" s="43">
        <f t="shared" si="1"/>
        <v>740</v>
      </c>
      <c r="H38" s="43"/>
    </row>
    <row r="39" spans="1:8" x14ac:dyDescent="0.25">
      <c r="A39" s="60"/>
      <c r="B39" s="43" t="s">
        <v>216</v>
      </c>
      <c r="C39" s="43"/>
      <c r="D39" s="43">
        <v>22.8</v>
      </c>
      <c r="E39" s="43">
        <v>3</v>
      </c>
      <c r="F39" s="43" t="s">
        <v>191</v>
      </c>
      <c r="G39" s="43">
        <f t="shared" si="1"/>
        <v>68.400000000000006</v>
      </c>
      <c r="H39" s="43"/>
    </row>
    <row r="40" spans="1:8" x14ac:dyDescent="0.25">
      <c r="A40" s="60"/>
      <c r="B40" s="43" t="s">
        <v>217</v>
      </c>
      <c r="C40" s="43"/>
      <c r="D40" s="43">
        <v>99</v>
      </c>
      <c r="E40" s="43">
        <v>1</v>
      </c>
      <c r="F40" s="43" t="s">
        <v>191</v>
      </c>
      <c r="G40" s="43">
        <f t="shared" si="1"/>
        <v>99</v>
      </c>
      <c r="H40" s="43"/>
    </row>
    <row r="41" spans="1:8" x14ac:dyDescent="0.25">
      <c r="A41" s="60"/>
      <c r="B41" s="43" t="s">
        <v>218</v>
      </c>
      <c r="C41" s="43"/>
      <c r="D41" s="43">
        <v>1188</v>
      </c>
      <c r="E41" s="43">
        <v>1</v>
      </c>
      <c r="F41" s="43" t="s">
        <v>195</v>
      </c>
      <c r="G41" s="43">
        <f t="shared" si="1"/>
        <v>1188</v>
      </c>
      <c r="H41" s="43"/>
    </row>
    <row r="42" spans="1:8" x14ac:dyDescent="0.25">
      <c r="A42" s="61"/>
      <c r="B42" s="46" t="s">
        <v>7</v>
      </c>
      <c r="C42" s="47"/>
      <c r="D42" s="48"/>
      <c r="E42" s="3"/>
      <c r="F42" s="3"/>
      <c r="G42" s="13">
        <f>SUM(G23:G41)</f>
        <v>7705.5</v>
      </c>
      <c r="H42" s="1"/>
    </row>
    <row r="43" spans="1:8" x14ac:dyDescent="0.25">
      <c r="A43" s="1" t="s">
        <v>11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 t="s">
        <v>6</v>
      </c>
    </row>
    <row r="44" spans="1:8" x14ac:dyDescent="0.25">
      <c r="A44" s="52" t="s">
        <v>178</v>
      </c>
      <c r="B44" s="1" t="s">
        <v>122</v>
      </c>
      <c r="C44" s="1">
        <v>20</v>
      </c>
      <c r="D44" s="1">
        <v>12.24</v>
      </c>
      <c r="E44" s="1">
        <v>21.67</v>
      </c>
      <c r="F44" s="33" t="s">
        <v>68</v>
      </c>
      <c r="G44" s="1">
        <f>D44*E44</f>
        <v>265.24080000000004</v>
      </c>
      <c r="H44" s="1"/>
    </row>
    <row r="45" spans="1:8" x14ac:dyDescent="0.25">
      <c r="A45" s="52"/>
      <c r="B45" s="1" t="s">
        <v>179</v>
      </c>
      <c r="C45" s="1">
        <v>15</v>
      </c>
      <c r="D45" s="1">
        <v>141</v>
      </c>
      <c r="E45" s="1">
        <v>15</v>
      </c>
      <c r="F45" s="33" t="s">
        <v>68</v>
      </c>
      <c r="G45" s="43">
        <f t="shared" ref="G45:G46" si="2">D45*E45</f>
        <v>2115</v>
      </c>
      <c r="H45" s="1"/>
    </row>
    <row r="46" spans="1:8" x14ac:dyDescent="0.25">
      <c r="A46" s="52"/>
      <c r="B46" s="1" t="s">
        <v>190</v>
      </c>
      <c r="C46" s="1"/>
      <c r="D46" s="1">
        <v>63</v>
      </c>
      <c r="E46" s="1">
        <v>5</v>
      </c>
      <c r="F46" s="1" t="s">
        <v>191</v>
      </c>
      <c r="G46" s="43">
        <f t="shared" si="2"/>
        <v>315</v>
      </c>
      <c r="H46" s="1"/>
    </row>
    <row r="47" spans="1:8" x14ac:dyDescent="0.25">
      <c r="A47" s="52"/>
      <c r="B47" s="46"/>
      <c r="C47" s="47"/>
      <c r="D47" s="48"/>
      <c r="E47" s="3"/>
      <c r="F47" s="3"/>
      <c r="G47" s="13">
        <f>SUM(G44:G46)</f>
        <v>2695.2408</v>
      </c>
      <c r="H47" s="1"/>
    </row>
    <row r="48" spans="1:8" x14ac:dyDescent="0.25">
      <c r="A48" s="1" t="s">
        <v>12</v>
      </c>
      <c r="B48" s="1" t="s">
        <v>1</v>
      </c>
      <c r="C48" s="1" t="s">
        <v>2</v>
      </c>
      <c r="D48" s="1" t="s">
        <v>3</v>
      </c>
      <c r="E48" s="3" t="s">
        <v>4</v>
      </c>
      <c r="F48" s="3"/>
      <c r="G48" s="3" t="s">
        <v>5</v>
      </c>
      <c r="H48" s="1" t="s">
        <v>6</v>
      </c>
    </row>
    <row r="49" spans="1:8" x14ac:dyDescent="0.25">
      <c r="A49" s="53"/>
      <c r="B49" s="39" t="s">
        <v>187</v>
      </c>
      <c r="C49" s="39"/>
      <c r="D49" s="39">
        <f>35*55</f>
        <v>1925</v>
      </c>
      <c r="E49" s="39">
        <v>2</v>
      </c>
      <c r="F49" s="39" t="s">
        <v>188</v>
      </c>
      <c r="G49" s="39">
        <f>D49*E49</f>
        <v>3850</v>
      </c>
      <c r="H49" s="1"/>
    </row>
    <row r="50" spans="1:8" x14ac:dyDescent="0.25">
      <c r="A50" s="54"/>
      <c r="B50" s="1" t="s">
        <v>202</v>
      </c>
      <c r="C50" s="1"/>
      <c r="D50" s="1">
        <v>70</v>
      </c>
      <c r="E50" s="1">
        <v>40</v>
      </c>
      <c r="F50" s="1" t="s">
        <v>189</v>
      </c>
      <c r="G50" s="43">
        <f>D50*E50</f>
        <v>2800</v>
      </c>
      <c r="H50" s="1"/>
    </row>
    <row r="51" spans="1:8" x14ac:dyDescent="0.25">
      <c r="A51" s="55"/>
      <c r="B51" s="46" t="s">
        <v>7</v>
      </c>
      <c r="C51" s="47"/>
      <c r="D51" s="48"/>
      <c r="E51" s="3"/>
      <c r="F51" s="3"/>
      <c r="G51" s="13">
        <f>SUM(G49:G50)</f>
        <v>6650</v>
      </c>
      <c r="H51" s="5"/>
    </row>
    <row r="52" spans="1:8" x14ac:dyDescent="0.25">
      <c r="A52" s="6" t="s">
        <v>13</v>
      </c>
      <c r="B52" s="1" t="s">
        <v>1</v>
      </c>
      <c r="C52" s="1" t="s">
        <v>2</v>
      </c>
      <c r="D52" s="1" t="s">
        <v>3</v>
      </c>
      <c r="E52" s="1" t="s">
        <v>4</v>
      </c>
      <c r="F52" s="1"/>
      <c r="G52" s="1" t="s">
        <v>5</v>
      </c>
      <c r="H52" s="1"/>
    </row>
    <row r="53" spans="1:8" x14ac:dyDescent="0.25">
      <c r="A53" s="52"/>
      <c r="B53" s="1" t="s">
        <v>192</v>
      </c>
      <c r="C53" s="1"/>
      <c r="D53" s="1">
        <v>100</v>
      </c>
      <c r="E53" s="1">
        <v>4</v>
      </c>
      <c r="F53" s="1" t="s">
        <v>191</v>
      </c>
      <c r="G53" s="1">
        <f>D53*E53</f>
        <v>400</v>
      </c>
      <c r="H53" s="1"/>
    </row>
    <row r="54" spans="1:8" x14ac:dyDescent="0.25">
      <c r="A54" s="52"/>
      <c r="B54" s="1" t="s">
        <v>193</v>
      </c>
      <c r="C54" s="1"/>
      <c r="D54" s="1">
        <v>22.8</v>
      </c>
      <c r="E54" s="1">
        <v>3</v>
      </c>
      <c r="F54" s="1" t="s">
        <v>191</v>
      </c>
      <c r="G54" s="43">
        <f t="shared" ref="G54:G60" si="3">D54*E54</f>
        <v>68.400000000000006</v>
      </c>
      <c r="H54" s="1"/>
    </row>
    <row r="55" spans="1:8" x14ac:dyDescent="0.25">
      <c r="A55" s="52"/>
      <c r="B55" s="1" t="s">
        <v>194</v>
      </c>
      <c r="C55" s="1"/>
      <c r="D55" s="1">
        <v>255</v>
      </c>
      <c r="E55" s="1">
        <v>1</v>
      </c>
      <c r="F55" s="1" t="s">
        <v>195</v>
      </c>
      <c r="G55" s="43">
        <f t="shared" si="3"/>
        <v>255</v>
      </c>
      <c r="H55" s="1"/>
    </row>
    <row r="56" spans="1:8" x14ac:dyDescent="0.25">
      <c r="A56" s="52"/>
      <c r="B56" s="1" t="s">
        <v>196</v>
      </c>
      <c r="C56" s="1"/>
      <c r="D56" s="1">
        <v>310</v>
      </c>
      <c r="E56" s="43">
        <v>1</v>
      </c>
      <c r="F56" s="43" t="s">
        <v>195</v>
      </c>
      <c r="G56" s="43">
        <f t="shared" si="3"/>
        <v>310</v>
      </c>
      <c r="H56" s="1"/>
    </row>
    <row r="57" spans="1:8" x14ac:dyDescent="0.25">
      <c r="A57" s="52"/>
      <c r="B57" s="43" t="s">
        <v>197</v>
      </c>
      <c r="C57" s="43"/>
      <c r="D57" s="43">
        <v>270</v>
      </c>
      <c r="E57" s="43">
        <v>1</v>
      </c>
      <c r="F57" s="43" t="s">
        <v>195</v>
      </c>
      <c r="G57" s="43">
        <f t="shared" si="3"/>
        <v>270</v>
      </c>
      <c r="H57" s="43"/>
    </row>
    <row r="58" spans="1:8" x14ac:dyDescent="0.25">
      <c r="A58" s="52"/>
      <c r="B58" s="43" t="s">
        <v>198</v>
      </c>
      <c r="C58" s="43"/>
      <c r="D58" s="43">
        <v>51.6</v>
      </c>
      <c r="E58" s="43">
        <v>20</v>
      </c>
      <c r="F58" s="43" t="s">
        <v>191</v>
      </c>
      <c r="G58" s="43">
        <f t="shared" si="3"/>
        <v>1032</v>
      </c>
      <c r="H58" s="43"/>
    </row>
    <row r="59" spans="1:8" x14ac:dyDescent="0.25">
      <c r="A59" s="52"/>
      <c r="B59" s="43" t="s">
        <v>199</v>
      </c>
      <c r="C59" s="43"/>
      <c r="D59" s="43">
        <v>96.9</v>
      </c>
      <c r="E59" s="43">
        <v>3</v>
      </c>
      <c r="F59" s="43" t="s">
        <v>191</v>
      </c>
      <c r="G59" s="43">
        <f t="shared" si="3"/>
        <v>290.70000000000005</v>
      </c>
      <c r="H59" s="43"/>
    </row>
    <row r="60" spans="1:8" x14ac:dyDescent="0.25">
      <c r="A60" s="52"/>
      <c r="B60" s="43" t="s">
        <v>200</v>
      </c>
      <c r="C60" s="43"/>
      <c r="D60" s="43">
        <v>12</v>
      </c>
      <c r="E60" s="43">
        <v>5</v>
      </c>
      <c r="F60" s="43" t="s">
        <v>201</v>
      </c>
      <c r="G60" s="43">
        <f t="shared" si="3"/>
        <v>60</v>
      </c>
      <c r="H60" s="43"/>
    </row>
    <row r="61" spans="1:8" x14ac:dyDescent="0.25">
      <c r="A61" s="52"/>
      <c r="B61" s="46" t="s">
        <v>7</v>
      </c>
      <c r="C61" s="47"/>
      <c r="D61" s="48"/>
      <c r="E61" s="3"/>
      <c r="F61" s="3"/>
      <c r="G61" s="13">
        <f>SUM(G53:G56)</f>
        <v>1033.4000000000001</v>
      </c>
      <c r="H61" s="1"/>
    </row>
    <row r="62" spans="1:8" x14ac:dyDescent="0.25">
      <c r="A62" s="1"/>
      <c r="B62" s="56" t="s">
        <v>14</v>
      </c>
      <c r="C62" s="57"/>
      <c r="D62" s="58"/>
      <c r="E62" s="7"/>
      <c r="F62" s="7"/>
      <c r="G62" s="8">
        <f>G61+G51+G47+G21+G15+G8+G42</f>
        <v>30162.110799999999</v>
      </c>
      <c r="H62" s="1"/>
    </row>
  </sheetData>
  <mergeCells count="16">
    <mergeCell ref="A53:A61"/>
    <mergeCell ref="B61:D61"/>
    <mergeCell ref="B62:D62"/>
    <mergeCell ref="B42:D42"/>
    <mergeCell ref="A44:A47"/>
    <mergeCell ref="B47:D47"/>
    <mergeCell ref="A49:A51"/>
    <mergeCell ref="B51:D51"/>
    <mergeCell ref="A23:A42"/>
    <mergeCell ref="A17:A21"/>
    <mergeCell ref="B21:D21"/>
    <mergeCell ref="A1:H1"/>
    <mergeCell ref="A3:A8"/>
    <mergeCell ref="B8:D8"/>
    <mergeCell ref="B15:D15"/>
    <mergeCell ref="A10:A15"/>
  </mergeCells>
  <phoneticPr fontId="2" type="noConversion"/>
  <pageMargins left="0.7" right="0.7" top="0.75" bottom="0.75" header="0.3" footer="0.3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1103</vt:lpstr>
      <vt:lpstr>1104</vt:lpstr>
      <vt:lpstr>1105</vt:lpstr>
      <vt:lpstr>1106</vt:lpstr>
      <vt:lpstr>1107</vt:lpstr>
      <vt:lpstr>'1103'!Print_Area</vt:lpstr>
      <vt:lpstr>'1104'!Print_Area</vt:lpstr>
      <vt:lpstr>'1105'!Print_Area</vt:lpstr>
      <vt:lpstr>'1106'!Print_Area</vt:lpstr>
      <vt:lpstr>'1107'!Print_Area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2025-11-07T01:45:52Z</cp:lastPrinted>
  <dcterms:created xsi:type="dcterms:W3CDTF">2025-02-19T17:01:12Z</dcterms:created>
  <dcterms:modified xsi:type="dcterms:W3CDTF">2025-11-07T01:45:53Z</dcterms:modified>
</cp:coreProperties>
</file>