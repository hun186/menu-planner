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陳明德\★★伙房專區★★\午餐明細表\114年度\11月份\"/>
    </mc:Choice>
  </mc:AlternateContent>
  <bookViews>
    <workbookView xWindow="0" yWindow="0" windowWidth="28800" windowHeight="12255" activeTab="4"/>
  </bookViews>
  <sheets>
    <sheet name="1124" sheetId="1" r:id="rId1"/>
    <sheet name="1125" sheetId="2" r:id="rId2"/>
    <sheet name="1126" sheetId="3" r:id="rId3"/>
    <sheet name="1127" sheetId="4" r:id="rId4"/>
    <sheet name="1128" sheetId="5" r:id="rId5"/>
  </sheets>
  <definedNames>
    <definedName name="_xlnm.Print_Area" localSheetId="0">'1124'!$A$1:$H$53</definedName>
    <definedName name="_xlnm.Print_Area" localSheetId="1">'1125'!$A$1:$H$46</definedName>
    <definedName name="_xlnm.Print_Area" localSheetId="2">'1126'!$A$1:$H$59</definedName>
    <definedName name="_xlnm.Print_Area" localSheetId="3">'1127'!$A$1:$H$43</definedName>
    <definedName name="_xlnm.Print_Area" localSheetId="4">'1128'!$A$1:$H$65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65" i="5" l="1"/>
  <c r="G8" i="5"/>
  <c r="G4" i="5"/>
  <c r="G5" i="5"/>
  <c r="G6" i="5"/>
  <c r="G7" i="5"/>
  <c r="G3" i="5"/>
  <c r="G16" i="5"/>
  <c r="G11" i="5"/>
  <c r="G12" i="5"/>
  <c r="G10" i="5"/>
  <c r="G19" i="5"/>
  <c r="G18" i="5"/>
  <c r="G36" i="5"/>
  <c r="G25" i="5"/>
  <c r="G26" i="5"/>
  <c r="G27" i="5"/>
  <c r="G28" i="5"/>
  <c r="G29" i="5"/>
  <c r="G30" i="5"/>
  <c r="G31" i="5"/>
  <c r="G32" i="5"/>
  <c r="G33" i="5"/>
  <c r="G34" i="5"/>
  <c r="G35" i="5"/>
  <c r="G24" i="5"/>
  <c r="G39" i="5"/>
  <c r="G38" i="5"/>
  <c r="G44" i="5"/>
  <c r="G43" i="5"/>
  <c r="G64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47" i="5"/>
  <c r="G26" i="4"/>
  <c r="G31" i="4"/>
  <c r="G43" i="4" s="1"/>
  <c r="G35" i="4"/>
  <c r="G42" i="4"/>
  <c r="G38" i="4"/>
  <c r="G39" i="4"/>
  <c r="G40" i="4"/>
  <c r="G41" i="4"/>
  <c r="G37" i="4"/>
  <c r="G33" i="4"/>
  <c r="G14" i="4"/>
  <c r="G11" i="4"/>
  <c r="G23" i="4"/>
  <c r="G24" i="4"/>
  <c r="G25" i="4"/>
  <c r="G22" i="4"/>
  <c r="G29" i="4"/>
  <c r="G28" i="4"/>
  <c r="G17" i="4"/>
  <c r="G18" i="4"/>
  <c r="G19" i="4"/>
  <c r="G16" i="4"/>
  <c r="G4" i="4"/>
  <c r="G5" i="4"/>
  <c r="G7" i="4" s="1"/>
  <c r="G6" i="4"/>
  <c r="G3" i="4"/>
  <c r="G10" i="4"/>
  <c r="G9" i="4"/>
  <c r="G59" i="3"/>
  <c r="G39" i="3" l="1"/>
  <c r="G34" i="3"/>
  <c r="G35" i="3"/>
  <c r="G36" i="3"/>
  <c r="G37" i="3"/>
  <c r="G38" i="3"/>
  <c r="G33" i="3"/>
  <c r="G58" i="3" l="1"/>
  <c r="G57" i="3"/>
  <c r="G56" i="3"/>
  <c r="G55" i="3"/>
  <c r="G54" i="3"/>
  <c r="G53" i="3"/>
  <c r="G20" i="3"/>
  <c r="G21" i="3"/>
  <c r="G19" i="3"/>
  <c r="G9" i="3"/>
  <c r="G4" i="3"/>
  <c r="G5" i="3"/>
  <c r="G52" i="3"/>
  <c r="G51" i="3"/>
  <c r="G50" i="3"/>
  <c r="G46" i="2"/>
  <c r="G42" i="2"/>
  <c r="G22" i="2" l="1"/>
  <c r="G30" i="2"/>
  <c r="G41" i="2"/>
  <c r="G33" i="2"/>
  <c r="G25" i="2"/>
  <c r="G26" i="2"/>
  <c r="G27" i="2"/>
  <c r="G28" i="2"/>
  <c r="G29" i="2"/>
  <c r="G53" i="1"/>
  <c r="G40" i="1"/>
  <c r="G39" i="1"/>
  <c r="G45" i="1"/>
  <c r="G25" i="1"/>
  <c r="G26" i="1"/>
  <c r="G27" i="1"/>
  <c r="G28" i="1"/>
  <c r="G29" i="1"/>
  <c r="G30" i="1"/>
  <c r="G31" i="1"/>
  <c r="G32" i="1"/>
  <c r="G33" i="1"/>
  <c r="G34" i="1"/>
  <c r="G35" i="1"/>
  <c r="G36" i="1"/>
  <c r="G42" i="3" l="1"/>
  <c r="G41" i="3"/>
  <c r="G12" i="3"/>
  <c r="G13" i="3"/>
  <c r="G14" i="3"/>
  <c r="G11" i="3"/>
  <c r="G30" i="3"/>
  <c r="G29" i="3"/>
  <c r="G26" i="3"/>
  <c r="G27" i="3"/>
  <c r="G28" i="3"/>
  <c r="G25" i="3"/>
  <c r="G3" i="3"/>
  <c r="G46" i="3"/>
  <c r="G47" i="3"/>
  <c r="G48" i="3"/>
  <c r="G49" i="3"/>
  <c r="G45" i="3"/>
  <c r="G31" i="3" l="1"/>
  <c r="G24" i="2"/>
  <c r="G38" i="2"/>
  <c r="G10" i="2"/>
  <c r="G9" i="2"/>
  <c r="G14" i="2" s="1"/>
  <c r="G17" i="2"/>
  <c r="G18" i="2"/>
  <c r="G19" i="2"/>
  <c r="G20" i="2"/>
  <c r="G16" i="2"/>
  <c r="G32" i="2"/>
  <c r="G4" i="2"/>
  <c r="G5" i="2"/>
  <c r="G6" i="2"/>
  <c r="G3" i="2"/>
  <c r="G37" i="2"/>
  <c r="G49" i="1" l="1"/>
  <c r="G50" i="1"/>
  <c r="G17" i="1"/>
  <c r="G18" i="1"/>
  <c r="G19" i="1"/>
  <c r="G3" i="1"/>
  <c r="G52" i="1" l="1"/>
  <c r="G16" i="1"/>
  <c r="G20" i="1" s="1"/>
  <c r="G44" i="1"/>
  <c r="G46" i="1" s="1"/>
  <c r="G24" i="1" l="1"/>
  <c r="G23" i="1"/>
  <c r="G22" i="1"/>
  <c r="G10" i="1"/>
  <c r="G11" i="1"/>
  <c r="G12" i="1"/>
  <c r="G9" i="1"/>
  <c r="G37" i="1" l="1"/>
  <c r="G14" i="1"/>
  <c r="G45" i="5"/>
  <c r="G41" i="5"/>
  <c r="G22" i="5"/>
  <c r="G20" i="4"/>
  <c r="G43" i="3"/>
  <c r="G23" i="3"/>
  <c r="G17" i="3"/>
  <c r="G45" i="2"/>
  <c r="G39" i="2"/>
  <c r="G35" i="2"/>
  <c r="G7" i="2"/>
  <c r="G42" i="1"/>
  <c r="G7" i="1"/>
</calcChain>
</file>

<file path=xl/sharedStrings.xml><?xml version="1.0" encoding="utf-8"?>
<sst xmlns="http://schemas.openxmlformats.org/spreadsheetml/2006/main" count="612" uniqueCount="215">
  <si>
    <r>
      <t>菜名</t>
    </r>
    <r>
      <rPr>
        <sz val="12"/>
        <color rgb="FFFF0000"/>
        <rFont val="標楷體"/>
        <family val="4"/>
        <charset val="136"/>
      </rPr>
      <t>(主)</t>
    </r>
    <phoneticPr fontId="2" type="noConversion"/>
  </si>
  <si>
    <t>食材</t>
    <phoneticPr fontId="2" type="noConversion"/>
  </si>
  <si>
    <t>數量</t>
    <phoneticPr fontId="2" type="noConversion"/>
  </si>
  <si>
    <t>單價</t>
    <phoneticPr fontId="2" type="noConversion"/>
  </si>
  <si>
    <t>訂貨數量</t>
    <phoneticPr fontId="2" type="noConversion"/>
  </si>
  <si>
    <t>金額</t>
    <phoneticPr fontId="2" type="noConversion"/>
  </si>
  <si>
    <t>備考</t>
    <phoneticPr fontId="2" type="noConversion"/>
  </si>
  <si>
    <t>合      計</t>
    <phoneticPr fontId="2" type="noConversion"/>
  </si>
  <si>
    <r>
      <t>菜名</t>
    </r>
    <r>
      <rPr>
        <sz val="12"/>
        <color theme="9" tint="-0.249977111117893"/>
        <rFont val="標楷體"/>
        <family val="4"/>
        <charset val="136"/>
      </rPr>
      <t>(配1)</t>
    </r>
    <phoneticPr fontId="2" type="noConversion"/>
  </si>
  <si>
    <r>
      <t>菜名</t>
    </r>
    <r>
      <rPr>
        <sz val="12"/>
        <color theme="9" tint="-0.249977111117893"/>
        <rFont val="標楷體"/>
        <family val="4"/>
        <charset val="136"/>
      </rPr>
      <t>(配2)</t>
    </r>
    <phoneticPr fontId="2" type="noConversion"/>
  </si>
  <si>
    <t>雜貨</t>
    <phoneticPr fontId="2" type="noConversion"/>
  </si>
  <si>
    <t>湯品</t>
    <phoneticPr fontId="2" type="noConversion"/>
  </si>
  <si>
    <t>青菜 水果</t>
    <phoneticPr fontId="2" type="noConversion"/>
  </si>
  <si>
    <t>週三麵食</t>
    <phoneticPr fontId="2" type="noConversion"/>
  </si>
  <si>
    <t>總      計</t>
    <phoneticPr fontId="2" type="noConversion"/>
  </si>
  <si>
    <t>庫存</t>
    <phoneticPr fontId="2" type="noConversion"/>
  </si>
  <si>
    <t>合      計</t>
    <phoneticPr fontId="2" type="noConversion"/>
  </si>
  <si>
    <t>斤</t>
    <phoneticPr fontId="2" type="noConversion"/>
  </si>
  <si>
    <t>合      計</t>
    <phoneticPr fontId="2" type="noConversion"/>
  </si>
  <si>
    <t>早餐</t>
    <phoneticPr fontId="2" type="noConversion"/>
  </si>
  <si>
    <t>晚餐</t>
    <phoneticPr fontId="2" type="noConversion"/>
  </si>
  <si>
    <t>斤</t>
    <phoneticPr fontId="2" type="noConversion"/>
  </si>
  <si>
    <t>斤</t>
    <phoneticPr fontId="2" type="noConversion"/>
  </si>
  <si>
    <t>蒜仁</t>
    <phoneticPr fontId="2" type="noConversion"/>
  </si>
  <si>
    <t>青蔥</t>
    <phoneticPr fontId="2" type="noConversion"/>
  </si>
  <si>
    <t>蛋</t>
    <phoneticPr fontId="2" type="noConversion"/>
  </si>
  <si>
    <t>五穀米</t>
    <phoneticPr fontId="2" type="noConversion"/>
  </si>
  <si>
    <t>庫存</t>
    <phoneticPr fontId="2" type="noConversion"/>
  </si>
  <si>
    <t>早餐</t>
    <phoneticPr fontId="2" type="noConversion"/>
  </si>
  <si>
    <t>晚餐</t>
    <phoneticPr fontId="2" type="noConversion"/>
  </si>
  <si>
    <t>斤</t>
    <phoneticPr fontId="2" type="noConversion"/>
  </si>
  <si>
    <t>箱</t>
    <phoneticPr fontId="2" type="noConversion"/>
  </si>
  <si>
    <t>鋁箔包飲料</t>
    <phoneticPr fontId="2" type="noConversion"/>
  </si>
  <si>
    <t>辣椒</t>
    <phoneticPr fontId="2" type="noConversion"/>
  </si>
  <si>
    <t>斤</t>
    <phoneticPr fontId="2" type="noConversion"/>
  </si>
  <si>
    <t>薑</t>
    <phoneticPr fontId="2" type="noConversion"/>
  </si>
  <si>
    <r>
      <t>菜名(</t>
    </r>
    <r>
      <rPr>
        <sz val="12"/>
        <color theme="9" tint="-0.249977111117893"/>
        <rFont val="標楷體"/>
        <family val="4"/>
        <charset val="136"/>
      </rPr>
      <t>配2</t>
    </r>
    <r>
      <rPr>
        <sz val="12"/>
        <color theme="1"/>
        <rFont val="標楷體"/>
        <family val="4"/>
        <charset val="136"/>
      </rPr>
      <t>)</t>
    </r>
    <phoneticPr fontId="2" type="noConversion"/>
  </si>
  <si>
    <t>斤</t>
  </si>
  <si>
    <t>芥花油</t>
    <phoneticPr fontId="2" type="noConversion"/>
  </si>
  <si>
    <t>合      計</t>
    <phoneticPr fontId="2" type="noConversion"/>
  </si>
  <si>
    <t>杏鮑菇</t>
    <phoneticPr fontId="2" type="noConversion"/>
  </si>
  <si>
    <t>半</t>
    <phoneticPr fontId="2" type="noConversion"/>
  </si>
  <si>
    <t>電訊科技中心(安康營區)     114年     11月   24日      午餐明細表</t>
    <phoneticPr fontId="2" type="noConversion"/>
  </si>
  <si>
    <t>電訊科技中心(安康營區)     114年      11月   25日      午餐明細表</t>
    <phoneticPr fontId="2" type="noConversion"/>
  </si>
  <si>
    <t>電訊科技中心(安康營區)     114年      11月   26日      午餐明細表</t>
    <phoneticPr fontId="2" type="noConversion"/>
  </si>
  <si>
    <t>電訊科技中心(安康營區)     114年      11月   27日      午餐明細表</t>
    <phoneticPr fontId="2" type="noConversion"/>
  </si>
  <si>
    <t>電訊科技中心(安康營區)     114年      11月   28日      午餐明細表</t>
    <phoneticPr fontId="2" type="noConversion"/>
  </si>
  <si>
    <t>烤雞翅</t>
    <phoneticPr fontId="2" type="noConversion"/>
  </si>
  <si>
    <t>蝦仁炒蛋</t>
    <phoneticPr fontId="2" type="noConversion"/>
  </si>
  <si>
    <t>大黃瓜魚丸</t>
    <phoneticPr fontId="2" type="noConversion"/>
  </si>
  <si>
    <t>金針肉絲湯</t>
    <phoneticPr fontId="2" type="noConversion"/>
  </si>
  <si>
    <t>金針</t>
    <phoneticPr fontId="2" type="noConversion"/>
  </si>
  <si>
    <t>肉絲</t>
    <phoneticPr fontId="2" type="noConversion"/>
  </si>
  <si>
    <t>雞翅</t>
    <phoneticPr fontId="2" type="noConversion"/>
  </si>
  <si>
    <t>小蝦仁</t>
    <phoneticPr fontId="2" type="noConversion"/>
  </si>
  <si>
    <t>雞蛋</t>
    <phoneticPr fontId="2" type="noConversion"/>
  </si>
  <si>
    <t>切片大黃瓜</t>
    <phoneticPr fontId="2" type="noConversion"/>
  </si>
  <si>
    <t>小魚丸</t>
    <phoneticPr fontId="2" type="noConversion"/>
  </si>
  <si>
    <t>川耳</t>
    <phoneticPr fontId="2" type="noConversion"/>
  </si>
  <si>
    <t>豆豉排骨</t>
    <phoneticPr fontId="2" type="noConversion"/>
  </si>
  <si>
    <t>麻辣鴨血</t>
    <phoneticPr fontId="2" type="noConversion"/>
  </si>
  <si>
    <t>木耳炒肉絲</t>
    <phoneticPr fontId="2" type="noConversion"/>
  </si>
  <si>
    <t>紅豆湯圓</t>
    <phoneticPr fontId="2" type="noConversion"/>
  </si>
  <si>
    <t>紅豆</t>
    <phoneticPr fontId="2" type="noConversion"/>
  </si>
  <si>
    <t>湯圓</t>
    <phoneticPr fontId="2" type="noConversion"/>
  </si>
  <si>
    <t>庫存</t>
    <phoneticPr fontId="2" type="noConversion"/>
  </si>
  <si>
    <t>木耳絲</t>
    <phoneticPr fontId="2" type="noConversion"/>
  </si>
  <si>
    <t>胡蘿蔔絲</t>
    <phoneticPr fontId="2" type="noConversion"/>
  </si>
  <si>
    <t>雪白菇</t>
    <phoneticPr fontId="2" type="noConversion"/>
  </si>
  <si>
    <t>鴨血</t>
    <phoneticPr fontId="2" type="noConversion"/>
  </si>
  <si>
    <t>百頁豆腐</t>
    <phoneticPr fontId="2" type="noConversion"/>
  </si>
  <si>
    <t>個</t>
    <phoneticPr fontId="2" type="noConversion"/>
  </si>
  <si>
    <t>番茄肉醬麵</t>
    <phoneticPr fontId="2" type="noConversion"/>
  </si>
  <si>
    <t>雞塊
薯條</t>
    <phoneticPr fontId="2" type="noConversion"/>
  </si>
  <si>
    <t>雞塊</t>
    <phoneticPr fontId="2" type="noConversion"/>
  </si>
  <si>
    <t>薯條</t>
    <phoneticPr fontId="2" type="noConversion"/>
  </si>
  <si>
    <t>包</t>
    <phoneticPr fontId="2" type="noConversion"/>
  </si>
  <si>
    <t>甜椒花椰菜</t>
    <phoneticPr fontId="2" type="noConversion"/>
  </si>
  <si>
    <t>紅椒</t>
    <phoneticPr fontId="2" type="noConversion"/>
  </si>
  <si>
    <t>黃椒</t>
    <phoneticPr fontId="2" type="noConversion"/>
  </si>
  <si>
    <t>冷凍花椰菜</t>
    <phoneticPr fontId="2" type="noConversion"/>
  </si>
  <si>
    <t>義式蔬菜湯</t>
    <phoneticPr fontId="2" type="noConversion"/>
  </si>
  <si>
    <t>糖醋雞丁</t>
    <phoneticPr fontId="2" type="noConversion"/>
  </si>
  <si>
    <t>小黃瓜素腰花</t>
    <phoneticPr fontId="2" type="noConversion"/>
  </si>
  <si>
    <t>台式寬冬粉</t>
    <phoneticPr fontId="2" type="noConversion"/>
  </si>
  <si>
    <t>蘿蔔貢丸湯</t>
    <phoneticPr fontId="2" type="noConversion"/>
  </si>
  <si>
    <t>麻油肉片</t>
    <phoneticPr fontId="2" type="noConversion"/>
  </si>
  <si>
    <t>胡瓜鮮菇</t>
    <phoneticPr fontId="2" type="noConversion"/>
  </si>
  <si>
    <t>涼拌豆干</t>
    <phoneticPr fontId="2" type="noConversion"/>
  </si>
  <si>
    <t>冬瓜蛤蠣湯</t>
    <phoneticPr fontId="2" type="noConversion"/>
  </si>
  <si>
    <t>烏龍麵</t>
    <phoneticPr fontId="2" type="noConversion"/>
  </si>
  <si>
    <t>半</t>
    <phoneticPr fontId="2" type="noConversion"/>
  </si>
  <si>
    <t>豬肉片</t>
    <phoneticPr fontId="2" type="noConversion"/>
  </si>
  <si>
    <t>生香菇</t>
    <phoneticPr fontId="2" type="noConversion"/>
  </si>
  <si>
    <t>生鮮玉米筍</t>
    <phoneticPr fontId="2" type="noConversion"/>
  </si>
  <si>
    <t>盒</t>
    <phoneticPr fontId="2" type="noConversion"/>
  </si>
  <si>
    <t>小排骨</t>
    <phoneticPr fontId="2" type="noConversion"/>
  </si>
  <si>
    <t>螺旋麵</t>
    <phoneticPr fontId="2" type="noConversion"/>
  </si>
  <si>
    <t>絞肉</t>
    <phoneticPr fontId="2" type="noConversion"/>
  </si>
  <si>
    <t>番茄糊</t>
    <phoneticPr fontId="2" type="noConversion"/>
  </si>
  <si>
    <t>桶</t>
    <phoneticPr fontId="2" type="noConversion"/>
  </si>
  <si>
    <t>油麵</t>
    <phoneticPr fontId="2" type="noConversion"/>
  </si>
  <si>
    <t>卡拉雞</t>
    <phoneticPr fontId="2" type="noConversion"/>
  </si>
  <si>
    <t>片</t>
    <phoneticPr fontId="2" type="noConversion"/>
  </si>
  <si>
    <t>豬大骨高湯粉</t>
    <phoneticPr fontId="2" type="noConversion"/>
  </si>
  <si>
    <t>去葉西芹</t>
    <phoneticPr fontId="2" type="noConversion"/>
  </si>
  <si>
    <t>牛番茄</t>
    <phoneticPr fontId="2" type="noConversion"/>
  </si>
  <si>
    <t>馬鈴薯</t>
    <phoneticPr fontId="2" type="noConversion"/>
  </si>
  <si>
    <t>胡蘿蔔</t>
    <phoneticPr fontId="2" type="noConversion"/>
  </si>
  <si>
    <t>去皮洋蔥</t>
    <phoneticPr fontId="2" type="noConversion"/>
  </si>
  <si>
    <t>去骨雞腿丁3*3</t>
    <phoneticPr fontId="2" type="noConversion"/>
  </si>
  <si>
    <t>小黃瓜</t>
    <phoneticPr fontId="2" type="noConversion"/>
  </si>
  <si>
    <t>素腰花</t>
    <phoneticPr fontId="2" type="noConversion"/>
  </si>
  <si>
    <t>寬粉</t>
    <phoneticPr fontId="2" type="noConversion"/>
  </si>
  <si>
    <t>斤</t>
    <phoneticPr fontId="2" type="noConversion"/>
  </si>
  <si>
    <t>腿排</t>
    <phoneticPr fontId="2" type="noConversion"/>
  </si>
  <si>
    <t>鳥蛋</t>
    <phoneticPr fontId="2" type="noConversion"/>
  </si>
  <si>
    <t>海帶捲</t>
    <phoneticPr fontId="2" type="noConversion"/>
  </si>
  <si>
    <t>油豆腐丁</t>
    <phoneticPr fontId="2" type="noConversion"/>
  </si>
  <si>
    <t>白蘿蔔</t>
    <phoneticPr fontId="2" type="noConversion"/>
  </si>
  <si>
    <t>小貢丸</t>
    <phoneticPr fontId="2" type="noConversion"/>
  </si>
  <si>
    <t>半</t>
    <phoneticPr fontId="2" type="noConversion"/>
  </si>
  <si>
    <t>薑</t>
    <phoneticPr fontId="2" type="noConversion"/>
  </si>
  <si>
    <t>豬肉片</t>
    <phoneticPr fontId="2" type="noConversion"/>
  </si>
  <si>
    <t>五花肉片</t>
    <phoneticPr fontId="2" type="noConversion"/>
  </si>
  <si>
    <t>枸杞</t>
    <phoneticPr fontId="2" type="noConversion"/>
  </si>
  <si>
    <t>杏鮑菇</t>
    <phoneticPr fontId="2" type="noConversion"/>
  </si>
  <si>
    <t>去皮洋蔥</t>
    <phoneticPr fontId="2" type="noConversion"/>
  </si>
  <si>
    <t>4*4豆干</t>
    <phoneticPr fontId="2" type="noConversion"/>
  </si>
  <si>
    <t>胡瓜切絲</t>
    <phoneticPr fontId="2" type="noConversion"/>
  </si>
  <si>
    <t>雪白菇</t>
    <phoneticPr fontId="2" type="noConversion"/>
  </si>
  <si>
    <t>胡蘿蔔絲</t>
    <phoneticPr fontId="2" type="noConversion"/>
  </si>
  <si>
    <t>去皮冬瓜</t>
    <phoneticPr fontId="2" type="noConversion"/>
  </si>
  <si>
    <t>蛤蠣</t>
    <phoneticPr fontId="2" type="noConversion"/>
  </si>
  <si>
    <t xml:space="preserve">木耳絲 </t>
    <phoneticPr fontId="2" type="noConversion"/>
  </si>
  <si>
    <t>生香菇</t>
    <phoneticPr fontId="2" type="noConversion"/>
  </si>
  <si>
    <t>油麵</t>
    <phoneticPr fontId="2" type="noConversion"/>
  </si>
  <si>
    <t>五花絞肉</t>
    <phoneticPr fontId="2" type="noConversion"/>
  </si>
  <si>
    <t>香腸</t>
    <phoneticPr fontId="2" type="noConversion"/>
  </si>
  <si>
    <t>滷蛋</t>
    <phoneticPr fontId="2" type="noConversion"/>
  </si>
  <si>
    <t>高麗菜</t>
    <phoneticPr fontId="2" type="noConversion"/>
  </si>
  <si>
    <t>斤</t>
    <phoneticPr fontId="2" type="noConversion"/>
  </si>
  <si>
    <t>香蒜抹醬</t>
    <phoneticPr fontId="2" type="noConversion"/>
  </si>
  <si>
    <t>罐</t>
    <phoneticPr fontId="2" type="noConversion"/>
  </si>
  <si>
    <t>豆腐</t>
    <phoneticPr fontId="2" type="noConversion"/>
  </si>
  <si>
    <t>盒</t>
    <phoneticPr fontId="2" type="noConversion"/>
  </si>
  <si>
    <t>蘋果</t>
    <phoneticPr fontId="2" type="noConversion"/>
  </si>
  <si>
    <t>個</t>
    <phoneticPr fontId="2" type="noConversion"/>
  </si>
  <si>
    <t>鵝白菜</t>
    <phoneticPr fontId="2" type="noConversion"/>
  </si>
  <si>
    <t>大亨堡</t>
    <phoneticPr fontId="2" type="noConversion"/>
  </si>
  <si>
    <t>里肌肉塊</t>
    <phoneticPr fontId="2" type="noConversion"/>
  </si>
  <si>
    <t>香蕉</t>
    <phoneticPr fontId="2" type="noConversion"/>
  </si>
  <si>
    <t>超秦棒棒腿</t>
    <phoneticPr fontId="2" type="noConversion"/>
  </si>
  <si>
    <t>斤</t>
    <phoneticPr fontId="2" type="noConversion"/>
  </si>
  <si>
    <t>高麗菜</t>
    <phoneticPr fontId="2" type="noConversion"/>
  </si>
  <si>
    <t>油菜</t>
    <phoneticPr fontId="2" type="noConversion"/>
  </si>
  <si>
    <t>調理米酒</t>
    <phoneticPr fontId="2" type="noConversion"/>
  </si>
  <si>
    <t>瓶</t>
    <phoneticPr fontId="2" type="noConversion"/>
  </si>
  <si>
    <t>醬油</t>
    <phoneticPr fontId="2" type="noConversion"/>
  </si>
  <si>
    <t>桶</t>
    <phoneticPr fontId="2" type="noConversion"/>
  </si>
  <si>
    <t>番茄醬</t>
    <phoneticPr fontId="2" type="noConversion"/>
  </si>
  <si>
    <t>素蠔油</t>
    <phoneticPr fontId="2" type="noConversion"/>
  </si>
  <si>
    <t>地瓜粉</t>
    <phoneticPr fontId="2" type="noConversion"/>
  </si>
  <si>
    <t>包</t>
    <phoneticPr fontId="2" type="noConversion"/>
  </si>
  <si>
    <t>香油</t>
    <phoneticPr fontId="2" type="noConversion"/>
  </si>
  <si>
    <t>烏醋</t>
    <phoneticPr fontId="2" type="noConversion"/>
  </si>
  <si>
    <t>黑麻油</t>
    <phoneticPr fontId="2" type="noConversion"/>
  </si>
  <si>
    <t>水餃</t>
    <phoneticPr fontId="2" type="noConversion"/>
  </si>
  <si>
    <t>魚排</t>
    <phoneticPr fontId="2" type="noConversion"/>
  </si>
  <si>
    <t>件</t>
    <phoneticPr fontId="2" type="noConversion"/>
  </si>
  <si>
    <t>薑絲</t>
    <phoneticPr fontId="2" type="noConversion"/>
  </si>
  <si>
    <t>厚片土司</t>
    <phoneticPr fontId="2" type="noConversion"/>
  </si>
  <si>
    <t>條</t>
    <phoneticPr fontId="2" type="noConversion"/>
  </si>
  <si>
    <t>胡椒鹽</t>
    <phoneticPr fontId="2" type="noConversion"/>
  </si>
  <si>
    <t>盒</t>
    <phoneticPr fontId="2" type="noConversion"/>
  </si>
  <si>
    <t>辣豆瓣</t>
    <phoneticPr fontId="2" type="noConversion"/>
  </si>
  <si>
    <t>無骨豬排</t>
    <phoneticPr fontId="2" type="noConversion"/>
  </si>
  <si>
    <t>春捲</t>
    <phoneticPr fontId="2" type="noConversion"/>
  </si>
  <si>
    <t>洋香瓜</t>
    <phoneticPr fontId="2" type="noConversion"/>
  </si>
  <si>
    <t>鋁箔包飲料</t>
    <phoneticPr fontId="2" type="noConversion"/>
  </si>
  <si>
    <t>瓶</t>
    <phoneticPr fontId="2" type="noConversion"/>
  </si>
  <si>
    <t>鮪魚罐</t>
    <phoneticPr fontId="2" type="noConversion"/>
  </si>
  <si>
    <t>罐</t>
    <phoneticPr fontId="2" type="noConversion"/>
  </si>
  <si>
    <t>奶油乳酪</t>
    <phoneticPr fontId="2" type="noConversion"/>
  </si>
  <si>
    <t>盒</t>
    <phoneticPr fontId="2" type="noConversion"/>
  </si>
  <si>
    <t>高麗菜</t>
    <phoneticPr fontId="2" type="noConversion"/>
  </si>
  <si>
    <t>斤</t>
    <phoneticPr fontId="2" type="noConversion"/>
  </si>
  <si>
    <t>鮮木耳</t>
    <phoneticPr fontId="2" type="noConversion"/>
  </si>
  <si>
    <t>香蕉</t>
    <phoneticPr fontId="2" type="noConversion"/>
  </si>
  <si>
    <t>油麵</t>
    <phoneticPr fontId="2" type="noConversion"/>
  </si>
  <si>
    <t>洗選蛋</t>
    <phoneticPr fontId="2" type="noConversion"/>
  </si>
  <si>
    <t>鍋貼</t>
    <phoneticPr fontId="2" type="noConversion"/>
  </si>
  <si>
    <t>個</t>
    <phoneticPr fontId="2" type="noConversion"/>
  </si>
  <si>
    <t>雞腿肉丁</t>
    <phoneticPr fontId="2" type="noConversion"/>
  </si>
  <si>
    <t>高鮮味素</t>
    <phoneticPr fontId="2" type="noConversion"/>
  </si>
  <si>
    <t>迷迭香葉</t>
    <phoneticPr fontId="2" type="noConversion"/>
  </si>
  <si>
    <t>香料</t>
    <phoneticPr fontId="2" type="noConversion"/>
  </si>
  <si>
    <t>五花肉絲</t>
    <phoneticPr fontId="2" type="noConversion"/>
  </si>
  <si>
    <t>紅龍果</t>
    <phoneticPr fontId="2" type="noConversion"/>
  </si>
  <si>
    <t>沙拉油</t>
    <phoneticPr fontId="2" type="noConversion"/>
  </si>
  <si>
    <t>桶</t>
    <phoneticPr fontId="2" type="noConversion"/>
  </si>
  <si>
    <t>味霖</t>
    <phoneticPr fontId="2" type="noConversion"/>
  </si>
  <si>
    <t>醬油</t>
    <phoneticPr fontId="2" type="noConversion"/>
  </si>
  <si>
    <t>三好米</t>
    <phoneticPr fontId="2" type="noConversion"/>
  </si>
  <si>
    <t>蒜仁</t>
    <phoneticPr fontId="2" type="noConversion"/>
  </si>
  <si>
    <t>辣椒</t>
    <phoneticPr fontId="2" type="noConversion"/>
  </si>
  <si>
    <t>絞蘿蔔</t>
    <phoneticPr fontId="2" type="noConversion"/>
  </si>
  <si>
    <t>梅花肉片</t>
    <phoneticPr fontId="2" type="noConversion"/>
  </si>
  <si>
    <t>九層塔</t>
    <phoneticPr fontId="2" type="noConversion"/>
  </si>
  <si>
    <t>豆干</t>
    <phoneticPr fontId="2" type="noConversion"/>
  </si>
  <si>
    <t>軟排塊</t>
    <phoneticPr fontId="2" type="noConversion"/>
  </si>
  <si>
    <t>薑絲</t>
    <phoneticPr fontId="2" type="noConversion"/>
  </si>
  <si>
    <t>味噌</t>
    <phoneticPr fontId="2" type="noConversion"/>
  </si>
  <si>
    <t>件</t>
    <phoneticPr fontId="2" type="noConversion"/>
  </si>
  <si>
    <t>糯米椒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</si>
</sst>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"/>
  </numFmts>
  <fonts count="8" x14ac:knownFonts="1">
    <font>
      <sz val="12"/>
      <color theme="1"/>
      <name val="新細明體"/>
      <family val="2"/>
      <charset val="136"/>
      <scheme val="minor"/>
    </font>
    <font>
      <b/>
      <sz val="12"/>
      <color rgb="FF0070C0"/>
      <name val="標楷體"/>
      <family val="4"/>
      <charset val="136"/>
    </font>
    <font>
      <sz val="9"/>
      <name val="新細明體"/>
      <family val="2"/>
      <charset val="136"/>
      <scheme val="minor"/>
    </font>
    <font>
      <sz val="12"/>
      <color theme="1"/>
      <name val="標楷體"/>
      <family val="4"/>
      <charset val="136"/>
    </font>
    <font>
      <sz val="12"/>
      <color rgb="FFFF0000"/>
      <name val="標楷體"/>
      <family val="4"/>
      <charset val="136"/>
    </font>
    <font>
      <sz val="12"/>
      <color theme="9" tint="-0.249977111117893"/>
      <name val="標楷體"/>
      <family val="4"/>
      <charset val="136"/>
    </font>
    <font>
      <b/>
      <sz val="12"/>
      <color rgb="FFFF0000"/>
      <name val="標楷體"/>
      <family val="4"/>
      <charset val="136"/>
    </font>
    <font>
      <b/>
      <sz val="12"/>
      <color theme="5" tint="-0.249977111117893"/>
      <name val="標楷體"/>
      <family val="4"/>
      <charset val="136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2">
    <xf numFmtId="0" fontId="0" fillId="0" borderId="0" xfId="0">
      <alignment vertical="center"/>
    </xf>
    <xf numFmtId="0" fontId="3" fillId="0" borderId="3" xfId="0" applyFont="1" applyBorder="1" applyAlignment="1">
      <alignment horizontal="center" vertical="center"/>
    </xf>
    <xf numFmtId="1" fontId="3" fillId="0" borderId="3" xfId="0" applyNumberFormat="1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" fontId="1" fillId="0" borderId="4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1" fontId="3" fillId="2" borderId="4" xfId="0" applyNumberFormat="1" applyFont="1" applyFill="1" applyBorder="1" applyAlignment="1">
      <alignment horizontal="center" vertical="center"/>
    </xf>
    <xf numFmtId="1" fontId="3" fillId="2" borderId="3" xfId="0" applyNumberFormat="1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8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1" fontId="3" fillId="0" borderId="3" xfId="0" applyNumberFormat="1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176" fontId="3" fillId="0" borderId="3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176" fontId="3" fillId="4" borderId="3" xfId="0" applyNumberFormat="1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1" fontId="3" fillId="4" borderId="3" xfId="0" applyNumberFormat="1" applyFont="1" applyFill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53"/>
  <sheetViews>
    <sheetView topLeftCell="A36" workbookViewId="0">
      <selection activeCell="H53" sqref="A1:H53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8" x14ac:dyDescent="0.25">
      <c r="A1" s="54" t="s">
        <v>42</v>
      </c>
      <c r="B1" s="55"/>
      <c r="C1" s="55"/>
      <c r="D1" s="55"/>
      <c r="E1" s="55"/>
      <c r="F1" s="55"/>
      <c r="G1" s="55"/>
      <c r="H1" s="56"/>
    </row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/>
      <c r="G2" s="1" t="s">
        <v>5</v>
      </c>
      <c r="H2" s="1" t="s">
        <v>6</v>
      </c>
    </row>
    <row r="3" spans="1:8" x14ac:dyDescent="0.25">
      <c r="A3" s="50" t="s">
        <v>47</v>
      </c>
      <c r="B3" s="1" t="s">
        <v>53</v>
      </c>
      <c r="C3" s="1">
        <v>270</v>
      </c>
      <c r="D3" s="1">
        <v>78</v>
      </c>
      <c r="E3" s="19">
        <v>47.83</v>
      </c>
      <c r="F3" s="19" t="s">
        <v>17</v>
      </c>
      <c r="G3" s="20">
        <f>D3*E3</f>
        <v>3730.74</v>
      </c>
      <c r="H3" s="1"/>
    </row>
    <row r="4" spans="1:8" x14ac:dyDescent="0.25">
      <c r="A4" s="50"/>
      <c r="B4" s="9"/>
      <c r="C4" s="9"/>
      <c r="D4" s="9"/>
      <c r="E4" s="9"/>
      <c r="F4" s="30"/>
      <c r="G4" s="2"/>
      <c r="H4" s="1"/>
    </row>
    <row r="5" spans="1:8" x14ac:dyDescent="0.25">
      <c r="A5" s="50"/>
      <c r="B5" s="1"/>
      <c r="C5" s="1"/>
      <c r="D5" s="1"/>
      <c r="E5" s="1"/>
      <c r="F5" s="1"/>
      <c r="G5" s="1"/>
      <c r="H5" s="1"/>
    </row>
    <row r="6" spans="1:8" x14ac:dyDescent="0.25">
      <c r="A6" s="50"/>
      <c r="B6" s="1"/>
      <c r="C6" s="1"/>
      <c r="D6" s="1"/>
      <c r="E6" s="3"/>
      <c r="F6" s="29"/>
      <c r="G6" s="3"/>
      <c r="H6" s="1"/>
    </row>
    <row r="7" spans="1:8" x14ac:dyDescent="0.25">
      <c r="A7" s="50"/>
      <c r="B7" s="47" t="s">
        <v>7</v>
      </c>
      <c r="C7" s="48"/>
      <c r="D7" s="49"/>
      <c r="E7" s="3"/>
      <c r="F7" s="3"/>
      <c r="G7" s="13">
        <f>SUM(G3:G6)</f>
        <v>3730.74</v>
      </c>
      <c r="H7" s="1"/>
    </row>
    <row r="8" spans="1:8" x14ac:dyDescent="0.25">
      <c r="A8" s="1" t="s">
        <v>8</v>
      </c>
      <c r="B8" s="1" t="s">
        <v>1</v>
      </c>
      <c r="C8" s="1" t="s">
        <v>2</v>
      </c>
      <c r="D8" s="1" t="s">
        <v>3</v>
      </c>
      <c r="E8" s="1" t="s">
        <v>4</v>
      </c>
      <c r="F8" s="1"/>
      <c r="G8" s="1" t="s">
        <v>5</v>
      </c>
      <c r="H8" s="1" t="s">
        <v>6</v>
      </c>
    </row>
    <row r="9" spans="1:8" x14ac:dyDescent="0.25">
      <c r="A9" s="50" t="s">
        <v>48</v>
      </c>
      <c r="B9" s="1" t="s">
        <v>54</v>
      </c>
      <c r="C9" s="1">
        <v>20</v>
      </c>
      <c r="D9" s="1">
        <v>240</v>
      </c>
      <c r="E9" s="1">
        <v>20</v>
      </c>
      <c r="F9" s="33" t="s">
        <v>37</v>
      </c>
      <c r="G9" s="1">
        <f>D9*E9</f>
        <v>4800</v>
      </c>
      <c r="H9" s="1"/>
    </row>
    <row r="10" spans="1:8" x14ac:dyDescent="0.25">
      <c r="A10" s="50"/>
      <c r="B10" s="1" t="s">
        <v>55</v>
      </c>
      <c r="C10" s="1">
        <v>1</v>
      </c>
      <c r="D10" s="1">
        <v>54</v>
      </c>
      <c r="E10" s="1">
        <v>20</v>
      </c>
      <c r="F10" s="30" t="s">
        <v>17</v>
      </c>
      <c r="G10" s="9">
        <f t="shared" ref="G10:G12" si="0">D10*E10</f>
        <v>1080</v>
      </c>
      <c r="H10" s="1"/>
    </row>
    <row r="11" spans="1:8" x14ac:dyDescent="0.25">
      <c r="A11" s="50"/>
      <c r="B11" s="1"/>
      <c r="C11" s="1"/>
      <c r="D11" s="1"/>
      <c r="E11" s="1"/>
      <c r="F11" s="1"/>
      <c r="G11" s="9">
        <f t="shared" si="0"/>
        <v>0</v>
      </c>
      <c r="H11" s="1"/>
    </row>
    <row r="12" spans="1:8" x14ac:dyDescent="0.25">
      <c r="A12" s="50"/>
      <c r="B12" s="1"/>
      <c r="C12" s="1"/>
      <c r="D12" s="1"/>
      <c r="E12" s="1"/>
      <c r="F12" s="1"/>
      <c r="G12" s="9">
        <f t="shared" si="0"/>
        <v>0</v>
      </c>
      <c r="H12" s="1"/>
    </row>
    <row r="13" spans="1:8" x14ac:dyDescent="0.25">
      <c r="A13" s="50"/>
      <c r="B13" s="1"/>
      <c r="C13" s="1"/>
      <c r="D13" s="1"/>
      <c r="E13" s="1"/>
      <c r="F13" s="1"/>
      <c r="G13" s="1"/>
      <c r="H13" s="1"/>
    </row>
    <row r="14" spans="1:8" x14ac:dyDescent="0.25">
      <c r="A14" s="50"/>
      <c r="B14" s="47" t="s">
        <v>7</v>
      </c>
      <c r="C14" s="48"/>
      <c r="D14" s="49"/>
      <c r="E14" s="3"/>
      <c r="F14" s="3"/>
      <c r="G14" s="13">
        <f>SUM(G9:G13)</f>
        <v>5880</v>
      </c>
      <c r="H14" s="1"/>
    </row>
    <row r="15" spans="1:8" x14ac:dyDescent="0.25">
      <c r="A15" s="1" t="s">
        <v>9</v>
      </c>
      <c r="B15" s="1" t="s">
        <v>1</v>
      </c>
      <c r="C15" s="1" t="s">
        <v>2</v>
      </c>
      <c r="D15" s="1" t="s">
        <v>3</v>
      </c>
      <c r="E15" s="1" t="s">
        <v>4</v>
      </c>
      <c r="F15" s="1"/>
      <c r="G15" s="1" t="s">
        <v>5</v>
      </c>
      <c r="H15" s="1" t="s">
        <v>6</v>
      </c>
    </row>
    <row r="16" spans="1:8" x14ac:dyDescent="0.25">
      <c r="A16" s="50" t="s">
        <v>49</v>
      </c>
      <c r="B16" s="1" t="s">
        <v>56</v>
      </c>
      <c r="C16" s="1">
        <v>45</v>
      </c>
      <c r="D16" s="1">
        <v>46.74</v>
      </c>
      <c r="E16" s="1">
        <v>45</v>
      </c>
      <c r="F16" s="33" t="s">
        <v>37</v>
      </c>
      <c r="G16" s="1">
        <f>D16*E16</f>
        <v>2103.3000000000002</v>
      </c>
      <c r="H16" s="1"/>
    </row>
    <row r="17" spans="1:8" x14ac:dyDescent="0.25">
      <c r="A17" s="50"/>
      <c r="B17" s="1" t="s">
        <v>57</v>
      </c>
      <c r="C17" s="1">
        <v>3</v>
      </c>
      <c r="D17" s="1">
        <v>78.599999999999994</v>
      </c>
      <c r="E17" s="1">
        <v>15</v>
      </c>
      <c r="F17" s="37" t="s">
        <v>37</v>
      </c>
      <c r="G17" s="16">
        <f t="shared" ref="G17:G19" si="1">D17*E17</f>
        <v>1179</v>
      </c>
      <c r="H17" s="1"/>
    </row>
    <row r="18" spans="1:8" x14ac:dyDescent="0.25">
      <c r="A18" s="50"/>
      <c r="B18" s="1" t="s">
        <v>58</v>
      </c>
      <c r="C18" s="1">
        <v>4</v>
      </c>
      <c r="D18" s="1">
        <v>100</v>
      </c>
      <c r="E18" s="1">
        <v>4</v>
      </c>
      <c r="F18" s="33" t="s">
        <v>37</v>
      </c>
      <c r="G18" s="2">
        <f t="shared" si="1"/>
        <v>400</v>
      </c>
      <c r="H18" s="1"/>
    </row>
    <row r="19" spans="1:8" x14ac:dyDescent="0.25">
      <c r="A19" s="50"/>
      <c r="B19" s="1"/>
      <c r="C19" s="1"/>
      <c r="D19" s="1"/>
      <c r="E19" s="3"/>
      <c r="F19" s="3"/>
      <c r="G19" s="16">
        <f t="shared" si="1"/>
        <v>0</v>
      </c>
      <c r="H19" s="1"/>
    </row>
    <row r="20" spans="1:8" x14ac:dyDescent="0.25">
      <c r="A20" s="50"/>
      <c r="B20" s="47"/>
      <c r="C20" s="48"/>
      <c r="D20" s="49"/>
      <c r="E20" s="3"/>
      <c r="F20" s="3"/>
      <c r="G20" s="13">
        <f>SUM(G16:G19)</f>
        <v>3682.3</v>
      </c>
      <c r="H20" s="1"/>
    </row>
    <row r="21" spans="1:8" x14ac:dyDescent="0.25">
      <c r="A21" s="4" t="s">
        <v>10</v>
      </c>
      <c r="B21" s="1" t="s">
        <v>1</v>
      </c>
      <c r="C21" s="1" t="s">
        <v>2</v>
      </c>
      <c r="D21" s="1" t="s">
        <v>3</v>
      </c>
      <c r="E21" s="1" t="s">
        <v>4</v>
      </c>
      <c r="F21" s="1"/>
      <c r="G21" s="1" t="s">
        <v>5</v>
      </c>
      <c r="H21" s="1" t="s">
        <v>6</v>
      </c>
    </row>
    <row r="22" spans="1:8" x14ac:dyDescent="0.25">
      <c r="A22" s="50"/>
      <c r="B22" s="1" t="s">
        <v>33</v>
      </c>
      <c r="C22" s="1">
        <v>2</v>
      </c>
      <c r="D22" s="1">
        <v>150</v>
      </c>
      <c r="E22" s="1">
        <v>2</v>
      </c>
      <c r="F22" s="1" t="s">
        <v>34</v>
      </c>
      <c r="G22" s="1">
        <f>D22*E22</f>
        <v>300</v>
      </c>
      <c r="H22" s="1"/>
    </row>
    <row r="23" spans="1:8" x14ac:dyDescent="0.25">
      <c r="A23" s="50"/>
      <c r="B23" s="25" t="s">
        <v>35</v>
      </c>
      <c r="C23" s="1" t="s">
        <v>41</v>
      </c>
      <c r="D23" s="1">
        <v>99</v>
      </c>
      <c r="E23" s="1">
        <v>0.5</v>
      </c>
      <c r="F23" s="1" t="s">
        <v>30</v>
      </c>
      <c r="G23" s="9">
        <f>D23*E23</f>
        <v>49.5</v>
      </c>
      <c r="H23" s="1"/>
    </row>
    <row r="24" spans="1:8" x14ac:dyDescent="0.25">
      <c r="A24" s="50"/>
      <c r="B24" s="25" t="s">
        <v>23</v>
      </c>
      <c r="C24" s="1">
        <v>8</v>
      </c>
      <c r="D24" s="1">
        <v>96.9</v>
      </c>
      <c r="E24" s="1">
        <v>8</v>
      </c>
      <c r="F24" s="1" t="s">
        <v>22</v>
      </c>
      <c r="G24" s="9">
        <f t="shared" ref="G24:G36" si="2">D24*E24</f>
        <v>775.2</v>
      </c>
      <c r="H24" s="1"/>
    </row>
    <row r="25" spans="1:8" x14ac:dyDescent="0.25">
      <c r="A25" s="50"/>
      <c r="B25" s="1" t="s">
        <v>24</v>
      </c>
      <c r="C25" s="1">
        <v>6</v>
      </c>
      <c r="D25" s="1">
        <v>65.7</v>
      </c>
      <c r="E25" s="1">
        <v>4</v>
      </c>
      <c r="F25" s="1" t="s">
        <v>22</v>
      </c>
      <c r="G25" s="37">
        <f t="shared" si="2"/>
        <v>262.8</v>
      </c>
      <c r="H25" s="1"/>
    </row>
    <row r="26" spans="1:8" x14ac:dyDescent="0.25">
      <c r="A26" s="50"/>
      <c r="B26" s="9" t="s">
        <v>25</v>
      </c>
      <c r="C26" s="9">
        <v>2</v>
      </c>
      <c r="D26" s="9">
        <v>54</v>
      </c>
      <c r="E26" s="9">
        <v>20</v>
      </c>
      <c r="F26" s="10" t="s">
        <v>17</v>
      </c>
      <c r="G26" s="37">
        <f t="shared" si="2"/>
        <v>1080</v>
      </c>
      <c r="H26" s="9"/>
    </row>
    <row r="27" spans="1:8" x14ac:dyDescent="0.25">
      <c r="A27" s="50"/>
      <c r="B27" s="9" t="s">
        <v>40</v>
      </c>
      <c r="C27" s="9">
        <v>4</v>
      </c>
      <c r="D27" s="9">
        <v>105</v>
      </c>
      <c r="E27" s="9">
        <v>4</v>
      </c>
      <c r="F27" s="9" t="s">
        <v>17</v>
      </c>
      <c r="G27" s="37">
        <f t="shared" si="2"/>
        <v>420</v>
      </c>
      <c r="H27" s="9"/>
    </row>
    <row r="28" spans="1:8" x14ac:dyDescent="0.25">
      <c r="A28" s="50"/>
      <c r="B28" s="9" t="s">
        <v>66</v>
      </c>
      <c r="C28" s="9" t="s">
        <v>91</v>
      </c>
      <c r="D28" s="9">
        <v>60</v>
      </c>
      <c r="E28" s="9">
        <v>0.5</v>
      </c>
      <c r="F28" s="33" t="s">
        <v>37</v>
      </c>
      <c r="G28" s="37">
        <f t="shared" si="2"/>
        <v>30</v>
      </c>
      <c r="H28" s="9"/>
    </row>
    <row r="29" spans="1:8" x14ac:dyDescent="0.25">
      <c r="A29" s="50"/>
      <c r="B29" s="9" t="s">
        <v>90</v>
      </c>
      <c r="C29" s="9">
        <v>8</v>
      </c>
      <c r="D29" s="9">
        <v>21</v>
      </c>
      <c r="E29" s="9">
        <v>8</v>
      </c>
      <c r="F29" s="33" t="s">
        <v>37</v>
      </c>
      <c r="G29" s="37">
        <f t="shared" si="2"/>
        <v>168</v>
      </c>
      <c r="H29" s="9"/>
    </row>
    <row r="30" spans="1:8" x14ac:dyDescent="0.25">
      <c r="A30" s="50"/>
      <c r="B30" s="33" t="s">
        <v>92</v>
      </c>
      <c r="C30" s="33">
        <v>4</v>
      </c>
      <c r="D30" s="33">
        <v>141</v>
      </c>
      <c r="E30" s="33">
        <v>4</v>
      </c>
      <c r="F30" s="33" t="s">
        <v>37</v>
      </c>
      <c r="G30" s="37">
        <f t="shared" si="2"/>
        <v>564</v>
      </c>
      <c r="H30" s="33"/>
    </row>
    <row r="31" spans="1:8" x14ac:dyDescent="0.25">
      <c r="A31" s="50"/>
      <c r="B31" s="33" t="s">
        <v>78</v>
      </c>
      <c r="C31" s="33">
        <v>4</v>
      </c>
      <c r="D31" s="33">
        <v>126</v>
      </c>
      <c r="E31" s="33">
        <v>1.67</v>
      </c>
      <c r="F31" s="33" t="s">
        <v>37</v>
      </c>
      <c r="G31" s="37">
        <f t="shared" si="2"/>
        <v>210.42</v>
      </c>
      <c r="H31" s="33"/>
    </row>
    <row r="32" spans="1:8" x14ac:dyDescent="0.25">
      <c r="A32" s="50"/>
      <c r="B32" s="33" t="s">
        <v>79</v>
      </c>
      <c r="C32" s="33">
        <v>4</v>
      </c>
      <c r="D32" s="33">
        <v>130.5</v>
      </c>
      <c r="E32" s="33">
        <v>1.17</v>
      </c>
      <c r="F32" s="33" t="s">
        <v>37</v>
      </c>
      <c r="G32" s="37">
        <f t="shared" si="2"/>
        <v>152.685</v>
      </c>
      <c r="H32" s="33"/>
    </row>
    <row r="33" spans="1:8" x14ac:dyDescent="0.25">
      <c r="A33" s="50"/>
      <c r="B33" s="33" t="s">
        <v>93</v>
      </c>
      <c r="C33" s="33">
        <v>3</v>
      </c>
      <c r="D33" s="33">
        <v>165</v>
      </c>
      <c r="E33" s="33">
        <v>3</v>
      </c>
      <c r="F33" s="33" t="s">
        <v>37</v>
      </c>
      <c r="G33" s="37">
        <f t="shared" si="2"/>
        <v>495</v>
      </c>
      <c r="H33" s="33"/>
    </row>
    <row r="34" spans="1:8" x14ac:dyDescent="0.25">
      <c r="A34" s="50"/>
      <c r="B34" s="9" t="s">
        <v>94</v>
      </c>
      <c r="C34" s="9">
        <v>2</v>
      </c>
      <c r="D34" s="9">
        <v>38</v>
      </c>
      <c r="E34" s="9">
        <v>2</v>
      </c>
      <c r="F34" s="9" t="s">
        <v>95</v>
      </c>
      <c r="G34" s="37">
        <f t="shared" si="2"/>
        <v>76</v>
      </c>
      <c r="H34" s="9"/>
    </row>
    <row r="35" spans="1:8" x14ac:dyDescent="0.25">
      <c r="A35" s="50"/>
      <c r="B35" s="9" t="s">
        <v>67</v>
      </c>
      <c r="C35" s="9" t="s">
        <v>91</v>
      </c>
      <c r="D35" s="9">
        <v>20.52</v>
      </c>
      <c r="E35" s="9">
        <v>0.5</v>
      </c>
      <c r="F35" s="33" t="s">
        <v>37</v>
      </c>
      <c r="G35" s="37">
        <f t="shared" si="2"/>
        <v>10.26</v>
      </c>
      <c r="H35" s="9"/>
    </row>
    <row r="36" spans="1:8" x14ac:dyDescent="0.25">
      <c r="A36" s="50"/>
      <c r="B36" s="27" t="s">
        <v>32</v>
      </c>
      <c r="C36" s="27">
        <v>1</v>
      </c>
      <c r="D36" s="27">
        <v>264</v>
      </c>
      <c r="E36" s="27">
        <v>1</v>
      </c>
      <c r="F36" s="27" t="s">
        <v>31</v>
      </c>
      <c r="G36" s="37">
        <f t="shared" si="2"/>
        <v>264</v>
      </c>
      <c r="H36" s="1"/>
    </row>
    <row r="37" spans="1:8" x14ac:dyDescent="0.25">
      <c r="A37" s="9"/>
      <c r="B37" s="47" t="s">
        <v>18</v>
      </c>
      <c r="C37" s="48"/>
      <c r="D37" s="49"/>
      <c r="E37" s="27"/>
      <c r="F37" s="27"/>
      <c r="G37" s="14">
        <f>SUM(G22:G36)</f>
        <v>4857.8649999999998</v>
      </c>
      <c r="H37" s="9"/>
    </row>
    <row r="38" spans="1:8" x14ac:dyDescent="0.25">
      <c r="A38" s="1" t="s">
        <v>11</v>
      </c>
      <c r="B38" s="27" t="s">
        <v>1</v>
      </c>
      <c r="C38" s="27" t="s">
        <v>2</v>
      </c>
      <c r="D38" s="27" t="s">
        <v>3</v>
      </c>
      <c r="E38" s="27" t="s">
        <v>4</v>
      </c>
      <c r="F38" s="27"/>
      <c r="G38" s="1" t="s">
        <v>5</v>
      </c>
      <c r="H38" s="1" t="s">
        <v>6</v>
      </c>
    </row>
    <row r="39" spans="1:8" x14ac:dyDescent="0.25">
      <c r="A39" s="50" t="s">
        <v>50</v>
      </c>
      <c r="B39" s="27" t="s">
        <v>51</v>
      </c>
      <c r="C39" s="27" t="s">
        <v>65</v>
      </c>
      <c r="D39" s="27"/>
      <c r="E39" s="27"/>
      <c r="F39" s="27"/>
      <c r="G39" s="1">
        <f>D39*E39</f>
        <v>0</v>
      </c>
      <c r="H39" s="1"/>
    </row>
    <row r="40" spans="1:8" x14ac:dyDescent="0.25">
      <c r="A40" s="50"/>
      <c r="B40" s="27" t="s">
        <v>52</v>
      </c>
      <c r="C40" s="27">
        <v>15</v>
      </c>
      <c r="D40" s="27">
        <v>141</v>
      </c>
      <c r="E40" s="27">
        <v>15</v>
      </c>
      <c r="F40" s="33" t="s">
        <v>37</v>
      </c>
      <c r="G40" s="37">
        <f>D40*E40</f>
        <v>2115</v>
      </c>
      <c r="H40" s="1" t="s">
        <v>15</v>
      </c>
    </row>
    <row r="41" spans="1:8" x14ac:dyDescent="0.25">
      <c r="A41" s="50"/>
      <c r="B41" s="27"/>
      <c r="C41" s="27"/>
      <c r="D41" s="27"/>
      <c r="E41" s="27"/>
      <c r="F41" s="27"/>
      <c r="G41" s="1"/>
      <c r="H41" s="1"/>
    </row>
    <row r="42" spans="1:8" x14ac:dyDescent="0.25">
      <c r="A42" s="50"/>
      <c r="B42" s="47"/>
      <c r="C42" s="48"/>
      <c r="D42" s="49"/>
      <c r="E42" s="28"/>
      <c r="F42" s="28"/>
      <c r="G42" s="15">
        <f>SUM(G39:G41)</f>
        <v>2115</v>
      </c>
      <c r="H42" s="1"/>
    </row>
    <row r="43" spans="1:8" x14ac:dyDescent="0.25">
      <c r="A43" s="1" t="s">
        <v>12</v>
      </c>
      <c r="B43" s="27" t="s">
        <v>1</v>
      </c>
      <c r="C43" s="27" t="s">
        <v>2</v>
      </c>
      <c r="D43" s="27" t="s">
        <v>3</v>
      </c>
      <c r="E43" s="28" t="s">
        <v>4</v>
      </c>
      <c r="F43" s="28"/>
      <c r="G43" s="3" t="s">
        <v>5</v>
      </c>
      <c r="H43" s="1" t="s">
        <v>6</v>
      </c>
    </row>
    <row r="44" spans="1:8" x14ac:dyDescent="0.25">
      <c r="A44" s="51"/>
      <c r="B44" s="1" t="s">
        <v>140</v>
      </c>
      <c r="C44" s="1"/>
      <c r="D44" s="1">
        <v>21.42</v>
      </c>
      <c r="E44" s="1">
        <v>70</v>
      </c>
      <c r="F44" s="1" t="s">
        <v>141</v>
      </c>
      <c r="G44" s="2">
        <f>D44*E44</f>
        <v>1499.4</v>
      </c>
      <c r="H44" s="1"/>
    </row>
    <row r="45" spans="1:8" x14ac:dyDescent="0.25">
      <c r="A45" s="52"/>
      <c r="B45" s="1" t="s">
        <v>146</v>
      </c>
      <c r="C45" s="1"/>
      <c r="D45" s="1">
        <v>16</v>
      </c>
      <c r="E45" s="1">
        <v>270</v>
      </c>
      <c r="F45" s="1" t="s">
        <v>147</v>
      </c>
      <c r="G45" s="2">
        <f>D45*E45</f>
        <v>4320</v>
      </c>
      <c r="H45" s="1"/>
    </row>
    <row r="46" spans="1:8" x14ac:dyDescent="0.25">
      <c r="A46" s="53"/>
      <c r="B46" s="47" t="s">
        <v>7</v>
      </c>
      <c r="C46" s="48"/>
      <c r="D46" s="49"/>
      <c r="E46" s="3"/>
      <c r="F46" s="3"/>
      <c r="G46" s="13">
        <f>SUM(G44:G45)</f>
        <v>5819.4</v>
      </c>
      <c r="H46" s="5"/>
    </row>
    <row r="47" spans="1:8" x14ac:dyDescent="0.25">
      <c r="A47" s="6" t="s">
        <v>13</v>
      </c>
      <c r="B47" s="1" t="s">
        <v>1</v>
      </c>
      <c r="C47" s="1" t="s">
        <v>2</v>
      </c>
      <c r="D47" s="1" t="s">
        <v>3</v>
      </c>
      <c r="E47" s="1" t="s">
        <v>4</v>
      </c>
      <c r="F47" s="1"/>
      <c r="G47" s="1" t="s">
        <v>5</v>
      </c>
      <c r="H47" s="1"/>
    </row>
    <row r="48" spans="1:8" x14ac:dyDescent="0.25">
      <c r="A48" s="50"/>
      <c r="B48" s="1"/>
      <c r="C48" s="1"/>
      <c r="D48" s="1"/>
      <c r="E48" s="1"/>
      <c r="F48" s="1"/>
      <c r="G48" s="1"/>
      <c r="H48" s="1"/>
    </row>
    <row r="49" spans="1:8" x14ac:dyDescent="0.25">
      <c r="A49" s="50"/>
      <c r="B49" s="1" t="s">
        <v>142</v>
      </c>
      <c r="C49" s="1"/>
      <c r="D49" s="1">
        <v>300</v>
      </c>
      <c r="E49" s="1">
        <v>1</v>
      </c>
      <c r="F49" s="1" t="s">
        <v>143</v>
      </c>
      <c r="G49" s="2">
        <f>D49*E49</f>
        <v>300</v>
      </c>
      <c r="H49" s="1"/>
    </row>
    <row r="50" spans="1:8" x14ac:dyDescent="0.25">
      <c r="A50" s="50"/>
      <c r="B50" s="1" t="s">
        <v>144</v>
      </c>
      <c r="C50" s="1"/>
      <c r="D50" s="1">
        <v>16</v>
      </c>
      <c r="E50" s="1">
        <v>2</v>
      </c>
      <c r="F50" s="1" t="s">
        <v>145</v>
      </c>
      <c r="G50" s="16">
        <f>D50*E50</f>
        <v>32</v>
      </c>
      <c r="H50" s="1"/>
    </row>
    <row r="51" spans="1:8" x14ac:dyDescent="0.25">
      <c r="A51" s="50"/>
      <c r="B51" s="1"/>
      <c r="C51" s="1"/>
      <c r="D51" s="1"/>
      <c r="E51" s="1"/>
      <c r="F51" s="1"/>
      <c r="G51" s="1"/>
      <c r="H51" s="1"/>
    </row>
    <row r="52" spans="1:8" x14ac:dyDescent="0.25">
      <c r="A52" s="50"/>
      <c r="B52" s="47" t="s">
        <v>7</v>
      </c>
      <c r="C52" s="48"/>
      <c r="D52" s="49"/>
      <c r="E52" s="3"/>
      <c r="F52" s="3"/>
      <c r="G52" s="15">
        <f>SUM(G48:G51)</f>
        <v>332</v>
      </c>
      <c r="H52" s="1"/>
    </row>
    <row r="53" spans="1:8" x14ac:dyDescent="0.25">
      <c r="A53" s="1"/>
      <c r="B53" s="44" t="s">
        <v>14</v>
      </c>
      <c r="C53" s="45"/>
      <c r="D53" s="46"/>
      <c r="E53" s="7"/>
      <c r="F53" s="7"/>
      <c r="G53" s="8">
        <f>G52+G46+G42+G20+G14+G7+G37</f>
        <v>26417.305</v>
      </c>
      <c r="H53" s="1"/>
    </row>
  </sheetData>
  <mergeCells count="16">
    <mergeCell ref="B20:D20"/>
    <mergeCell ref="A1:H1"/>
    <mergeCell ref="A3:A7"/>
    <mergeCell ref="B7:D7"/>
    <mergeCell ref="A9:A14"/>
    <mergeCell ref="B14:D14"/>
    <mergeCell ref="A48:A52"/>
    <mergeCell ref="A22:A36"/>
    <mergeCell ref="A39:A42"/>
    <mergeCell ref="A44:A46"/>
    <mergeCell ref="A16:A20"/>
    <mergeCell ref="B53:D53"/>
    <mergeCell ref="B52:D52"/>
    <mergeCell ref="B46:D46"/>
    <mergeCell ref="B42:D42"/>
    <mergeCell ref="B37:D37"/>
  </mergeCells>
  <phoneticPr fontId="2" type="noConversion"/>
  <pageMargins left="0.7" right="0.7" top="0.75" bottom="0.75" header="0.3" footer="0.3"/>
  <pageSetup paperSize="9" scale="88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6"/>
  <sheetViews>
    <sheetView workbookViewId="0">
      <selection activeCell="G46" sqref="G46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8" x14ac:dyDescent="0.25">
      <c r="A1" s="54" t="s">
        <v>43</v>
      </c>
      <c r="B1" s="55"/>
      <c r="C1" s="55"/>
      <c r="D1" s="55"/>
      <c r="E1" s="55"/>
      <c r="F1" s="55"/>
      <c r="G1" s="55"/>
      <c r="H1" s="56"/>
    </row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/>
      <c r="G2" s="1" t="s">
        <v>5</v>
      </c>
      <c r="H2" s="1" t="s">
        <v>6</v>
      </c>
    </row>
    <row r="3" spans="1:8" x14ac:dyDescent="0.25">
      <c r="A3" s="50" t="s">
        <v>59</v>
      </c>
      <c r="B3" s="1" t="s">
        <v>96</v>
      </c>
      <c r="C3" s="1">
        <v>55</v>
      </c>
      <c r="D3" s="1">
        <v>171</v>
      </c>
      <c r="E3" s="1">
        <v>55</v>
      </c>
      <c r="F3" s="33" t="s">
        <v>37</v>
      </c>
      <c r="G3" s="2">
        <f>D3*E3</f>
        <v>9405</v>
      </c>
      <c r="H3" s="1"/>
    </row>
    <row r="4" spans="1:8" x14ac:dyDescent="0.25">
      <c r="A4" s="50"/>
      <c r="B4" s="1"/>
      <c r="C4" s="1"/>
      <c r="D4" s="1"/>
      <c r="E4" s="1"/>
      <c r="F4" s="1"/>
      <c r="G4" s="2">
        <f t="shared" ref="G4:G6" si="0">D4*E4</f>
        <v>0</v>
      </c>
      <c r="H4" s="1"/>
    </row>
    <row r="5" spans="1:8" x14ac:dyDescent="0.25">
      <c r="A5" s="50"/>
      <c r="B5" s="1"/>
      <c r="C5" s="1"/>
      <c r="D5" s="1"/>
      <c r="E5" s="1"/>
      <c r="F5" s="1"/>
      <c r="G5" s="2">
        <f t="shared" si="0"/>
        <v>0</v>
      </c>
      <c r="H5" s="1"/>
    </row>
    <row r="6" spans="1:8" x14ac:dyDescent="0.25">
      <c r="A6" s="50"/>
      <c r="B6" s="1"/>
      <c r="C6" s="1"/>
      <c r="D6" s="1"/>
      <c r="E6" s="3"/>
      <c r="F6" s="3"/>
      <c r="G6" s="2">
        <f t="shared" si="0"/>
        <v>0</v>
      </c>
      <c r="H6" s="1"/>
    </row>
    <row r="7" spans="1:8" x14ac:dyDescent="0.25">
      <c r="A7" s="50"/>
      <c r="B7" s="47" t="s">
        <v>7</v>
      </c>
      <c r="C7" s="48"/>
      <c r="D7" s="49"/>
      <c r="E7" s="3"/>
      <c r="F7" s="3"/>
      <c r="G7" s="13">
        <f>SUM(G3:G6)</f>
        <v>9405</v>
      </c>
      <c r="H7" s="1"/>
    </row>
    <row r="8" spans="1:8" x14ac:dyDescent="0.25">
      <c r="A8" s="1" t="s">
        <v>8</v>
      </c>
      <c r="B8" s="1" t="s">
        <v>1</v>
      </c>
      <c r="C8" s="1" t="s">
        <v>2</v>
      </c>
      <c r="D8" s="1" t="s">
        <v>3</v>
      </c>
      <c r="E8" s="1" t="s">
        <v>4</v>
      </c>
      <c r="F8" s="1"/>
      <c r="G8" s="1" t="s">
        <v>5</v>
      </c>
      <c r="H8" s="1" t="s">
        <v>6</v>
      </c>
    </row>
    <row r="9" spans="1:8" x14ac:dyDescent="0.25">
      <c r="A9" s="50" t="s">
        <v>60</v>
      </c>
      <c r="B9" s="1" t="s">
        <v>69</v>
      </c>
      <c r="C9" s="1">
        <v>60</v>
      </c>
      <c r="D9" s="1">
        <v>11</v>
      </c>
      <c r="E9" s="1">
        <v>60</v>
      </c>
      <c r="F9" s="30" t="s">
        <v>71</v>
      </c>
      <c r="G9" s="1">
        <f>D9*E9</f>
        <v>660</v>
      </c>
      <c r="H9" s="1"/>
    </row>
    <row r="10" spans="1:8" x14ac:dyDescent="0.25">
      <c r="A10" s="50"/>
      <c r="B10" s="1" t="s">
        <v>70</v>
      </c>
      <c r="C10" s="1">
        <v>40</v>
      </c>
      <c r="D10" s="1">
        <v>46.8</v>
      </c>
      <c r="E10" s="40"/>
      <c r="F10" s="30" t="s">
        <v>17</v>
      </c>
      <c r="G10" s="18">
        <f>D10*E10</f>
        <v>0</v>
      </c>
      <c r="H10" s="1"/>
    </row>
    <row r="11" spans="1:8" x14ac:dyDescent="0.25">
      <c r="A11" s="50"/>
      <c r="B11" s="1"/>
      <c r="C11" s="1"/>
      <c r="D11" s="1"/>
      <c r="E11" s="1"/>
      <c r="F11" s="30"/>
      <c r="G11" s="1"/>
      <c r="H11" s="1"/>
    </row>
    <row r="12" spans="1:8" x14ac:dyDescent="0.25">
      <c r="A12" s="50"/>
      <c r="B12" s="1"/>
      <c r="C12" s="1"/>
      <c r="D12" s="1"/>
      <c r="E12" s="1"/>
      <c r="F12" s="30"/>
      <c r="G12" s="1"/>
      <c r="H12" s="1"/>
    </row>
    <row r="13" spans="1:8" x14ac:dyDescent="0.25">
      <c r="A13" s="50"/>
      <c r="B13" s="1"/>
      <c r="C13" s="1"/>
      <c r="D13" s="1"/>
      <c r="E13" s="1"/>
      <c r="F13" s="1"/>
      <c r="G13" s="1"/>
      <c r="H13" s="1"/>
    </row>
    <row r="14" spans="1:8" x14ac:dyDescent="0.25">
      <c r="A14" s="50"/>
      <c r="B14" s="47" t="s">
        <v>7</v>
      </c>
      <c r="C14" s="48"/>
      <c r="D14" s="49"/>
      <c r="E14" s="3"/>
      <c r="F14" s="3"/>
      <c r="G14" s="13">
        <f>SUM(G9:G13)</f>
        <v>660</v>
      </c>
      <c r="H14" s="1"/>
    </row>
    <row r="15" spans="1:8" x14ac:dyDescent="0.25">
      <c r="A15" s="27" t="s">
        <v>36</v>
      </c>
      <c r="B15" s="1" t="s">
        <v>1</v>
      </c>
      <c r="C15" s="1" t="s">
        <v>2</v>
      </c>
      <c r="D15" s="1" t="s">
        <v>3</v>
      </c>
      <c r="E15" s="1" t="s">
        <v>4</v>
      </c>
      <c r="F15" s="1"/>
      <c r="G15" s="1" t="s">
        <v>5</v>
      </c>
      <c r="H15" s="1" t="s">
        <v>6</v>
      </c>
    </row>
    <row r="16" spans="1:8" x14ac:dyDescent="0.25">
      <c r="A16" s="50" t="s">
        <v>61</v>
      </c>
      <c r="B16" s="1" t="s">
        <v>66</v>
      </c>
      <c r="C16" s="1">
        <v>15</v>
      </c>
      <c r="D16" s="1">
        <v>60</v>
      </c>
      <c r="E16" s="1">
        <v>15</v>
      </c>
      <c r="F16" s="33" t="s">
        <v>37</v>
      </c>
      <c r="G16" s="1">
        <f>D16*E16</f>
        <v>900</v>
      </c>
      <c r="H16" s="1"/>
    </row>
    <row r="17" spans="1:8" x14ac:dyDescent="0.25">
      <c r="A17" s="50"/>
      <c r="B17" s="1" t="s">
        <v>67</v>
      </c>
      <c r="C17" s="1">
        <v>3</v>
      </c>
      <c r="D17" s="1">
        <v>20.52</v>
      </c>
      <c r="E17" s="1">
        <v>3</v>
      </c>
      <c r="F17" s="33" t="s">
        <v>37</v>
      </c>
      <c r="G17" s="18">
        <f t="shared" ref="G17:G20" si="1">D17*E17</f>
        <v>61.56</v>
      </c>
      <c r="H17" s="1"/>
    </row>
    <row r="18" spans="1:8" x14ac:dyDescent="0.25">
      <c r="A18" s="50"/>
      <c r="B18" s="1" t="s">
        <v>52</v>
      </c>
      <c r="C18" s="1">
        <v>20</v>
      </c>
      <c r="D18" s="1">
        <v>141</v>
      </c>
      <c r="E18" s="1">
        <v>20</v>
      </c>
      <c r="F18" s="33" t="s">
        <v>37</v>
      </c>
      <c r="G18" s="18">
        <f t="shared" si="1"/>
        <v>2820</v>
      </c>
      <c r="H18" s="1"/>
    </row>
    <row r="19" spans="1:8" x14ac:dyDescent="0.25">
      <c r="A19" s="50"/>
      <c r="B19" s="1" t="s">
        <v>68</v>
      </c>
      <c r="C19" s="1">
        <v>10</v>
      </c>
      <c r="D19" s="1">
        <v>135</v>
      </c>
      <c r="E19" s="3">
        <v>10</v>
      </c>
      <c r="F19" s="32" t="s">
        <v>37</v>
      </c>
      <c r="G19" s="18">
        <f t="shared" si="1"/>
        <v>1350</v>
      </c>
      <c r="H19" s="1"/>
    </row>
    <row r="20" spans="1:8" x14ac:dyDescent="0.25">
      <c r="A20" s="50"/>
      <c r="B20" s="1"/>
      <c r="C20" s="1"/>
      <c r="D20" s="1"/>
      <c r="E20" s="3"/>
      <c r="F20" s="3"/>
      <c r="G20" s="18">
        <f t="shared" si="1"/>
        <v>0</v>
      </c>
      <c r="H20" s="1"/>
    </row>
    <row r="21" spans="1:8" x14ac:dyDescent="0.25">
      <c r="A21" s="50"/>
      <c r="B21" s="1"/>
      <c r="C21" s="1"/>
      <c r="D21" s="1"/>
      <c r="E21" s="3"/>
      <c r="F21" s="3"/>
      <c r="G21" s="1"/>
      <c r="H21" s="1"/>
    </row>
    <row r="22" spans="1:8" x14ac:dyDescent="0.25">
      <c r="A22" s="50"/>
      <c r="B22" s="47" t="s">
        <v>7</v>
      </c>
      <c r="C22" s="48"/>
      <c r="D22" s="49"/>
      <c r="E22" s="3"/>
      <c r="F22" s="3"/>
      <c r="G22" s="13">
        <f>SUM(G16:G21)</f>
        <v>5131.5599999999995</v>
      </c>
      <c r="H22" s="1"/>
    </row>
    <row r="23" spans="1:8" x14ac:dyDescent="0.25">
      <c r="A23" s="4" t="s">
        <v>10</v>
      </c>
      <c r="B23" s="1" t="s">
        <v>1</v>
      </c>
      <c r="C23" s="1" t="s">
        <v>2</v>
      </c>
      <c r="D23" s="1" t="s">
        <v>3</v>
      </c>
      <c r="E23" s="1" t="s">
        <v>4</v>
      </c>
      <c r="F23" s="1"/>
      <c r="G23" s="1" t="s">
        <v>5</v>
      </c>
      <c r="H23" s="1" t="s">
        <v>6</v>
      </c>
    </row>
    <row r="24" spans="1:8" x14ac:dyDescent="0.25">
      <c r="A24" s="50"/>
      <c r="B24" s="1" t="s">
        <v>26</v>
      </c>
      <c r="C24" s="1">
        <v>20</v>
      </c>
      <c r="D24" s="1">
        <v>60</v>
      </c>
      <c r="E24" s="1">
        <v>20</v>
      </c>
      <c r="F24" s="1" t="s">
        <v>17</v>
      </c>
      <c r="G24" s="1">
        <f>D24*E24</f>
        <v>1200</v>
      </c>
      <c r="H24" s="1"/>
    </row>
    <row r="25" spans="1:8" x14ac:dyDescent="0.25">
      <c r="A25" s="50"/>
      <c r="B25" s="31" t="s">
        <v>38</v>
      </c>
      <c r="C25" s="31">
        <v>2</v>
      </c>
      <c r="D25" s="31">
        <v>530</v>
      </c>
      <c r="E25" s="31">
        <v>8</v>
      </c>
      <c r="F25" s="31" t="s">
        <v>100</v>
      </c>
      <c r="G25" s="37">
        <f t="shared" ref="G25:G29" si="2">D25*E25</f>
        <v>4240</v>
      </c>
      <c r="H25" s="1"/>
    </row>
    <row r="26" spans="1:8" x14ac:dyDescent="0.25">
      <c r="A26" s="50"/>
      <c r="B26" s="31" t="s">
        <v>149</v>
      </c>
      <c r="C26" s="31">
        <v>1</v>
      </c>
      <c r="D26" s="31">
        <v>12</v>
      </c>
      <c r="E26" s="31">
        <v>20</v>
      </c>
      <c r="F26" s="31" t="s">
        <v>71</v>
      </c>
      <c r="G26" s="37">
        <f t="shared" si="2"/>
        <v>240</v>
      </c>
      <c r="H26" s="1"/>
    </row>
    <row r="27" spans="1:8" x14ac:dyDescent="0.25">
      <c r="A27" s="50"/>
      <c r="B27" s="1" t="s">
        <v>52</v>
      </c>
      <c r="C27" s="1">
        <v>4</v>
      </c>
      <c r="D27" s="1">
        <v>141</v>
      </c>
      <c r="E27" s="1">
        <v>4</v>
      </c>
      <c r="F27" s="33" t="s">
        <v>37</v>
      </c>
      <c r="G27" s="37">
        <f t="shared" si="2"/>
        <v>564</v>
      </c>
      <c r="H27" s="1"/>
    </row>
    <row r="28" spans="1:8" x14ac:dyDescent="0.25">
      <c r="A28" s="50"/>
      <c r="B28" s="30" t="s">
        <v>78</v>
      </c>
      <c r="C28" s="30">
        <v>2</v>
      </c>
      <c r="D28" s="30">
        <v>126</v>
      </c>
      <c r="E28" s="30">
        <v>0.84</v>
      </c>
      <c r="F28" s="29" t="s">
        <v>17</v>
      </c>
      <c r="G28" s="37">
        <f t="shared" si="2"/>
        <v>105.83999999999999</v>
      </c>
      <c r="H28" s="30"/>
    </row>
    <row r="29" spans="1:8" x14ac:dyDescent="0.25">
      <c r="A29" s="50"/>
      <c r="B29" s="18" t="s">
        <v>79</v>
      </c>
      <c r="C29" s="18">
        <v>2</v>
      </c>
      <c r="D29" s="18">
        <v>130.5</v>
      </c>
      <c r="E29" s="18">
        <v>0.59</v>
      </c>
      <c r="F29" s="36" t="s">
        <v>17</v>
      </c>
      <c r="G29" s="37">
        <f t="shared" si="2"/>
        <v>76.99499999999999</v>
      </c>
      <c r="H29" s="18"/>
    </row>
    <row r="30" spans="1:8" x14ac:dyDescent="0.25">
      <c r="A30" s="50"/>
      <c r="B30" s="47" t="s">
        <v>39</v>
      </c>
      <c r="C30" s="48"/>
      <c r="D30" s="49"/>
      <c r="E30" s="3"/>
      <c r="F30" s="3"/>
      <c r="G30" s="13">
        <f>SUM(G24:G29)</f>
        <v>6426.835</v>
      </c>
      <c r="H30" s="1"/>
    </row>
    <row r="31" spans="1:8" x14ac:dyDescent="0.25">
      <c r="A31" s="1" t="s">
        <v>11</v>
      </c>
      <c r="B31" s="1" t="s">
        <v>1</v>
      </c>
      <c r="C31" s="1" t="s">
        <v>2</v>
      </c>
      <c r="D31" s="1" t="s">
        <v>3</v>
      </c>
      <c r="E31" s="1" t="s">
        <v>4</v>
      </c>
      <c r="F31" s="1"/>
      <c r="G31" s="1" t="s">
        <v>5</v>
      </c>
      <c r="H31" s="1" t="s">
        <v>6</v>
      </c>
    </row>
    <row r="32" spans="1:8" x14ac:dyDescent="0.25">
      <c r="A32" s="50" t="s">
        <v>62</v>
      </c>
      <c r="B32" s="1" t="s">
        <v>63</v>
      </c>
      <c r="C32" s="1" t="s">
        <v>65</v>
      </c>
      <c r="D32" s="1"/>
      <c r="E32" s="1"/>
      <c r="F32" s="1"/>
      <c r="G32" s="1">
        <f>D32*E32</f>
        <v>0</v>
      </c>
      <c r="H32" s="1"/>
    </row>
    <row r="33" spans="1:8" x14ac:dyDescent="0.25">
      <c r="A33" s="50"/>
      <c r="B33" s="1" t="s">
        <v>64</v>
      </c>
      <c r="C33" s="1">
        <v>10</v>
      </c>
      <c r="D33" s="1">
        <v>56</v>
      </c>
      <c r="E33" s="1">
        <v>10</v>
      </c>
      <c r="F33" s="33" t="s">
        <v>37</v>
      </c>
      <c r="G33" s="1">
        <f>D33*E33</f>
        <v>560</v>
      </c>
      <c r="H33" s="1"/>
    </row>
    <row r="34" spans="1:8" x14ac:dyDescent="0.25">
      <c r="A34" s="50"/>
      <c r="B34" s="1"/>
      <c r="C34" s="1"/>
      <c r="D34" s="1"/>
      <c r="E34" s="1"/>
      <c r="F34" s="1"/>
      <c r="G34" s="1"/>
      <c r="H34" s="1"/>
    </row>
    <row r="35" spans="1:8" x14ac:dyDescent="0.25">
      <c r="A35" s="50"/>
      <c r="B35" s="47"/>
      <c r="C35" s="48"/>
      <c r="D35" s="49"/>
      <c r="E35" s="3"/>
      <c r="F35" s="3"/>
      <c r="G35" s="15">
        <f>SUM(G32:G34)</f>
        <v>560</v>
      </c>
      <c r="H35" s="1"/>
    </row>
    <row r="36" spans="1:8" x14ac:dyDescent="0.25">
      <c r="A36" s="1" t="s">
        <v>12</v>
      </c>
      <c r="B36" s="1" t="s">
        <v>1</v>
      </c>
      <c r="C36" s="1" t="s">
        <v>2</v>
      </c>
      <c r="D36" s="1" t="s">
        <v>3</v>
      </c>
      <c r="E36" s="3" t="s">
        <v>4</v>
      </c>
      <c r="F36" s="3"/>
      <c r="G36" s="3" t="s">
        <v>5</v>
      </c>
      <c r="H36" s="1" t="s">
        <v>6</v>
      </c>
    </row>
    <row r="37" spans="1:8" x14ac:dyDescent="0.25">
      <c r="A37" s="51"/>
      <c r="B37" s="1" t="s">
        <v>148</v>
      </c>
      <c r="C37" s="1"/>
      <c r="D37" s="1">
        <v>12.6</v>
      </c>
      <c r="E37" s="1">
        <v>70</v>
      </c>
      <c r="F37" s="1" t="s">
        <v>141</v>
      </c>
      <c r="G37" s="23">
        <f>D37*E37</f>
        <v>882</v>
      </c>
      <c r="H37" s="1"/>
    </row>
    <row r="38" spans="1:8" x14ac:dyDescent="0.25">
      <c r="A38" s="52"/>
      <c r="B38" s="1" t="s">
        <v>151</v>
      </c>
      <c r="C38" s="1"/>
      <c r="D38" s="1">
        <v>28.8</v>
      </c>
      <c r="E38" s="1"/>
      <c r="F38" s="1"/>
      <c r="G38" s="43">
        <f>D38*E38</f>
        <v>0</v>
      </c>
      <c r="H38" s="1"/>
    </row>
    <row r="39" spans="1:8" x14ac:dyDescent="0.25">
      <c r="A39" s="53"/>
      <c r="B39" s="47" t="s">
        <v>7</v>
      </c>
      <c r="C39" s="48"/>
      <c r="D39" s="49"/>
      <c r="E39" s="3"/>
      <c r="F39" s="3"/>
      <c r="G39" s="13">
        <f>SUM(G37:G38)</f>
        <v>882</v>
      </c>
      <c r="H39" s="5"/>
    </row>
    <row r="40" spans="1:8" x14ac:dyDescent="0.25">
      <c r="A40" s="6" t="s">
        <v>13</v>
      </c>
      <c r="B40" s="1" t="s">
        <v>1</v>
      </c>
      <c r="C40" s="1" t="s">
        <v>2</v>
      </c>
      <c r="D40" s="1" t="s">
        <v>3</v>
      </c>
      <c r="E40" s="1" t="s">
        <v>4</v>
      </c>
      <c r="F40" s="1"/>
      <c r="G40" s="1" t="s">
        <v>5</v>
      </c>
      <c r="H40" s="1"/>
    </row>
    <row r="41" spans="1:8" x14ac:dyDescent="0.25">
      <c r="A41" s="50"/>
      <c r="B41" s="1" t="s">
        <v>150</v>
      </c>
      <c r="C41" s="1"/>
      <c r="D41" s="1">
        <v>183</v>
      </c>
      <c r="E41" s="1">
        <v>0.5</v>
      </c>
      <c r="F41" s="1" t="s">
        <v>141</v>
      </c>
      <c r="G41" s="1">
        <f>D41*E41</f>
        <v>91.5</v>
      </c>
      <c r="H41" s="1"/>
    </row>
    <row r="42" spans="1:8" x14ac:dyDescent="0.25">
      <c r="A42" s="50"/>
      <c r="B42" s="1" t="s">
        <v>152</v>
      </c>
      <c r="C42" s="1"/>
      <c r="D42" s="1">
        <v>99</v>
      </c>
      <c r="E42" s="1">
        <v>8.43</v>
      </c>
      <c r="F42" s="1" t="s">
        <v>153</v>
      </c>
      <c r="G42" s="39">
        <f>D42*E42</f>
        <v>834.56999999999994</v>
      </c>
      <c r="H42" s="1"/>
    </row>
    <row r="43" spans="1:8" x14ac:dyDescent="0.25">
      <c r="A43" s="50"/>
      <c r="B43" s="1"/>
      <c r="C43" s="1"/>
      <c r="D43" s="1"/>
      <c r="E43" s="1"/>
      <c r="F43" s="1"/>
      <c r="G43" s="1"/>
      <c r="H43" s="1"/>
    </row>
    <row r="44" spans="1:8" x14ac:dyDescent="0.25">
      <c r="A44" s="50"/>
      <c r="B44" s="1"/>
      <c r="C44" s="1"/>
      <c r="D44" s="1"/>
      <c r="E44" s="1"/>
      <c r="F44" s="1"/>
      <c r="G44" s="1"/>
      <c r="H44" s="1"/>
    </row>
    <row r="45" spans="1:8" x14ac:dyDescent="0.25">
      <c r="A45" s="50"/>
      <c r="B45" s="47" t="s">
        <v>7</v>
      </c>
      <c r="C45" s="48"/>
      <c r="D45" s="49"/>
      <c r="E45" s="3"/>
      <c r="F45" s="3"/>
      <c r="G45" s="13">
        <f>SUM(G41:G44)</f>
        <v>926.06999999999994</v>
      </c>
      <c r="H45" s="1"/>
    </row>
    <row r="46" spans="1:8" x14ac:dyDescent="0.25">
      <c r="A46" s="1"/>
      <c r="B46" s="44" t="s">
        <v>14</v>
      </c>
      <c r="C46" s="45"/>
      <c r="D46" s="46"/>
      <c r="E46" s="7"/>
      <c r="F46" s="7"/>
      <c r="G46" s="8">
        <f>G45+G39+G35+G22+G14+G7+G30</f>
        <v>23991.464999999997</v>
      </c>
      <c r="H46" s="1"/>
    </row>
  </sheetData>
  <mergeCells count="16">
    <mergeCell ref="A16:A22"/>
    <mergeCell ref="B22:D22"/>
    <mergeCell ref="A1:H1"/>
    <mergeCell ref="A3:A7"/>
    <mergeCell ref="B7:D7"/>
    <mergeCell ref="A9:A14"/>
    <mergeCell ref="B14:D14"/>
    <mergeCell ref="A41:A45"/>
    <mergeCell ref="B45:D45"/>
    <mergeCell ref="B46:D46"/>
    <mergeCell ref="A24:A30"/>
    <mergeCell ref="B30:D30"/>
    <mergeCell ref="A32:A35"/>
    <mergeCell ref="B35:D35"/>
    <mergeCell ref="A37:A39"/>
    <mergeCell ref="B39:D39"/>
  </mergeCells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59"/>
  <sheetViews>
    <sheetView topLeftCell="A42" workbookViewId="0">
      <selection activeCell="H59" sqref="A1:H59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8" x14ac:dyDescent="0.25">
      <c r="A1" s="54" t="s">
        <v>44</v>
      </c>
      <c r="B1" s="55"/>
      <c r="C1" s="55"/>
      <c r="D1" s="55"/>
      <c r="E1" s="55"/>
      <c r="F1" s="55"/>
      <c r="G1" s="55"/>
      <c r="H1" s="56"/>
    </row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/>
      <c r="G2" s="1" t="s">
        <v>5</v>
      </c>
      <c r="H2" s="1" t="s">
        <v>6</v>
      </c>
    </row>
    <row r="3" spans="1:8" x14ac:dyDescent="0.25">
      <c r="A3" s="50" t="s">
        <v>72</v>
      </c>
      <c r="B3" s="1" t="s">
        <v>97</v>
      </c>
      <c r="C3" s="1">
        <v>1</v>
      </c>
      <c r="D3" s="1">
        <v>45</v>
      </c>
      <c r="E3" s="1">
        <v>24</v>
      </c>
      <c r="F3" s="30" t="s">
        <v>76</v>
      </c>
      <c r="G3" s="2">
        <f>D3*E3</f>
        <v>1080</v>
      </c>
      <c r="H3" s="1"/>
    </row>
    <row r="4" spans="1:8" x14ac:dyDescent="0.25">
      <c r="A4" s="50"/>
      <c r="B4" s="1" t="s">
        <v>98</v>
      </c>
      <c r="C4" s="1">
        <v>25</v>
      </c>
      <c r="D4" s="1">
        <v>117</v>
      </c>
      <c r="E4" s="1">
        <v>25</v>
      </c>
      <c r="F4" s="33" t="s">
        <v>37</v>
      </c>
      <c r="G4" s="2">
        <f t="shared" ref="G4:G5" si="0">D4*E4</f>
        <v>2925</v>
      </c>
      <c r="H4" s="1"/>
    </row>
    <row r="5" spans="1:8" x14ac:dyDescent="0.25">
      <c r="A5" s="50"/>
      <c r="B5" s="1" t="s">
        <v>99</v>
      </c>
      <c r="C5" s="1">
        <v>1</v>
      </c>
      <c r="D5" s="1">
        <v>420</v>
      </c>
      <c r="E5" s="1">
        <v>1</v>
      </c>
      <c r="F5" s="30" t="s">
        <v>100</v>
      </c>
      <c r="G5" s="2">
        <f t="shared" si="0"/>
        <v>420</v>
      </c>
      <c r="H5" s="1"/>
    </row>
    <row r="6" spans="1:8" x14ac:dyDescent="0.25">
      <c r="A6" s="50"/>
      <c r="B6" s="30"/>
      <c r="C6" s="30"/>
      <c r="D6" s="30"/>
      <c r="E6" s="29"/>
      <c r="F6" s="29"/>
      <c r="G6" s="29"/>
      <c r="H6" s="30"/>
    </row>
    <row r="7" spans="1:8" x14ac:dyDescent="0.25">
      <c r="A7" s="50"/>
      <c r="B7" s="30"/>
      <c r="C7" s="30"/>
      <c r="D7" s="30"/>
      <c r="E7" s="29"/>
      <c r="F7" s="29"/>
      <c r="G7" s="29"/>
      <c r="H7" s="30"/>
    </row>
    <row r="8" spans="1:8" x14ac:dyDescent="0.25">
      <c r="A8" s="50"/>
      <c r="B8" s="1"/>
      <c r="C8" s="1"/>
      <c r="D8" s="1"/>
      <c r="E8" s="3"/>
      <c r="F8" s="29"/>
      <c r="G8" s="3"/>
      <c r="H8" s="1"/>
    </row>
    <row r="9" spans="1:8" x14ac:dyDescent="0.25">
      <c r="A9" s="50"/>
      <c r="B9" s="47" t="s">
        <v>7</v>
      </c>
      <c r="C9" s="48"/>
      <c r="D9" s="49"/>
      <c r="E9" s="3"/>
      <c r="F9" s="3"/>
      <c r="G9" s="13">
        <f>SUM(G3:G8)</f>
        <v>4425</v>
      </c>
      <c r="H9" s="1"/>
    </row>
    <row r="10" spans="1:8" x14ac:dyDescent="0.25">
      <c r="A10" s="1" t="s">
        <v>8</v>
      </c>
      <c r="B10" s="1" t="s">
        <v>1</v>
      </c>
      <c r="C10" s="1" t="s">
        <v>2</v>
      </c>
      <c r="D10" s="1" t="s">
        <v>3</v>
      </c>
      <c r="E10" s="1" t="s">
        <v>4</v>
      </c>
      <c r="F10" s="1"/>
      <c r="G10" s="1" t="s">
        <v>5</v>
      </c>
      <c r="H10" s="1" t="s">
        <v>6</v>
      </c>
    </row>
    <row r="11" spans="1:8" x14ac:dyDescent="0.25">
      <c r="A11" s="57" t="s">
        <v>73</v>
      </c>
      <c r="B11" s="1" t="s">
        <v>74</v>
      </c>
      <c r="C11" s="1">
        <v>40</v>
      </c>
      <c r="D11" s="1">
        <v>82.8</v>
      </c>
      <c r="E11" s="26">
        <v>40</v>
      </c>
      <c r="F11" s="33" t="s">
        <v>37</v>
      </c>
      <c r="G11" s="1">
        <f>D11*E11</f>
        <v>3312</v>
      </c>
      <c r="H11" s="1"/>
    </row>
    <row r="12" spans="1:8" x14ac:dyDescent="0.25">
      <c r="A12" s="50"/>
      <c r="B12" s="1" t="s">
        <v>75</v>
      </c>
      <c r="C12" s="1">
        <v>10</v>
      </c>
      <c r="D12" s="1">
        <v>335</v>
      </c>
      <c r="E12" s="1">
        <v>10</v>
      </c>
      <c r="F12" s="30" t="s">
        <v>76</v>
      </c>
      <c r="G12" s="21">
        <f t="shared" ref="G12:G14" si="1">D12*E12</f>
        <v>3350</v>
      </c>
      <c r="H12" s="1"/>
    </row>
    <row r="13" spans="1:8" x14ac:dyDescent="0.25">
      <c r="A13" s="50"/>
      <c r="B13" s="1"/>
      <c r="C13" s="1"/>
      <c r="D13" s="1"/>
      <c r="E13" s="1"/>
      <c r="F13" s="30"/>
      <c r="G13" s="21">
        <f t="shared" si="1"/>
        <v>0</v>
      </c>
      <c r="H13" s="1"/>
    </row>
    <row r="14" spans="1:8" x14ac:dyDescent="0.25">
      <c r="A14" s="50"/>
      <c r="B14" s="1"/>
      <c r="C14" s="1"/>
      <c r="D14" s="1"/>
      <c r="E14" s="1"/>
      <c r="F14" s="30"/>
      <c r="G14" s="21">
        <f t="shared" si="1"/>
        <v>0</v>
      </c>
      <c r="H14" s="1"/>
    </row>
    <row r="15" spans="1:8" x14ac:dyDescent="0.25">
      <c r="A15" s="50"/>
      <c r="B15" s="30"/>
      <c r="C15" s="30"/>
      <c r="D15" s="30"/>
      <c r="E15" s="30"/>
      <c r="F15" s="30"/>
      <c r="G15" s="30"/>
      <c r="H15" s="30"/>
    </row>
    <row r="16" spans="1:8" x14ac:dyDescent="0.25">
      <c r="A16" s="50"/>
      <c r="B16" s="1"/>
      <c r="C16" s="1"/>
      <c r="D16" s="1"/>
      <c r="E16" s="1"/>
      <c r="F16" s="30"/>
      <c r="G16" s="1"/>
      <c r="H16" s="1"/>
    </row>
    <row r="17" spans="1:8" x14ac:dyDescent="0.25">
      <c r="A17" s="1" t="s">
        <v>9</v>
      </c>
      <c r="B17" s="47" t="s">
        <v>7</v>
      </c>
      <c r="C17" s="48"/>
      <c r="D17" s="49"/>
      <c r="E17" s="3"/>
      <c r="F17" s="3"/>
      <c r="G17" s="13">
        <f>SUM(G11:G16)</f>
        <v>6662</v>
      </c>
      <c r="H17" s="1"/>
    </row>
    <row r="18" spans="1:8" x14ac:dyDescent="0.25">
      <c r="A18" s="50" t="s">
        <v>77</v>
      </c>
      <c r="B18" s="1" t="s">
        <v>1</v>
      </c>
      <c r="C18" s="1" t="s">
        <v>2</v>
      </c>
      <c r="D18" s="1" t="s">
        <v>3</v>
      </c>
      <c r="E18" s="1" t="s">
        <v>4</v>
      </c>
      <c r="F18" s="1"/>
      <c r="G18" s="1" t="s">
        <v>5</v>
      </c>
      <c r="H18" s="1" t="s">
        <v>6</v>
      </c>
    </row>
    <row r="19" spans="1:8" x14ac:dyDescent="0.25">
      <c r="A19" s="50"/>
      <c r="B19" s="1" t="s">
        <v>78</v>
      </c>
      <c r="C19" s="1">
        <v>5</v>
      </c>
      <c r="D19" s="1">
        <v>144</v>
      </c>
      <c r="E19" s="1">
        <v>5</v>
      </c>
      <c r="F19" s="33" t="s">
        <v>37</v>
      </c>
      <c r="G19" s="1">
        <f>D19*E19</f>
        <v>720</v>
      </c>
      <c r="H19" s="1"/>
    </row>
    <row r="20" spans="1:8" x14ac:dyDescent="0.25">
      <c r="A20" s="50"/>
      <c r="B20" s="1" t="s">
        <v>79</v>
      </c>
      <c r="C20" s="1">
        <v>5</v>
      </c>
      <c r="D20" s="1">
        <v>171</v>
      </c>
      <c r="E20" s="1">
        <v>5</v>
      </c>
      <c r="F20" s="33" t="s">
        <v>37</v>
      </c>
      <c r="G20" s="39">
        <f t="shared" ref="G20:G21" si="2">D20*E20</f>
        <v>855</v>
      </c>
      <c r="H20" s="1"/>
    </row>
    <row r="21" spans="1:8" x14ac:dyDescent="0.25">
      <c r="A21" s="50"/>
      <c r="B21" s="1" t="s">
        <v>80</v>
      </c>
      <c r="C21" s="1">
        <v>4</v>
      </c>
      <c r="D21" s="1">
        <v>70</v>
      </c>
      <c r="E21" s="1">
        <v>40</v>
      </c>
      <c r="F21" s="1" t="s">
        <v>76</v>
      </c>
      <c r="G21" s="39">
        <f t="shared" si="2"/>
        <v>2800</v>
      </c>
      <c r="H21" s="1"/>
    </row>
    <row r="22" spans="1:8" x14ac:dyDescent="0.25">
      <c r="A22" s="50"/>
      <c r="B22" s="1"/>
      <c r="C22" s="1"/>
      <c r="D22" s="1"/>
      <c r="E22" s="3"/>
      <c r="F22" s="3"/>
      <c r="G22" s="1"/>
      <c r="H22" s="1"/>
    </row>
    <row r="23" spans="1:8" x14ac:dyDescent="0.25">
      <c r="A23" s="4" t="s">
        <v>10</v>
      </c>
      <c r="B23" s="47" t="s">
        <v>7</v>
      </c>
      <c r="C23" s="48"/>
      <c r="D23" s="49"/>
      <c r="E23" s="3"/>
      <c r="F23" s="3"/>
      <c r="G23" s="15">
        <f>SUM(G19:G22)</f>
        <v>4375</v>
      </c>
      <c r="H23" s="1"/>
    </row>
    <row r="24" spans="1:8" x14ac:dyDescent="0.25">
      <c r="A24" s="50"/>
      <c r="B24" s="1" t="s">
        <v>1</v>
      </c>
      <c r="C24" s="1" t="s">
        <v>2</v>
      </c>
      <c r="D24" s="1" t="s">
        <v>3</v>
      </c>
      <c r="E24" s="1" t="s">
        <v>4</v>
      </c>
      <c r="F24" s="1"/>
      <c r="G24" s="1" t="s">
        <v>5</v>
      </c>
      <c r="H24" s="1" t="s">
        <v>6</v>
      </c>
    </row>
    <row r="25" spans="1:8" x14ac:dyDescent="0.25">
      <c r="A25" s="50"/>
      <c r="B25" s="1" t="s">
        <v>101</v>
      </c>
      <c r="C25" s="1">
        <v>8</v>
      </c>
      <c r="D25" s="1">
        <v>22.8</v>
      </c>
      <c r="E25" s="1">
        <v>8</v>
      </c>
      <c r="F25" s="33" t="s">
        <v>37</v>
      </c>
      <c r="G25" s="1">
        <f>D25*E25</f>
        <v>182.4</v>
      </c>
      <c r="H25" s="1" t="s">
        <v>28</v>
      </c>
    </row>
    <row r="26" spans="1:8" x14ac:dyDescent="0.25">
      <c r="A26" s="50"/>
      <c r="B26" s="1" t="s">
        <v>52</v>
      </c>
      <c r="C26" s="1">
        <v>4</v>
      </c>
      <c r="D26" s="1">
        <v>141</v>
      </c>
      <c r="E26" s="1">
        <v>4</v>
      </c>
      <c r="F26" s="33" t="s">
        <v>37</v>
      </c>
      <c r="G26" s="21">
        <f t="shared" ref="G26:G30" si="3">D26*E26</f>
        <v>564</v>
      </c>
      <c r="H26" s="1"/>
    </row>
    <row r="27" spans="1:8" x14ac:dyDescent="0.25">
      <c r="A27" s="50"/>
      <c r="B27" s="1" t="s">
        <v>102</v>
      </c>
      <c r="C27" s="1">
        <v>40</v>
      </c>
      <c r="D27" s="1">
        <v>24</v>
      </c>
      <c r="E27" s="1">
        <v>40</v>
      </c>
      <c r="F27" s="1" t="s">
        <v>103</v>
      </c>
      <c r="G27" s="21">
        <f t="shared" si="3"/>
        <v>960</v>
      </c>
      <c r="H27" s="1"/>
    </row>
    <row r="28" spans="1:8" x14ac:dyDescent="0.25">
      <c r="A28" s="50"/>
      <c r="B28" s="1" t="s">
        <v>167</v>
      </c>
      <c r="C28" s="1"/>
      <c r="D28" s="1">
        <v>125</v>
      </c>
      <c r="E28" s="1">
        <v>12</v>
      </c>
      <c r="F28" s="1" t="s">
        <v>163</v>
      </c>
      <c r="G28" s="21">
        <f t="shared" si="3"/>
        <v>1500</v>
      </c>
      <c r="H28" s="1"/>
    </row>
    <row r="29" spans="1:8" x14ac:dyDescent="0.25">
      <c r="A29" s="50"/>
      <c r="B29" s="21" t="s">
        <v>168</v>
      </c>
      <c r="C29" s="21"/>
      <c r="D29" s="21">
        <v>900</v>
      </c>
      <c r="E29" s="21">
        <v>1</v>
      </c>
      <c r="F29" s="22" t="s">
        <v>169</v>
      </c>
      <c r="G29" s="22">
        <f t="shared" si="3"/>
        <v>900</v>
      </c>
      <c r="H29" s="21"/>
    </row>
    <row r="30" spans="1:8" x14ac:dyDescent="0.25">
      <c r="A30" s="50"/>
      <c r="B30" s="21" t="s">
        <v>170</v>
      </c>
      <c r="C30" s="21"/>
      <c r="D30" s="21">
        <v>125</v>
      </c>
      <c r="E30" s="21">
        <v>1</v>
      </c>
      <c r="F30" s="22" t="s">
        <v>153</v>
      </c>
      <c r="G30" s="22">
        <f t="shared" si="3"/>
        <v>125</v>
      </c>
      <c r="H30" s="21"/>
    </row>
    <row r="31" spans="1:8" x14ac:dyDescent="0.25">
      <c r="A31" s="1" t="s">
        <v>11</v>
      </c>
      <c r="B31" s="47" t="s">
        <v>7</v>
      </c>
      <c r="C31" s="48"/>
      <c r="D31" s="49"/>
      <c r="E31" s="3"/>
      <c r="F31" s="3"/>
      <c r="G31" s="15">
        <f>SUM(G25:G30)</f>
        <v>4231.3999999999996</v>
      </c>
      <c r="H31" s="1"/>
    </row>
    <row r="32" spans="1:8" x14ac:dyDescent="0.25">
      <c r="A32" s="51" t="s">
        <v>81</v>
      </c>
      <c r="B32" s="1" t="s">
        <v>1</v>
      </c>
      <c r="C32" s="1" t="s">
        <v>2</v>
      </c>
      <c r="D32" s="1" t="s">
        <v>3</v>
      </c>
      <c r="E32" s="1" t="s">
        <v>4</v>
      </c>
      <c r="F32" s="1"/>
      <c r="G32" s="1" t="s">
        <v>5</v>
      </c>
      <c r="H32" s="1" t="s">
        <v>6</v>
      </c>
    </row>
    <row r="33" spans="1:8" x14ac:dyDescent="0.25">
      <c r="A33" s="52"/>
      <c r="B33" s="33" t="s">
        <v>104</v>
      </c>
      <c r="C33" s="33">
        <v>1</v>
      </c>
      <c r="D33" s="33">
        <v>230</v>
      </c>
      <c r="E33" s="33">
        <v>1</v>
      </c>
      <c r="F33" s="33" t="s">
        <v>76</v>
      </c>
      <c r="G33" s="33">
        <f>D33*E33</f>
        <v>230</v>
      </c>
      <c r="H33" s="33"/>
    </row>
    <row r="34" spans="1:8" x14ac:dyDescent="0.25">
      <c r="A34" s="52"/>
      <c r="B34" s="33" t="s">
        <v>105</v>
      </c>
      <c r="C34" s="33">
        <v>3</v>
      </c>
      <c r="D34" s="33">
        <v>100</v>
      </c>
      <c r="E34" s="33">
        <v>3</v>
      </c>
      <c r="F34" s="33" t="s">
        <v>37</v>
      </c>
      <c r="G34" s="39">
        <f t="shared" ref="G34:G38" si="4">D34*E34</f>
        <v>300</v>
      </c>
      <c r="H34" s="33"/>
    </row>
    <row r="35" spans="1:8" x14ac:dyDescent="0.25">
      <c r="A35" s="52"/>
      <c r="B35" s="39" t="s">
        <v>154</v>
      </c>
      <c r="C35" s="39"/>
      <c r="D35" s="39">
        <v>19.38</v>
      </c>
      <c r="E35" s="39">
        <v>7.84</v>
      </c>
      <c r="F35" s="39" t="s">
        <v>153</v>
      </c>
      <c r="G35" s="39">
        <f t="shared" si="4"/>
        <v>151.9392</v>
      </c>
      <c r="H35" s="39"/>
    </row>
    <row r="36" spans="1:8" x14ac:dyDescent="0.25">
      <c r="A36" s="52"/>
      <c r="B36" s="1" t="s">
        <v>106</v>
      </c>
      <c r="C36" s="1">
        <v>10</v>
      </c>
      <c r="D36" s="1">
        <v>66.599999999999994</v>
      </c>
      <c r="E36" s="1">
        <v>10</v>
      </c>
      <c r="F36" s="33" t="s">
        <v>37</v>
      </c>
      <c r="G36" s="39">
        <f t="shared" si="4"/>
        <v>666</v>
      </c>
      <c r="H36" s="1"/>
    </row>
    <row r="37" spans="1:8" x14ac:dyDescent="0.25">
      <c r="A37" s="52"/>
      <c r="B37" s="1" t="s">
        <v>107</v>
      </c>
      <c r="C37" s="1">
        <v>15</v>
      </c>
      <c r="D37" s="1">
        <v>26.1</v>
      </c>
      <c r="E37" s="1">
        <v>15</v>
      </c>
      <c r="F37" s="33" t="s">
        <v>37</v>
      </c>
      <c r="G37" s="39">
        <f t="shared" si="4"/>
        <v>391.5</v>
      </c>
      <c r="H37" s="1" t="s">
        <v>27</v>
      </c>
    </row>
    <row r="38" spans="1:8" x14ac:dyDescent="0.25">
      <c r="A38" s="52"/>
      <c r="B38" s="1" t="s">
        <v>108</v>
      </c>
      <c r="C38" s="1">
        <v>5</v>
      </c>
      <c r="D38" s="1">
        <v>16.2</v>
      </c>
      <c r="E38" s="1">
        <v>5</v>
      </c>
      <c r="F38" s="33" t="s">
        <v>114</v>
      </c>
      <c r="G38" s="39">
        <f t="shared" si="4"/>
        <v>81</v>
      </c>
      <c r="H38" s="1"/>
    </row>
    <row r="39" spans="1:8" x14ac:dyDescent="0.25">
      <c r="A39" s="53"/>
      <c r="B39" s="47" t="s">
        <v>16</v>
      </c>
      <c r="C39" s="48"/>
      <c r="D39" s="49"/>
      <c r="E39" s="3"/>
      <c r="F39" s="3"/>
      <c r="G39" s="13">
        <f>SUM(G33:G38)</f>
        <v>1820.4392</v>
      </c>
      <c r="H39" s="1"/>
    </row>
    <row r="40" spans="1:8" x14ac:dyDescent="0.25">
      <c r="A40" s="1" t="s">
        <v>12</v>
      </c>
      <c r="B40" s="1" t="s">
        <v>1</v>
      </c>
      <c r="C40" s="1" t="s">
        <v>2</v>
      </c>
      <c r="D40" s="1" t="s">
        <v>3</v>
      </c>
      <c r="E40" s="3" t="s">
        <v>4</v>
      </c>
      <c r="F40" s="3"/>
      <c r="G40" s="3" t="s">
        <v>5</v>
      </c>
      <c r="H40" s="1" t="s">
        <v>6</v>
      </c>
    </row>
    <row r="41" spans="1:8" x14ac:dyDescent="0.25">
      <c r="A41" s="51"/>
      <c r="B41" s="1" t="s">
        <v>155</v>
      </c>
      <c r="C41" s="1"/>
      <c r="D41" s="1">
        <v>11.7</v>
      </c>
      <c r="E41" s="1">
        <v>70</v>
      </c>
      <c r="F41" s="1" t="s">
        <v>21</v>
      </c>
      <c r="G41" s="1">
        <f>D41*E41</f>
        <v>819</v>
      </c>
      <c r="H41" s="1"/>
    </row>
    <row r="42" spans="1:8" x14ac:dyDescent="0.25">
      <c r="A42" s="52"/>
      <c r="B42" s="1" t="s">
        <v>178</v>
      </c>
      <c r="C42" s="1"/>
      <c r="D42" s="1">
        <v>13.44</v>
      </c>
      <c r="E42" s="1">
        <v>133.34</v>
      </c>
      <c r="F42" s="42" t="s">
        <v>17</v>
      </c>
      <c r="G42" s="2">
        <f>D42*E42</f>
        <v>1792.0896</v>
      </c>
      <c r="H42" s="1"/>
    </row>
    <row r="43" spans="1:8" x14ac:dyDescent="0.25">
      <c r="A43" s="53"/>
      <c r="B43" s="47" t="s">
        <v>7</v>
      </c>
      <c r="C43" s="48"/>
      <c r="D43" s="49"/>
      <c r="E43" s="3"/>
      <c r="F43" s="3"/>
      <c r="G43" s="13">
        <f>SUM(G41:G42)</f>
        <v>2611.0896000000002</v>
      </c>
      <c r="H43" s="5"/>
    </row>
    <row r="44" spans="1:8" x14ac:dyDescent="0.25">
      <c r="A44" s="6" t="s">
        <v>13</v>
      </c>
      <c r="B44" s="1" t="s">
        <v>1</v>
      </c>
      <c r="C44" s="1" t="s">
        <v>2</v>
      </c>
      <c r="D44" s="1" t="s">
        <v>3</v>
      </c>
      <c r="E44" s="1" t="s">
        <v>4</v>
      </c>
      <c r="F44" s="1"/>
      <c r="G44" s="1" t="s">
        <v>5</v>
      </c>
      <c r="H44" s="1"/>
    </row>
    <row r="45" spans="1:8" x14ac:dyDescent="0.25">
      <c r="A45" s="51"/>
      <c r="B45" s="1" t="s">
        <v>156</v>
      </c>
      <c r="C45" s="1"/>
      <c r="D45" s="1">
        <v>37</v>
      </c>
      <c r="E45" s="1">
        <v>20</v>
      </c>
      <c r="F45" s="11" t="s">
        <v>157</v>
      </c>
      <c r="G45" s="1">
        <f>D45*E45</f>
        <v>740</v>
      </c>
      <c r="H45" s="1"/>
    </row>
    <row r="46" spans="1:8" x14ac:dyDescent="0.25">
      <c r="A46" s="52"/>
      <c r="B46" s="1" t="s">
        <v>158</v>
      </c>
      <c r="C46" s="1"/>
      <c r="D46" s="1">
        <v>255</v>
      </c>
      <c r="E46" s="1">
        <v>2</v>
      </c>
      <c r="F46" s="11" t="s">
        <v>159</v>
      </c>
      <c r="G46" s="21">
        <f t="shared" ref="G46:G57" si="5">D46*E46</f>
        <v>510</v>
      </c>
      <c r="H46" s="1"/>
    </row>
    <row r="47" spans="1:8" x14ac:dyDescent="0.25">
      <c r="A47" s="52"/>
      <c r="B47" s="1" t="s">
        <v>160</v>
      </c>
      <c r="C47" s="1"/>
      <c r="D47" s="1">
        <v>273</v>
      </c>
      <c r="E47" s="39">
        <v>2</v>
      </c>
      <c r="F47" s="39" t="s">
        <v>159</v>
      </c>
      <c r="G47" s="21">
        <f t="shared" si="5"/>
        <v>546</v>
      </c>
      <c r="H47" s="1"/>
    </row>
    <row r="48" spans="1:8" x14ac:dyDescent="0.25">
      <c r="A48" s="52"/>
      <c r="B48" s="1" t="s">
        <v>161</v>
      </c>
      <c r="C48" s="1"/>
      <c r="D48" s="1">
        <v>310</v>
      </c>
      <c r="E48" s="1">
        <v>1</v>
      </c>
      <c r="F48" s="11" t="s">
        <v>159</v>
      </c>
      <c r="G48" s="21">
        <f t="shared" si="5"/>
        <v>310</v>
      </c>
      <c r="H48" s="1"/>
    </row>
    <row r="49" spans="1:8" x14ac:dyDescent="0.25">
      <c r="A49" s="52"/>
      <c r="B49" s="11" t="s">
        <v>162</v>
      </c>
      <c r="C49" s="11"/>
      <c r="D49" s="12">
        <v>760</v>
      </c>
      <c r="E49" s="12">
        <v>1</v>
      </c>
      <c r="F49" s="12" t="s">
        <v>163</v>
      </c>
      <c r="G49" s="21">
        <f t="shared" si="5"/>
        <v>760</v>
      </c>
      <c r="H49" s="11"/>
    </row>
    <row r="50" spans="1:8" x14ac:dyDescent="0.25">
      <c r="A50" s="52"/>
      <c r="B50" s="39" t="s">
        <v>164</v>
      </c>
      <c r="C50" s="39"/>
      <c r="D50" s="39">
        <v>362</v>
      </c>
      <c r="E50" s="39">
        <v>2</v>
      </c>
      <c r="F50" s="38" t="s">
        <v>159</v>
      </c>
      <c r="G50" s="38">
        <f t="shared" si="5"/>
        <v>724</v>
      </c>
      <c r="H50" s="39"/>
    </row>
    <row r="51" spans="1:8" x14ac:dyDescent="0.25">
      <c r="A51" s="52"/>
      <c r="B51" s="39" t="s">
        <v>165</v>
      </c>
      <c r="C51" s="39"/>
      <c r="D51" s="39">
        <v>240</v>
      </c>
      <c r="E51" s="39">
        <v>1</v>
      </c>
      <c r="F51" s="39" t="s">
        <v>159</v>
      </c>
      <c r="G51" s="38">
        <f t="shared" si="5"/>
        <v>240</v>
      </c>
      <c r="H51" s="39"/>
    </row>
    <row r="52" spans="1:8" x14ac:dyDescent="0.25">
      <c r="A52" s="52"/>
      <c r="B52" s="39" t="s">
        <v>166</v>
      </c>
      <c r="C52" s="39"/>
      <c r="D52" s="39">
        <v>630</v>
      </c>
      <c r="E52" s="39">
        <v>1</v>
      </c>
      <c r="F52" s="39" t="s">
        <v>159</v>
      </c>
      <c r="G52" s="38">
        <f t="shared" si="5"/>
        <v>630</v>
      </c>
      <c r="H52" s="39"/>
    </row>
    <row r="53" spans="1:8" x14ac:dyDescent="0.25">
      <c r="A53" s="52"/>
      <c r="B53" s="39" t="s">
        <v>171</v>
      </c>
      <c r="C53" s="39"/>
      <c r="D53" s="39">
        <v>60</v>
      </c>
      <c r="E53" s="39">
        <v>1</v>
      </c>
      <c r="F53" s="39" t="s">
        <v>172</v>
      </c>
      <c r="G53" s="39">
        <f t="shared" si="5"/>
        <v>60</v>
      </c>
      <c r="H53" s="39"/>
    </row>
    <row r="54" spans="1:8" x14ac:dyDescent="0.25">
      <c r="A54" s="52"/>
      <c r="B54" s="39" t="s">
        <v>173</v>
      </c>
      <c r="C54" s="39"/>
      <c r="D54" s="39">
        <v>120</v>
      </c>
      <c r="E54" s="39">
        <v>2</v>
      </c>
      <c r="F54" s="39" t="s">
        <v>174</v>
      </c>
      <c r="G54" s="39">
        <f t="shared" si="5"/>
        <v>240</v>
      </c>
      <c r="H54" s="39"/>
    </row>
    <row r="55" spans="1:8" x14ac:dyDescent="0.25">
      <c r="A55" s="52"/>
      <c r="B55" s="39" t="s">
        <v>175</v>
      </c>
      <c r="C55" s="39"/>
      <c r="D55" s="39">
        <v>280</v>
      </c>
      <c r="E55" s="39">
        <v>1</v>
      </c>
      <c r="F55" s="39" t="s">
        <v>159</v>
      </c>
      <c r="G55" s="39">
        <f t="shared" si="5"/>
        <v>280</v>
      </c>
      <c r="H55" s="39"/>
    </row>
    <row r="56" spans="1:8" x14ac:dyDescent="0.25">
      <c r="A56" s="52"/>
      <c r="B56" s="39" t="s">
        <v>176</v>
      </c>
      <c r="C56" s="39"/>
      <c r="D56" s="39">
        <v>1350</v>
      </c>
      <c r="E56" s="39">
        <v>1</v>
      </c>
      <c r="F56" s="39" t="s">
        <v>169</v>
      </c>
      <c r="G56" s="39">
        <f t="shared" si="5"/>
        <v>1350</v>
      </c>
      <c r="H56" s="39"/>
    </row>
    <row r="57" spans="1:8" x14ac:dyDescent="0.25">
      <c r="A57" s="52"/>
      <c r="B57" s="39" t="s">
        <v>177</v>
      </c>
      <c r="C57" s="39"/>
      <c r="D57" s="39">
        <v>150</v>
      </c>
      <c r="E57" s="39">
        <v>5</v>
      </c>
      <c r="F57" s="39" t="s">
        <v>153</v>
      </c>
      <c r="G57" s="39">
        <f t="shared" si="5"/>
        <v>750</v>
      </c>
      <c r="H57" s="39"/>
    </row>
    <row r="58" spans="1:8" x14ac:dyDescent="0.25">
      <c r="A58" s="53"/>
      <c r="B58" s="47" t="s">
        <v>7</v>
      </c>
      <c r="C58" s="48"/>
      <c r="D58" s="49"/>
      <c r="E58" s="3"/>
      <c r="F58" s="3"/>
      <c r="G58" s="13">
        <f>SUM(G45:G57)</f>
        <v>7140</v>
      </c>
      <c r="H58" s="1"/>
    </row>
    <row r="59" spans="1:8" x14ac:dyDescent="0.25">
      <c r="A59" s="11"/>
      <c r="B59" s="44" t="s">
        <v>14</v>
      </c>
      <c r="C59" s="45"/>
      <c r="D59" s="46"/>
      <c r="E59" s="7"/>
      <c r="F59" s="7"/>
      <c r="G59" s="8">
        <f>G58+G43+G39+G23+G17+G9+G31</f>
        <v>31264.928800000002</v>
      </c>
      <c r="H59" s="1"/>
    </row>
  </sheetData>
  <mergeCells count="16">
    <mergeCell ref="A18:A22"/>
    <mergeCell ref="B23:D23"/>
    <mergeCell ref="A1:H1"/>
    <mergeCell ref="A3:A9"/>
    <mergeCell ref="B9:D9"/>
    <mergeCell ref="A11:A16"/>
    <mergeCell ref="B17:D17"/>
    <mergeCell ref="B58:D58"/>
    <mergeCell ref="B59:D59"/>
    <mergeCell ref="A24:A30"/>
    <mergeCell ref="B31:D31"/>
    <mergeCell ref="B39:D39"/>
    <mergeCell ref="A41:A43"/>
    <mergeCell ref="B43:D43"/>
    <mergeCell ref="A45:A58"/>
    <mergeCell ref="A32:A39"/>
  </mergeCells>
  <phoneticPr fontId="2" type="noConversion"/>
  <pageMargins left="0.7" right="0.7" top="0.75" bottom="0.75" header="0.3" footer="0.3"/>
  <pageSetup paperSize="9" scale="7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3"/>
  <sheetViews>
    <sheetView topLeftCell="A26" workbookViewId="0">
      <selection activeCell="H43" sqref="A1:H43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8" x14ac:dyDescent="0.25">
      <c r="A1" s="54" t="s">
        <v>45</v>
      </c>
      <c r="B1" s="55"/>
      <c r="C1" s="55"/>
      <c r="D1" s="55"/>
      <c r="E1" s="55"/>
      <c r="F1" s="55"/>
      <c r="G1" s="55"/>
      <c r="H1" s="56"/>
    </row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/>
      <c r="G2" s="1" t="s">
        <v>5</v>
      </c>
      <c r="H2" s="1" t="s">
        <v>6</v>
      </c>
    </row>
    <row r="3" spans="1:8" x14ac:dyDescent="0.25">
      <c r="A3" s="50" t="s">
        <v>82</v>
      </c>
      <c r="B3" s="1" t="s">
        <v>109</v>
      </c>
      <c r="C3" s="1">
        <v>10</v>
      </c>
      <c r="D3" s="1">
        <v>30.6</v>
      </c>
      <c r="E3" s="1">
        <v>10</v>
      </c>
      <c r="F3" s="35" t="s">
        <v>37</v>
      </c>
      <c r="G3" s="2">
        <f>D3*E3</f>
        <v>306</v>
      </c>
      <c r="H3" s="1"/>
    </row>
    <row r="4" spans="1:8" x14ac:dyDescent="0.25">
      <c r="A4" s="50"/>
      <c r="B4" s="1" t="s">
        <v>78</v>
      </c>
      <c r="C4" s="1">
        <v>5</v>
      </c>
      <c r="D4" s="1">
        <v>108</v>
      </c>
      <c r="E4" s="1">
        <v>5</v>
      </c>
      <c r="F4" s="35" t="s">
        <v>37</v>
      </c>
      <c r="G4" s="2">
        <f t="shared" ref="G4:G6" si="0">D4*E4</f>
        <v>540</v>
      </c>
      <c r="H4" s="1"/>
    </row>
    <row r="5" spans="1:8" x14ac:dyDescent="0.25">
      <c r="A5" s="50"/>
      <c r="B5" s="1" t="s">
        <v>79</v>
      </c>
      <c r="C5" s="1">
        <v>5</v>
      </c>
      <c r="D5" s="1">
        <v>99</v>
      </c>
      <c r="E5" s="1">
        <v>5</v>
      </c>
      <c r="F5" s="35" t="s">
        <v>37</v>
      </c>
      <c r="G5" s="2">
        <f t="shared" si="0"/>
        <v>495</v>
      </c>
      <c r="H5" s="1"/>
    </row>
    <row r="6" spans="1:8" x14ac:dyDescent="0.25">
      <c r="A6" s="50"/>
      <c r="B6" s="17" t="s">
        <v>110</v>
      </c>
      <c r="C6" s="1">
        <v>65</v>
      </c>
      <c r="D6" s="1">
        <v>168</v>
      </c>
      <c r="E6" s="3">
        <v>65</v>
      </c>
      <c r="F6" s="34" t="s">
        <v>37</v>
      </c>
      <c r="G6" s="2">
        <f t="shared" si="0"/>
        <v>10920</v>
      </c>
      <c r="H6" s="1"/>
    </row>
    <row r="7" spans="1:8" x14ac:dyDescent="0.25">
      <c r="A7" s="50"/>
      <c r="B7" s="47" t="s">
        <v>7</v>
      </c>
      <c r="C7" s="48"/>
      <c r="D7" s="49"/>
      <c r="E7" s="3"/>
      <c r="F7" s="3"/>
      <c r="G7" s="13">
        <f>SUM(G3:G6)</f>
        <v>12261</v>
      </c>
      <c r="H7" s="1"/>
    </row>
    <row r="8" spans="1:8" x14ac:dyDescent="0.25">
      <c r="A8" s="1" t="s">
        <v>8</v>
      </c>
      <c r="B8" s="1" t="s">
        <v>1</v>
      </c>
      <c r="C8" s="1" t="s">
        <v>2</v>
      </c>
      <c r="D8" s="1" t="s">
        <v>3</v>
      </c>
      <c r="E8" s="1" t="s">
        <v>4</v>
      </c>
      <c r="F8" s="1"/>
      <c r="G8" s="1" t="s">
        <v>5</v>
      </c>
      <c r="H8" s="1" t="s">
        <v>6</v>
      </c>
    </row>
    <row r="9" spans="1:8" x14ac:dyDescent="0.25">
      <c r="A9" s="50" t="s">
        <v>83</v>
      </c>
      <c r="B9" s="17" t="s">
        <v>111</v>
      </c>
      <c r="C9" s="1">
        <v>25</v>
      </c>
      <c r="D9" s="1">
        <v>69.3</v>
      </c>
      <c r="E9" s="1">
        <v>25</v>
      </c>
      <c r="F9" s="35" t="s">
        <v>37</v>
      </c>
      <c r="G9" s="1">
        <f>D9*E9</f>
        <v>1732.5</v>
      </c>
      <c r="H9" s="1"/>
    </row>
    <row r="10" spans="1:8" x14ac:dyDescent="0.25">
      <c r="A10" s="50"/>
      <c r="B10" s="1" t="s">
        <v>112</v>
      </c>
      <c r="C10" s="1">
        <v>20</v>
      </c>
      <c r="D10" s="1">
        <v>82</v>
      </c>
      <c r="E10" s="1">
        <v>20</v>
      </c>
      <c r="F10" s="35" t="s">
        <v>37</v>
      </c>
      <c r="G10" s="42">
        <f>D10*E10</f>
        <v>1640</v>
      </c>
      <c r="H10" s="1"/>
    </row>
    <row r="11" spans="1:8" x14ac:dyDescent="0.25">
      <c r="A11" s="50"/>
      <c r="B11" s="1" t="s">
        <v>187</v>
      </c>
      <c r="C11" s="1"/>
      <c r="D11" s="1">
        <v>100</v>
      </c>
      <c r="E11" s="1">
        <v>4</v>
      </c>
      <c r="F11" s="30" t="s">
        <v>186</v>
      </c>
      <c r="G11" s="42">
        <f>D11*E11</f>
        <v>400</v>
      </c>
      <c r="H11" s="1"/>
    </row>
    <row r="12" spans="1:8" x14ac:dyDescent="0.25">
      <c r="A12" s="50"/>
      <c r="B12" s="1"/>
      <c r="C12" s="1"/>
      <c r="D12" s="1"/>
      <c r="E12" s="1"/>
      <c r="F12" s="30"/>
      <c r="G12" s="1"/>
      <c r="H12" s="1"/>
    </row>
    <row r="13" spans="1:8" x14ac:dyDescent="0.25">
      <c r="A13" s="50"/>
      <c r="B13" s="1"/>
      <c r="C13" s="1"/>
      <c r="D13" s="1"/>
      <c r="E13" s="1"/>
      <c r="F13" s="1"/>
      <c r="G13" s="1"/>
      <c r="H13" s="1"/>
    </row>
    <row r="14" spans="1:8" x14ac:dyDescent="0.25">
      <c r="A14" s="50"/>
      <c r="B14" s="47" t="s">
        <v>7</v>
      </c>
      <c r="C14" s="48"/>
      <c r="D14" s="49"/>
      <c r="E14" s="3"/>
      <c r="F14" s="3"/>
      <c r="G14" s="13">
        <f>SUM(G9:G13)</f>
        <v>3772.5</v>
      </c>
      <c r="H14" s="1"/>
    </row>
    <row r="15" spans="1:8" x14ac:dyDescent="0.25">
      <c r="A15" s="1" t="s">
        <v>9</v>
      </c>
      <c r="B15" s="1" t="s">
        <v>1</v>
      </c>
      <c r="C15" s="1" t="s">
        <v>2</v>
      </c>
      <c r="D15" s="1" t="s">
        <v>3</v>
      </c>
      <c r="E15" s="1" t="s">
        <v>4</v>
      </c>
      <c r="F15" s="1"/>
      <c r="G15" s="1" t="s">
        <v>5</v>
      </c>
      <c r="H15" s="1" t="s">
        <v>6</v>
      </c>
    </row>
    <row r="16" spans="1:8" x14ac:dyDescent="0.25">
      <c r="A16" s="50" t="s">
        <v>84</v>
      </c>
      <c r="B16" s="1" t="s">
        <v>113</v>
      </c>
      <c r="C16" s="1">
        <v>15</v>
      </c>
      <c r="D16" s="1">
        <v>93</v>
      </c>
      <c r="E16" s="1">
        <v>15</v>
      </c>
      <c r="F16" s="35" t="s">
        <v>37</v>
      </c>
      <c r="G16" s="1">
        <f>D16*E16</f>
        <v>1395</v>
      </c>
      <c r="H16" s="1"/>
    </row>
    <row r="17" spans="1:8" x14ac:dyDescent="0.25">
      <c r="A17" s="50"/>
      <c r="B17" s="1" t="s">
        <v>66</v>
      </c>
      <c r="C17" s="1">
        <v>3</v>
      </c>
      <c r="D17" s="1">
        <v>60</v>
      </c>
      <c r="E17" s="1">
        <v>3</v>
      </c>
      <c r="F17" s="35" t="s">
        <v>37</v>
      </c>
      <c r="G17" s="42">
        <f t="shared" ref="G17:G19" si="1">D17*E17</f>
        <v>180</v>
      </c>
      <c r="H17" s="1"/>
    </row>
    <row r="18" spans="1:8" x14ac:dyDescent="0.25">
      <c r="A18" s="50"/>
      <c r="B18" s="1" t="s">
        <v>67</v>
      </c>
      <c r="C18" s="1">
        <v>2</v>
      </c>
      <c r="D18" s="1">
        <v>20.52</v>
      </c>
      <c r="E18" s="1">
        <v>2</v>
      </c>
      <c r="F18" s="35" t="s">
        <v>37</v>
      </c>
      <c r="G18" s="42">
        <f t="shared" si="1"/>
        <v>41.04</v>
      </c>
      <c r="H18" s="1"/>
    </row>
    <row r="19" spans="1:8" x14ac:dyDescent="0.25">
      <c r="A19" s="50"/>
      <c r="B19" s="24" t="s">
        <v>98</v>
      </c>
      <c r="C19" s="24">
        <v>5</v>
      </c>
      <c r="D19" s="24">
        <v>117</v>
      </c>
      <c r="E19" s="24">
        <v>5</v>
      </c>
      <c r="F19" s="35" t="s">
        <v>37</v>
      </c>
      <c r="G19" s="42">
        <f t="shared" si="1"/>
        <v>585</v>
      </c>
      <c r="H19" s="1"/>
    </row>
    <row r="20" spans="1:8" x14ac:dyDescent="0.25">
      <c r="A20" s="50"/>
      <c r="B20" s="47" t="s">
        <v>7</v>
      </c>
      <c r="C20" s="48"/>
      <c r="D20" s="49"/>
      <c r="E20" s="3"/>
      <c r="F20" s="3"/>
      <c r="G20" s="13">
        <f>SUM(G16:G19)</f>
        <v>2201.04</v>
      </c>
      <c r="H20" s="1"/>
    </row>
    <row r="21" spans="1:8" x14ac:dyDescent="0.25">
      <c r="A21" s="4" t="s">
        <v>10</v>
      </c>
      <c r="B21" s="1" t="s">
        <v>1</v>
      </c>
      <c r="C21" s="1" t="s">
        <v>2</v>
      </c>
      <c r="D21" s="1" t="s">
        <v>3</v>
      </c>
      <c r="E21" s="1" t="s">
        <v>4</v>
      </c>
      <c r="F21" s="1"/>
      <c r="G21" s="1" t="s">
        <v>5</v>
      </c>
      <c r="H21" s="1" t="s">
        <v>6</v>
      </c>
    </row>
    <row r="22" spans="1:8" x14ac:dyDescent="0.25">
      <c r="A22" s="50"/>
      <c r="B22" s="1" t="s">
        <v>115</v>
      </c>
      <c r="C22" s="1">
        <v>35</v>
      </c>
      <c r="D22" s="1">
        <v>72</v>
      </c>
      <c r="E22" s="1">
        <v>7.34</v>
      </c>
      <c r="F22" s="30" t="s">
        <v>17</v>
      </c>
      <c r="G22" s="1">
        <f>D22*E22</f>
        <v>528.48</v>
      </c>
      <c r="H22" s="1" t="s">
        <v>29</v>
      </c>
    </row>
    <row r="23" spans="1:8" x14ac:dyDescent="0.25">
      <c r="A23" s="50"/>
      <c r="B23" s="1" t="s">
        <v>116</v>
      </c>
      <c r="C23" s="1">
        <v>30</v>
      </c>
      <c r="D23" s="1">
        <v>156</v>
      </c>
      <c r="E23" s="40"/>
      <c r="F23" s="42" t="s">
        <v>37</v>
      </c>
      <c r="G23" s="42">
        <f t="shared" ref="G23:G25" si="2">D23*E23</f>
        <v>0</v>
      </c>
      <c r="H23" s="1"/>
    </row>
    <row r="24" spans="1:8" x14ac:dyDescent="0.25">
      <c r="A24" s="50"/>
      <c r="B24" s="30" t="s">
        <v>117</v>
      </c>
      <c r="C24" s="30" t="s">
        <v>121</v>
      </c>
      <c r="D24" s="30">
        <v>69</v>
      </c>
      <c r="E24" s="30">
        <v>0.5</v>
      </c>
      <c r="F24" s="35" t="s">
        <v>37</v>
      </c>
      <c r="G24" s="42">
        <f t="shared" si="2"/>
        <v>34.5</v>
      </c>
      <c r="H24" s="30"/>
    </row>
    <row r="25" spans="1:8" x14ac:dyDescent="0.25">
      <c r="A25" s="50"/>
      <c r="B25" s="1" t="s">
        <v>118</v>
      </c>
      <c r="C25" s="1" t="s">
        <v>121</v>
      </c>
      <c r="D25" s="1">
        <v>60</v>
      </c>
      <c r="E25" s="1">
        <v>0.5</v>
      </c>
      <c r="F25" s="35" t="s">
        <v>37</v>
      </c>
      <c r="G25" s="42">
        <f t="shared" si="2"/>
        <v>30</v>
      </c>
      <c r="H25" s="1"/>
    </row>
    <row r="26" spans="1:8" x14ac:dyDescent="0.25">
      <c r="A26" s="50"/>
      <c r="B26" s="47" t="s">
        <v>7</v>
      </c>
      <c r="C26" s="48"/>
      <c r="D26" s="49"/>
      <c r="E26" s="3"/>
      <c r="F26" s="3"/>
      <c r="G26" s="13">
        <f>SUM(G22:G25)</f>
        <v>592.98</v>
      </c>
      <c r="H26" s="1"/>
    </row>
    <row r="27" spans="1:8" x14ac:dyDescent="0.25">
      <c r="A27" s="1" t="s">
        <v>11</v>
      </c>
      <c r="B27" s="1" t="s">
        <v>1</v>
      </c>
      <c r="C27" s="1" t="s">
        <v>2</v>
      </c>
      <c r="D27" s="1" t="s">
        <v>3</v>
      </c>
      <c r="E27" s="1" t="s">
        <v>4</v>
      </c>
      <c r="F27" s="1"/>
      <c r="G27" s="1" t="s">
        <v>5</v>
      </c>
      <c r="H27" s="1" t="s">
        <v>6</v>
      </c>
    </row>
    <row r="28" spans="1:8" x14ac:dyDescent="0.25">
      <c r="A28" s="50" t="s">
        <v>85</v>
      </c>
      <c r="B28" s="24" t="s">
        <v>119</v>
      </c>
      <c r="C28" s="24">
        <v>15</v>
      </c>
      <c r="D28" s="24">
        <v>17.100000000000001</v>
      </c>
      <c r="E28" s="24">
        <v>15</v>
      </c>
      <c r="F28" t="s">
        <v>37</v>
      </c>
      <c r="G28" s="1">
        <f>D28*E28</f>
        <v>256.5</v>
      </c>
      <c r="H28" s="1"/>
    </row>
    <row r="29" spans="1:8" x14ac:dyDescent="0.25">
      <c r="A29" s="50"/>
      <c r="B29" s="1" t="s">
        <v>120</v>
      </c>
      <c r="C29" s="1">
        <v>3</v>
      </c>
      <c r="D29" s="1">
        <v>101.4</v>
      </c>
      <c r="E29" s="1">
        <v>15</v>
      </c>
      <c r="F29" s="1" t="s">
        <v>17</v>
      </c>
      <c r="G29" s="42">
        <f>D29*E29</f>
        <v>1521</v>
      </c>
      <c r="H29" s="1"/>
    </row>
    <row r="30" spans="1:8" x14ac:dyDescent="0.25">
      <c r="A30" s="50"/>
      <c r="B30" s="1"/>
      <c r="C30" s="1"/>
      <c r="D30" s="1"/>
      <c r="E30" s="1"/>
      <c r="F30" s="1"/>
      <c r="G30" s="1"/>
      <c r="H30" s="1"/>
    </row>
    <row r="31" spans="1:8" x14ac:dyDescent="0.25">
      <c r="A31" s="50"/>
      <c r="B31" s="47"/>
      <c r="C31" s="48"/>
      <c r="D31" s="49"/>
      <c r="E31" s="3"/>
      <c r="F31" s="3"/>
      <c r="G31" s="13">
        <f>SUM(G28:G30)</f>
        <v>1777.5</v>
      </c>
      <c r="H31" s="1"/>
    </row>
    <row r="32" spans="1:8" x14ac:dyDescent="0.25">
      <c r="A32" s="1" t="s">
        <v>12</v>
      </c>
      <c r="B32" s="1" t="s">
        <v>1</v>
      </c>
      <c r="C32" s="1" t="s">
        <v>2</v>
      </c>
      <c r="D32" s="1" t="s">
        <v>3</v>
      </c>
      <c r="E32" s="3" t="s">
        <v>4</v>
      </c>
      <c r="F32" s="3"/>
      <c r="G32" s="3" t="s">
        <v>5</v>
      </c>
      <c r="H32" s="1" t="s">
        <v>6</v>
      </c>
    </row>
    <row r="33" spans="1:8" x14ac:dyDescent="0.25">
      <c r="A33" s="51"/>
      <c r="B33" s="1" t="s">
        <v>185</v>
      </c>
      <c r="C33" s="1"/>
      <c r="D33" s="1">
        <v>17.34</v>
      </c>
      <c r="E33" s="1">
        <v>70</v>
      </c>
      <c r="F33" s="1" t="s">
        <v>186</v>
      </c>
      <c r="G33" s="2">
        <f>D33*E33</f>
        <v>1213.8</v>
      </c>
      <c r="H33" s="1"/>
    </row>
    <row r="34" spans="1:8" x14ac:dyDescent="0.25">
      <c r="A34" s="52"/>
      <c r="B34" s="1" t="s">
        <v>188</v>
      </c>
      <c r="C34" s="1"/>
      <c r="D34" s="1">
        <v>27.84</v>
      </c>
      <c r="E34" s="40"/>
      <c r="F34" s="42" t="s">
        <v>186</v>
      </c>
      <c r="G34" s="61"/>
      <c r="H34" s="1"/>
    </row>
    <row r="35" spans="1:8" x14ac:dyDescent="0.25">
      <c r="A35" s="53"/>
      <c r="B35" s="47" t="s">
        <v>7</v>
      </c>
      <c r="C35" s="48"/>
      <c r="D35" s="49"/>
      <c r="E35" s="3"/>
      <c r="F35" s="3"/>
      <c r="G35" s="13">
        <f>SUM(G33:G34)</f>
        <v>1213.8</v>
      </c>
      <c r="H35" s="5"/>
    </row>
    <row r="36" spans="1:8" x14ac:dyDescent="0.25">
      <c r="A36" s="6" t="s">
        <v>13</v>
      </c>
      <c r="B36" s="1" t="s">
        <v>1</v>
      </c>
      <c r="C36" s="1" t="s">
        <v>2</v>
      </c>
      <c r="D36" s="1" t="s">
        <v>3</v>
      </c>
      <c r="E36" s="1" t="s">
        <v>4</v>
      </c>
      <c r="F36" s="1"/>
      <c r="G36" s="1" t="s">
        <v>5</v>
      </c>
      <c r="H36" s="1"/>
    </row>
    <row r="37" spans="1:8" x14ac:dyDescent="0.25">
      <c r="A37" s="50"/>
      <c r="B37" s="1" t="s">
        <v>179</v>
      </c>
      <c r="C37" s="1"/>
      <c r="D37" s="1">
        <v>12</v>
      </c>
      <c r="E37" s="1">
        <v>24</v>
      </c>
      <c r="F37" s="1" t="s">
        <v>180</v>
      </c>
      <c r="G37" s="1">
        <f>D37*E37</f>
        <v>288</v>
      </c>
      <c r="H37" s="1"/>
    </row>
    <row r="38" spans="1:8" x14ac:dyDescent="0.25">
      <c r="A38" s="50"/>
      <c r="B38" s="1" t="s">
        <v>181</v>
      </c>
      <c r="C38" s="1"/>
      <c r="D38" s="1">
        <v>70</v>
      </c>
      <c r="E38" s="1">
        <v>1</v>
      </c>
      <c r="F38" s="1" t="s">
        <v>182</v>
      </c>
      <c r="G38" s="42">
        <f t="shared" ref="G38:G41" si="3">D38*E38</f>
        <v>70</v>
      </c>
      <c r="H38" s="1"/>
    </row>
    <row r="39" spans="1:8" x14ac:dyDescent="0.25">
      <c r="A39" s="50"/>
      <c r="B39" s="1" t="s">
        <v>183</v>
      </c>
      <c r="C39" s="1"/>
      <c r="D39" s="1">
        <v>320</v>
      </c>
      <c r="E39" s="1">
        <v>1</v>
      </c>
      <c r="F39" s="1" t="s">
        <v>184</v>
      </c>
      <c r="G39" s="42">
        <f t="shared" si="3"/>
        <v>320</v>
      </c>
      <c r="H39" s="1"/>
    </row>
    <row r="40" spans="1:8" x14ac:dyDescent="0.25">
      <c r="A40" s="50"/>
      <c r="B40" s="1" t="s">
        <v>189</v>
      </c>
      <c r="C40" s="1"/>
      <c r="D40" s="1">
        <v>22.8</v>
      </c>
      <c r="E40" s="1">
        <v>8</v>
      </c>
      <c r="F40" s="1" t="s">
        <v>186</v>
      </c>
      <c r="G40" s="42">
        <f t="shared" si="3"/>
        <v>182.4</v>
      </c>
      <c r="H40" s="1"/>
    </row>
    <row r="41" spans="1:8" x14ac:dyDescent="0.25">
      <c r="A41" s="50"/>
      <c r="B41" s="42" t="s">
        <v>190</v>
      </c>
      <c r="C41" s="42"/>
      <c r="D41" s="42">
        <v>54</v>
      </c>
      <c r="E41" s="42">
        <v>20</v>
      </c>
      <c r="F41" s="41" t="s">
        <v>186</v>
      </c>
      <c r="G41" s="42">
        <f t="shared" si="3"/>
        <v>1080</v>
      </c>
      <c r="H41" s="42"/>
    </row>
    <row r="42" spans="1:8" x14ac:dyDescent="0.25">
      <c r="A42" s="50"/>
      <c r="B42" s="47" t="s">
        <v>7</v>
      </c>
      <c r="C42" s="48"/>
      <c r="D42" s="49"/>
      <c r="E42" s="3"/>
      <c r="F42" s="3"/>
      <c r="G42" s="13">
        <f>SUM(G37:G41)</f>
        <v>1940.4</v>
      </c>
      <c r="H42" s="1"/>
    </row>
    <row r="43" spans="1:8" x14ac:dyDescent="0.25">
      <c r="A43" s="1"/>
      <c r="B43" s="44" t="s">
        <v>14</v>
      </c>
      <c r="C43" s="45"/>
      <c r="D43" s="46"/>
      <c r="E43" s="7"/>
      <c r="F43" s="7"/>
      <c r="G43" s="8">
        <f>G42+G35+G31+G20+G14+G7+G26</f>
        <v>23759.219999999998</v>
      </c>
      <c r="H43" s="1"/>
    </row>
  </sheetData>
  <mergeCells count="16">
    <mergeCell ref="A16:A20"/>
    <mergeCell ref="B20:D20"/>
    <mergeCell ref="A1:H1"/>
    <mergeCell ref="A3:A7"/>
    <mergeCell ref="B7:D7"/>
    <mergeCell ref="A9:A14"/>
    <mergeCell ref="B14:D14"/>
    <mergeCell ref="A37:A42"/>
    <mergeCell ref="B42:D42"/>
    <mergeCell ref="B43:D43"/>
    <mergeCell ref="A22:A26"/>
    <mergeCell ref="B26:D26"/>
    <mergeCell ref="A28:A31"/>
    <mergeCell ref="B31:D31"/>
    <mergeCell ref="A33:A35"/>
    <mergeCell ref="B35:D35"/>
  </mergeCells>
  <phoneticPr fontId="2" type="noConversion"/>
  <pageMargins left="0.7" right="0.7" top="0.75" bottom="0.75" header="0.3" footer="0.3"/>
  <pageSetup paperSize="9" scale="98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65"/>
  <sheetViews>
    <sheetView tabSelected="1" topLeftCell="A48" zoomScaleNormal="100" workbookViewId="0">
      <selection activeCell="H65" sqref="A1:H65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8" x14ac:dyDescent="0.25">
      <c r="A1" s="54" t="s">
        <v>46</v>
      </c>
      <c r="B1" s="55"/>
      <c r="C1" s="55"/>
      <c r="D1" s="55"/>
      <c r="E1" s="55"/>
      <c r="F1" s="55"/>
      <c r="G1" s="55"/>
      <c r="H1" s="56"/>
    </row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/>
      <c r="G2" s="1" t="s">
        <v>5</v>
      </c>
      <c r="H2" s="1" t="s">
        <v>6</v>
      </c>
    </row>
    <row r="3" spans="1:8" x14ac:dyDescent="0.25">
      <c r="A3" s="50" t="s">
        <v>86</v>
      </c>
      <c r="B3" s="1" t="s">
        <v>122</v>
      </c>
      <c r="C3" s="1">
        <v>4</v>
      </c>
      <c r="D3" s="1">
        <v>99</v>
      </c>
      <c r="E3" s="1">
        <v>4</v>
      </c>
      <c r="F3" s="35" t="s">
        <v>37</v>
      </c>
      <c r="G3" s="2">
        <f>D3*E3</f>
        <v>396</v>
      </c>
      <c r="H3" s="1"/>
    </row>
    <row r="4" spans="1:8" x14ac:dyDescent="0.25">
      <c r="A4" s="50"/>
      <c r="B4" s="1" t="s">
        <v>123</v>
      </c>
      <c r="C4" s="1">
        <v>35</v>
      </c>
      <c r="D4" s="1">
        <v>141</v>
      </c>
      <c r="E4" s="1">
        <v>35</v>
      </c>
      <c r="F4" s="35" t="s">
        <v>37</v>
      </c>
      <c r="G4" s="2">
        <f t="shared" ref="G4:G7" si="0">D4*E4</f>
        <v>4935</v>
      </c>
      <c r="H4" s="1"/>
    </row>
    <row r="5" spans="1:8" x14ac:dyDescent="0.25">
      <c r="A5" s="50"/>
      <c r="B5" s="1" t="s">
        <v>124</v>
      </c>
      <c r="C5" s="1">
        <v>15</v>
      </c>
      <c r="D5" s="1">
        <v>177</v>
      </c>
      <c r="E5" s="1">
        <v>15</v>
      </c>
      <c r="F5" s="35" t="s">
        <v>37</v>
      </c>
      <c r="G5" s="2">
        <f t="shared" si="0"/>
        <v>2655</v>
      </c>
      <c r="H5" s="1"/>
    </row>
    <row r="6" spans="1:8" x14ac:dyDescent="0.25">
      <c r="A6" s="50"/>
      <c r="B6" s="1" t="s">
        <v>125</v>
      </c>
      <c r="C6" s="1">
        <v>3</v>
      </c>
      <c r="D6" s="1">
        <v>187.8</v>
      </c>
      <c r="E6" s="3">
        <v>3</v>
      </c>
      <c r="F6" s="34" t="s">
        <v>37</v>
      </c>
      <c r="G6" s="2">
        <f t="shared" si="0"/>
        <v>563.40000000000009</v>
      </c>
      <c r="H6" s="1"/>
    </row>
    <row r="7" spans="1:8" x14ac:dyDescent="0.25">
      <c r="A7" s="50"/>
      <c r="B7" s="1" t="s">
        <v>126</v>
      </c>
      <c r="C7" s="1">
        <v>10</v>
      </c>
      <c r="D7" s="1">
        <v>105</v>
      </c>
      <c r="E7" s="3">
        <v>10</v>
      </c>
      <c r="F7" s="34" t="s">
        <v>37</v>
      </c>
      <c r="G7" s="2">
        <f t="shared" si="0"/>
        <v>1050</v>
      </c>
      <c r="H7" s="1"/>
    </row>
    <row r="8" spans="1:8" x14ac:dyDescent="0.25">
      <c r="A8" s="50"/>
      <c r="B8" s="47" t="s">
        <v>7</v>
      </c>
      <c r="C8" s="48"/>
      <c r="D8" s="49"/>
      <c r="E8" s="3"/>
      <c r="F8" s="3"/>
      <c r="G8" s="13">
        <f>SUM(G3:G7)</f>
        <v>9599.4</v>
      </c>
      <c r="H8" s="1"/>
    </row>
    <row r="9" spans="1:8" x14ac:dyDescent="0.25">
      <c r="A9" s="1" t="s">
        <v>8</v>
      </c>
      <c r="B9" s="1" t="s">
        <v>1</v>
      </c>
      <c r="C9" s="1" t="s">
        <v>2</v>
      </c>
      <c r="D9" s="1" t="s">
        <v>3</v>
      </c>
      <c r="E9" s="1" t="s">
        <v>4</v>
      </c>
      <c r="F9" s="30"/>
      <c r="G9" s="1" t="s">
        <v>5</v>
      </c>
      <c r="H9" s="1" t="s">
        <v>6</v>
      </c>
    </row>
    <row r="10" spans="1:8" x14ac:dyDescent="0.25">
      <c r="A10" s="51" t="s">
        <v>87</v>
      </c>
      <c r="B10" s="24" t="s">
        <v>129</v>
      </c>
      <c r="C10" s="24">
        <v>40</v>
      </c>
      <c r="D10" s="24">
        <v>26.22</v>
      </c>
      <c r="E10" s="24">
        <v>40</v>
      </c>
      <c r="F10" s="35" t="s">
        <v>37</v>
      </c>
      <c r="G10" s="24">
        <f>D10*E10</f>
        <v>1048.8</v>
      </c>
      <c r="H10" s="24"/>
    </row>
    <row r="11" spans="1:8" x14ac:dyDescent="0.25">
      <c r="A11" s="52"/>
      <c r="B11" s="1" t="s">
        <v>130</v>
      </c>
      <c r="C11" s="1">
        <v>10</v>
      </c>
      <c r="D11" s="1">
        <v>135</v>
      </c>
      <c r="E11" s="1">
        <v>10</v>
      </c>
      <c r="F11" s="35" t="s">
        <v>37</v>
      </c>
      <c r="G11" s="42">
        <f t="shared" ref="G11:G12" si="1">D11*E11</f>
        <v>1350</v>
      </c>
      <c r="H11" s="1"/>
    </row>
    <row r="12" spans="1:8" x14ac:dyDescent="0.25">
      <c r="A12" s="52"/>
      <c r="B12" s="1" t="s">
        <v>131</v>
      </c>
      <c r="C12" s="1">
        <v>3</v>
      </c>
      <c r="D12" s="1">
        <v>21.66</v>
      </c>
      <c r="E12" s="1">
        <v>3</v>
      </c>
      <c r="F12" s="35" t="s">
        <v>37</v>
      </c>
      <c r="G12" s="42">
        <f t="shared" si="1"/>
        <v>64.98</v>
      </c>
      <c r="H12" s="1"/>
    </row>
    <row r="13" spans="1:8" x14ac:dyDescent="0.25">
      <c r="A13" s="52"/>
      <c r="B13" s="1"/>
      <c r="C13" s="1"/>
      <c r="D13" s="1"/>
      <c r="E13" s="1"/>
      <c r="F13" s="11"/>
      <c r="G13" s="1"/>
      <c r="H13" s="1"/>
    </row>
    <row r="14" spans="1:8" x14ac:dyDescent="0.25">
      <c r="A14" s="52"/>
      <c r="B14" s="1"/>
      <c r="C14" s="1"/>
      <c r="D14" s="1"/>
      <c r="E14" s="1"/>
      <c r="F14" s="11"/>
      <c r="G14" s="1"/>
      <c r="H14" s="1"/>
    </row>
    <row r="15" spans="1:8" x14ac:dyDescent="0.25">
      <c r="A15" s="52"/>
      <c r="B15" s="17"/>
      <c r="C15" s="1"/>
      <c r="D15" s="1"/>
      <c r="E15" s="1"/>
      <c r="F15" s="1"/>
      <c r="G15" s="1"/>
      <c r="H15" s="11"/>
    </row>
    <row r="16" spans="1:8" x14ac:dyDescent="0.25">
      <c r="A16" s="53"/>
      <c r="B16" s="47" t="s">
        <v>7</v>
      </c>
      <c r="C16" s="48"/>
      <c r="D16" s="49"/>
      <c r="E16" s="3"/>
      <c r="F16" s="3"/>
      <c r="G16" s="13">
        <f>SUM(G10:G15)</f>
        <v>2463.7800000000002</v>
      </c>
      <c r="H16" s="1"/>
    </row>
    <row r="17" spans="1:8" x14ac:dyDescent="0.25">
      <c r="A17" s="1" t="s">
        <v>9</v>
      </c>
      <c r="B17" s="1" t="s">
        <v>1</v>
      </c>
      <c r="C17" s="1" t="s">
        <v>2</v>
      </c>
      <c r="D17" s="1" t="s">
        <v>3</v>
      </c>
      <c r="E17" s="1" t="s">
        <v>4</v>
      </c>
      <c r="F17" s="1"/>
      <c r="G17" s="1" t="s">
        <v>5</v>
      </c>
      <c r="H17" s="1" t="s">
        <v>6</v>
      </c>
    </row>
    <row r="18" spans="1:8" x14ac:dyDescent="0.25">
      <c r="A18" s="50" t="s">
        <v>88</v>
      </c>
      <c r="B18" s="1" t="s">
        <v>127</v>
      </c>
      <c r="C18" s="1">
        <v>6</v>
      </c>
      <c r="D18" s="1">
        <v>30.6</v>
      </c>
      <c r="E18" s="1">
        <v>6</v>
      </c>
      <c r="F18" s="35" t="s">
        <v>37</v>
      </c>
      <c r="G18" s="1">
        <f>D18*E18</f>
        <v>183.60000000000002</v>
      </c>
      <c r="H18" s="1"/>
    </row>
    <row r="19" spans="1:8" x14ac:dyDescent="0.25">
      <c r="A19" s="50"/>
      <c r="B19" s="1" t="s">
        <v>128</v>
      </c>
      <c r="C19" s="1">
        <v>40</v>
      </c>
      <c r="D19" s="1">
        <v>45</v>
      </c>
      <c r="E19" s="1">
        <v>40</v>
      </c>
      <c r="F19" s="35" t="s">
        <v>37</v>
      </c>
      <c r="G19" s="42">
        <f>D19*E19</f>
        <v>1800</v>
      </c>
      <c r="H19" s="1"/>
    </row>
    <row r="20" spans="1:8" x14ac:dyDescent="0.25">
      <c r="A20" s="50"/>
      <c r="B20" s="1"/>
      <c r="C20" s="1"/>
      <c r="D20" s="1"/>
      <c r="E20" s="1"/>
      <c r="F20" s="30"/>
      <c r="G20" s="1"/>
      <c r="H20" s="1"/>
    </row>
    <row r="21" spans="1:8" x14ac:dyDescent="0.25">
      <c r="A21" s="50"/>
      <c r="B21" s="1"/>
      <c r="C21" s="1"/>
      <c r="D21" s="1"/>
      <c r="E21" s="3"/>
      <c r="F21" s="3"/>
      <c r="G21" s="1"/>
      <c r="H21" s="1"/>
    </row>
    <row r="22" spans="1:8" x14ac:dyDescent="0.25">
      <c r="A22" s="50"/>
      <c r="B22" s="47" t="s">
        <v>7</v>
      </c>
      <c r="C22" s="48"/>
      <c r="D22" s="49"/>
      <c r="E22" s="3"/>
      <c r="F22" s="3"/>
      <c r="G22" s="13">
        <f>SUM(G18:G21)</f>
        <v>1983.6</v>
      </c>
      <c r="H22" s="1"/>
    </row>
    <row r="23" spans="1:8" x14ac:dyDescent="0.25">
      <c r="A23" s="4" t="s">
        <v>10</v>
      </c>
      <c r="B23" s="1" t="s">
        <v>1</v>
      </c>
      <c r="C23" s="1" t="s">
        <v>2</v>
      </c>
      <c r="D23" s="1" t="s">
        <v>3</v>
      </c>
      <c r="E23" s="1" t="s">
        <v>4</v>
      </c>
      <c r="F23" s="1"/>
      <c r="G23" s="1" t="s">
        <v>5</v>
      </c>
      <c r="H23" s="1" t="s">
        <v>6</v>
      </c>
    </row>
    <row r="24" spans="1:8" x14ac:dyDescent="0.25">
      <c r="A24" s="58"/>
      <c r="B24" s="17" t="s">
        <v>131</v>
      </c>
      <c r="C24" s="11" t="s">
        <v>121</v>
      </c>
      <c r="D24" s="11">
        <v>21.66</v>
      </c>
      <c r="E24" s="11">
        <v>0.5</v>
      </c>
      <c r="F24" s="35" t="s">
        <v>37</v>
      </c>
      <c r="G24" s="11">
        <f>D24*E24</f>
        <v>10.83</v>
      </c>
      <c r="H24" s="11" t="s">
        <v>20</v>
      </c>
    </row>
    <row r="25" spans="1:8" x14ac:dyDescent="0.25">
      <c r="A25" s="59"/>
      <c r="B25" s="11" t="s">
        <v>134</v>
      </c>
      <c r="C25" s="11" t="s">
        <v>121</v>
      </c>
      <c r="D25" s="11">
        <v>60</v>
      </c>
      <c r="E25" s="11">
        <v>0.5</v>
      </c>
      <c r="F25" s="35" t="s">
        <v>37</v>
      </c>
      <c r="G25" s="42">
        <f t="shared" ref="G25:G35" si="2">D25*E25</f>
        <v>30</v>
      </c>
      <c r="H25" s="11" t="s">
        <v>20</v>
      </c>
    </row>
    <row r="26" spans="1:8" x14ac:dyDescent="0.25">
      <c r="A26" s="59"/>
      <c r="B26" s="11" t="s">
        <v>135</v>
      </c>
      <c r="C26" s="11" t="s">
        <v>121</v>
      </c>
      <c r="D26" s="11">
        <v>165</v>
      </c>
      <c r="E26" s="11">
        <v>0.5</v>
      </c>
      <c r="F26" s="35" t="s">
        <v>37</v>
      </c>
      <c r="G26" s="42">
        <f t="shared" si="2"/>
        <v>82.5</v>
      </c>
      <c r="H26" s="1" t="s">
        <v>19</v>
      </c>
    </row>
    <row r="27" spans="1:8" x14ac:dyDescent="0.25">
      <c r="A27" s="59"/>
      <c r="B27" s="1" t="s">
        <v>136</v>
      </c>
      <c r="C27" s="1">
        <v>2</v>
      </c>
      <c r="D27" s="1">
        <v>22.8</v>
      </c>
      <c r="E27" s="1">
        <v>2</v>
      </c>
      <c r="F27" s="35" t="s">
        <v>37</v>
      </c>
      <c r="G27" s="42">
        <f t="shared" si="2"/>
        <v>45.6</v>
      </c>
      <c r="H27" s="11" t="s">
        <v>19</v>
      </c>
    </row>
    <row r="28" spans="1:8" x14ac:dyDescent="0.25">
      <c r="A28" s="59"/>
      <c r="B28" s="1" t="s">
        <v>137</v>
      </c>
      <c r="C28" s="1">
        <v>4</v>
      </c>
      <c r="D28" s="1">
        <v>177</v>
      </c>
      <c r="E28" s="1">
        <v>4</v>
      </c>
      <c r="F28" s="35" t="s">
        <v>37</v>
      </c>
      <c r="G28" s="42">
        <f t="shared" si="2"/>
        <v>708</v>
      </c>
      <c r="H28" s="11" t="s">
        <v>19</v>
      </c>
    </row>
    <row r="29" spans="1:8" x14ac:dyDescent="0.25">
      <c r="A29" s="59"/>
      <c r="B29" s="1" t="s">
        <v>138</v>
      </c>
      <c r="C29" s="1">
        <v>40</v>
      </c>
      <c r="D29" s="1">
        <v>132</v>
      </c>
      <c r="E29" s="1">
        <v>2.5</v>
      </c>
      <c r="F29" s="35" t="s">
        <v>37</v>
      </c>
      <c r="G29" s="42">
        <f t="shared" si="2"/>
        <v>330</v>
      </c>
      <c r="H29" s="24"/>
    </row>
    <row r="30" spans="1:8" x14ac:dyDescent="0.25">
      <c r="A30" s="59"/>
      <c r="B30" s="1" t="s">
        <v>139</v>
      </c>
      <c r="C30" s="1">
        <v>25</v>
      </c>
      <c r="D30" s="1">
        <v>10</v>
      </c>
      <c r="E30" s="1">
        <v>25</v>
      </c>
      <c r="F30" s="35" t="s">
        <v>37</v>
      </c>
      <c r="G30" s="42">
        <f t="shared" si="2"/>
        <v>250</v>
      </c>
      <c r="H30" s="1"/>
    </row>
    <row r="31" spans="1:8" x14ac:dyDescent="0.25">
      <c r="A31" s="59"/>
      <c r="B31" s="42" t="s">
        <v>196</v>
      </c>
      <c r="C31" s="42"/>
      <c r="D31" s="42">
        <v>160</v>
      </c>
      <c r="E31" s="42">
        <v>1</v>
      </c>
      <c r="F31" s="42" t="s">
        <v>182</v>
      </c>
      <c r="G31" s="42">
        <f t="shared" si="2"/>
        <v>160</v>
      </c>
      <c r="H31" s="42"/>
    </row>
    <row r="32" spans="1:8" x14ac:dyDescent="0.25">
      <c r="A32" s="59"/>
      <c r="B32" s="42" t="s">
        <v>197</v>
      </c>
      <c r="C32" s="42"/>
      <c r="D32" s="42">
        <v>177</v>
      </c>
      <c r="E32" s="42">
        <v>1</v>
      </c>
      <c r="F32" s="42" t="s">
        <v>186</v>
      </c>
      <c r="G32" s="42">
        <f t="shared" si="2"/>
        <v>177</v>
      </c>
      <c r="H32" s="42"/>
    </row>
    <row r="33" spans="1:8" x14ac:dyDescent="0.25">
      <c r="A33" s="59"/>
      <c r="B33" s="42" t="s">
        <v>181</v>
      </c>
      <c r="C33" s="42"/>
      <c r="D33" s="42">
        <v>70</v>
      </c>
      <c r="E33" s="42">
        <v>2</v>
      </c>
      <c r="F33" s="42" t="s">
        <v>182</v>
      </c>
      <c r="G33" s="42">
        <f t="shared" si="2"/>
        <v>140</v>
      </c>
      <c r="H33" s="42"/>
    </row>
    <row r="34" spans="1:8" x14ac:dyDescent="0.25">
      <c r="A34" s="59"/>
      <c r="B34" s="42" t="s">
        <v>199</v>
      </c>
      <c r="C34" s="42"/>
      <c r="D34" s="42">
        <v>1188</v>
      </c>
      <c r="E34" s="42">
        <v>1</v>
      </c>
      <c r="F34" s="42" t="s">
        <v>200</v>
      </c>
      <c r="G34" s="42">
        <f t="shared" si="2"/>
        <v>1188</v>
      </c>
      <c r="H34" s="42"/>
    </row>
    <row r="35" spans="1:8" x14ac:dyDescent="0.25">
      <c r="A35" s="59"/>
      <c r="B35" s="42" t="s">
        <v>201</v>
      </c>
      <c r="C35" s="42"/>
      <c r="D35" s="42">
        <v>193</v>
      </c>
      <c r="E35" s="42">
        <v>1</v>
      </c>
      <c r="F35" s="42" t="s">
        <v>200</v>
      </c>
      <c r="G35" s="42">
        <f t="shared" si="2"/>
        <v>193</v>
      </c>
      <c r="H35" s="42"/>
    </row>
    <row r="36" spans="1:8" x14ac:dyDescent="0.25">
      <c r="A36" s="60"/>
      <c r="B36" s="47" t="s">
        <v>7</v>
      </c>
      <c r="C36" s="48"/>
      <c r="D36" s="49"/>
      <c r="E36" s="3"/>
      <c r="F36" s="3"/>
      <c r="G36" s="13">
        <f>SUM(G24:G35)</f>
        <v>3314.9300000000003</v>
      </c>
      <c r="H36" s="1"/>
    </row>
    <row r="37" spans="1:8" x14ac:dyDescent="0.25">
      <c r="A37" s="1" t="s">
        <v>11</v>
      </c>
      <c r="B37" s="1" t="s">
        <v>1</v>
      </c>
      <c r="C37" s="1" t="s">
        <v>2</v>
      </c>
      <c r="D37" s="1" t="s">
        <v>3</v>
      </c>
      <c r="E37" s="1" t="s">
        <v>4</v>
      </c>
      <c r="F37" s="1"/>
      <c r="G37" s="1" t="s">
        <v>5</v>
      </c>
      <c r="H37" s="1" t="s">
        <v>6</v>
      </c>
    </row>
    <row r="38" spans="1:8" x14ac:dyDescent="0.25">
      <c r="A38" s="50" t="s">
        <v>89</v>
      </c>
      <c r="B38" s="1" t="s">
        <v>132</v>
      </c>
      <c r="C38" s="1">
        <v>20</v>
      </c>
      <c r="D38" s="1">
        <v>9.18</v>
      </c>
      <c r="E38" s="1">
        <v>20</v>
      </c>
      <c r="F38" s="35" t="s">
        <v>37</v>
      </c>
      <c r="G38" s="2">
        <f>D38*E38</f>
        <v>183.6</v>
      </c>
      <c r="H38" s="1"/>
    </row>
    <row r="39" spans="1:8" x14ac:dyDescent="0.25">
      <c r="A39" s="50"/>
      <c r="B39" s="1" t="s">
        <v>133</v>
      </c>
      <c r="C39" s="1">
        <v>15</v>
      </c>
      <c r="D39" s="1">
        <v>132</v>
      </c>
      <c r="E39" s="1">
        <v>15</v>
      </c>
      <c r="F39" s="35" t="s">
        <v>37</v>
      </c>
      <c r="G39" s="2">
        <f>D39*E39</f>
        <v>1980</v>
      </c>
      <c r="H39" s="1"/>
    </row>
    <row r="40" spans="1:8" x14ac:dyDescent="0.25">
      <c r="A40" s="50"/>
      <c r="B40" s="1"/>
      <c r="C40" s="1"/>
      <c r="D40" s="1"/>
      <c r="E40" s="1"/>
      <c r="F40" s="1"/>
      <c r="G40" s="1"/>
      <c r="H40" s="1"/>
    </row>
    <row r="41" spans="1:8" x14ac:dyDescent="0.25">
      <c r="A41" s="50"/>
      <c r="B41" s="47"/>
      <c r="C41" s="48"/>
      <c r="D41" s="49"/>
      <c r="E41" s="3"/>
      <c r="F41" s="3"/>
      <c r="G41" s="13">
        <f>SUM(G38:G40)</f>
        <v>2163.6</v>
      </c>
      <c r="H41" s="1"/>
    </row>
    <row r="42" spans="1:8" x14ac:dyDescent="0.25">
      <c r="A42" s="1" t="s">
        <v>12</v>
      </c>
      <c r="B42" s="1" t="s">
        <v>1</v>
      </c>
      <c r="C42" s="1" t="s">
        <v>2</v>
      </c>
      <c r="D42" s="1" t="s">
        <v>3</v>
      </c>
      <c r="E42" s="3" t="s">
        <v>4</v>
      </c>
      <c r="F42" s="3"/>
      <c r="G42" s="3" t="s">
        <v>5</v>
      </c>
      <c r="H42" s="1" t="s">
        <v>6</v>
      </c>
    </row>
    <row r="43" spans="1:8" x14ac:dyDescent="0.25">
      <c r="A43" s="51"/>
      <c r="B43" s="1" t="s">
        <v>185</v>
      </c>
      <c r="C43" s="1"/>
      <c r="D43" s="1">
        <v>13.26</v>
      </c>
      <c r="E43" s="1">
        <v>70</v>
      </c>
      <c r="F43" s="1" t="s">
        <v>186</v>
      </c>
      <c r="G43" s="2">
        <f>D43*E43</f>
        <v>928.19999999999993</v>
      </c>
      <c r="H43" s="1"/>
    </row>
    <row r="44" spans="1:8" x14ac:dyDescent="0.25">
      <c r="A44" s="52"/>
      <c r="B44" s="1" t="s">
        <v>198</v>
      </c>
      <c r="C44" s="1"/>
      <c r="D44" s="1">
        <v>55.68</v>
      </c>
      <c r="E44" s="1">
        <v>50.84</v>
      </c>
      <c r="F44" s="1" t="s">
        <v>186</v>
      </c>
      <c r="G44" s="2">
        <f>D44*E44</f>
        <v>2830.7712000000001</v>
      </c>
      <c r="H44" s="1"/>
    </row>
    <row r="45" spans="1:8" x14ac:dyDescent="0.25">
      <c r="A45" s="53"/>
      <c r="B45" s="47" t="s">
        <v>7</v>
      </c>
      <c r="C45" s="48"/>
      <c r="D45" s="49"/>
      <c r="E45" s="3"/>
      <c r="F45" s="3"/>
      <c r="G45" s="13">
        <f>SUM(G43:G44)</f>
        <v>3758.9712</v>
      </c>
      <c r="H45" s="5"/>
    </row>
    <row r="46" spans="1:8" x14ac:dyDescent="0.25">
      <c r="A46" s="6" t="s">
        <v>13</v>
      </c>
      <c r="B46" s="1" t="s">
        <v>1</v>
      </c>
      <c r="C46" s="1" t="s">
        <v>2</v>
      </c>
      <c r="D46" s="1" t="s">
        <v>3</v>
      </c>
      <c r="E46" s="1" t="s">
        <v>4</v>
      </c>
      <c r="F46" s="1"/>
      <c r="G46" s="1" t="s">
        <v>5</v>
      </c>
      <c r="H46" s="1"/>
    </row>
    <row r="47" spans="1:8" x14ac:dyDescent="0.25">
      <c r="A47" s="50"/>
      <c r="B47" s="1" t="s">
        <v>191</v>
      </c>
      <c r="C47" s="1"/>
      <c r="D47" s="1">
        <v>4.5</v>
      </c>
      <c r="E47" s="1">
        <v>50</v>
      </c>
      <c r="F47" s="1" t="s">
        <v>192</v>
      </c>
      <c r="G47" s="1">
        <f>D47*E47</f>
        <v>225</v>
      </c>
      <c r="H47" s="1"/>
    </row>
    <row r="48" spans="1:8" x14ac:dyDescent="0.25">
      <c r="A48" s="50"/>
      <c r="B48" s="1" t="s">
        <v>193</v>
      </c>
      <c r="C48" s="1"/>
      <c r="D48" s="1">
        <v>168</v>
      </c>
      <c r="E48" s="1">
        <v>4</v>
      </c>
      <c r="F48" s="1" t="s">
        <v>186</v>
      </c>
      <c r="G48" s="42">
        <f t="shared" ref="G48:G63" si="3">D48*E48</f>
        <v>672</v>
      </c>
      <c r="H48" s="1"/>
    </row>
    <row r="49" spans="1:8" x14ac:dyDescent="0.25">
      <c r="A49" s="50"/>
      <c r="B49" s="1" t="s">
        <v>194</v>
      </c>
      <c r="C49" s="1"/>
      <c r="D49" s="1">
        <v>235</v>
      </c>
      <c r="E49" s="1">
        <v>4</v>
      </c>
      <c r="F49" s="1" t="s">
        <v>184</v>
      </c>
      <c r="G49" s="42">
        <f t="shared" si="3"/>
        <v>940</v>
      </c>
      <c r="H49" s="1"/>
    </row>
    <row r="50" spans="1:8" x14ac:dyDescent="0.25">
      <c r="A50" s="50"/>
      <c r="B50" s="1" t="s">
        <v>195</v>
      </c>
      <c r="C50" s="1"/>
      <c r="D50" s="1">
        <v>170</v>
      </c>
      <c r="E50" s="1">
        <v>1</v>
      </c>
      <c r="F50" s="1" t="s">
        <v>180</v>
      </c>
      <c r="G50" s="42">
        <f t="shared" si="3"/>
        <v>170</v>
      </c>
      <c r="H50" s="1"/>
    </row>
    <row r="51" spans="1:8" x14ac:dyDescent="0.25">
      <c r="A51" s="50"/>
      <c r="B51" s="42" t="s">
        <v>202</v>
      </c>
      <c r="C51" s="42"/>
      <c r="D51" s="42">
        <v>255</v>
      </c>
      <c r="E51" s="42">
        <v>1</v>
      </c>
      <c r="F51" s="42" t="s">
        <v>200</v>
      </c>
      <c r="G51" s="42">
        <f t="shared" si="3"/>
        <v>255</v>
      </c>
      <c r="H51" s="42"/>
    </row>
    <row r="52" spans="1:8" x14ac:dyDescent="0.25">
      <c r="A52" s="50"/>
      <c r="B52" s="42" t="s">
        <v>203</v>
      </c>
      <c r="C52" s="42"/>
      <c r="D52" s="42">
        <v>32</v>
      </c>
      <c r="E52" s="42">
        <v>50</v>
      </c>
      <c r="F52" s="42" t="s">
        <v>186</v>
      </c>
      <c r="G52" s="42">
        <f t="shared" si="3"/>
        <v>1600</v>
      </c>
      <c r="H52" s="42"/>
    </row>
    <row r="53" spans="1:8" x14ac:dyDescent="0.25">
      <c r="A53" s="50"/>
      <c r="B53" s="42" t="s">
        <v>204</v>
      </c>
      <c r="C53" s="42"/>
      <c r="D53" s="42">
        <v>96.9</v>
      </c>
      <c r="E53" s="42">
        <v>2</v>
      </c>
      <c r="F53" s="42" t="s">
        <v>186</v>
      </c>
      <c r="G53" s="42">
        <f t="shared" si="3"/>
        <v>193.8</v>
      </c>
      <c r="H53" s="42"/>
    </row>
    <row r="54" spans="1:8" x14ac:dyDescent="0.25">
      <c r="A54" s="50"/>
      <c r="B54" s="42" t="s">
        <v>205</v>
      </c>
      <c r="C54" s="42"/>
      <c r="D54" s="42">
        <v>150</v>
      </c>
      <c r="E54" s="42">
        <v>1</v>
      </c>
      <c r="F54" s="42" t="s">
        <v>186</v>
      </c>
      <c r="G54" s="42">
        <f t="shared" si="3"/>
        <v>150</v>
      </c>
      <c r="H54" s="42"/>
    </row>
    <row r="55" spans="1:8" x14ac:dyDescent="0.25">
      <c r="A55" s="50"/>
      <c r="B55" s="42" t="s">
        <v>206</v>
      </c>
      <c r="C55" s="42"/>
      <c r="D55" s="42">
        <v>30</v>
      </c>
      <c r="E55" s="42">
        <v>0.5</v>
      </c>
      <c r="F55" s="42" t="s">
        <v>186</v>
      </c>
      <c r="G55" s="42">
        <f t="shared" si="3"/>
        <v>15</v>
      </c>
      <c r="H55" s="42"/>
    </row>
    <row r="56" spans="1:8" x14ac:dyDescent="0.25">
      <c r="A56" s="50"/>
      <c r="B56" s="42" t="s">
        <v>189</v>
      </c>
      <c r="C56" s="42"/>
      <c r="D56" s="42">
        <v>22.8</v>
      </c>
      <c r="E56" s="42">
        <v>2</v>
      </c>
      <c r="F56" s="42" t="s">
        <v>186</v>
      </c>
      <c r="G56" s="42">
        <f t="shared" si="3"/>
        <v>45.6</v>
      </c>
      <c r="H56" s="42"/>
    </row>
    <row r="57" spans="1:8" x14ac:dyDescent="0.25">
      <c r="A57" s="50"/>
      <c r="B57" s="42" t="s">
        <v>207</v>
      </c>
      <c r="C57" s="42"/>
      <c r="D57" s="42">
        <v>189</v>
      </c>
      <c r="E57" s="42">
        <v>5</v>
      </c>
      <c r="F57" s="42" t="s">
        <v>186</v>
      </c>
      <c r="G57" s="42">
        <f t="shared" si="3"/>
        <v>945</v>
      </c>
      <c r="H57" s="42"/>
    </row>
    <row r="58" spans="1:8" x14ac:dyDescent="0.25">
      <c r="A58" s="50"/>
      <c r="B58" s="42" t="s">
        <v>208</v>
      </c>
      <c r="C58" s="42"/>
      <c r="D58" s="42">
        <v>40.799999999999997</v>
      </c>
      <c r="E58" s="42">
        <v>0.25</v>
      </c>
      <c r="F58" s="42" t="s">
        <v>186</v>
      </c>
      <c r="G58" s="42">
        <f t="shared" si="3"/>
        <v>10.199999999999999</v>
      </c>
      <c r="H58" s="42"/>
    </row>
    <row r="59" spans="1:8" x14ac:dyDescent="0.25">
      <c r="A59" s="50"/>
      <c r="B59" s="42" t="s">
        <v>209</v>
      </c>
      <c r="C59" s="42"/>
      <c r="D59" s="42">
        <v>45</v>
      </c>
      <c r="E59" s="42">
        <v>2</v>
      </c>
      <c r="F59" s="42" t="s">
        <v>186</v>
      </c>
      <c r="G59" s="42">
        <f t="shared" si="3"/>
        <v>90</v>
      </c>
      <c r="H59" s="42"/>
    </row>
    <row r="60" spans="1:8" x14ac:dyDescent="0.25">
      <c r="A60" s="50"/>
      <c r="B60" s="42" t="s">
        <v>210</v>
      </c>
      <c r="C60" s="42"/>
      <c r="D60" s="42">
        <v>141</v>
      </c>
      <c r="E60" s="42">
        <v>4</v>
      </c>
      <c r="F60" s="42" t="s">
        <v>186</v>
      </c>
      <c r="G60" s="42">
        <f t="shared" si="3"/>
        <v>564</v>
      </c>
      <c r="H60" s="42"/>
    </row>
    <row r="61" spans="1:8" x14ac:dyDescent="0.25">
      <c r="A61" s="50"/>
      <c r="B61" s="42" t="s">
        <v>211</v>
      </c>
      <c r="C61" s="42"/>
      <c r="D61" s="42">
        <v>125.4</v>
      </c>
      <c r="E61" s="42">
        <v>0.5</v>
      </c>
      <c r="F61" s="42" t="s">
        <v>186</v>
      </c>
      <c r="G61" s="42">
        <f t="shared" si="3"/>
        <v>62.7</v>
      </c>
      <c r="H61" s="42"/>
    </row>
    <row r="62" spans="1:8" x14ac:dyDescent="0.25">
      <c r="A62" s="50"/>
      <c r="B62" s="42" t="s">
        <v>212</v>
      </c>
      <c r="C62" s="42"/>
      <c r="D62" s="42">
        <v>187</v>
      </c>
      <c r="E62" s="42">
        <v>1</v>
      </c>
      <c r="F62" s="42" t="s">
        <v>213</v>
      </c>
      <c r="G62" s="42">
        <f t="shared" si="3"/>
        <v>187</v>
      </c>
      <c r="H62" s="42"/>
    </row>
    <row r="63" spans="1:8" x14ac:dyDescent="0.25">
      <c r="A63" s="50"/>
      <c r="B63" s="42" t="s">
        <v>214</v>
      </c>
      <c r="C63" s="42"/>
      <c r="D63" s="42">
        <v>132</v>
      </c>
      <c r="E63" s="42">
        <v>3</v>
      </c>
      <c r="F63" s="41" t="s">
        <v>186</v>
      </c>
      <c r="G63" s="42">
        <f t="shared" si="3"/>
        <v>396</v>
      </c>
      <c r="H63" s="42"/>
    </row>
    <row r="64" spans="1:8" x14ac:dyDescent="0.25">
      <c r="A64" s="50"/>
      <c r="B64" s="47" t="s">
        <v>7</v>
      </c>
      <c r="C64" s="48"/>
      <c r="D64" s="49"/>
      <c r="E64" s="3"/>
      <c r="F64" s="3"/>
      <c r="G64" s="13">
        <f>SUM(G47:G63)</f>
        <v>6521.3</v>
      </c>
      <c r="H64" s="1"/>
    </row>
    <row r="65" spans="1:8" x14ac:dyDescent="0.25">
      <c r="A65" s="1"/>
      <c r="B65" s="44" t="s">
        <v>14</v>
      </c>
      <c r="C65" s="45"/>
      <c r="D65" s="46"/>
      <c r="E65" s="7"/>
      <c r="F65" s="7"/>
      <c r="G65" s="8">
        <f>G64+G45+G41+G22+G16+G8+G36</f>
        <v>29805.581200000001</v>
      </c>
      <c r="H65" s="1"/>
    </row>
  </sheetData>
  <mergeCells count="16">
    <mergeCell ref="A18:A22"/>
    <mergeCell ref="B22:D22"/>
    <mergeCell ref="A1:H1"/>
    <mergeCell ref="A3:A8"/>
    <mergeCell ref="B8:D8"/>
    <mergeCell ref="B16:D16"/>
    <mergeCell ref="A10:A16"/>
    <mergeCell ref="A47:A64"/>
    <mergeCell ref="B64:D64"/>
    <mergeCell ref="B65:D65"/>
    <mergeCell ref="B36:D36"/>
    <mergeCell ref="A38:A41"/>
    <mergeCell ref="B41:D41"/>
    <mergeCell ref="A43:A45"/>
    <mergeCell ref="B45:D45"/>
    <mergeCell ref="A24:A36"/>
  </mergeCells>
  <phoneticPr fontId="2" type="noConversion"/>
  <pageMargins left="0.7" right="0.7" top="0.75" bottom="0.75" header="0.3" footer="0.3"/>
  <pageSetup paperSize="9" scale="71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已命名的範圍</vt:lpstr>
      </vt:variant>
      <vt:variant>
        <vt:i4>5</vt:i4>
      </vt:variant>
    </vt:vector>
  </HeadingPairs>
  <TitlesOfParts>
    <vt:vector size="10" baseType="lpstr">
      <vt:lpstr>1124</vt:lpstr>
      <vt:lpstr>1125</vt:lpstr>
      <vt:lpstr>1126</vt:lpstr>
      <vt:lpstr>1127</vt:lpstr>
      <vt:lpstr>1128</vt:lpstr>
      <vt:lpstr>'1124'!Print_Area</vt:lpstr>
      <vt:lpstr>'1125'!Print_Area</vt:lpstr>
      <vt:lpstr>'1126'!Print_Area</vt:lpstr>
      <vt:lpstr>'1127'!Print_Area</vt:lpstr>
      <vt:lpstr>'1128'!Print_Area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劉語璇</dc:creator>
  <cp:lastModifiedBy>賴姿云</cp:lastModifiedBy>
  <cp:lastPrinted>2025-11-27T04:14:36Z</cp:lastPrinted>
  <dcterms:created xsi:type="dcterms:W3CDTF">2025-02-19T17:01:12Z</dcterms:created>
  <dcterms:modified xsi:type="dcterms:W3CDTF">2025-11-27T04:15:21Z</dcterms:modified>
</cp:coreProperties>
</file>