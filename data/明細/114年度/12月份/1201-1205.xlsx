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12月份\"/>
    </mc:Choice>
  </mc:AlternateContent>
  <bookViews>
    <workbookView xWindow="0" yWindow="0" windowWidth="28800" windowHeight="12255" activeTab="4"/>
  </bookViews>
  <sheets>
    <sheet name="1201" sheetId="1" r:id="rId1"/>
    <sheet name="1202" sheetId="2" r:id="rId2"/>
    <sheet name="1203" sheetId="3" r:id="rId3"/>
    <sheet name="1204" sheetId="4" r:id="rId4"/>
    <sheet name="1205" sheetId="5" r:id="rId5"/>
  </sheets>
  <definedNames>
    <definedName name="_xlnm.Print_Area" localSheetId="0">'1201'!$A$1:$H$53</definedName>
    <definedName name="_xlnm.Print_Area" localSheetId="1">'1202'!$A$1:$H$52</definedName>
    <definedName name="_xlnm.Print_Area" localSheetId="2">'1203'!$A$1:$H$51</definedName>
    <definedName name="_xlnm.Print_Area" localSheetId="3">'1204'!$A$1:$H$52</definedName>
    <definedName name="_xlnm.Print_Area" localSheetId="4">'1205'!$A$1:$H$49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5" l="1"/>
  <c r="G44" i="5"/>
  <c r="G45" i="5"/>
  <c r="G46" i="5"/>
  <c r="G47" i="5"/>
  <c r="G42" i="5" l="1"/>
  <c r="G40" i="5"/>
  <c r="G39" i="5"/>
  <c r="G38" i="5"/>
  <c r="G36" i="5"/>
  <c r="G34" i="5"/>
  <c r="G35" i="5"/>
  <c r="G33" i="5"/>
  <c r="G25" i="5"/>
  <c r="G31" i="5" s="1"/>
  <c r="G49" i="5" s="1"/>
  <c r="G26" i="5"/>
  <c r="G27" i="5"/>
  <c r="G28" i="5"/>
  <c r="G29" i="5"/>
  <c r="G30" i="5"/>
  <c r="G24" i="5"/>
  <c r="G22" i="5"/>
  <c r="G19" i="5"/>
  <c r="G20" i="5"/>
  <c r="G21" i="5"/>
  <c r="G18" i="5"/>
  <c r="G16" i="5"/>
  <c r="G11" i="5"/>
  <c r="G12" i="5"/>
  <c r="G13" i="5"/>
  <c r="G14" i="5"/>
  <c r="G10" i="5"/>
  <c r="G52" i="4"/>
  <c r="G38" i="4"/>
  <c r="G37" i="4"/>
  <c r="G33" i="4" l="1"/>
  <c r="G32" i="4"/>
  <c r="G4" i="4"/>
  <c r="G5" i="4"/>
  <c r="G7" i="4" s="1"/>
  <c r="G3" i="4"/>
  <c r="G10" i="4"/>
  <c r="G9" i="4"/>
  <c r="G17" i="4"/>
  <c r="G16" i="4"/>
  <c r="G23" i="4"/>
  <c r="G24" i="4"/>
  <c r="G30" i="4" s="1"/>
  <c r="G25" i="4"/>
  <c r="G26" i="4"/>
  <c r="G27" i="4"/>
  <c r="G28" i="4"/>
  <c r="G22" i="4"/>
  <c r="G42" i="4"/>
  <c r="G43" i="4"/>
  <c r="G44" i="4"/>
  <c r="G45" i="4"/>
  <c r="G46" i="4"/>
  <c r="G47" i="4"/>
  <c r="G48" i="4"/>
  <c r="G49" i="4"/>
  <c r="G50" i="4"/>
  <c r="G41" i="4"/>
  <c r="G51" i="4" s="1"/>
  <c r="G51" i="3"/>
  <c r="G34" i="3" l="1"/>
  <c r="G35" i="3"/>
  <c r="G36" i="3"/>
  <c r="G37" i="3"/>
  <c r="G19" i="3"/>
  <c r="G4" i="3"/>
  <c r="G40" i="2"/>
  <c r="G41" i="2"/>
  <c r="G25" i="2" l="1"/>
  <c r="G26" i="2"/>
  <c r="G27" i="2"/>
  <c r="G28" i="2"/>
  <c r="G29" i="2"/>
  <c r="G30" i="2"/>
  <c r="G31" i="2"/>
  <c r="G35" i="2"/>
  <c r="G36" i="2"/>
  <c r="G4" i="2"/>
  <c r="G5" i="2"/>
  <c r="G6" i="2"/>
  <c r="G45" i="1"/>
  <c r="G35" i="1"/>
  <c r="G37" i="1"/>
  <c r="G23" i="1"/>
  <c r="G24" i="1"/>
  <c r="G25" i="1"/>
  <c r="G26" i="1"/>
  <c r="G27" i="1"/>
  <c r="G28" i="1"/>
  <c r="G29" i="1"/>
  <c r="G30" i="1"/>
  <c r="G31" i="1"/>
  <c r="G32" i="1"/>
  <c r="G33" i="1"/>
  <c r="G34" i="1"/>
  <c r="G36" i="1"/>
  <c r="G20" i="1"/>
  <c r="G14" i="1"/>
  <c r="G13" i="1"/>
  <c r="G4" i="1"/>
  <c r="G41" i="3" l="1"/>
  <c r="G40" i="3"/>
  <c r="G12" i="3"/>
  <c r="G13" i="3"/>
  <c r="G14" i="3"/>
  <c r="G11" i="3"/>
  <c r="G30" i="3"/>
  <c r="G29" i="3"/>
  <c r="G26" i="3"/>
  <c r="G27" i="3"/>
  <c r="G28" i="3"/>
  <c r="G25" i="3"/>
  <c r="G33" i="3"/>
  <c r="G38" i="3" s="1"/>
  <c r="G3" i="3"/>
  <c r="G9" i="3" s="1"/>
  <c r="G45" i="3"/>
  <c r="G46" i="3"/>
  <c r="G44" i="3"/>
  <c r="G31" i="3" l="1"/>
  <c r="G50" i="3"/>
  <c r="G24" i="2"/>
  <c r="G32" i="2" s="1"/>
  <c r="G10" i="2"/>
  <c r="G9" i="2"/>
  <c r="G14" i="2" s="1"/>
  <c r="G17" i="2"/>
  <c r="G18" i="2"/>
  <c r="G19" i="2"/>
  <c r="G20" i="2"/>
  <c r="G16" i="2"/>
  <c r="G34" i="2"/>
  <c r="G37" i="2" s="1"/>
  <c r="G3" i="2"/>
  <c r="G7" i="2" s="1"/>
  <c r="G39" i="2"/>
  <c r="G22" i="2" l="1"/>
  <c r="G50" i="1"/>
  <c r="G17" i="1"/>
  <c r="G18" i="1"/>
  <c r="G19" i="1"/>
  <c r="G3" i="1"/>
  <c r="G52" i="1" l="1"/>
  <c r="G16" i="1"/>
  <c r="G44" i="1"/>
  <c r="G46" i="1" s="1"/>
  <c r="G53" i="1" s="1"/>
  <c r="G22" i="1" l="1"/>
  <c r="G10" i="1"/>
  <c r="G11" i="1"/>
  <c r="G12" i="1"/>
  <c r="G9" i="1"/>
  <c r="G48" i="5" l="1"/>
  <c r="G8" i="5"/>
  <c r="G39" i="4"/>
  <c r="G35" i="4"/>
  <c r="G20" i="4"/>
  <c r="G14" i="4"/>
  <c r="G42" i="3"/>
  <c r="G23" i="3"/>
  <c r="G17" i="3"/>
  <c r="G51" i="2"/>
  <c r="G42" i="2"/>
  <c r="G42" i="1"/>
  <c r="G7" i="1"/>
  <c r="G52" i="2" l="1"/>
</calcChain>
</file>

<file path=xl/sharedStrings.xml><?xml version="1.0" encoding="utf-8"?>
<sst xmlns="http://schemas.openxmlformats.org/spreadsheetml/2006/main" count="561" uniqueCount="196">
  <si>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</si>
  <si>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</si>
  <si>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</si>
  <si>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</si>
  <si>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</si>
  <si>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</si>
  <si>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</si>
  <si>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</si>
  <si>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</si>
  <si>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</si>
  <si>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</si>
  <si>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</si>
  <si>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</si>
  <si>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</si>
  <si>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</si>
  <si>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</si>
  <si>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</si>
  <si>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</si>
  <si>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</si>
  <si>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</si>
  <si>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</si>
  <si>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</si>
  <si>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</si>
  <si>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</si>
  <si>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</si>
  <si>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</si>
  <si>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包</t>
    <phoneticPr fontId="2" type="noConversion"/>
  </si>
  <si>
    <t>五穀米</t>
    <phoneticPr fontId="2" type="noConversion"/>
  </si>
  <si>
    <t>厚片土司</t>
    <phoneticPr fontId="2" type="noConversion"/>
  </si>
  <si>
    <t>條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</si>
  <si>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</si>
  <si>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</si>
  <si>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</si>
  <si>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</si>
  <si>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</si>
  <si>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</si>
  <si>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</si>
  <si>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</si>
  <si>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</si>
  <si>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斤</t>
  </si>
  <si>
    <t>芥花油</t>
    <phoneticPr fontId="2" type="noConversion"/>
  </si>
  <si>
    <t>合      計</t>
    <phoneticPr fontId="2" type="noConversion"/>
  </si>
  <si>
    <t>杏鮑菇</t>
    <phoneticPr fontId="2" type="noConversion"/>
  </si>
  <si>
    <t>半</t>
    <phoneticPr fontId="2" type="noConversion"/>
  </si>
  <si>
    <t>電訊科技中心(安康營區)     114年     12月   1日      午餐明細表</t>
    <phoneticPr fontId="2" type="noConversion"/>
  </si>
  <si>
    <t>電訊科技中心(安康營區)     114年      12月   02日      午餐明細表</t>
    <phoneticPr fontId="2" type="noConversion"/>
  </si>
  <si>
    <t>電訊科技中心(安康營區)     114年      12月   03日      午餐明細表</t>
    <phoneticPr fontId="2" type="noConversion"/>
  </si>
  <si>
    <t>電訊科技中心(安康營區)     114年      12月   04日      午餐明細表</t>
    <phoneticPr fontId="2" type="noConversion"/>
  </si>
  <si>
    <t>電訊科技中心(安康營區)     114年      12月   05日      午餐明細表</t>
    <phoneticPr fontId="2" type="noConversion"/>
  </si>
  <si>
    <t>炸雞腿</t>
    <phoneticPr fontId="2" type="noConversion"/>
  </si>
  <si>
    <t>白菜滷</t>
    <phoneticPr fontId="2" type="noConversion"/>
  </si>
  <si>
    <t>黑胡椒豆腐</t>
    <phoneticPr fontId="2" type="noConversion"/>
  </si>
  <si>
    <t>紫菜蛋花湯</t>
    <phoneticPr fontId="2" type="noConversion"/>
  </si>
  <si>
    <t>棒腿</t>
    <phoneticPr fontId="2" type="noConversion"/>
  </si>
  <si>
    <t>酥炸粉</t>
    <phoneticPr fontId="2" type="noConversion"/>
  </si>
  <si>
    <t>大白菜</t>
    <phoneticPr fontId="2" type="noConversion"/>
  </si>
  <si>
    <t>木耳絲</t>
    <phoneticPr fontId="2" type="noConversion"/>
  </si>
  <si>
    <t>生豆包</t>
    <phoneticPr fontId="2" type="noConversion"/>
  </si>
  <si>
    <t>小蝦米</t>
    <phoneticPr fontId="2" type="noConversion"/>
  </si>
  <si>
    <t>胡蘿蔔絲</t>
    <phoneticPr fontId="2" type="noConversion"/>
  </si>
  <si>
    <t>乳瑪琳(小)</t>
    <phoneticPr fontId="2" type="noConversion"/>
  </si>
  <si>
    <t>油豆腐丁</t>
    <phoneticPr fontId="2" type="noConversion"/>
  </si>
  <si>
    <t>黑胡椒醬</t>
    <phoneticPr fontId="2" type="noConversion"/>
  </si>
  <si>
    <t>南瓜切片</t>
    <phoneticPr fontId="2" type="noConversion"/>
  </si>
  <si>
    <t>生香菇</t>
    <phoneticPr fontId="2" type="noConversion"/>
  </si>
  <si>
    <t>米粉</t>
    <phoneticPr fontId="2" type="noConversion"/>
  </si>
  <si>
    <t>去皮洋蔥</t>
    <phoneticPr fontId="2" type="noConversion"/>
  </si>
  <si>
    <t>豬肉片</t>
    <phoneticPr fontId="2" type="noConversion"/>
  </si>
  <si>
    <t>五花肉片</t>
    <phoneticPr fontId="2" type="noConversion"/>
  </si>
  <si>
    <t>半</t>
    <phoneticPr fontId="2" type="noConversion"/>
  </si>
  <si>
    <t>包</t>
    <phoneticPr fontId="2" type="noConversion"/>
  </si>
  <si>
    <t>罐</t>
    <phoneticPr fontId="2" type="noConversion"/>
  </si>
  <si>
    <t>桶</t>
    <phoneticPr fontId="2" type="noConversion"/>
  </si>
  <si>
    <t>樹子鯛魚</t>
    <phoneticPr fontId="2" type="noConversion"/>
  </si>
  <si>
    <t>瓜仔肉</t>
    <phoneticPr fontId="2" type="noConversion"/>
  </si>
  <si>
    <t>菜圃蛋</t>
    <phoneticPr fontId="2" type="noConversion"/>
  </si>
  <si>
    <t>珍珠奶茶</t>
    <phoneticPr fontId="2" type="noConversion"/>
  </si>
  <si>
    <t>鯛魚片</t>
    <phoneticPr fontId="2" type="noConversion"/>
  </si>
  <si>
    <t>樹子</t>
    <phoneticPr fontId="2" type="noConversion"/>
  </si>
  <si>
    <t>薑絲</t>
    <phoneticPr fontId="2" type="noConversion"/>
  </si>
  <si>
    <t>絞肉</t>
    <phoneticPr fontId="2" type="noConversion"/>
  </si>
  <si>
    <t>脆瓜罐頭(大)</t>
    <phoneticPr fontId="2" type="noConversion"/>
  </si>
  <si>
    <t>菜圃碎</t>
    <phoneticPr fontId="2" type="noConversion"/>
  </si>
  <si>
    <t>雞蛋</t>
    <phoneticPr fontId="2" type="noConversion"/>
  </si>
  <si>
    <t>粉圓</t>
    <phoneticPr fontId="2" type="noConversion"/>
  </si>
  <si>
    <t>鮮奶油</t>
    <phoneticPr fontId="2" type="noConversion"/>
  </si>
  <si>
    <t>奶精粉</t>
    <phoneticPr fontId="2" type="noConversion"/>
  </si>
  <si>
    <t>烏龍麵</t>
    <phoneticPr fontId="2" type="noConversion"/>
  </si>
  <si>
    <t>雞翅</t>
    <phoneticPr fontId="2" type="noConversion"/>
  </si>
  <si>
    <t>雞蛋豆腐</t>
    <phoneticPr fontId="2" type="noConversion"/>
  </si>
  <si>
    <t>盒</t>
    <phoneticPr fontId="2" type="noConversion"/>
  </si>
  <si>
    <t>瓶</t>
    <phoneticPr fontId="2" type="noConversion"/>
  </si>
  <si>
    <t>水餃</t>
    <phoneticPr fontId="2" type="noConversion"/>
  </si>
  <si>
    <t>涼拌時蔬</t>
    <phoneticPr fontId="2" type="noConversion"/>
  </si>
  <si>
    <t>府城蝦捲</t>
    <phoneticPr fontId="2" type="noConversion"/>
  </si>
  <si>
    <t>酸辣湯</t>
    <phoneticPr fontId="2" type="noConversion"/>
  </si>
  <si>
    <t>山東水餃</t>
    <phoneticPr fontId="2" type="noConversion"/>
  </si>
  <si>
    <t>素食水餃</t>
    <phoneticPr fontId="2" type="noConversion"/>
  </si>
  <si>
    <t>玉米筍罐頭</t>
    <phoneticPr fontId="2" type="noConversion"/>
  </si>
  <si>
    <t>杏鮑菇</t>
    <phoneticPr fontId="2" type="noConversion"/>
  </si>
  <si>
    <t>冷凍花椰菜</t>
    <phoneticPr fontId="2" type="noConversion"/>
  </si>
  <si>
    <t>豆皮</t>
    <phoneticPr fontId="2" type="noConversion"/>
  </si>
  <si>
    <t>火腿</t>
    <phoneticPr fontId="2" type="noConversion"/>
  </si>
  <si>
    <t>條</t>
    <phoneticPr fontId="2" type="noConversion"/>
  </si>
  <si>
    <t>家常豆腐</t>
    <phoneticPr fontId="2" type="noConversion"/>
  </si>
  <si>
    <t>鴨血</t>
    <phoneticPr fontId="2" type="noConversion"/>
  </si>
  <si>
    <t>肉絲</t>
    <phoneticPr fontId="2" type="noConversion"/>
  </si>
  <si>
    <t>個</t>
    <phoneticPr fontId="2" type="noConversion"/>
  </si>
  <si>
    <t>糖醋里肌</t>
    <phoneticPr fontId="2" type="noConversion"/>
  </si>
  <si>
    <t>玉米蒸蛋</t>
    <phoneticPr fontId="2" type="noConversion"/>
  </si>
  <si>
    <t>青椒竹輪</t>
    <phoneticPr fontId="2" type="noConversion"/>
  </si>
  <si>
    <t>冬瓜海帶結</t>
    <phoneticPr fontId="2" type="noConversion"/>
  </si>
  <si>
    <t>鳳梨罐頭(大)</t>
    <phoneticPr fontId="2" type="noConversion"/>
  </si>
  <si>
    <t>冷凍玉米粒</t>
    <phoneticPr fontId="2" type="noConversion"/>
  </si>
  <si>
    <t>青椒切絲</t>
    <phoneticPr fontId="2" type="noConversion"/>
  </si>
  <si>
    <t>竹輪</t>
    <phoneticPr fontId="2" type="noConversion"/>
  </si>
  <si>
    <t>去皮冬瓜</t>
    <phoneticPr fontId="2" type="noConversion"/>
  </si>
  <si>
    <t>海帶結</t>
    <phoneticPr fontId="2" type="noConversion"/>
  </si>
  <si>
    <t>油麵</t>
    <phoneticPr fontId="2" type="noConversion"/>
  </si>
  <si>
    <t>腿排</t>
    <phoneticPr fontId="2" type="noConversion"/>
  </si>
  <si>
    <t>滷雞腿</t>
    <phoneticPr fontId="2" type="noConversion"/>
  </si>
  <si>
    <t>關東煮</t>
    <phoneticPr fontId="2" type="noConversion"/>
  </si>
  <si>
    <t>塔香茄子</t>
    <phoneticPr fontId="2" type="noConversion"/>
  </si>
  <si>
    <t>榨菜筍片湯</t>
    <phoneticPr fontId="2" type="noConversion"/>
  </si>
  <si>
    <t>大三角油豆腐</t>
    <phoneticPr fontId="2" type="noConversion"/>
  </si>
  <si>
    <t>白蘿蔔</t>
    <phoneticPr fontId="2" type="noConversion"/>
  </si>
  <si>
    <t>甜不辣條</t>
    <phoneticPr fontId="2" type="noConversion"/>
  </si>
  <si>
    <t>米血丁</t>
    <phoneticPr fontId="2" type="noConversion"/>
  </si>
  <si>
    <t>小貢丸</t>
    <phoneticPr fontId="2" type="noConversion"/>
  </si>
  <si>
    <t>茄子</t>
    <phoneticPr fontId="2" type="noConversion"/>
  </si>
  <si>
    <t>九層塔</t>
    <phoneticPr fontId="2" type="noConversion"/>
  </si>
  <si>
    <t>榨菜絲</t>
    <phoneticPr fontId="2" type="noConversion"/>
  </si>
  <si>
    <t>桶筍片</t>
    <phoneticPr fontId="2" type="noConversion"/>
  </si>
  <si>
    <t>黑豆干</t>
    <phoneticPr fontId="2" type="noConversion"/>
  </si>
  <si>
    <t>胡蘿蔔</t>
    <phoneticPr fontId="2" type="noConversion"/>
  </si>
  <si>
    <t>西洋芹</t>
    <phoneticPr fontId="2" type="noConversion"/>
  </si>
  <si>
    <t>五花絞肉</t>
    <phoneticPr fontId="2" type="noConversion"/>
  </si>
  <si>
    <t>香腸</t>
    <phoneticPr fontId="2" type="noConversion"/>
  </si>
  <si>
    <t>滷蛋</t>
    <phoneticPr fontId="2" type="noConversion"/>
  </si>
  <si>
    <t>粒</t>
    <phoneticPr fontId="2" type="noConversion"/>
  </si>
  <si>
    <t>薑絲</t>
    <phoneticPr fontId="2" type="noConversion"/>
  </si>
  <si>
    <t>里肌肉塊</t>
    <phoneticPr fontId="2" type="noConversion"/>
  </si>
  <si>
    <t>斤</t>
    <phoneticPr fontId="2" type="noConversion"/>
  </si>
  <si>
    <t>高麗菜</t>
    <phoneticPr fontId="2" type="noConversion"/>
  </si>
  <si>
    <t>斤</t>
    <phoneticPr fontId="2" type="noConversion"/>
  </si>
  <si>
    <t>愛玉</t>
    <phoneticPr fontId="2" type="noConversion"/>
  </si>
  <si>
    <t>組</t>
    <phoneticPr fontId="2" type="noConversion"/>
  </si>
  <si>
    <t>鵝白菜</t>
    <phoneticPr fontId="2" type="noConversion"/>
  </si>
  <si>
    <t>咖哩粉</t>
    <phoneticPr fontId="2" type="noConversion"/>
  </si>
  <si>
    <t>盒</t>
    <phoneticPr fontId="2" type="noConversion"/>
  </si>
  <si>
    <t>大亨堡</t>
    <phoneticPr fontId="2" type="noConversion"/>
  </si>
  <si>
    <t>紅龍果</t>
    <phoneticPr fontId="2" type="noConversion"/>
  </si>
  <si>
    <t>紅龍果</t>
    <phoneticPr fontId="2" type="noConversion"/>
  </si>
  <si>
    <t>今日來</t>
    <phoneticPr fontId="2" type="noConversion"/>
  </si>
  <si>
    <t>上週四來</t>
    <phoneticPr fontId="2" type="noConversion"/>
  </si>
  <si>
    <t>斤</t>
    <phoneticPr fontId="2" type="noConversion"/>
  </si>
  <si>
    <t>厚片土司</t>
    <phoneticPr fontId="2" type="noConversion"/>
  </si>
  <si>
    <t>條</t>
    <phoneticPr fontId="2" type="noConversion"/>
  </si>
  <si>
    <t>油菜</t>
    <phoneticPr fontId="2" type="noConversion"/>
  </si>
  <si>
    <t>橘子</t>
    <phoneticPr fontId="2" type="noConversion"/>
  </si>
  <si>
    <t>調理米酒</t>
    <phoneticPr fontId="2" type="noConversion"/>
  </si>
  <si>
    <t>瓶</t>
    <phoneticPr fontId="2" type="noConversion"/>
  </si>
  <si>
    <t>香油</t>
    <phoneticPr fontId="2" type="noConversion"/>
  </si>
  <si>
    <t>桶</t>
    <phoneticPr fontId="2" type="noConversion"/>
  </si>
  <si>
    <t>總      計</t>
    <phoneticPr fontId="2" type="noConversion"/>
  </si>
  <si>
    <t>包</t>
    <phoneticPr fontId="2" type="noConversion"/>
  </si>
  <si>
    <t>烏龍茶</t>
    <phoneticPr fontId="2" type="noConversion"/>
  </si>
  <si>
    <t>件</t>
    <phoneticPr fontId="2" type="noConversion"/>
  </si>
  <si>
    <t>鮪魚罐</t>
    <phoneticPr fontId="2" type="noConversion"/>
  </si>
  <si>
    <t>罐</t>
    <phoneticPr fontId="2" type="noConversion"/>
  </si>
  <si>
    <t>斤</t>
    <phoneticPr fontId="2" type="noConversion"/>
  </si>
  <si>
    <t>冷凍青花菜</t>
    <phoneticPr fontId="2" type="noConversion"/>
  </si>
  <si>
    <t>蜂蜜</t>
    <phoneticPr fontId="2" type="noConversion"/>
  </si>
  <si>
    <t>桶</t>
    <phoneticPr fontId="2" type="noConversion"/>
  </si>
  <si>
    <t>芥花油</t>
    <phoneticPr fontId="2" type="noConversion"/>
  </si>
  <si>
    <t>金蘭醬油</t>
    <phoneticPr fontId="2" type="noConversion"/>
  </si>
  <si>
    <t>油膏</t>
    <phoneticPr fontId="2" type="noConversion"/>
  </si>
  <si>
    <t>素蠔油</t>
    <phoneticPr fontId="2" type="noConversion"/>
  </si>
  <si>
    <t>番茄醬</t>
    <phoneticPr fontId="2" type="noConversion"/>
  </si>
  <si>
    <t>胡椒粉</t>
    <phoneticPr fontId="2" type="noConversion"/>
  </si>
  <si>
    <t>盒</t>
    <phoneticPr fontId="2" type="noConversion"/>
  </si>
  <si>
    <t>洗選蛋</t>
    <phoneticPr fontId="2" type="noConversion"/>
  </si>
  <si>
    <t>水餃</t>
    <phoneticPr fontId="2" type="noConversion"/>
  </si>
  <si>
    <t>三好米</t>
    <phoneticPr fontId="2" type="noConversion"/>
  </si>
  <si>
    <t>豆芽菜</t>
    <phoneticPr fontId="2" type="noConversion"/>
  </si>
  <si>
    <t>柳丁</t>
    <phoneticPr fontId="2" type="noConversion"/>
  </si>
  <si>
    <t>斤</t>
    <phoneticPr fontId="2" type="noConversion"/>
  </si>
  <si>
    <t>高麗菜</t>
    <phoneticPr fontId="2" type="noConversion"/>
  </si>
  <si>
    <t>羊肉片</t>
    <phoneticPr fontId="2" type="noConversion"/>
  </si>
  <si>
    <t>雞腿肉</t>
    <phoneticPr fontId="2" type="noConversion"/>
  </si>
  <si>
    <t>香蕉</t>
    <phoneticPr fontId="2" type="noConversion"/>
  </si>
  <si>
    <t>細冰糖</t>
    <phoneticPr fontId="2" type="noConversion"/>
  </si>
  <si>
    <t>斤</t>
    <phoneticPr fontId="2" type="noConversion"/>
  </si>
  <si>
    <t>起司片</t>
    <phoneticPr fontId="2" type="noConversion"/>
  </si>
  <si>
    <t>包</t>
    <phoneticPr fontId="2" type="noConversion"/>
  </si>
  <si>
    <t>洗選蛋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</si>
</sst>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36" workbookViewId="0">
      <selection activeCell="H53" sqref="A1:H5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44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49</v>
      </c>
      <c r="B3" s="1" t="s">
        <v>53</v>
      </c>
      <c r="C3" s="1">
        <v>280</v>
      </c>
      <c r="D3" s="1">
        <v>99</v>
      </c>
      <c r="E3" s="21">
        <v>72.02</v>
      </c>
      <c r="F3" s="21" t="s">
        <v>17</v>
      </c>
      <c r="G3" s="22">
        <f>D3*E3</f>
        <v>7129.98</v>
      </c>
      <c r="H3" s="1"/>
    </row>
    <row r="4" spans="1:8" x14ac:dyDescent="0.25">
      <c r="A4" s="57"/>
      <c r="B4" s="11" t="s">
        <v>54</v>
      </c>
      <c r="C4" s="11">
        <v>5</v>
      </c>
      <c r="D4" s="11">
        <v>93</v>
      </c>
      <c r="E4" s="11">
        <v>5</v>
      </c>
      <c r="F4" s="31" t="s">
        <v>70</v>
      </c>
      <c r="G4" s="22">
        <f>D4*E4</f>
        <v>465</v>
      </c>
      <c r="H4" s="1"/>
    </row>
    <row r="5" spans="1:8" x14ac:dyDescent="0.25">
      <c r="A5" s="57"/>
      <c r="B5" s="1"/>
      <c r="C5" s="1"/>
      <c r="D5" s="1"/>
      <c r="E5" s="1"/>
      <c r="F5" s="1"/>
      <c r="G5" s="1"/>
      <c r="H5" s="1"/>
    </row>
    <row r="6" spans="1:8" x14ac:dyDescent="0.25">
      <c r="A6" s="57"/>
      <c r="B6" s="1"/>
      <c r="C6" s="1"/>
      <c r="D6" s="1"/>
      <c r="E6" s="3"/>
      <c r="F6" s="30"/>
      <c r="G6" s="3"/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5">
        <f>SUM(G3:G6)</f>
        <v>7594.98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50</v>
      </c>
      <c r="B9" s="1" t="s">
        <v>55</v>
      </c>
      <c r="C9" s="1">
        <v>60</v>
      </c>
      <c r="D9" s="1">
        <v>30.6</v>
      </c>
      <c r="E9" s="1">
        <v>60</v>
      </c>
      <c r="F9" s="34" t="s">
        <v>39</v>
      </c>
      <c r="G9" s="1">
        <f>D9*E9</f>
        <v>1836</v>
      </c>
      <c r="H9" s="1"/>
    </row>
    <row r="10" spans="1:8" x14ac:dyDescent="0.25">
      <c r="A10" s="57"/>
      <c r="B10" s="1" t="s">
        <v>56</v>
      </c>
      <c r="C10" s="1">
        <v>8</v>
      </c>
      <c r="D10" s="1">
        <v>54</v>
      </c>
      <c r="E10" s="1">
        <v>3</v>
      </c>
      <c r="F10" s="34" t="s">
        <v>39</v>
      </c>
      <c r="G10" s="11">
        <f t="shared" ref="G10:G13" si="0">D10*E10</f>
        <v>162</v>
      </c>
      <c r="H10" s="1"/>
    </row>
    <row r="11" spans="1:8" x14ac:dyDescent="0.25">
      <c r="A11" s="57"/>
      <c r="B11" s="1" t="s">
        <v>57</v>
      </c>
      <c r="C11" s="1">
        <v>8</v>
      </c>
      <c r="D11" s="1">
        <v>123</v>
      </c>
      <c r="E11" s="1">
        <v>8</v>
      </c>
      <c r="F11" s="34" t="s">
        <v>39</v>
      </c>
      <c r="G11" s="11">
        <f t="shared" si="0"/>
        <v>984</v>
      </c>
      <c r="H11" s="1"/>
    </row>
    <row r="12" spans="1:8" x14ac:dyDescent="0.25">
      <c r="A12" s="57"/>
      <c r="B12" s="1" t="s">
        <v>58</v>
      </c>
      <c r="C12" s="1" t="s">
        <v>69</v>
      </c>
      <c r="D12" s="1">
        <v>666.6</v>
      </c>
      <c r="E12" s="1">
        <v>0.5</v>
      </c>
      <c r="F12" s="34" t="s">
        <v>39</v>
      </c>
      <c r="G12" s="11">
        <f t="shared" si="0"/>
        <v>333.3</v>
      </c>
      <c r="H12" s="1"/>
    </row>
    <row r="13" spans="1:8" x14ac:dyDescent="0.25">
      <c r="A13" s="57"/>
      <c r="B13" s="1" t="s">
        <v>59</v>
      </c>
      <c r="C13" s="1">
        <v>3</v>
      </c>
      <c r="D13" s="1">
        <v>20.52</v>
      </c>
      <c r="E13" s="1">
        <v>3</v>
      </c>
      <c r="F13" s="34" t="s">
        <v>39</v>
      </c>
      <c r="G13" s="1">
        <f t="shared" si="0"/>
        <v>61.56</v>
      </c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5">
        <f>SUM(G9:G13)</f>
        <v>3376.86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51</v>
      </c>
      <c r="B16" s="1" t="s">
        <v>60</v>
      </c>
      <c r="C16" s="1">
        <v>1</v>
      </c>
      <c r="D16" s="1">
        <v>210</v>
      </c>
      <c r="E16" s="1">
        <v>1</v>
      </c>
      <c r="F16" s="31" t="s">
        <v>71</v>
      </c>
      <c r="G16" s="1">
        <f>D16*E16</f>
        <v>210</v>
      </c>
      <c r="H16" s="1"/>
    </row>
    <row r="17" spans="1:8" x14ac:dyDescent="0.25">
      <c r="A17" s="57"/>
      <c r="B17" s="1" t="s">
        <v>61</v>
      </c>
      <c r="C17" s="1">
        <v>30</v>
      </c>
      <c r="D17" s="1">
        <v>60</v>
      </c>
      <c r="E17" s="1">
        <v>30</v>
      </c>
      <c r="F17" s="34" t="s">
        <v>39</v>
      </c>
      <c r="G17" s="18">
        <f t="shared" ref="G17:G19" si="1">D17*E17</f>
        <v>1800</v>
      </c>
      <c r="H17" s="1"/>
    </row>
    <row r="18" spans="1:8" x14ac:dyDescent="0.25">
      <c r="A18" s="57"/>
      <c r="B18" s="1" t="s">
        <v>62</v>
      </c>
      <c r="C18" s="1">
        <v>1</v>
      </c>
      <c r="D18" s="1">
        <v>587</v>
      </c>
      <c r="E18" s="1">
        <v>1</v>
      </c>
      <c r="F18" s="31" t="s">
        <v>72</v>
      </c>
      <c r="G18" s="2">
        <f t="shared" si="1"/>
        <v>587</v>
      </c>
      <c r="H18" s="1"/>
    </row>
    <row r="19" spans="1:8" x14ac:dyDescent="0.25">
      <c r="A19" s="57"/>
      <c r="B19" s="1"/>
      <c r="C19" s="1"/>
      <c r="D19" s="1"/>
      <c r="E19" s="3"/>
      <c r="F19" s="3"/>
      <c r="G19" s="18">
        <f t="shared" si="1"/>
        <v>0</v>
      </c>
      <c r="H19" s="1"/>
    </row>
    <row r="20" spans="1:8" x14ac:dyDescent="0.25">
      <c r="A20" s="57"/>
      <c r="B20" s="51"/>
      <c r="C20" s="52"/>
      <c r="D20" s="53"/>
      <c r="E20" s="3"/>
      <c r="F20" s="3"/>
      <c r="G20" s="15">
        <f>SUM(G16:G19)</f>
        <v>2597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7"/>
      <c r="B22" s="1" t="s">
        <v>35</v>
      </c>
      <c r="C22" s="1">
        <v>2</v>
      </c>
      <c r="D22" s="1">
        <v>150</v>
      </c>
      <c r="E22" s="1">
        <v>2</v>
      </c>
      <c r="F22" s="1" t="s">
        <v>36</v>
      </c>
      <c r="G22" s="1">
        <f>D22*E22</f>
        <v>300</v>
      </c>
      <c r="H22" s="1"/>
    </row>
    <row r="23" spans="1:8" x14ac:dyDescent="0.25">
      <c r="A23" s="57"/>
      <c r="B23" s="26" t="s">
        <v>37</v>
      </c>
      <c r="C23" s="1" t="s">
        <v>43</v>
      </c>
      <c r="D23" s="1">
        <v>99</v>
      </c>
      <c r="E23" s="1">
        <v>0.5</v>
      </c>
      <c r="F23" s="1" t="s">
        <v>32</v>
      </c>
      <c r="G23" s="37">
        <f t="shared" ref="G23:G36" si="2">D23*E23</f>
        <v>49.5</v>
      </c>
      <c r="H23" s="1"/>
    </row>
    <row r="24" spans="1:8" x14ac:dyDescent="0.25">
      <c r="A24" s="57"/>
      <c r="B24" s="26" t="s">
        <v>23</v>
      </c>
      <c r="C24" s="1">
        <v>8</v>
      </c>
      <c r="D24" s="1">
        <v>96.9</v>
      </c>
      <c r="E24" s="1">
        <v>8</v>
      </c>
      <c r="F24" s="1" t="s">
        <v>22</v>
      </c>
      <c r="G24" s="37">
        <f t="shared" si="2"/>
        <v>775.2</v>
      </c>
      <c r="H24" s="1"/>
    </row>
    <row r="25" spans="1:8" x14ac:dyDescent="0.25">
      <c r="A25" s="57"/>
      <c r="B25" s="1" t="s">
        <v>24</v>
      </c>
      <c r="C25" s="1">
        <v>6</v>
      </c>
      <c r="D25" s="1">
        <v>70.2</v>
      </c>
      <c r="E25" s="1">
        <v>4</v>
      </c>
      <c r="F25" s="1" t="s">
        <v>22</v>
      </c>
      <c r="G25" s="37">
        <f t="shared" si="2"/>
        <v>280.8</v>
      </c>
      <c r="H25" s="1"/>
    </row>
    <row r="26" spans="1:8" x14ac:dyDescent="0.25">
      <c r="A26" s="57"/>
      <c r="B26" s="11" t="s">
        <v>25</v>
      </c>
      <c r="C26" s="11">
        <v>2</v>
      </c>
      <c r="D26" s="11">
        <v>50.4</v>
      </c>
      <c r="E26" s="11">
        <v>20</v>
      </c>
      <c r="F26" s="12" t="s">
        <v>17</v>
      </c>
      <c r="G26" s="37">
        <f t="shared" si="2"/>
        <v>1008</v>
      </c>
      <c r="H26" s="11"/>
    </row>
    <row r="27" spans="1:8" x14ac:dyDescent="0.25">
      <c r="A27" s="57"/>
      <c r="B27" s="11" t="s">
        <v>42</v>
      </c>
      <c r="C27" s="11">
        <v>4</v>
      </c>
      <c r="D27" s="11">
        <v>105</v>
      </c>
      <c r="E27" s="11">
        <v>4</v>
      </c>
      <c r="F27" s="11" t="s">
        <v>36</v>
      </c>
      <c r="G27" s="37">
        <f t="shared" si="2"/>
        <v>420</v>
      </c>
      <c r="H27" s="11"/>
    </row>
    <row r="28" spans="1:8" x14ac:dyDescent="0.25">
      <c r="A28" s="57"/>
      <c r="B28" s="34" t="s">
        <v>63</v>
      </c>
      <c r="C28" s="34" t="s">
        <v>69</v>
      </c>
      <c r="D28" s="34">
        <v>13.68</v>
      </c>
      <c r="E28" s="34">
        <v>0.5</v>
      </c>
      <c r="F28" s="34" t="s">
        <v>39</v>
      </c>
      <c r="G28" s="37">
        <f t="shared" si="2"/>
        <v>6.84</v>
      </c>
      <c r="H28" s="34"/>
    </row>
    <row r="29" spans="1:8" x14ac:dyDescent="0.25">
      <c r="A29" s="57"/>
      <c r="B29" s="34" t="s">
        <v>64</v>
      </c>
      <c r="C29" s="34" t="s">
        <v>69</v>
      </c>
      <c r="D29" s="34">
        <v>165</v>
      </c>
      <c r="E29" s="34">
        <v>0.5</v>
      </c>
      <c r="F29" s="34" t="s">
        <v>39</v>
      </c>
      <c r="G29" s="37">
        <f t="shared" si="2"/>
        <v>82.5</v>
      </c>
      <c r="H29" s="34"/>
    </row>
    <row r="30" spans="1:8" x14ac:dyDescent="0.25">
      <c r="A30" s="57"/>
      <c r="B30" s="35" t="s">
        <v>140</v>
      </c>
      <c r="C30" s="35">
        <v>1</v>
      </c>
      <c r="D30" s="35">
        <v>125.4</v>
      </c>
      <c r="E30" s="35">
        <v>1</v>
      </c>
      <c r="F30" s="35" t="s">
        <v>39</v>
      </c>
      <c r="G30" s="37">
        <f t="shared" si="2"/>
        <v>125.4</v>
      </c>
      <c r="H30" s="35"/>
    </row>
    <row r="31" spans="1:8" x14ac:dyDescent="0.25">
      <c r="A31" s="57"/>
      <c r="B31" s="34" t="s">
        <v>65</v>
      </c>
      <c r="C31" s="34">
        <v>2</v>
      </c>
      <c r="D31" s="34">
        <v>45</v>
      </c>
      <c r="E31" s="34">
        <v>2</v>
      </c>
      <c r="F31" s="34" t="s">
        <v>70</v>
      </c>
      <c r="G31" s="37">
        <f t="shared" si="2"/>
        <v>90</v>
      </c>
      <c r="H31" s="34"/>
    </row>
    <row r="32" spans="1:8" x14ac:dyDescent="0.25">
      <c r="A32" s="57"/>
      <c r="B32" s="11" t="s">
        <v>66</v>
      </c>
      <c r="C32" s="11">
        <v>3</v>
      </c>
      <c r="D32" s="11">
        <v>30.6</v>
      </c>
      <c r="E32" s="11">
        <v>1.67</v>
      </c>
      <c r="F32" s="11" t="s">
        <v>17</v>
      </c>
      <c r="G32" s="37">
        <f t="shared" si="2"/>
        <v>51.101999999999997</v>
      </c>
      <c r="H32" s="11"/>
    </row>
    <row r="33" spans="1:8" x14ac:dyDescent="0.25">
      <c r="A33" s="57"/>
      <c r="B33" s="11" t="s">
        <v>67</v>
      </c>
      <c r="C33" s="11">
        <v>7</v>
      </c>
      <c r="D33" s="11">
        <v>141</v>
      </c>
      <c r="E33" s="11">
        <v>7</v>
      </c>
      <c r="F33" s="34" t="s">
        <v>39</v>
      </c>
      <c r="G33" s="37">
        <f t="shared" si="2"/>
        <v>987</v>
      </c>
      <c r="H33" s="11"/>
    </row>
    <row r="34" spans="1:8" x14ac:dyDescent="0.25">
      <c r="A34" s="57"/>
      <c r="B34" s="11" t="s">
        <v>68</v>
      </c>
      <c r="C34" s="11">
        <v>3</v>
      </c>
      <c r="D34" s="11">
        <v>177</v>
      </c>
      <c r="E34" s="11">
        <v>8</v>
      </c>
      <c r="F34" s="34" t="s">
        <v>39</v>
      </c>
      <c r="G34" s="37">
        <f t="shared" si="2"/>
        <v>1416</v>
      </c>
      <c r="H34" s="11"/>
    </row>
    <row r="35" spans="1:8" x14ac:dyDescent="0.25">
      <c r="A35" s="57"/>
      <c r="B35" s="37" t="s">
        <v>28</v>
      </c>
      <c r="C35" s="37">
        <v>1</v>
      </c>
      <c r="D35" s="37">
        <v>60</v>
      </c>
      <c r="E35" s="37">
        <v>2</v>
      </c>
      <c r="F35" s="37" t="s">
        <v>29</v>
      </c>
      <c r="G35" s="37">
        <f>D35*E35</f>
        <v>120</v>
      </c>
      <c r="H35" s="11"/>
    </row>
    <row r="36" spans="1:8" x14ac:dyDescent="0.25">
      <c r="A36" s="57"/>
      <c r="B36" s="28" t="s">
        <v>34</v>
      </c>
      <c r="C36" s="28">
        <v>1</v>
      </c>
      <c r="D36" s="28">
        <v>270</v>
      </c>
      <c r="E36" s="28">
        <v>1</v>
      </c>
      <c r="F36" s="28" t="s">
        <v>33</v>
      </c>
      <c r="G36" s="37">
        <f t="shared" si="2"/>
        <v>270</v>
      </c>
      <c r="H36" s="1"/>
    </row>
    <row r="37" spans="1:8" x14ac:dyDescent="0.25">
      <c r="A37" s="11"/>
      <c r="B37" s="51" t="s">
        <v>18</v>
      </c>
      <c r="C37" s="52"/>
      <c r="D37" s="53"/>
      <c r="E37" s="28"/>
      <c r="F37" s="28"/>
      <c r="G37" s="16">
        <f>SUM(G22:G36)</f>
        <v>5982.3420000000006</v>
      </c>
      <c r="H37" s="11"/>
    </row>
    <row r="38" spans="1:8" x14ac:dyDescent="0.25">
      <c r="A38" s="1" t="s">
        <v>11</v>
      </c>
      <c r="B38" s="28" t="s">
        <v>1</v>
      </c>
      <c r="C38" s="28" t="s">
        <v>2</v>
      </c>
      <c r="D38" s="28" t="s">
        <v>3</v>
      </c>
      <c r="E38" s="28" t="s">
        <v>4</v>
      </c>
      <c r="F38" s="28"/>
      <c r="G38" s="1" t="s">
        <v>5</v>
      </c>
      <c r="H38" s="1" t="s">
        <v>6</v>
      </c>
    </row>
    <row r="39" spans="1:8" x14ac:dyDescent="0.25">
      <c r="A39" s="57" t="s">
        <v>52</v>
      </c>
      <c r="B39" s="28"/>
      <c r="C39" s="28"/>
      <c r="D39" s="28"/>
      <c r="E39" s="28"/>
      <c r="F39" s="28"/>
      <c r="G39" s="1"/>
      <c r="H39" s="1"/>
    </row>
    <row r="40" spans="1:8" x14ac:dyDescent="0.25">
      <c r="A40" s="57"/>
      <c r="B40" s="28"/>
      <c r="C40" s="28"/>
      <c r="D40" s="28"/>
      <c r="E40" s="28"/>
      <c r="F40" s="28"/>
      <c r="G40" s="1"/>
      <c r="H40" s="1" t="s">
        <v>15</v>
      </c>
    </row>
    <row r="41" spans="1:8" x14ac:dyDescent="0.25">
      <c r="A41" s="57"/>
      <c r="B41" s="28"/>
      <c r="C41" s="28"/>
      <c r="D41" s="28"/>
      <c r="E41" s="28"/>
      <c r="F41" s="28"/>
      <c r="G41" s="1"/>
      <c r="H41" s="1"/>
    </row>
    <row r="42" spans="1:8" x14ac:dyDescent="0.25">
      <c r="A42" s="57"/>
      <c r="B42" s="51"/>
      <c r="C42" s="52"/>
      <c r="D42" s="53"/>
      <c r="E42" s="29"/>
      <c r="F42" s="29"/>
      <c r="G42" s="5">
        <f>SUM(G39:G41)</f>
        <v>0</v>
      </c>
      <c r="H42" s="1"/>
    </row>
    <row r="43" spans="1:8" x14ac:dyDescent="0.25">
      <c r="A43" s="1" t="s">
        <v>12</v>
      </c>
      <c r="B43" s="28" t="s">
        <v>1</v>
      </c>
      <c r="C43" s="28" t="s">
        <v>2</v>
      </c>
      <c r="D43" s="28" t="s">
        <v>3</v>
      </c>
      <c r="E43" s="29" t="s">
        <v>4</v>
      </c>
      <c r="F43" s="29"/>
      <c r="G43" s="3" t="s">
        <v>5</v>
      </c>
      <c r="H43" s="1" t="s">
        <v>6</v>
      </c>
    </row>
    <row r="44" spans="1:8" x14ac:dyDescent="0.25">
      <c r="A44" s="58"/>
      <c r="B44" s="1" t="s">
        <v>143</v>
      </c>
      <c r="C44" s="1"/>
      <c r="D44" s="1">
        <v>11.22</v>
      </c>
      <c r="E44" s="1">
        <v>70</v>
      </c>
      <c r="F44" s="1" t="s">
        <v>144</v>
      </c>
      <c r="G44" s="2">
        <f>D44*E44</f>
        <v>785.40000000000009</v>
      </c>
      <c r="H44" s="1"/>
    </row>
    <row r="45" spans="1:8" x14ac:dyDescent="0.25">
      <c r="A45" s="59"/>
      <c r="B45" s="1" t="s">
        <v>145</v>
      </c>
      <c r="C45" s="1"/>
      <c r="D45" s="1">
        <v>35</v>
      </c>
      <c r="E45" s="1">
        <v>75</v>
      </c>
      <c r="F45" s="1" t="s">
        <v>146</v>
      </c>
      <c r="G45" s="2">
        <f>D45*E45</f>
        <v>2625</v>
      </c>
      <c r="H45" s="1"/>
    </row>
    <row r="46" spans="1:8" x14ac:dyDescent="0.25">
      <c r="A46" s="60"/>
      <c r="B46" s="51" t="s">
        <v>7</v>
      </c>
      <c r="C46" s="52"/>
      <c r="D46" s="53"/>
      <c r="E46" s="3"/>
      <c r="F46" s="3"/>
      <c r="G46" s="15">
        <f>SUM(G44:G45)</f>
        <v>3410.4</v>
      </c>
      <c r="H46" s="7"/>
    </row>
    <row r="47" spans="1:8" x14ac:dyDescent="0.25">
      <c r="A47" s="8" t="s">
        <v>13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 t="s">
        <v>5</v>
      </c>
      <c r="H47" s="1"/>
    </row>
    <row r="48" spans="1:8" x14ac:dyDescent="0.25">
      <c r="A48" s="57"/>
      <c r="B48" s="1"/>
      <c r="C48" s="1"/>
      <c r="D48" s="1"/>
      <c r="E48" s="1"/>
      <c r="F48" s="1"/>
      <c r="G48" s="1"/>
      <c r="H48" s="1"/>
    </row>
    <row r="49" spans="1:8" x14ac:dyDescent="0.25">
      <c r="A49" s="57"/>
      <c r="B49" s="1"/>
      <c r="C49" s="1"/>
      <c r="D49" s="1"/>
      <c r="E49" s="1"/>
      <c r="F49" s="1"/>
      <c r="G49" s="2"/>
      <c r="H49" s="1"/>
    </row>
    <row r="50" spans="1:8" x14ac:dyDescent="0.25">
      <c r="A50" s="57"/>
      <c r="B50" s="1"/>
      <c r="C50" s="1"/>
      <c r="D50" s="1"/>
      <c r="E50" s="1"/>
      <c r="F50" s="1"/>
      <c r="G50" s="18">
        <f>D50*E50</f>
        <v>0</v>
      </c>
      <c r="H50" s="1"/>
    </row>
    <row r="51" spans="1:8" x14ac:dyDescent="0.25">
      <c r="A51" s="57"/>
      <c r="B51" s="1"/>
      <c r="C51" s="1"/>
      <c r="D51" s="1"/>
      <c r="E51" s="1"/>
      <c r="F51" s="1"/>
      <c r="G51" s="1"/>
      <c r="H51" s="1"/>
    </row>
    <row r="52" spans="1:8" x14ac:dyDescent="0.25">
      <c r="A52" s="57"/>
      <c r="B52" s="51" t="s">
        <v>7</v>
      </c>
      <c r="C52" s="52"/>
      <c r="D52" s="53"/>
      <c r="E52" s="3"/>
      <c r="F52" s="3"/>
      <c r="G52" s="17">
        <f>SUM(G48:G51)</f>
        <v>0</v>
      </c>
      <c r="H52" s="1"/>
    </row>
    <row r="53" spans="1:8" x14ac:dyDescent="0.25">
      <c r="A53" s="1"/>
      <c r="B53" s="61" t="s">
        <v>14</v>
      </c>
      <c r="C53" s="62"/>
      <c r="D53" s="63"/>
      <c r="E53" s="9"/>
      <c r="F53" s="9"/>
      <c r="G53" s="10">
        <f>G52+G46+G42+G20+G14+G7+G37</f>
        <v>22961.581999999999</v>
      </c>
      <c r="H53" s="1"/>
    </row>
  </sheetData>
  <mergeCells count="16">
    <mergeCell ref="B53:D53"/>
    <mergeCell ref="B52:D52"/>
    <mergeCell ref="B46:D46"/>
    <mergeCell ref="B42:D42"/>
    <mergeCell ref="B37:D37"/>
    <mergeCell ref="A48:A52"/>
    <mergeCell ref="A22:A36"/>
    <mergeCell ref="A39:A42"/>
    <mergeCell ref="A44:A4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opLeftCell="A31" workbookViewId="0">
      <selection activeCell="B44" sqref="B44:G5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45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73</v>
      </c>
      <c r="B3" s="1" t="s">
        <v>77</v>
      </c>
      <c r="C3" s="1">
        <v>280</v>
      </c>
      <c r="D3" s="1">
        <v>225</v>
      </c>
      <c r="E3" s="1">
        <v>56</v>
      </c>
      <c r="F3" s="1" t="s">
        <v>26</v>
      </c>
      <c r="G3" s="2">
        <f>D3*E3</f>
        <v>12600</v>
      </c>
      <c r="H3" s="1"/>
    </row>
    <row r="4" spans="1:8" x14ac:dyDescent="0.25">
      <c r="A4" s="57"/>
      <c r="B4" s="1" t="s">
        <v>78</v>
      </c>
      <c r="C4" s="1">
        <v>1</v>
      </c>
      <c r="D4" s="1">
        <v>600</v>
      </c>
      <c r="E4" s="1">
        <v>1</v>
      </c>
      <c r="F4" s="1" t="s">
        <v>72</v>
      </c>
      <c r="G4" s="2">
        <f t="shared" ref="G4:G6" si="0">D4*E4</f>
        <v>600</v>
      </c>
      <c r="H4" s="1"/>
    </row>
    <row r="5" spans="1:8" x14ac:dyDescent="0.25">
      <c r="A5" s="57"/>
      <c r="B5" s="1" t="s">
        <v>79</v>
      </c>
      <c r="C5" s="1">
        <v>2</v>
      </c>
      <c r="D5" s="1">
        <v>125.4</v>
      </c>
      <c r="E5" s="1">
        <v>2</v>
      </c>
      <c r="F5" s="34" t="s">
        <v>39</v>
      </c>
      <c r="G5" s="2">
        <f t="shared" si="0"/>
        <v>250.8</v>
      </c>
      <c r="H5" s="1"/>
    </row>
    <row r="6" spans="1:8" x14ac:dyDescent="0.25">
      <c r="A6" s="57"/>
      <c r="B6" s="1" t="s">
        <v>66</v>
      </c>
      <c r="C6" s="1">
        <v>15</v>
      </c>
      <c r="D6" s="1">
        <v>30.6</v>
      </c>
      <c r="E6" s="3">
        <v>15</v>
      </c>
      <c r="F6" s="33" t="s">
        <v>39</v>
      </c>
      <c r="G6" s="2">
        <f t="shared" si="0"/>
        <v>459</v>
      </c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5">
        <f>SUM(G3:G6)</f>
        <v>13909.8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74</v>
      </c>
      <c r="B9" s="1" t="s">
        <v>80</v>
      </c>
      <c r="C9" s="1">
        <v>45</v>
      </c>
      <c r="D9" s="1">
        <v>117</v>
      </c>
      <c r="E9" s="1">
        <v>45</v>
      </c>
      <c r="F9" s="34" t="s">
        <v>39</v>
      </c>
      <c r="G9" s="1">
        <f>D9*E9</f>
        <v>5265</v>
      </c>
      <c r="H9" s="1"/>
    </row>
    <row r="10" spans="1:8" x14ac:dyDescent="0.25">
      <c r="A10" s="57"/>
      <c r="B10" s="1" t="s">
        <v>81</v>
      </c>
      <c r="C10" s="1">
        <v>3</v>
      </c>
      <c r="D10" s="1">
        <v>269</v>
      </c>
      <c r="E10" s="1">
        <v>3</v>
      </c>
      <c r="F10" s="31" t="s">
        <v>71</v>
      </c>
      <c r="G10" s="20">
        <f>D10*E10</f>
        <v>807</v>
      </c>
      <c r="H10" s="1"/>
    </row>
    <row r="11" spans="1:8" x14ac:dyDescent="0.25">
      <c r="A11" s="57"/>
      <c r="B11" s="1"/>
      <c r="C11" s="1"/>
      <c r="D11" s="1"/>
      <c r="E11" s="1"/>
      <c r="F11" s="31"/>
      <c r="G11" s="1"/>
      <c r="H11" s="1"/>
    </row>
    <row r="12" spans="1:8" x14ac:dyDescent="0.25">
      <c r="A12" s="57"/>
      <c r="B12" s="1"/>
      <c r="C12" s="1"/>
      <c r="D12" s="1"/>
      <c r="E12" s="1"/>
      <c r="F12" s="31"/>
      <c r="G12" s="1"/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5">
        <f>SUM(G9:G13)</f>
        <v>6072</v>
      </c>
      <c r="H14" s="1"/>
    </row>
    <row r="15" spans="1:8" x14ac:dyDescent="0.25">
      <c r="A15" s="28" t="s">
        <v>38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75</v>
      </c>
      <c r="B16" s="1" t="s">
        <v>82</v>
      </c>
      <c r="C16" s="1">
        <v>15</v>
      </c>
      <c r="D16" s="1">
        <v>30</v>
      </c>
      <c r="E16" s="1">
        <v>15</v>
      </c>
      <c r="F16" s="34" t="s">
        <v>39</v>
      </c>
      <c r="G16" s="1">
        <f>D16*E16</f>
        <v>450</v>
      </c>
      <c r="H16" s="1"/>
    </row>
    <row r="17" spans="1:8" x14ac:dyDescent="0.25">
      <c r="A17" s="57"/>
      <c r="B17" s="1" t="s">
        <v>83</v>
      </c>
      <c r="C17" s="1">
        <v>1</v>
      </c>
      <c r="D17" s="1">
        <v>50.4</v>
      </c>
      <c r="E17" s="1">
        <v>20</v>
      </c>
      <c r="F17" s="1" t="s">
        <v>17</v>
      </c>
      <c r="G17" s="20">
        <f t="shared" ref="G17:G20" si="1">D17*E17</f>
        <v>1008</v>
      </c>
      <c r="H17" s="1"/>
    </row>
    <row r="18" spans="1:8" x14ac:dyDescent="0.25">
      <c r="A18" s="57"/>
      <c r="B18" s="1"/>
      <c r="C18" s="1"/>
      <c r="D18" s="1"/>
      <c r="E18" s="1"/>
      <c r="F18" s="1"/>
      <c r="G18" s="20">
        <f t="shared" si="1"/>
        <v>0</v>
      </c>
      <c r="H18" s="1"/>
    </row>
    <row r="19" spans="1:8" x14ac:dyDescent="0.25">
      <c r="A19" s="57"/>
      <c r="B19" s="1"/>
      <c r="C19" s="1"/>
      <c r="D19" s="1"/>
      <c r="E19" s="3"/>
      <c r="F19" s="3"/>
      <c r="G19" s="20">
        <f t="shared" si="1"/>
        <v>0</v>
      </c>
      <c r="H19" s="1"/>
    </row>
    <row r="20" spans="1:8" x14ac:dyDescent="0.25">
      <c r="A20" s="57"/>
      <c r="B20" s="1"/>
      <c r="C20" s="1"/>
      <c r="D20" s="1"/>
      <c r="E20" s="3"/>
      <c r="F20" s="3"/>
      <c r="G20" s="20">
        <f t="shared" si="1"/>
        <v>0</v>
      </c>
      <c r="H20" s="1"/>
    </row>
    <row r="21" spans="1:8" x14ac:dyDescent="0.25">
      <c r="A21" s="57"/>
      <c r="B21" s="1"/>
      <c r="C21" s="1"/>
      <c r="D21" s="1"/>
      <c r="E21" s="3"/>
      <c r="F21" s="3"/>
      <c r="G21" s="1"/>
      <c r="H21" s="1"/>
    </row>
    <row r="22" spans="1:8" x14ac:dyDescent="0.25">
      <c r="A22" s="57"/>
      <c r="B22" s="51" t="s">
        <v>7</v>
      </c>
      <c r="C22" s="52"/>
      <c r="D22" s="53"/>
      <c r="E22" s="3"/>
      <c r="F22" s="3"/>
      <c r="G22" s="15">
        <f>SUM(G16:G21)</f>
        <v>1458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7"/>
      <c r="B24" s="1" t="s">
        <v>27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57"/>
      <c r="B25" s="32" t="s">
        <v>40</v>
      </c>
      <c r="C25" s="32">
        <v>2</v>
      </c>
      <c r="D25" s="32">
        <v>530</v>
      </c>
      <c r="E25" s="32">
        <v>8</v>
      </c>
      <c r="F25" s="32" t="s">
        <v>72</v>
      </c>
      <c r="G25" s="37">
        <f t="shared" ref="G25:G31" si="2">D25*E25</f>
        <v>4240</v>
      </c>
      <c r="H25" s="1"/>
    </row>
    <row r="26" spans="1:8" x14ac:dyDescent="0.25">
      <c r="A26" s="57"/>
      <c r="B26" s="32" t="s">
        <v>150</v>
      </c>
      <c r="C26" s="32">
        <v>1</v>
      </c>
      <c r="D26" s="32">
        <v>12</v>
      </c>
      <c r="E26" s="32">
        <v>20</v>
      </c>
      <c r="F26" s="32" t="s">
        <v>107</v>
      </c>
      <c r="G26" s="37">
        <f t="shared" si="2"/>
        <v>240</v>
      </c>
      <c r="H26" s="1"/>
    </row>
    <row r="27" spans="1:8" x14ac:dyDescent="0.25">
      <c r="A27" s="57"/>
      <c r="B27" s="1" t="s">
        <v>87</v>
      </c>
      <c r="C27" s="1">
        <v>8</v>
      </c>
      <c r="D27" s="1">
        <v>21</v>
      </c>
      <c r="E27" s="1">
        <v>8</v>
      </c>
      <c r="F27" s="34" t="s">
        <v>39</v>
      </c>
      <c r="G27" s="37">
        <f t="shared" si="2"/>
        <v>168</v>
      </c>
      <c r="H27" s="1"/>
    </row>
    <row r="28" spans="1:8" x14ac:dyDescent="0.25">
      <c r="A28" s="57"/>
      <c r="B28" s="34" t="s">
        <v>67</v>
      </c>
      <c r="C28" s="34">
        <v>4</v>
      </c>
      <c r="D28" s="34">
        <v>141</v>
      </c>
      <c r="E28" s="34">
        <v>4</v>
      </c>
      <c r="F28" s="33" t="s">
        <v>39</v>
      </c>
      <c r="G28" s="37">
        <f t="shared" si="2"/>
        <v>564</v>
      </c>
      <c r="H28" s="34"/>
    </row>
    <row r="29" spans="1:8" x14ac:dyDescent="0.25">
      <c r="A29" s="57"/>
      <c r="B29" s="34" t="s">
        <v>88</v>
      </c>
      <c r="C29" s="34">
        <v>35</v>
      </c>
      <c r="D29" s="34">
        <v>78</v>
      </c>
      <c r="E29" s="34">
        <v>6.37</v>
      </c>
      <c r="F29" s="33" t="s">
        <v>17</v>
      </c>
      <c r="G29" s="37">
        <f t="shared" si="2"/>
        <v>496.86</v>
      </c>
      <c r="H29" s="34"/>
    </row>
    <row r="30" spans="1:8" x14ac:dyDescent="0.25">
      <c r="A30" s="57"/>
      <c r="B30" s="31" t="s">
        <v>89</v>
      </c>
      <c r="C30" s="31">
        <v>2</v>
      </c>
      <c r="D30" s="31">
        <v>36</v>
      </c>
      <c r="E30" s="31">
        <v>2</v>
      </c>
      <c r="F30" s="30" t="s">
        <v>90</v>
      </c>
      <c r="G30" s="37">
        <f t="shared" si="2"/>
        <v>72</v>
      </c>
      <c r="H30" s="31"/>
    </row>
    <row r="31" spans="1:8" x14ac:dyDescent="0.25">
      <c r="A31" s="57"/>
      <c r="B31" s="20" t="s">
        <v>148</v>
      </c>
      <c r="C31" s="20"/>
      <c r="D31" s="20">
        <v>234</v>
      </c>
      <c r="E31" s="20">
        <v>1</v>
      </c>
      <c r="F31" s="30" t="s">
        <v>149</v>
      </c>
      <c r="G31" s="37">
        <f t="shared" si="2"/>
        <v>234</v>
      </c>
      <c r="H31" s="20"/>
    </row>
    <row r="32" spans="1:8" x14ac:dyDescent="0.25">
      <c r="A32" s="57"/>
      <c r="B32" s="51" t="s">
        <v>41</v>
      </c>
      <c r="C32" s="52"/>
      <c r="D32" s="53"/>
      <c r="E32" s="3"/>
      <c r="F32" s="3"/>
      <c r="G32" s="15">
        <f>SUM(G24:G31)</f>
        <v>7214.86</v>
      </c>
      <c r="H32" s="1"/>
    </row>
    <row r="33" spans="1:8" x14ac:dyDescent="0.25">
      <c r="A33" s="1" t="s">
        <v>11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 t="s">
        <v>5</v>
      </c>
      <c r="H33" s="1" t="s">
        <v>6</v>
      </c>
    </row>
    <row r="34" spans="1:8" x14ac:dyDescent="0.25">
      <c r="A34" s="57" t="s">
        <v>76</v>
      </c>
      <c r="B34" s="1" t="s">
        <v>84</v>
      </c>
      <c r="C34" s="1">
        <v>12</v>
      </c>
      <c r="D34" s="1">
        <v>36</v>
      </c>
      <c r="E34" s="1">
        <v>12</v>
      </c>
      <c r="F34" s="34" t="s">
        <v>39</v>
      </c>
      <c r="G34" s="1">
        <f>D34*E34</f>
        <v>432</v>
      </c>
      <c r="H34" s="1"/>
    </row>
    <row r="35" spans="1:8" x14ac:dyDescent="0.25">
      <c r="A35" s="57"/>
      <c r="B35" s="1" t="s">
        <v>85</v>
      </c>
      <c r="C35" s="1">
        <v>1</v>
      </c>
      <c r="D35" s="1">
        <v>270</v>
      </c>
      <c r="E35" s="1">
        <v>1</v>
      </c>
      <c r="F35" s="31" t="s">
        <v>91</v>
      </c>
      <c r="G35" s="37">
        <f t="shared" ref="G35:G36" si="3">D35*E35</f>
        <v>270</v>
      </c>
      <c r="H35" s="1"/>
    </row>
    <row r="36" spans="1:8" x14ac:dyDescent="0.25">
      <c r="A36" s="57"/>
      <c r="B36" s="1" t="s">
        <v>86</v>
      </c>
      <c r="C36" s="1">
        <v>1</v>
      </c>
      <c r="D36" s="1">
        <v>220</v>
      </c>
      <c r="E36" s="1">
        <v>1</v>
      </c>
      <c r="F36" s="1" t="s">
        <v>70</v>
      </c>
      <c r="G36" s="37">
        <f t="shared" si="3"/>
        <v>220</v>
      </c>
      <c r="H36" s="1"/>
    </row>
    <row r="37" spans="1:8" x14ac:dyDescent="0.25">
      <c r="A37" s="57"/>
      <c r="B37" s="51"/>
      <c r="C37" s="52"/>
      <c r="D37" s="53"/>
      <c r="E37" s="3"/>
      <c r="F37" s="3"/>
      <c r="G37" s="17">
        <f>SUM(G34:G36)</f>
        <v>922</v>
      </c>
      <c r="H37" s="1"/>
    </row>
    <row r="38" spans="1:8" x14ac:dyDescent="0.25">
      <c r="A38" s="1" t="s">
        <v>12</v>
      </c>
      <c r="B38" s="38" t="s">
        <v>1</v>
      </c>
      <c r="C38" s="1" t="s">
        <v>2</v>
      </c>
      <c r="D38" s="1" t="s">
        <v>3</v>
      </c>
      <c r="E38" s="3" t="s">
        <v>4</v>
      </c>
      <c r="F38" s="3"/>
      <c r="G38" s="3" t="s">
        <v>5</v>
      </c>
      <c r="H38" s="1" t="s">
        <v>6</v>
      </c>
    </row>
    <row r="39" spans="1:8" x14ac:dyDescent="0.25">
      <c r="A39" s="58"/>
      <c r="B39" s="1" t="s">
        <v>147</v>
      </c>
      <c r="C39" s="1"/>
      <c r="D39" s="1">
        <v>9</v>
      </c>
      <c r="E39" s="1">
        <v>70</v>
      </c>
      <c r="F39" s="1" t="s">
        <v>144</v>
      </c>
      <c r="G39" s="2">
        <f>D39*E39</f>
        <v>630</v>
      </c>
      <c r="H39" s="1"/>
    </row>
    <row r="40" spans="1:8" x14ac:dyDescent="0.25">
      <c r="A40" s="59"/>
      <c r="B40" s="38" t="s">
        <v>152</v>
      </c>
      <c r="C40" s="38"/>
      <c r="D40" s="38">
        <v>63.36</v>
      </c>
      <c r="E40" s="38">
        <v>60</v>
      </c>
      <c r="F40" s="38" t="s">
        <v>155</v>
      </c>
      <c r="G40" s="2">
        <f>D40*E40</f>
        <v>3801.6</v>
      </c>
      <c r="H40" s="38" t="s">
        <v>153</v>
      </c>
    </row>
    <row r="41" spans="1:8" x14ac:dyDescent="0.25">
      <c r="A41" s="59"/>
      <c r="B41" s="38" t="s">
        <v>151</v>
      </c>
      <c r="C41" s="38"/>
      <c r="D41" s="38">
        <v>55.68</v>
      </c>
      <c r="E41" s="38">
        <v>50.84</v>
      </c>
      <c r="F41" s="38" t="s">
        <v>17</v>
      </c>
      <c r="G41" s="2">
        <f>D41*E41</f>
        <v>2830.7712000000001</v>
      </c>
      <c r="H41" s="1" t="s">
        <v>154</v>
      </c>
    </row>
    <row r="42" spans="1:8" x14ac:dyDescent="0.25">
      <c r="A42" s="60"/>
      <c r="B42" s="51" t="s">
        <v>7</v>
      </c>
      <c r="C42" s="52"/>
      <c r="D42" s="53"/>
      <c r="E42" s="3"/>
      <c r="F42" s="3"/>
      <c r="G42" s="15">
        <f>SUM(G39:G41)</f>
        <v>7262.3712000000005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7"/>
      <c r="H44" s="1"/>
    </row>
    <row r="45" spans="1:8" x14ac:dyDescent="0.25">
      <c r="A45" s="57"/>
      <c r="H45" s="1"/>
    </row>
    <row r="46" spans="1:8" x14ac:dyDescent="0.25">
      <c r="A46" s="57"/>
      <c r="H46" s="1"/>
    </row>
    <row r="47" spans="1:8" x14ac:dyDescent="0.25">
      <c r="A47" s="57"/>
      <c r="H47" s="40"/>
    </row>
    <row r="48" spans="1:8" x14ac:dyDescent="0.25">
      <c r="A48" s="57"/>
      <c r="H48" s="1"/>
    </row>
    <row r="49" spans="1:8" x14ac:dyDescent="0.25">
      <c r="A49" s="57"/>
      <c r="H49" s="40"/>
    </row>
    <row r="50" spans="1:8" x14ac:dyDescent="0.25">
      <c r="A50" s="57"/>
      <c r="H50" s="40"/>
    </row>
    <row r="51" spans="1:8" x14ac:dyDescent="0.25">
      <c r="A51" s="57"/>
      <c r="B51" s="51" t="s">
        <v>7</v>
      </c>
      <c r="C51" s="52"/>
      <c r="D51" s="53"/>
      <c r="E51" s="3"/>
      <c r="F51" s="3"/>
      <c r="G51" s="5">
        <f>SUM('1204'!G42:G45)</f>
        <v>1625</v>
      </c>
      <c r="H51" s="1"/>
    </row>
    <row r="52" spans="1:8" x14ac:dyDescent="0.25">
      <c r="A52" s="1"/>
      <c r="B52" s="61" t="s">
        <v>14</v>
      </c>
      <c r="C52" s="62"/>
      <c r="D52" s="63"/>
      <c r="E52" s="9"/>
      <c r="F52" s="9"/>
      <c r="G52" s="10">
        <f>G51+G42+G37+G22+G14+G7+G32</f>
        <v>38464.031199999998</v>
      </c>
      <c r="H52" s="1"/>
    </row>
  </sheetData>
  <mergeCells count="16">
    <mergeCell ref="A44:A51"/>
    <mergeCell ref="B51:D51"/>
    <mergeCell ref="B52:D52"/>
    <mergeCell ref="A24:A32"/>
    <mergeCell ref="B32:D32"/>
    <mergeCell ref="A34:A37"/>
    <mergeCell ref="B37:D37"/>
    <mergeCell ref="A39:A42"/>
    <mergeCell ref="B42:D42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workbookViewId="0">
      <selection activeCell="D58" sqref="D58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46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92</v>
      </c>
      <c r="B3" s="1" t="s">
        <v>96</v>
      </c>
      <c r="C3" s="1"/>
      <c r="D3" s="1">
        <v>220</v>
      </c>
      <c r="E3" s="1">
        <v>65</v>
      </c>
      <c r="F3" s="38" t="s">
        <v>26</v>
      </c>
      <c r="G3" s="2">
        <f>D3*E3</f>
        <v>14300</v>
      </c>
      <c r="H3" s="1"/>
    </row>
    <row r="4" spans="1:8" x14ac:dyDescent="0.25">
      <c r="A4" s="57"/>
      <c r="B4" s="1" t="s">
        <v>97</v>
      </c>
      <c r="C4" s="1">
        <v>4</v>
      </c>
      <c r="D4" s="1">
        <v>132</v>
      </c>
      <c r="E4" s="1">
        <v>6</v>
      </c>
      <c r="F4" s="31" t="s">
        <v>70</v>
      </c>
      <c r="G4" s="2">
        <f>D4*E4</f>
        <v>792</v>
      </c>
      <c r="H4" s="1"/>
    </row>
    <row r="5" spans="1:8" x14ac:dyDescent="0.25">
      <c r="A5" s="57"/>
      <c r="B5" s="1"/>
      <c r="C5" s="1"/>
      <c r="D5" s="1"/>
      <c r="E5" s="1"/>
      <c r="F5" s="31"/>
      <c r="G5" s="1"/>
      <c r="H5" s="1"/>
    </row>
    <row r="6" spans="1:8" x14ac:dyDescent="0.25">
      <c r="A6" s="57"/>
      <c r="B6" s="31"/>
      <c r="C6" s="31"/>
      <c r="D6" s="31"/>
      <c r="E6" s="30"/>
      <c r="F6" s="30"/>
      <c r="G6" s="30"/>
      <c r="H6" s="31"/>
    </row>
    <row r="7" spans="1:8" x14ac:dyDescent="0.25">
      <c r="A7" s="57"/>
      <c r="B7" s="31"/>
      <c r="C7" s="31"/>
      <c r="D7" s="31"/>
      <c r="E7" s="30"/>
      <c r="F7" s="30"/>
      <c r="G7" s="30"/>
      <c r="H7" s="31"/>
    </row>
    <row r="8" spans="1:8" x14ac:dyDescent="0.25">
      <c r="A8" s="57"/>
      <c r="B8" s="1"/>
      <c r="C8" s="1"/>
      <c r="D8" s="1"/>
      <c r="E8" s="3"/>
      <c r="F8" s="30"/>
      <c r="G8" s="3"/>
      <c r="H8" s="1"/>
    </row>
    <row r="9" spans="1:8" x14ac:dyDescent="0.25">
      <c r="A9" s="57"/>
      <c r="B9" s="51" t="s">
        <v>7</v>
      </c>
      <c r="C9" s="52"/>
      <c r="D9" s="53"/>
      <c r="E9" s="3"/>
      <c r="F9" s="3"/>
      <c r="G9" s="15">
        <f>SUM(G3:G8)</f>
        <v>15092</v>
      </c>
      <c r="H9" s="1"/>
    </row>
    <row r="10" spans="1:8" x14ac:dyDescent="0.25">
      <c r="A10" s="1" t="s">
        <v>8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 t="s">
        <v>5</v>
      </c>
      <c r="H10" s="1" t="s">
        <v>6</v>
      </c>
    </row>
    <row r="11" spans="1:8" x14ac:dyDescent="0.25">
      <c r="A11" s="57" t="s">
        <v>93</v>
      </c>
      <c r="B11" s="1" t="s">
        <v>98</v>
      </c>
      <c r="C11" s="1">
        <v>4</v>
      </c>
      <c r="D11" s="1">
        <v>220</v>
      </c>
      <c r="E11" s="27">
        <v>4</v>
      </c>
      <c r="F11" s="31" t="s">
        <v>71</v>
      </c>
      <c r="G11" s="1">
        <f>D11*E11</f>
        <v>880</v>
      </c>
      <c r="H11" s="1"/>
    </row>
    <row r="12" spans="1:8" x14ac:dyDescent="0.25">
      <c r="A12" s="57"/>
      <c r="B12" s="1" t="s">
        <v>99</v>
      </c>
      <c r="C12" s="1">
        <v>20</v>
      </c>
      <c r="D12" s="1">
        <v>105</v>
      </c>
      <c r="E12" s="1">
        <v>20</v>
      </c>
      <c r="F12" s="34" t="s">
        <v>39</v>
      </c>
      <c r="G12" s="23">
        <f t="shared" ref="G12:G14" si="0">D12*E12</f>
        <v>2100</v>
      </c>
      <c r="H12" s="1"/>
    </row>
    <row r="13" spans="1:8" x14ac:dyDescent="0.25">
      <c r="A13" s="57"/>
      <c r="B13" s="1" t="s">
        <v>100</v>
      </c>
      <c r="C13" s="1">
        <v>2</v>
      </c>
      <c r="D13" s="1">
        <v>70</v>
      </c>
      <c r="E13" s="1">
        <v>20</v>
      </c>
      <c r="F13" s="31" t="s">
        <v>26</v>
      </c>
      <c r="G13" s="23">
        <f t="shared" si="0"/>
        <v>1400</v>
      </c>
      <c r="H13" s="1"/>
    </row>
    <row r="14" spans="1:8" x14ac:dyDescent="0.25">
      <c r="A14" s="57"/>
      <c r="B14" s="1" t="s">
        <v>101</v>
      </c>
      <c r="C14" s="1">
        <v>140</v>
      </c>
      <c r="D14" s="1">
        <v>123</v>
      </c>
      <c r="E14" s="43"/>
      <c r="F14" s="31" t="s">
        <v>17</v>
      </c>
      <c r="G14" s="43">
        <f t="shared" si="0"/>
        <v>0</v>
      </c>
      <c r="H14" s="1"/>
    </row>
    <row r="15" spans="1:8" x14ac:dyDescent="0.25">
      <c r="A15" s="57"/>
      <c r="B15" s="31"/>
      <c r="C15" s="31"/>
      <c r="D15" s="31"/>
      <c r="E15" s="31"/>
      <c r="F15" s="31"/>
      <c r="G15" s="31"/>
      <c r="H15" s="31"/>
    </row>
    <row r="16" spans="1:8" x14ac:dyDescent="0.25">
      <c r="A16" s="57"/>
      <c r="B16" s="1"/>
      <c r="C16" s="1"/>
      <c r="D16" s="1"/>
      <c r="E16" s="1"/>
      <c r="F16" s="31"/>
      <c r="G16" s="1"/>
      <c r="H16" s="1"/>
    </row>
    <row r="17" spans="1:8" x14ac:dyDescent="0.25">
      <c r="A17" s="1" t="s">
        <v>9</v>
      </c>
      <c r="B17" s="51" t="s">
        <v>7</v>
      </c>
      <c r="C17" s="52"/>
      <c r="D17" s="53"/>
      <c r="E17" s="3"/>
      <c r="F17" s="3"/>
      <c r="G17" s="15">
        <f>SUM(G11:G16)</f>
        <v>4380</v>
      </c>
      <c r="H17" s="1"/>
    </row>
    <row r="18" spans="1:8" x14ac:dyDescent="0.25">
      <c r="A18" s="57" t="s">
        <v>94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 t="s">
        <v>5</v>
      </c>
      <c r="H18" s="1" t="s">
        <v>6</v>
      </c>
    </row>
    <row r="19" spans="1:8" x14ac:dyDescent="0.25">
      <c r="A19" s="57"/>
      <c r="B19" s="1" t="s">
        <v>94</v>
      </c>
      <c r="C19" s="1">
        <v>600</v>
      </c>
      <c r="D19" s="1">
        <v>11.5</v>
      </c>
      <c r="E19" s="1">
        <v>600</v>
      </c>
      <c r="F19" s="31" t="s">
        <v>103</v>
      </c>
      <c r="G19" s="1">
        <f>D19*E19</f>
        <v>6900</v>
      </c>
      <c r="H19" s="1"/>
    </row>
    <row r="20" spans="1:8" x14ac:dyDescent="0.25">
      <c r="A20" s="57"/>
      <c r="B20" s="1"/>
      <c r="C20" s="1"/>
      <c r="D20" s="1"/>
      <c r="E20" s="1"/>
      <c r="F20" s="31"/>
      <c r="G20" s="1"/>
      <c r="H20" s="1"/>
    </row>
    <row r="21" spans="1:8" x14ac:dyDescent="0.25">
      <c r="A21" s="57"/>
      <c r="B21" s="1"/>
      <c r="C21" s="1"/>
      <c r="D21" s="1"/>
      <c r="E21" s="1"/>
      <c r="F21" s="1"/>
      <c r="G21" s="1"/>
      <c r="H21" s="1"/>
    </row>
    <row r="22" spans="1:8" x14ac:dyDescent="0.25">
      <c r="A22" s="57"/>
      <c r="B22" s="1"/>
      <c r="C22" s="1"/>
      <c r="D22" s="1"/>
      <c r="E22" s="3"/>
      <c r="F22" s="3"/>
      <c r="G22" s="1"/>
      <c r="H22" s="1"/>
    </row>
    <row r="23" spans="1:8" x14ac:dyDescent="0.25">
      <c r="A23" s="6" t="s">
        <v>10</v>
      </c>
      <c r="B23" s="51" t="s">
        <v>7</v>
      </c>
      <c r="C23" s="52"/>
      <c r="D23" s="53"/>
      <c r="E23" s="3"/>
      <c r="F23" s="3"/>
      <c r="G23" s="17">
        <f>SUM(G19:G22)</f>
        <v>6900</v>
      </c>
      <c r="H23" s="1"/>
    </row>
    <row r="24" spans="1:8" x14ac:dyDescent="0.25">
      <c r="A24" s="57"/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7"/>
      <c r="B25" s="1" t="s">
        <v>102</v>
      </c>
      <c r="C25" s="1">
        <v>1</v>
      </c>
      <c r="D25" s="1">
        <v>540</v>
      </c>
      <c r="E25" s="1">
        <v>1</v>
      </c>
      <c r="F25" s="1" t="s">
        <v>103</v>
      </c>
      <c r="G25" s="1">
        <f>D25*E25</f>
        <v>540</v>
      </c>
      <c r="H25" s="1" t="s">
        <v>30</v>
      </c>
    </row>
    <row r="26" spans="1:8" x14ac:dyDescent="0.25">
      <c r="A26" s="57"/>
      <c r="B26" s="1"/>
      <c r="C26" s="1"/>
      <c r="D26" s="1"/>
      <c r="E26" s="1"/>
      <c r="F26" s="1"/>
      <c r="G26" s="23">
        <f t="shared" ref="G26:G30" si="1">D26*E26</f>
        <v>0</v>
      </c>
      <c r="H26" s="1"/>
    </row>
    <row r="27" spans="1:8" x14ac:dyDescent="0.25">
      <c r="A27" s="57"/>
      <c r="B27" s="1"/>
      <c r="C27" s="1"/>
      <c r="D27" s="1"/>
      <c r="E27" s="1"/>
      <c r="F27" s="1"/>
      <c r="G27" s="23">
        <f t="shared" si="1"/>
        <v>0</v>
      </c>
      <c r="H27" s="1"/>
    </row>
    <row r="28" spans="1:8" x14ac:dyDescent="0.25">
      <c r="A28" s="57"/>
      <c r="B28" s="1"/>
      <c r="C28" s="1"/>
      <c r="D28" s="1"/>
      <c r="E28" s="1"/>
      <c r="F28" s="1"/>
      <c r="G28" s="23">
        <f t="shared" si="1"/>
        <v>0</v>
      </c>
      <c r="H28" s="1"/>
    </row>
    <row r="29" spans="1:8" x14ac:dyDescent="0.25">
      <c r="A29" s="57"/>
      <c r="B29" s="23"/>
      <c r="C29" s="23"/>
      <c r="D29" s="23"/>
      <c r="E29" s="23"/>
      <c r="F29" s="24"/>
      <c r="G29" s="24">
        <f t="shared" si="1"/>
        <v>0</v>
      </c>
      <c r="H29" s="23"/>
    </row>
    <row r="30" spans="1:8" x14ac:dyDescent="0.25">
      <c r="A30" s="57"/>
      <c r="B30" s="23"/>
      <c r="C30" s="23"/>
      <c r="D30" s="23"/>
      <c r="E30" s="23"/>
      <c r="F30" s="24"/>
      <c r="G30" s="24">
        <f t="shared" si="1"/>
        <v>0</v>
      </c>
      <c r="H30" s="23"/>
    </row>
    <row r="31" spans="1:8" x14ac:dyDescent="0.25">
      <c r="A31" s="1" t="s">
        <v>11</v>
      </c>
      <c r="B31" s="51" t="s">
        <v>7</v>
      </c>
      <c r="C31" s="52"/>
      <c r="D31" s="53"/>
      <c r="E31" s="3"/>
      <c r="F31" s="3"/>
      <c r="G31" s="17">
        <f>SUM(G25:G30)</f>
        <v>540</v>
      </c>
      <c r="H31" s="1"/>
    </row>
    <row r="32" spans="1:8" x14ac:dyDescent="0.25">
      <c r="A32" s="58" t="s">
        <v>95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9"/>
      <c r="B33" s="1" t="s">
        <v>104</v>
      </c>
      <c r="C33" s="1">
        <v>10</v>
      </c>
      <c r="D33" s="1">
        <v>16</v>
      </c>
      <c r="E33" s="1">
        <v>10</v>
      </c>
      <c r="F33" s="13" t="s">
        <v>90</v>
      </c>
      <c r="G33" s="1">
        <f>D33*E33</f>
        <v>160</v>
      </c>
      <c r="H33" s="1"/>
    </row>
    <row r="34" spans="1:8" x14ac:dyDescent="0.25">
      <c r="A34" s="59"/>
      <c r="B34" s="34" t="s">
        <v>105</v>
      </c>
      <c r="C34" s="34">
        <v>10</v>
      </c>
      <c r="D34" s="34">
        <v>11</v>
      </c>
      <c r="E34" s="34">
        <v>10</v>
      </c>
      <c r="F34" s="34" t="s">
        <v>107</v>
      </c>
      <c r="G34" s="38">
        <f t="shared" ref="G34:G37" si="2">D34*E34</f>
        <v>110</v>
      </c>
      <c r="H34" s="34"/>
    </row>
    <row r="35" spans="1:8" x14ac:dyDescent="0.25">
      <c r="A35" s="59"/>
      <c r="B35" s="34" t="s">
        <v>106</v>
      </c>
      <c r="C35" s="34">
        <v>10</v>
      </c>
      <c r="D35" s="34">
        <v>141</v>
      </c>
      <c r="E35" s="34">
        <v>10</v>
      </c>
      <c r="F35" s="34" t="s">
        <v>39</v>
      </c>
      <c r="G35" s="38">
        <f t="shared" si="2"/>
        <v>1410</v>
      </c>
      <c r="H35" s="34"/>
    </row>
    <row r="36" spans="1:8" x14ac:dyDescent="0.25">
      <c r="A36" s="59"/>
      <c r="B36" s="1" t="s">
        <v>56</v>
      </c>
      <c r="C36" s="1">
        <v>4</v>
      </c>
      <c r="D36" s="1">
        <v>60</v>
      </c>
      <c r="E36" s="1">
        <v>4</v>
      </c>
      <c r="F36" s="34" t="s">
        <v>39</v>
      </c>
      <c r="G36" s="38">
        <f t="shared" si="2"/>
        <v>240</v>
      </c>
      <c r="H36" s="1"/>
    </row>
    <row r="37" spans="1:8" x14ac:dyDescent="0.25">
      <c r="A37" s="59"/>
      <c r="B37" s="1" t="s">
        <v>59</v>
      </c>
      <c r="C37" s="1">
        <v>4</v>
      </c>
      <c r="D37" s="1">
        <v>21.66</v>
      </c>
      <c r="E37" s="1">
        <v>4</v>
      </c>
      <c r="F37" s="34" t="s">
        <v>39</v>
      </c>
      <c r="G37" s="38">
        <f t="shared" si="2"/>
        <v>86.64</v>
      </c>
      <c r="H37" s="1"/>
    </row>
    <row r="38" spans="1:8" x14ac:dyDescent="0.25">
      <c r="A38" s="60"/>
      <c r="B38" s="51" t="s">
        <v>16</v>
      </c>
      <c r="C38" s="52"/>
      <c r="D38" s="53"/>
      <c r="E38" s="3"/>
      <c r="F38" s="3"/>
      <c r="G38" s="15">
        <f>SUM(G33:G37)</f>
        <v>2006.64</v>
      </c>
      <c r="H38" s="1"/>
    </row>
    <row r="39" spans="1:8" x14ac:dyDescent="0.25">
      <c r="A39" s="1" t="s">
        <v>12</v>
      </c>
      <c r="B39" s="1" t="s">
        <v>1</v>
      </c>
      <c r="C39" s="1" t="s">
        <v>2</v>
      </c>
      <c r="D39" s="1" t="s">
        <v>3</v>
      </c>
      <c r="E39" s="3" t="s">
        <v>4</v>
      </c>
      <c r="F39" s="3"/>
      <c r="G39" s="3" t="s">
        <v>5</v>
      </c>
      <c r="H39" s="1" t="s">
        <v>6</v>
      </c>
    </row>
    <row r="40" spans="1:8" x14ac:dyDescent="0.25">
      <c r="A40" s="58"/>
      <c r="B40" s="1" t="s">
        <v>158</v>
      </c>
      <c r="C40" s="1"/>
      <c r="D40" s="1">
        <v>18</v>
      </c>
      <c r="E40" s="1">
        <v>70</v>
      </c>
      <c r="F40" s="1" t="s">
        <v>21</v>
      </c>
      <c r="G40" s="1">
        <f>D40*E40</f>
        <v>1260</v>
      </c>
      <c r="H40" s="1"/>
    </row>
    <row r="41" spans="1:8" x14ac:dyDescent="0.25">
      <c r="A41" s="59"/>
      <c r="B41" s="1" t="s">
        <v>159</v>
      </c>
      <c r="C41" s="1"/>
      <c r="D41" s="1">
        <v>41.28</v>
      </c>
      <c r="E41" s="1">
        <v>83.34</v>
      </c>
      <c r="F41" s="40" t="s">
        <v>17</v>
      </c>
      <c r="G41" s="2">
        <f>D41*E41</f>
        <v>3440.2752</v>
      </c>
      <c r="H41" s="1"/>
    </row>
    <row r="42" spans="1:8" x14ac:dyDescent="0.25">
      <c r="A42" s="60"/>
      <c r="B42" s="51" t="s">
        <v>7</v>
      </c>
      <c r="C42" s="52"/>
      <c r="D42" s="53"/>
      <c r="E42" s="3"/>
      <c r="F42" s="3"/>
      <c r="G42" s="15">
        <f>SUM(G40:G41)</f>
        <v>4700.2752</v>
      </c>
      <c r="H42" s="7"/>
    </row>
    <row r="43" spans="1:8" x14ac:dyDescent="0.25">
      <c r="A43" s="8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58"/>
      <c r="B44" s="1" t="s">
        <v>156</v>
      </c>
      <c r="C44" s="1"/>
      <c r="D44" s="1">
        <v>60</v>
      </c>
      <c r="E44" s="1">
        <v>1</v>
      </c>
      <c r="F44" s="13" t="s">
        <v>157</v>
      </c>
      <c r="G44" s="1">
        <f>D44*E44</f>
        <v>60</v>
      </c>
      <c r="H44" s="1"/>
    </row>
    <row r="45" spans="1:8" x14ac:dyDescent="0.25">
      <c r="A45" s="59"/>
      <c r="B45" s="1" t="s">
        <v>160</v>
      </c>
      <c r="C45" s="1"/>
      <c r="D45" s="1">
        <v>37</v>
      </c>
      <c r="E45" s="1">
        <v>20</v>
      </c>
      <c r="F45" s="13" t="s">
        <v>161</v>
      </c>
      <c r="G45" s="23">
        <f t="shared" ref="G45:G46" si="3">D45*E45</f>
        <v>740</v>
      </c>
      <c r="H45" s="1"/>
    </row>
    <row r="46" spans="1:8" x14ac:dyDescent="0.25">
      <c r="A46" s="59"/>
      <c r="B46" s="1" t="s">
        <v>162</v>
      </c>
      <c r="C46" s="1"/>
      <c r="D46" s="1">
        <v>362</v>
      </c>
      <c r="E46" s="1">
        <v>3</v>
      </c>
      <c r="F46" s="13" t="s">
        <v>163</v>
      </c>
      <c r="G46" s="23">
        <f t="shared" si="3"/>
        <v>1086</v>
      </c>
      <c r="H46" s="1"/>
    </row>
    <row r="47" spans="1:8" x14ac:dyDescent="0.25">
      <c r="A47" s="59"/>
      <c r="B47" s="1"/>
      <c r="C47" s="1"/>
      <c r="D47" s="1"/>
      <c r="E47" s="1"/>
      <c r="F47" s="13"/>
      <c r="G47" s="23"/>
      <c r="H47" s="1"/>
    </row>
    <row r="48" spans="1:8" x14ac:dyDescent="0.25">
      <c r="A48" s="59"/>
      <c r="B48" s="13"/>
      <c r="C48" s="13"/>
      <c r="D48" s="14"/>
      <c r="E48" s="14"/>
      <c r="F48" s="14"/>
      <c r="G48" s="23"/>
      <c r="H48" s="13"/>
    </row>
    <row r="49" spans="1:8" x14ac:dyDescent="0.25">
      <c r="A49" s="59"/>
      <c r="B49" s="42"/>
      <c r="C49" s="42"/>
      <c r="D49" s="42"/>
      <c r="E49" s="3"/>
      <c r="F49" s="3"/>
      <c r="G49" s="4"/>
      <c r="H49" s="1"/>
    </row>
    <row r="50" spans="1:8" x14ac:dyDescent="0.25">
      <c r="A50" s="60"/>
      <c r="B50" s="51" t="s">
        <v>7</v>
      </c>
      <c r="C50" s="52"/>
      <c r="D50" s="53"/>
      <c r="E50" s="44"/>
      <c r="F50" s="44"/>
      <c r="G50" s="46">
        <f>SUM(G44:G49)</f>
        <v>1886</v>
      </c>
      <c r="H50" s="38"/>
    </row>
    <row r="51" spans="1:8" x14ac:dyDescent="0.25">
      <c r="A51" s="41"/>
      <c r="B51" s="64" t="s">
        <v>164</v>
      </c>
      <c r="C51" s="64"/>
      <c r="D51" s="64"/>
      <c r="E51" s="41"/>
      <c r="F51" s="41"/>
      <c r="G51" s="45">
        <f>G50+G42+G38+G31+G23+G17+G9</f>
        <v>35504.915200000003</v>
      </c>
      <c r="H51" s="41"/>
    </row>
  </sheetData>
  <mergeCells count="16">
    <mergeCell ref="B51:D51"/>
    <mergeCell ref="A44:A50"/>
    <mergeCell ref="A18:A22"/>
    <mergeCell ref="B23:D23"/>
    <mergeCell ref="A1:H1"/>
    <mergeCell ref="A3:A9"/>
    <mergeCell ref="B9:D9"/>
    <mergeCell ref="A11:A16"/>
    <mergeCell ref="B17:D17"/>
    <mergeCell ref="B50:D50"/>
    <mergeCell ref="A24:A30"/>
    <mergeCell ref="B31:D31"/>
    <mergeCell ref="B38:D38"/>
    <mergeCell ref="A40:A42"/>
    <mergeCell ref="B42:D42"/>
    <mergeCell ref="A32:A38"/>
  </mergeCells>
  <phoneticPr fontId="2" type="noConversion"/>
  <pageMargins left="0.7" right="0.7" top="0.75" bottom="0.75" header="0.3" footer="0.3"/>
  <pageSetup paperSize="9" scale="9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H52" sqref="A1:H5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47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108</v>
      </c>
      <c r="B3" s="1" t="s">
        <v>66</v>
      </c>
      <c r="C3" s="1">
        <v>8</v>
      </c>
      <c r="D3" s="1">
        <v>30.6</v>
      </c>
      <c r="E3" s="1">
        <v>8</v>
      </c>
      <c r="F3" s="36" t="s">
        <v>39</v>
      </c>
      <c r="G3" s="2">
        <f>D3*E3</f>
        <v>244.8</v>
      </c>
      <c r="H3" s="1"/>
    </row>
    <row r="4" spans="1:8" x14ac:dyDescent="0.25">
      <c r="A4" s="57"/>
      <c r="B4" s="1" t="s">
        <v>112</v>
      </c>
      <c r="C4" s="1">
        <v>4</v>
      </c>
      <c r="D4" s="1">
        <v>276</v>
      </c>
      <c r="E4" s="1">
        <v>4</v>
      </c>
      <c r="F4" s="36" t="s">
        <v>39</v>
      </c>
      <c r="G4" s="2">
        <f t="shared" ref="G4:G5" si="0">D4*E4</f>
        <v>1104</v>
      </c>
      <c r="H4" s="1"/>
    </row>
    <row r="5" spans="1:8" x14ac:dyDescent="0.25">
      <c r="A5" s="57"/>
      <c r="B5" s="1" t="s">
        <v>141</v>
      </c>
      <c r="C5" s="1">
        <v>65</v>
      </c>
      <c r="D5" s="1">
        <v>183</v>
      </c>
      <c r="E5" s="1">
        <v>65</v>
      </c>
      <c r="F5" s="36" t="s">
        <v>39</v>
      </c>
      <c r="G5" s="2">
        <f t="shared" si="0"/>
        <v>11895</v>
      </c>
      <c r="H5" s="1"/>
    </row>
    <row r="6" spans="1:8" x14ac:dyDescent="0.25">
      <c r="A6" s="57"/>
      <c r="B6" s="19"/>
      <c r="C6" s="1"/>
      <c r="D6" s="1"/>
      <c r="E6" s="3"/>
      <c r="F6" s="3"/>
      <c r="G6" s="3"/>
      <c r="H6" s="1"/>
    </row>
    <row r="7" spans="1:8" x14ac:dyDescent="0.25">
      <c r="A7" s="57"/>
      <c r="B7" s="51" t="s">
        <v>7</v>
      </c>
      <c r="C7" s="52"/>
      <c r="D7" s="53"/>
      <c r="E7" s="3"/>
      <c r="F7" s="3"/>
      <c r="G7" s="15">
        <f>SUM(G3:G6)</f>
        <v>13243.8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7" t="s">
        <v>109</v>
      </c>
      <c r="B9" s="19" t="s">
        <v>113</v>
      </c>
      <c r="C9" s="1">
        <v>1</v>
      </c>
      <c r="D9" s="1">
        <v>84</v>
      </c>
      <c r="E9" s="1">
        <v>15</v>
      </c>
      <c r="F9" s="13" t="s">
        <v>26</v>
      </c>
      <c r="G9" s="1">
        <f>D9*E9</f>
        <v>1260</v>
      </c>
      <c r="H9" s="1"/>
    </row>
    <row r="10" spans="1:8" x14ac:dyDescent="0.25">
      <c r="A10" s="57"/>
      <c r="B10" s="1" t="s">
        <v>83</v>
      </c>
      <c r="C10" s="1">
        <v>1</v>
      </c>
      <c r="D10" s="1">
        <v>50.4</v>
      </c>
      <c r="E10" s="1">
        <v>20</v>
      </c>
      <c r="F10" s="31" t="s">
        <v>17</v>
      </c>
      <c r="G10" s="40">
        <f>D10*E10</f>
        <v>1008</v>
      </c>
      <c r="H10" s="1"/>
    </row>
    <row r="11" spans="1:8" x14ac:dyDescent="0.25">
      <c r="A11" s="57"/>
      <c r="B11" s="1"/>
      <c r="C11" s="1"/>
      <c r="D11" s="1"/>
      <c r="E11" s="1"/>
      <c r="F11" s="31"/>
      <c r="G11" s="1"/>
      <c r="H11" s="1"/>
    </row>
    <row r="12" spans="1:8" x14ac:dyDescent="0.25">
      <c r="A12" s="57"/>
      <c r="B12" s="1"/>
      <c r="C12" s="1"/>
      <c r="D12" s="1"/>
      <c r="E12" s="1"/>
      <c r="F12" s="31"/>
      <c r="G12" s="1"/>
      <c r="H12" s="1"/>
    </row>
    <row r="13" spans="1:8" x14ac:dyDescent="0.25">
      <c r="A13" s="57"/>
      <c r="B13" s="1"/>
      <c r="C13" s="1"/>
      <c r="D13" s="1"/>
      <c r="E13" s="1"/>
      <c r="F13" s="1"/>
      <c r="G13" s="1"/>
      <c r="H13" s="1"/>
    </row>
    <row r="14" spans="1:8" x14ac:dyDescent="0.25">
      <c r="A14" s="57"/>
      <c r="B14" s="51" t="s">
        <v>7</v>
      </c>
      <c r="C14" s="52"/>
      <c r="D14" s="53"/>
      <c r="E14" s="3"/>
      <c r="F14" s="3"/>
      <c r="G14" s="15">
        <f>SUM(G9:G13)</f>
        <v>2268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110</v>
      </c>
      <c r="B16" s="1" t="s">
        <v>114</v>
      </c>
      <c r="C16" s="1">
        <v>25</v>
      </c>
      <c r="D16" s="1">
        <v>58.14</v>
      </c>
      <c r="E16" s="1">
        <v>25</v>
      </c>
      <c r="F16" s="34" t="s">
        <v>142</v>
      </c>
      <c r="G16" s="1">
        <f>D16*E16</f>
        <v>1453.5</v>
      </c>
      <c r="H16" s="1"/>
    </row>
    <row r="17" spans="1:8" x14ac:dyDescent="0.25">
      <c r="A17" s="57"/>
      <c r="B17" s="1" t="s">
        <v>115</v>
      </c>
      <c r="C17" s="1">
        <v>8</v>
      </c>
      <c r="D17" s="1">
        <v>105</v>
      </c>
      <c r="E17" s="1">
        <v>8</v>
      </c>
      <c r="F17" s="34" t="s">
        <v>165</v>
      </c>
      <c r="G17" s="40">
        <f>D17*E17</f>
        <v>840</v>
      </c>
      <c r="H17" s="1"/>
    </row>
    <row r="18" spans="1:8" x14ac:dyDescent="0.25">
      <c r="A18" s="57"/>
      <c r="B18" s="1"/>
      <c r="C18" s="1"/>
      <c r="D18" s="1"/>
      <c r="E18" s="1"/>
      <c r="F18" s="1"/>
      <c r="G18" s="1"/>
      <c r="H18" s="1"/>
    </row>
    <row r="19" spans="1:8" x14ac:dyDescent="0.25">
      <c r="A19" s="57"/>
      <c r="B19" s="25"/>
      <c r="C19" s="25"/>
      <c r="D19" s="25"/>
      <c r="E19" s="25"/>
      <c r="F19" s="31"/>
      <c r="G19" s="1"/>
      <c r="H19" s="1"/>
    </row>
    <row r="20" spans="1:8" x14ac:dyDescent="0.25">
      <c r="A20" s="57"/>
      <c r="B20" s="51" t="s">
        <v>7</v>
      </c>
      <c r="C20" s="52"/>
      <c r="D20" s="53"/>
      <c r="E20" s="3"/>
      <c r="F20" s="3"/>
      <c r="G20" s="17">
        <f>SUM(G16:G19)</f>
        <v>2293.5</v>
      </c>
      <c r="H20" s="1"/>
    </row>
    <row r="21" spans="1:8" x14ac:dyDescent="0.25">
      <c r="A21" s="6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7"/>
      <c r="B22" s="1" t="s">
        <v>118</v>
      </c>
      <c r="C22" s="1">
        <v>8</v>
      </c>
      <c r="D22" s="1">
        <v>22.8</v>
      </c>
      <c r="E22" s="1">
        <v>8</v>
      </c>
      <c r="F22" s="34" t="s">
        <v>39</v>
      </c>
      <c r="G22" s="1">
        <f>D22*E22</f>
        <v>182.4</v>
      </c>
      <c r="H22" s="1"/>
    </row>
    <row r="23" spans="1:8" x14ac:dyDescent="0.25">
      <c r="A23" s="57"/>
      <c r="B23" s="1" t="s">
        <v>66</v>
      </c>
      <c r="C23" s="1">
        <v>3</v>
      </c>
      <c r="D23" s="1">
        <v>30.6</v>
      </c>
      <c r="E23" s="1">
        <v>1.67</v>
      </c>
      <c r="F23" s="34" t="s">
        <v>39</v>
      </c>
      <c r="G23" s="40">
        <f t="shared" ref="G23:G28" si="1">D23*E23</f>
        <v>51.101999999999997</v>
      </c>
      <c r="H23" s="1" t="s">
        <v>31</v>
      </c>
    </row>
    <row r="24" spans="1:8" x14ac:dyDescent="0.25">
      <c r="A24" s="57"/>
      <c r="B24" s="1" t="s">
        <v>67</v>
      </c>
      <c r="C24" s="1">
        <v>4</v>
      </c>
      <c r="D24" s="1">
        <v>141</v>
      </c>
      <c r="E24" s="1">
        <v>4</v>
      </c>
      <c r="F24" s="34" t="s">
        <v>39</v>
      </c>
      <c r="G24" s="40">
        <f t="shared" si="1"/>
        <v>564</v>
      </c>
      <c r="H24" s="1"/>
    </row>
    <row r="25" spans="1:8" x14ac:dyDescent="0.25">
      <c r="A25" s="57"/>
      <c r="B25" s="31" t="s">
        <v>119</v>
      </c>
      <c r="C25" s="31">
        <v>35</v>
      </c>
      <c r="D25" s="31">
        <v>72</v>
      </c>
      <c r="E25" s="31">
        <v>8.75</v>
      </c>
      <c r="F25" s="31" t="s">
        <v>17</v>
      </c>
      <c r="G25" s="40">
        <f t="shared" si="1"/>
        <v>630</v>
      </c>
      <c r="H25" s="31"/>
    </row>
    <row r="26" spans="1:8" x14ac:dyDescent="0.25">
      <c r="A26" s="57"/>
      <c r="B26" s="1" t="s">
        <v>166</v>
      </c>
      <c r="C26" s="1"/>
      <c r="D26" s="1">
        <v>240</v>
      </c>
      <c r="E26" s="1">
        <v>1</v>
      </c>
      <c r="F26" s="31" t="s">
        <v>167</v>
      </c>
      <c r="G26" s="40">
        <f t="shared" si="1"/>
        <v>240</v>
      </c>
      <c r="H26" s="1"/>
    </row>
    <row r="27" spans="1:8" x14ac:dyDescent="0.25">
      <c r="A27" s="57"/>
      <c r="B27" s="40" t="s">
        <v>171</v>
      </c>
      <c r="C27" s="40"/>
      <c r="D27" s="40">
        <v>70</v>
      </c>
      <c r="E27" s="40">
        <v>10</v>
      </c>
      <c r="F27" s="40" t="s">
        <v>165</v>
      </c>
      <c r="G27" s="40">
        <f t="shared" si="1"/>
        <v>700</v>
      </c>
      <c r="H27" s="40"/>
    </row>
    <row r="28" spans="1:8" x14ac:dyDescent="0.25">
      <c r="A28" s="57"/>
      <c r="B28" s="40" t="s">
        <v>174</v>
      </c>
      <c r="C28" s="40"/>
      <c r="D28" s="40">
        <v>530</v>
      </c>
      <c r="E28" s="40">
        <v>4</v>
      </c>
      <c r="F28" s="40" t="s">
        <v>173</v>
      </c>
      <c r="G28" s="40">
        <f t="shared" si="1"/>
        <v>2120</v>
      </c>
      <c r="H28" s="40"/>
    </row>
    <row r="29" spans="1:8" x14ac:dyDescent="0.25">
      <c r="A29" s="57"/>
      <c r="B29" s="40"/>
      <c r="C29" s="40"/>
      <c r="D29" s="40"/>
      <c r="E29" s="40"/>
      <c r="F29" s="40"/>
      <c r="G29" s="39"/>
      <c r="H29" s="40"/>
    </row>
    <row r="30" spans="1:8" x14ac:dyDescent="0.25">
      <c r="A30" s="57"/>
      <c r="B30" s="51" t="s">
        <v>7</v>
      </c>
      <c r="C30" s="52"/>
      <c r="D30" s="53"/>
      <c r="E30" s="3"/>
      <c r="F30" s="3"/>
      <c r="G30" s="15">
        <f>SUM(G22:G29)</f>
        <v>4487.5020000000004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7" t="s">
        <v>111</v>
      </c>
      <c r="B32" s="25" t="s">
        <v>116</v>
      </c>
      <c r="C32" s="25">
        <v>20</v>
      </c>
      <c r="D32" s="25">
        <v>9.18</v>
      </c>
      <c r="E32" s="25">
        <v>20</v>
      </c>
      <c r="F32" t="s">
        <v>39</v>
      </c>
      <c r="G32" s="1">
        <f>D32*E32</f>
        <v>183.6</v>
      </c>
      <c r="H32" s="1" t="s">
        <v>15</v>
      </c>
    </row>
    <row r="33" spans="1:8" x14ac:dyDescent="0.25">
      <c r="A33" s="57"/>
      <c r="B33" s="1" t="s">
        <v>117</v>
      </c>
      <c r="C33" s="1">
        <v>5</v>
      </c>
      <c r="D33" s="1">
        <v>63</v>
      </c>
      <c r="E33" s="1">
        <v>5</v>
      </c>
      <c r="F33" s="34" t="s">
        <v>39</v>
      </c>
      <c r="G33" s="40">
        <f>D33*E33</f>
        <v>315</v>
      </c>
      <c r="H33" s="1"/>
    </row>
    <row r="34" spans="1:8" x14ac:dyDescent="0.25">
      <c r="A34" s="57"/>
      <c r="B34" s="1"/>
      <c r="C34" s="1"/>
      <c r="D34" s="1"/>
      <c r="E34" s="1"/>
      <c r="F34" s="1"/>
      <c r="G34" s="1"/>
      <c r="H34" s="1"/>
    </row>
    <row r="35" spans="1:8" x14ac:dyDescent="0.25">
      <c r="A35" s="57"/>
      <c r="B35" s="51"/>
      <c r="C35" s="52"/>
      <c r="D35" s="53"/>
      <c r="E35" s="3"/>
      <c r="F35" s="3"/>
      <c r="G35" s="15">
        <f>SUM(G32:G34)</f>
        <v>498.6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8"/>
      <c r="B37" s="1" t="s">
        <v>184</v>
      </c>
      <c r="C37" s="1"/>
      <c r="D37" s="1">
        <v>11.7</v>
      </c>
      <c r="E37" s="1">
        <v>65</v>
      </c>
      <c r="F37" s="1" t="s">
        <v>186</v>
      </c>
      <c r="G37" s="1">
        <f>D37*E37</f>
        <v>760.5</v>
      </c>
      <c r="H37" s="1"/>
    </row>
    <row r="38" spans="1:8" x14ac:dyDescent="0.25">
      <c r="A38" s="59"/>
      <c r="B38" s="1" t="s">
        <v>190</v>
      </c>
      <c r="C38" s="1"/>
      <c r="D38" s="1">
        <v>36.479999999999997</v>
      </c>
      <c r="E38" s="1">
        <v>62</v>
      </c>
      <c r="F38" s="1" t="s">
        <v>186</v>
      </c>
      <c r="G38" s="47">
        <f>D38*E38</f>
        <v>2261.7599999999998</v>
      </c>
      <c r="H38" s="1"/>
    </row>
    <row r="39" spans="1:8" x14ac:dyDescent="0.25">
      <c r="A39" s="60"/>
      <c r="B39" s="51" t="s">
        <v>7</v>
      </c>
      <c r="C39" s="52"/>
      <c r="D39" s="53"/>
      <c r="E39" s="3"/>
      <c r="F39" s="3"/>
      <c r="G39" s="15">
        <f>SUM(G37:G38)</f>
        <v>3022.2599999999998</v>
      </c>
      <c r="H39" s="7"/>
    </row>
    <row r="40" spans="1:8" x14ac:dyDescent="0.25">
      <c r="A40" s="8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7"/>
      <c r="B41" s="1" t="s">
        <v>168</v>
      </c>
      <c r="C41" s="1"/>
      <c r="D41" s="1">
        <v>70</v>
      </c>
      <c r="E41" s="1">
        <v>3</v>
      </c>
      <c r="F41" s="1" t="s">
        <v>169</v>
      </c>
      <c r="G41" s="1">
        <f>D41*E41</f>
        <v>210</v>
      </c>
      <c r="H41" s="1"/>
    </row>
    <row r="42" spans="1:8" x14ac:dyDescent="0.25">
      <c r="A42" s="57"/>
      <c r="B42" s="40" t="s">
        <v>172</v>
      </c>
      <c r="C42" s="40"/>
      <c r="D42" s="40">
        <v>480</v>
      </c>
      <c r="E42" s="40">
        <v>1</v>
      </c>
      <c r="F42" s="40" t="s">
        <v>173</v>
      </c>
      <c r="G42" s="40">
        <f t="shared" ref="G42:G50" si="2">D42*E42</f>
        <v>480</v>
      </c>
      <c r="H42" s="1"/>
    </row>
    <row r="43" spans="1:8" x14ac:dyDescent="0.25">
      <c r="A43" s="57"/>
      <c r="B43" s="40" t="s">
        <v>175</v>
      </c>
      <c r="C43" s="40"/>
      <c r="D43" s="40">
        <v>255</v>
      </c>
      <c r="E43" s="40">
        <v>1</v>
      </c>
      <c r="F43" s="40" t="s">
        <v>173</v>
      </c>
      <c r="G43" s="40">
        <f t="shared" si="2"/>
        <v>255</v>
      </c>
      <c r="H43" s="1"/>
    </row>
    <row r="44" spans="1:8" x14ac:dyDescent="0.25">
      <c r="A44" s="57"/>
      <c r="B44" s="40" t="s">
        <v>176</v>
      </c>
      <c r="C44" s="40"/>
      <c r="D44" s="40">
        <v>270</v>
      </c>
      <c r="E44" s="40">
        <v>1</v>
      </c>
      <c r="F44" s="40" t="s">
        <v>173</v>
      </c>
      <c r="G44" s="40">
        <f t="shared" si="2"/>
        <v>270</v>
      </c>
      <c r="H44" s="1"/>
    </row>
    <row r="45" spans="1:8" x14ac:dyDescent="0.25">
      <c r="A45" s="57"/>
      <c r="B45" s="40" t="s">
        <v>177</v>
      </c>
      <c r="C45" s="40"/>
      <c r="D45" s="40">
        <v>310</v>
      </c>
      <c r="E45" s="40">
        <v>2</v>
      </c>
      <c r="F45" s="40" t="s">
        <v>173</v>
      </c>
      <c r="G45" s="40">
        <f t="shared" si="2"/>
        <v>620</v>
      </c>
      <c r="H45" s="40"/>
    </row>
    <row r="46" spans="1:8" x14ac:dyDescent="0.25">
      <c r="A46" s="57"/>
      <c r="B46" s="40" t="s">
        <v>178</v>
      </c>
      <c r="C46" s="40"/>
      <c r="D46" s="40">
        <v>273</v>
      </c>
      <c r="E46" s="40">
        <v>3</v>
      </c>
      <c r="F46" s="40" t="s">
        <v>173</v>
      </c>
      <c r="G46" s="40">
        <f t="shared" si="2"/>
        <v>819</v>
      </c>
      <c r="H46" s="40"/>
    </row>
    <row r="47" spans="1:8" x14ac:dyDescent="0.25">
      <c r="A47" s="57"/>
      <c r="B47" s="40" t="s">
        <v>179</v>
      </c>
      <c r="C47" s="40"/>
      <c r="D47" s="40">
        <v>120</v>
      </c>
      <c r="E47" s="40">
        <v>2</v>
      </c>
      <c r="F47" s="40" t="s">
        <v>180</v>
      </c>
      <c r="G47" s="40">
        <f t="shared" si="2"/>
        <v>240</v>
      </c>
      <c r="H47" s="40"/>
    </row>
    <row r="48" spans="1:8" x14ac:dyDescent="0.25">
      <c r="A48" s="57"/>
      <c r="B48" s="40" t="s">
        <v>181</v>
      </c>
      <c r="C48" s="40"/>
      <c r="D48" s="40">
        <v>50.4</v>
      </c>
      <c r="E48" s="40">
        <v>20</v>
      </c>
      <c r="F48" s="39" t="s">
        <v>170</v>
      </c>
      <c r="G48" s="40">
        <f t="shared" si="2"/>
        <v>1008</v>
      </c>
      <c r="H48" s="40"/>
    </row>
    <row r="49" spans="1:8" x14ac:dyDescent="0.25">
      <c r="A49" s="57"/>
      <c r="B49" s="41" t="s">
        <v>182</v>
      </c>
      <c r="C49" s="41"/>
      <c r="D49" s="41">
        <v>125</v>
      </c>
      <c r="E49" s="41">
        <v>12</v>
      </c>
      <c r="F49" s="41" t="s">
        <v>165</v>
      </c>
      <c r="G49" s="40">
        <f t="shared" si="2"/>
        <v>1500</v>
      </c>
      <c r="H49" s="40"/>
    </row>
    <row r="50" spans="1:8" x14ac:dyDescent="0.25">
      <c r="A50" s="57"/>
      <c r="B50" s="41" t="s">
        <v>183</v>
      </c>
      <c r="C50" s="41"/>
      <c r="D50" s="41">
        <v>32</v>
      </c>
      <c r="E50" s="41">
        <v>50</v>
      </c>
      <c r="F50" s="41" t="s">
        <v>170</v>
      </c>
      <c r="G50" s="40">
        <f t="shared" si="2"/>
        <v>1600</v>
      </c>
      <c r="H50" s="40"/>
    </row>
    <row r="51" spans="1:8" x14ac:dyDescent="0.25">
      <c r="A51" s="57"/>
      <c r="B51" s="51" t="s">
        <v>7</v>
      </c>
      <c r="C51" s="52"/>
      <c r="D51" s="53"/>
      <c r="E51" s="3"/>
      <c r="F51" s="3"/>
      <c r="G51" s="17">
        <f>SUM(G41:G50)</f>
        <v>7002</v>
      </c>
      <c r="H51" s="1"/>
    </row>
    <row r="52" spans="1:8" x14ac:dyDescent="0.25">
      <c r="A52" s="1"/>
      <c r="B52" s="61" t="s">
        <v>14</v>
      </c>
      <c r="C52" s="62"/>
      <c r="D52" s="63"/>
      <c r="E52" s="9"/>
      <c r="F52" s="9"/>
      <c r="G52" s="10">
        <f>G51+G39+G35+G20+G14+G7+G30</f>
        <v>32815.661999999997</v>
      </c>
      <c r="H52" s="1"/>
    </row>
  </sheetData>
  <mergeCells count="16">
    <mergeCell ref="A41:A51"/>
    <mergeCell ref="B51:D51"/>
    <mergeCell ref="B52:D52"/>
    <mergeCell ref="A22:A30"/>
    <mergeCell ref="B30:D30"/>
    <mergeCell ref="A32:A35"/>
    <mergeCell ref="B35:D35"/>
    <mergeCell ref="A37:A39"/>
    <mergeCell ref="B39:D3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tabSelected="1" topLeftCell="A32" workbookViewId="0">
      <selection activeCell="H49" sqref="A1:H4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48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7" t="s">
        <v>120</v>
      </c>
      <c r="B3" s="1" t="s">
        <v>53</v>
      </c>
      <c r="C3" s="1">
        <v>270</v>
      </c>
      <c r="D3" s="1">
        <v>99</v>
      </c>
      <c r="E3" s="43"/>
      <c r="F3" s="47" t="s">
        <v>39</v>
      </c>
      <c r="G3" s="49"/>
      <c r="H3" s="1"/>
    </row>
    <row r="4" spans="1:8" x14ac:dyDescent="0.25">
      <c r="A4" s="57"/>
      <c r="B4" s="1"/>
      <c r="C4" s="1"/>
      <c r="D4" s="1"/>
      <c r="E4" s="1"/>
      <c r="F4" s="31"/>
      <c r="G4" s="1"/>
      <c r="H4" s="1"/>
    </row>
    <row r="5" spans="1:8" x14ac:dyDescent="0.25">
      <c r="A5" s="57"/>
      <c r="B5" s="1"/>
      <c r="C5" s="1"/>
      <c r="D5" s="1"/>
      <c r="E5" s="1"/>
      <c r="F5" s="31"/>
      <c r="G5" s="1"/>
      <c r="H5" s="1"/>
    </row>
    <row r="6" spans="1:8" x14ac:dyDescent="0.25">
      <c r="A6" s="57"/>
      <c r="B6" s="1"/>
      <c r="C6" s="1"/>
      <c r="D6" s="1"/>
      <c r="E6" s="3"/>
      <c r="F6" s="30"/>
      <c r="G6" s="3"/>
      <c r="H6" s="1"/>
    </row>
    <row r="7" spans="1:8" x14ac:dyDescent="0.25">
      <c r="A7" s="57"/>
      <c r="B7" s="1"/>
      <c r="C7" s="1"/>
      <c r="D7" s="1"/>
      <c r="E7" s="3"/>
      <c r="F7" s="3"/>
      <c r="G7" s="3"/>
      <c r="H7" s="1"/>
    </row>
    <row r="8" spans="1:8" x14ac:dyDescent="0.25">
      <c r="A8" s="57"/>
      <c r="B8" s="51" t="s">
        <v>7</v>
      </c>
      <c r="C8" s="52"/>
      <c r="D8" s="53"/>
      <c r="E8" s="3"/>
      <c r="F8" s="3"/>
      <c r="G8" s="50">
        <f>SUM(G3:G7)</f>
        <v>0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31"/>
      <c r="G9" s="1" t="s">
        <v>5</v>
      </c>
      <c r="H9" s="1" t="s">
        <v>6</v>
      </c>
    </row>
    <row r="10" spans="1:8" x14ac:dyDescent="0.25">
      <c r="A10" s="58" t="s">
        <v>121</v>
      </c>
      <c r="B10" s="25" t="s">
        <v>124</v>
      </c>
      <c r="C10" s="25">
        <v>250</v>
      </c>
      <c r="D10" s="25">
        <v>60</v>
      </c>
      <c r="E10" s="43"/>
      <c r="F10" s="47" t="s">
        <v>39</v>
      </c>
      <c r="G10" s="25">
        <f>D10*E10</f>
        <v>0</v>
      </c>
      <c r="H10" s="25"/>
    </row>
    <row r="11" spans="1:8" x14ac:dyDescent="0.25">
      <c r="A11" s="59"/>
      <c r="B11" s="1" t="s">
        <v>125</v>
      </c>
      <c r="C11" s="1">
        <v>15</v>
      </c>
      <c r="D11" s="1">
        <v>14.4</v>
      </c>
      <c r="E11" s="1">
        <v>15</v>
      </c>
      <c r="F11" s="34" t="s">
        <v>39</v>
      </c>
      <c r="G11" s="47">
        <f t="shared" ref="G11:G14" si="0">D11*E11</f>
        <v>216</v>
      </c>
      <c r="H11" s="1"/>
    </row>
    <row r="12" spans="1:8" x14ac:dyDescent="0.25">
      <c r="A12" s="59"/>
      <c r="B12" s="1" t="s">
        <v>126</v>
      </c>
      <c r="C12" s="1">
        <v>10</v>
      </c>
      <c r="D12" s="1">
        <v>48</v>
      </c>
      <c r="E12" s="1">
        <v>10</v>
      </c>
      <c r="F12" s="34" t="s">
        <v>39</v>
      </c>
      <c r="G12" s="47">
        <f t="shared" si="0"/>
        <v>480</v>
      </c>
      <c r="H12" s="1"/>
    </row>
    <row r="13" spans="1:8" x14ac:dyDescent="0.25">
      <c r="A13" s="59"/>
      <c r="B13" s="1" t="s">
        <v>127</v>
      </c>
      <c r="C13" s="1">
        <v>10</v>
      </c>
      <c r="D13" s="1">
        <v>52.8</v>
      </c>
      <c r="E13" s="1">
        <v>10</v>
      </c>
      <c r="F13" s="34" t="s">
        <v>39</v>
      </c>
      <c r="G13" s="47">
        <f t="shared" si="0"/>
        <v>528</v>
      </c>
      <c r="H13" s="1"/>
    </row>
    <row r="14" spans="1:8" x14ac:dyDescent="0.25">
      <c r="A14" s="59"/>
      <c r="B14" s="1" t="s">
        <v>128</v>
      </c>
      <c r="C14" s="1">
        <v>3</v>
      </c>
      <c r="D14" s="1">
        <v>101.4</v>
      </c>
      <c r="E14" s="1">
        <v>15</v>
      </c>
      <c r="F14" s="47" t="s">
        <v>39</v>
      </c>
      <c r="G14" s="47">
        <f t="shared" si="0"/>
        <v>1521</v>
      </c>
      <c r="H14" s="1"/>
    </row>
    <row r="15" spans="1:8" x14ac:dyDescent="0.25">
      <c r="A15" s="59"/>
      <c r="B15" s="19"/>
      <c r="C15" s="1"/>
      <c r="D15" s="1"/>
      <c r="E15" s="1"/>
      <c r="F15" s="1"/>
      <c r="G15" s="1"/>
      <c r="H15" s="13"/>
    </row>
    <row r="16" spans="1:8" x14ac:dyDescent="0.25">
      <c r="A16" s="60"/>
      <c r="B16" s="51" t="s">
        <v>7</v>
      </c>
      <c r="C16" s="52"/>
      <c r="D16" s="53"/>
      <c r="E16" s="3"/>
      <c r="F16" s="3"/>
      <c r="G16" s="15">
        <f>SUM(G10:G15)</f>
        <v>2745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7" t="s">
        <v>122</v>
      </c>
      <c r="B18" s="1" t="s">
        <v>129</v>
      </c>
      <c r="C18" s="1">
        <v>50</v>
      </c>
      <c r="D18" s="1">
        <v>33.299999999999997</v>
      </c>
      <c r="E18" s="1">
        <v>50</v>
      </c>
      <c r="F18" s="34" t="s">
        <v>39</v>
      </c>
      <c r="G18" s="1">
        <f>D18*E18</f>
        <v>1664.9999999999998</v>
      </c>
      <c r="H18" s="1"/>
    </row>
    <row r="19" spans="1:8" x14ac:dyDescent="0.25">
      <c r="A19" s="57"/>
      <c r="B19" s="1" t="s">
        <v>130</v>
      </c>
      <c r="C19" s="1">
        <v>1</v>
      </c>
      <c r="D19" s="1">
        <v>61.2</v>
      </c>
      <c r="E19" s="1">
        <v>1</v>
      </c>
      <c r="F19" s="34" t="s">
        <v>39</v>
      </c>
      <c r="G19" s="47">
        <f t="shared" ref="G19:G21" si="1">D19*E19</f>
        <v>61.2</v>
      </c>
      <c r="H19" s="1"/>
    </row>
    <row r="20" spans="1:8" x14ac:dyDescent="0.25">
      <c r="A20" s="57"/>
      <c r="B20" s="1" t="s">
        <v>80</v>
      </c>
      <c r="C20" s="1">
        <v>10</v>
      </c>
      <c r="D20" s="1">
        <v>117</v>
      </c>
      <c r="E20" s="1">
        <v>10</v>
      </c>
      <c r="F20" s="34" t="s">
        <v>39</v>
      </c>
      <c r="G20" s="47">
        <f t="shared" si="1"/>
        <v>1170</v>
      </c>
      <c r="H20" s="1"/>
    </row>
    <row r="21" spans="1:8" x14ac:dyDescent="0.25">
      <c r="A21" s="57"/>
      <c r="B21" s="1" t="s">
        <v>79</v>
      </c>
      <c r="C21" s="1">
        <v>1</v>
      </c>
      <c r="D21" s="1">
        <v>125.4</v>
      </c>
      <c r="E21" s="3">
        <v>1</v>
      </c>
      <c r="F21" s="33" t="s">
        <v>39</v>
      </c>
      <c r="G21" s="47">
        <f t="shared" si="1"/>
        <v>125.4</v>
      </c>
      <c r="H21" s="1"/>
    </row>
    <row r="22" spans="1:8" x14ac:dyDescent="0.25">
      <c r="A22" s="57"/>
      <c r="B22" s="51" t="s">
        <v>7</v>
      </c>
      <c r="C22" s="52"/>
      <c r="D22" s="53"/>
      <c r="E22" s="3"/>
      <c r="F22" s="3"/>
      <c r="G22" s="15">
        <f>SUM(G18:G21)</f>
        <v>3021.6</v>
      </c>
      <c r="H22" s="1"/>
    </row>
    <row r="23" spans="1:8" x14ac:dyDescent="0.25">
      <c r="A23" s="6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65"/>
      <c r="B24" s="19" t="s">
        <v>132</v>
      </c>
      <c r="C24" s="13" t="s">
        <v>69</v>
      </c>
      <c r="D24" s="13">
        <v>39.6</v>
      </c>
      <c r="E24" s="13">
        <v>0.5</v>
      </c>
      <c r="F24" s="34" t="s">
        <v>39</v>
      </c>
      <c r="G24" s="13">
        <f>D24*E24</f>
        <v>19.8</v>
      </c>
      <c r="H24" s="13" t="s">
        <v>20</v>
      </c>
    </row>
    <row r="25" spans="1:8" x14ac:dyDescent="0.25">
      <c r="A25" s="66"/>
      <c r="B25" s="13" t="s">
        <v>133</v>
      </c>
      <c r="C25" s="13">
        <v>3</v>
      </c>
      <c r="D25" s="13">
        <v>48</v>
      </c>
      <c r="E25" s="21">
        <v>1.5</v>
      </c>
      <c r="F25" s="34" t="s">
        <v>39</v>
      </c>
      <c r="G25" s="47">
        <f t="shared" ref="G25:G30" si="2">D25*E25</f>
        <v>72</v>
      </c>
      <c r="H25" s="13" t="s">
        <v>20</v>
      </c>
    </row>
    <row r="26" spans="1:8" x14ac:dyDescent="0.25">
      <c r="A26" s="66"/>
      <c r="B26" s="13" t="s">
        <v>134</v>
      </c>
      <c r="C26" s="13">
        <v>1</v>
      </c>
      <c r="D26" s="13">
        <v>17.100000000000001</v>
      </c>
      <c r="E26" s="13">
        <v>0.67</v>
      </c>
      <c r="F26" s="34" t="s">
        <v>17</v>
      </c>
      <c r="G26" s="47">
        <f t="shared" si="2"/>
        <v>11.457000000000003</v>
      </c>
      <c r="H26" s="1" t="s">
        <v>19</v>
      </c>
    </row>
    <row r="27" spans="1:8" x14ac:dyDescent="0.25">
      <c r="A27" s="66"/>
      <c r="B27" s="1" t="s">
        <v>135</v>
      </c>
      <c r="C27" s="1" t="s">
        <v>69</v>
      </c>
      <c r="D27" s="1">
        <v>72</v>
      </c>
      <c r="E27" s="1">
        <v>0.67</v>
      </c>
      <c r="F27" s="34" t="s">
        <v>39</v>
      </c>
      <c r="G27" s="47">
        <f t="shared" si="2"/>
        <v>48.24</v>
      </c>
      <c r="H27" s="13" t="s">
        <v>19</v>
      </c>
    </row>
    <row r="28" spans="1:8" x14ac:dyDescent="0.25">
      <c r="A28" s="66"/>
      <c r="B28" s="1" t="s">
        <v>136</v>
      </c>
      <c r="C28" s="1">
        <v>4</v>
      </c>
      <c r="D28" s="1">
        <v>295</v>
      </c>
      <c r="E28" s="1">
        <v>4</v>
      </c>
      <c r="F28" s="34" t="s">
        <v>39</v>
      </c>
      <c r="G28" s="47">
        <f t="shared" si="2"/>
        <v>1180</v>
      </c>
      <c r="H28" s="13" t="s">
        <v>19</v>
      </c>
    </row>
    <row r="29" spans="1:8" x14ac:dyDescent="0.25">
      <c r="A29" s="66"/>
      <c r="B29" s="1" t="s">
        <v>137</v>
      </c>
      <c r="C29" s="1">
        <v>40</v>
      </c>
      <c r="D29" s="1">
        <v>132</v>
      </c>
      <c r="E29" s="1">
        <v>2.5</v>
      </c>
      <c r="F29" s="1" t="s">
        <v>17</v>
      </c>
      <c r="G29" s="47">
        <f t="shared" si="2"/>
        <v>330</v>
      </c>
      <c r="H29" s="25"/>
    </row>
    <row r="30" spans="1:8" x14ac:dyDescent="0.25">
      <c r="A30" s="66"/>
      <c r="B30" s="1" t="s">
        <v>138</v>
      </c>
      <c r="C30" s="1">
        <v>25</v>
      </c>
      <c r="D30" s="1">
        <v>10</v>
      </c>
      <c r="E30" s="1">
        <v>25</v>
      </c>
      <c r="F30" s="1" t="s">
        <v>139</v>
      </c>
      <c r="G30" s="47">
        <f t="shared" si="2"/>
        <v>250</v>
      </c>
      <c r="H30" s="1"/>
    </row>
    <row r="31" spans="1:8" x14ac:dyDescent="0.25">
      <c r="A31" s="67"/>
      <c r="B31" s="51" t="s">
        <v>7</v>
      </c>
      <c r="C31" s="52"/>
      <c r="D31" s="53"/>
      <c r="E31" s="3"/>
      <c r="F31" s="3"/>
      <c r="G31" s="15">
        <f>SUM(G24:G30)</f>
        <v>1911.4970000000001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7" t="s">
        <v>123</v>
      </c>
      <c r="B33" s="1" t="s">
        <v>131</v>
      </c>
      <c r="C33" s="1">
        <v>5</v>
      </c>
      <c r="D33" s="1">
        <v>21</v>
      </c>
      <c r="E33" s="1">
        <v>5</v>
      </c>
      <c r="F33" s="34" t="s">
        <v>39</v>
      </c>
      <c r="G33" s="1">
        <f>D33*E33</f>
        <v>105</v>
      </c>
      <c r="H33" s="1"/>
    </row>
    <row r="34" spans="1:8" x14ac:dyDescent="0.25">
      <c r="A34" s="57"/>
      <c r="B34" s="1" t="s">
        <v>132</v>
      </c>
      <c r="C34" s="1">
        <v>20</v>
      </c>
      <c r="D34" s="1">
        <v>39.6</v>
      </c>
      <c r="E34" s="1">
        <v>20</v>
      </c>
      <c r="F34" s="34" t="s">
        <v>39</v>
      </c>
      <c r="G34" s="47">
        <f t="shared" ref="G34:G35" si="3">D34*E34</f>
        <v>792</v>
      </c>
      <c r="H34" s="1"/>
    </row>
    <row r="35" spans="1:8" x14ac:dyDescent="0.25">
      <c r="A35" s="57"/>
      <c r="B35" s="1"/>
      <c r="C35" s="1"/>
      <c r="D35" s="1"/>
      <c r="E35" s="1"/>
      <c r="F35" s="1"/>
      <c r="G35" s="47">
        <f t="shared" si="3"/>
        <v>0</v>
      </c>
      <c r="H35" s="1"/>
    </row>
    <row r="36" spans="1:8" x14ac:dyDescent="0.25">
      <c r="A36" s="57"/>
      <c r="B36" s="51"/>
      <c r="C36" s="52"/>
      <c r="D36" s="53"/>
      <c r="E36" s="3"/>
      <c r="F36" s="3"/>
      <c r="G36" s="17">
        <f>SUM(G33:G35)</f>
        <v>897</v>
      </c>
      <c r="H36" s="1"/>
    </row>
    <row r="37" spans="1:8" x14ac:dyDescent="0.25">
      <c r="A37" s="1" t="s">
        <v>12</v>
      </c>
      <c r="B37" s="1" t="s">
        <v>1</v>
      </c>
      <c r="C37" s="1" t="s">
        <v>2</v>
      </c>
      <c r="D37" s="1" t="s">
        <v>3</v>
      </c>
      <c r="E37" s="3" t="s">
        <v>4</v>
      </c>
      <c r="F37" s="3"/>
      <c r="G37" s="3" t="s">
        <v>5</v>
      </c>
      <c r="H37" s="1" t="s">
        <v>6</v>
      </c>
    </row>
    <row r="38" spans="1:8" x14ac:dyDescent="0.25">
      <c r="A38" s="58"/>
      <c r="B38" s="1" t="s">
        <v>185</v>
      </c>
      <c r="C38" s="1"/>
      <c r="D38" s="1">
        <v>30.72</v>
      </c>
      <c r="E38" s="1">
        <v>70</v>
      </c>
      <c r="F38" s="1" t="s">
        <v>186</v>
      </c>
      <c r="G38" s="2">
        <f>D38*E38</f>
        <v>2150.4</v>
      </c>
      <c r="H38" s="1"/>
    </row>
    <row r="39" spans="1:8" x14ac:dyDescent="0.25">
      <c r="A39" s="59"/>
      <c r="B39" s="1" t="s">
        <v>187</v>
      </c>
      <c r="C39" s="1"/>
      <c r="D39" s="1">
        <v>9.18</v>
      </c>
      <c r="E39" s="47">
        <v>70</v>
      </c>
      <c r="F39" s="47" t="s">
        <v>186</v>
      </c>
      <c r="G39" s="2">
        <f>D39*E39</f>
        <v>642.6</v>
      </c>
      <c r="H39" s="1"/>
    </row>
    <row r="40" spans="1:8" x14ac:dyDescent="0.25">
      <c r="A40" s="60"/>
      <c r="B40" s="51" t="s">
        <v>7</v>
      </c>
      <c r="C40" s="52"/>
      <c r="D40" s="53"/>
      <c r="E40" s="3"/>
      <c r="F40" s="3"/>
      <c r="G40" s="15">
        <f>SUM(G38:G39)</f>
        <v>2793</v>
      </c>
      <c r="H40" s="7"/>
    </row>
    <row r="41" spans="1:8" x14ac:dyDescent="0.25">
      <c r="A41" s="8" t="s">
        <v>13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 t="s">
        <v>5</v>
      </c>
      <c r="H41" s="1"/>
    </row>
    <row r="42" spans="1:8" x14ac:dyDescent="0.25">
      <c r="A42" s="57"/>
      <c r="B42" s="47" t="s">
        <v>125</v>
      </c>
      <c r="C42" s="47"/>
      <c r="D42" s="47">
        <v>14.4</v>
      </c>
      <c r="E42" s="47">
        <v>2.5</v>
      </c>
      <c r="F42" s="47" t="s">
        <v>39</v>
      </c>
      <c r="G42" s="1">
        <f>D42*E42</f>
        <v>36</v>
      </c>
      <c r="H42" s="1"/>
    </row>
    <row r="43" spans="1:8" x14ac:dyDescent="0.25">
      <c r="A43" s="57"/>
      <c r="B43" s="1" t="s">
        <v>188</v>
      </c>
      <c r="C43" s="1"/>
      <c r="D43" s="1">
        <v>174</v>
      </c>
      <c r="E43" s="1">
        <v>4</v>
      </c>
      <c r="F43" s="1" t="s">
        <v>186</v>
      </c>
      <c r="G43" s="48">
        <f t="shared" ref="G43:G47" si="4">D43*E43</f>
        <v>696</v>
      </c>
      <c r="H43" s="1"/>
    </row>
    <row r="44" spans="1:8" x14ac:dyDescent="0.25">
      <c r="A44" s="57"/>
      <c r="B44" s="1" t="s">
        <v>189</v>
      </c>
      <c r="C44" s="1"/>
      <c r="D44" s="1">
        <v>168</v>
      </c>
      <c r="E44" s="43"/>
      <c r="F44" s="47" t="s">
        <v>186</v>
      </c>
      <c r="G44" s="48">
        <f t="shared" si="4"/>
        <v>0</v>
      </c>
      <c r="H44" s="1"/>
    </row>
    <row r="45" spans="1:8" x14ac:dyDescent="0.25">
      <c r="A45" s="57"/>
      <c r="B45" s="48" t="s">
        <v>191</v>
      </c>
      <c r="C45" s="48"/>
      <c r="D45" s="48">
        <v>53.4</v>
      </c>
      <c r="E45" s="21">
        <v>5</v>
      </c>
      <c r="F45" s="48" t="s">
        <v>192</v>
      </c>
      <c r="G45" s="48">
        <f t="shared" si="4"/>
        <v>267</v>
      </c>
      <c r="H45" s="48"/>
    </row>
    <row r="46" spans="1:8" x14ac:dyDescent="0.25">
      <c r="A46" s="57"/>
      <c r="B46" s="48" t="s">
        <v>193</v>
      </c>
      <c r="C46" s="48"/>
      <c r="D46" s="48">
        <v>420</v>
      </c>
      <c r="E46" s="21">
        <v>1</v>
      </c>
      <c r="F46" s="48" t="s">
        <v>194</v>
      </c>
      <c r="G46" s="48">
        <f t="shared" si="4"/>
        <v>420</v>
      </c>
      <c r="H46" s="48"/>
    </row>
    <row r="47" spans="1:8" x14ac:dyDescent="0.25">
      <c r="A47" s="57"/>
      <c r="B47" s="1" t="s">
        <v>195</v>
      </c>
      <c r="C47" s="1"/>
      <c r="D47" s="1">
        <v>50.4</v>
      </c>
      <c r="E47" s="1">
        <v>20</v>
      </c>
      <c r="F47" s="1" t="s">
        <v>192</v>
      </c>
      <c r="G47" s="48">
        <f t="shared" si="4"/>
        <v>1008</v>
      </c>
      <c r="H47" s="1"/>
    </row>
    <row r="48" spans="1:8" x14ac:dyDescent="0.25">
      <c r="A48" s="57"/>
      <c r="B48" s="51" t="s">
        <v>7</v>
      </c>
      <c r="C48" s="52"/>
      <c r="D48" s="53"/>
      <c r="E48" s="3"/>
      <c r="F48" s="3"/>
      <c r="G48" s="17">
        <f>SUM(G42:G47)</f>
        <v>2427</v>
      </c>
      <c r="H48" s="1"/>
    </row>
    <row r="49" spans="1:8" x14ac:dyDescent="0.25">
      <c r="A49" s="1"/>
      <c r="B49" s="61" t="s">
        <v>14</v>
      </c>
      <c r="C49" s="62"/>
      <c r="D49" s="63"/>
      <c r="E49" s="9"/>
      <c r="F49" s="9"/>
      <c r="G49" s="10">
        <f>G48+G40+G36+G22+G16+G8+G31</f>
        <v>13795.097</v>
      </c>
      <c r="H49" s="1"/>
    </row>
  </sheetData>
  <mergeCells count="16">
    <mergeCell ref="A42:A48"/>
    <mergeCell ref="B48:D48"/>
    <mergeCell ref="B49:D49"/>
    <mergeCell ref="B31:D31"/>
    <mergeCell ref="A33:A36"/>
    <mergeCell ref="B36:D36"/>
    <mergeCell ref="A38:A40"/>
    <mergeCell ref="B40:D40"/>
    <mergeCell ref="A24:A31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1201</vt:lpstr>
      <vt:lpstr>1202</vt:lpstr>
      <vt:lpstr>1203</vt:lpstr>
      <vt:lpstr>1204</vt:lpstr>
      <vt:lpstr>1205</vt:lpstr>
      <vt:lpstr>'1201'!Print_Area</vt:lpstr>
      <vt:lpstr>'1202'!Print_Area</vt:lpstr>
      <vt:lpstr>'1203'!Print_Area</vt:lpstr>
      <vt:lpstr>'1204'!Print_Area</vt:lpstr>
      <vt:lpstr>'1205'!Print_Area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2025-12-05T04:06:36Z</cp:lastPrinted>
  <dcterms:created xsi:type="dcterms:W3CDTF">2025-02-19T17:01:12Z</dcterms:created>
  <dcterms:modified xsi:type="dcterms:W3CDTF">2025-12-05T04:06:37Z</dcterms:modified>
</cp:coreProperties>
</file>