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2月份\"/>
    </mc:Choice>
  </mc:AlternateContent>
  <bookViews>
    <workbookView xWindow="0" yWindow="0" windowWidth="7470" windowHeight="2625" activeTab="4"/>
  </bookViews>
  <sheets>
    <sheet name="1208" sheetId="1" r:id="rId1"/>
    <sheet name="1209" sheetId="2" r:id="rId2"/>
    <sheet name="1210" sheetId="3" r:id="rId3"/>
    <sheet name="1211" sheetId="4" r:id="rId4"/>
    <sheet name="1212" sheetId="5" r:id="rId5"/>
  </sheets>
  <definedNames>
    <definedName name="_xlnm.Print_Area" localSheetId="0">'1208'!$A$1:$H$52</definedName>
    <definedName name="_xlnm.Print_Area" localSheetId="1">'1209'!$A$1:$H$50</definedName>
    <definedName name="_xlnm.Print_Area" localSheetId="2">'1210'!$A$1:$H$57</definedName>
    <definedName name="_xlnm.Print_Area" localSheetId="3">'1211'!$A$1:$H$44</definedName>
    <definedName name="_xlnm.Print_Area" localSheetId="4">'1212'!$A$1:$H$51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5" l="1"/>
  <c r="G38" i="5"/>
  <c r="G36" i="5"/>
  <c r="G34" i="5"/>
  <c r="G33" i="5"/>
  <c r="G31" i="5"/>
  <c r="G25" i="5"/>
  <c r="G26" i="5"/>
  <c r="G27" i="5"/>
  <c r="G28" i="5"/>
  <c r="G29" i="5"/>
  <c r="G30" i="5"/>
  <c r="G24" i="5"/>
  <c r="G22" i="5"/>
  <c r="G19" i="5"/>
  <c r="G20" i="5"/>
  <c r="G18" i="5"/>
  <c r="G50" i="5"/>
  <c r="G43" i="5"/>
  <c r="G44" i="5"/>
  <c r="G45" i="5"/>
  <c r="G46" i="5"/>
  <c r="G47" i="5"/>
  <c r="G48" i="5"/>
  <c r="G49" i="5"/>
  <c r="G42" i="5"/>
  <c r="G16" i="5"/>
  <c r="G11" i="5"/>
  <c r="G10" i="5"/>
  <c r="G8" i="5"/>
  <c r="G4" i="5"/>
  <c r="G5" i="5"/>
  <c r="G3" i="5"/>
  <c r="G44" i="4"/>
  <c r="G36" i="4"/>
  <c r="G31" i="4" l="1"/>
  <c r="G30" i="4"/>
  <c r="G35" i="4"/>
  <c r="G40" i="4"/>
  <c r="G39" i="4"/>
  <c r="G28" i="4"/>
  <c r="G23" i="4"/>
  <c r="G24" i="4"/>
  <c r="G25" i="4"/>
  <c r="G26" i="4"/>
  <c r="G27" i="4"/>
  <c r="G22" i="4"/>
  <c r="G17" i="4"/>
  <c r="G18" i="4"/>
  <c r="G16" i="4"/>
  <c r="G10" i="4"/>
  <c r="G9" i="4"/>
  <c r="G4" i="4"/>
  <c r="G3" i="4"/>
  <c r="G57" i="3"/>
  <c r="G54" i="3"/>
  <c r="G21" i="3"/>
  <c r="G22" i="3"/>
  <c r="G20" i="3"/>
  <c r="G34" i="3"/>
  <c r="G33" i="3"/>
  <c r="G32" i="3"/>
  <c r="G35" i="3"/>
  <c r="G29" i="3"/>
  <c r="G30" i="3"/>
  <c r="G31" i="3"/>
  <c r="G55" i="3"/>
  <c r="G53" i="3"/>
  <c r="G52" i="3"/>
  <c r="G4" i="3"/>
  <c r="G5" i="3"/>
  <c r="G6" i="3"/>
  <c r="G7" i="3"/>
  <c r="G8" i="3"/>
  <c r="G9" i="3"/>
  <c r="G7" i="2" l="1"/>
  <c r="G25" i="2"/>
  <c r="G26" i="2"/>
  <c r="G27" i="2"/>
  <c r="G34" i="2" s="1"/>
  <c r="G28" i="2"/>
  <c r="G29" i="2"/>
  <c r="G30" i="2"/>
  <c r="G31" i="2"/>
  <c r="G32" i="2"/>
  <c r="G33" i="2"/>
  <c r="G52" i="1"/>
  <c r="G45" i="1"/>
  <c r="G44" i="1"/>
  <c r="G39" i="1"/>
  <c r="G38" i="1"/>
  <c r="G36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14" i="1"/>
  <c r="G7" i="1"/>
  <c r="G4" i="1"/>
  <c r="G5" i="1"/>
  <c r="G6" i="1"/>
  <c r="G44" i="3" l="1"/>
  <c r="G43" i="3"/>
  <c r="G13" i="3"/>
  <c r="G14" i="3"/>
  <c r="G15" i="3"/>
  <c r="G12" i="3"/>
  <c r="G27" i="3"/>
  <c r="G28" i="3"/>
  <c r="G26" i="3"/>
  <c r="G39" i="3"/>
  <c r="G38" i="3"/>
  <c r="G3" i="3"/>
  <c r="G48" i="3"/>
  <c r="G49" i="3"/>
  <c r="G50" i="3"/>
  <c r="G51" i="3"/>
  <c r="G47" i="3"/>
  <c r="G56" i="3" l="1"/>
  <c r="G36" i="3"/>
  <c r="G24" i="2"/>
  <c r="G42" i="2"/>
  <c r="G10" i="2"/>
  <c r="G9" i="2"/>
  <c r="G14" i="2" s="1"/>
  <c r="G17" i="2"/>
  <c r="G18" i="2"/>
  <c r="G19" i="2"/>
  <c r="G20" i="2"/>
  <c r="G16" i="2"/>
  <c r="G36" i="2"/>
  <c r="G4" i="2"/>
  <c r="G5" i="2"/>
  <c r="G6" i="2"/>
  <c r="G3" i="2"/>
  <c r="G41" i="2"/>
  <c r="G22" i="2" l="1"/>
  <c r="G48" i="1"/>
  <c r="G49" i="1"/>
  <c r="G17" i="1"/>
  <c r="G18" i="1"/>
  <c r="G19" i="1"/>
  <c r="G3" i="1"/>
  <c r="G47" i="1" l="1"/>
  <c r="G51" i="1" s="1"/>
  <c r="G16" i="1"/>
  <c r="G20" i="1" s="1"/>
  <c r="G43" i="1"/>
  <c r="G22" i="1" l="1"/>
  <c r="G10" i="1"/>
  <c r="G11" i="1"/>
  <c r="G12" i="1"/>
  <c r="G9" i="1"/>
  <c r="G40" i="5" l="1"/>
  <c r="G43" i="4"/>
  <c r="G37" i="4"/>
  <c r="G33" i="4"/>
  <c r="G20" i="4"/>
  <c r="G14" i="4"/>
  <c r="G7" i="4"/>
  <c r="G45" i="3"/>
  <c r="G41" i="3"/>
  <c r="G24" i="3"/>
  <c r="G18" i="3"/>
  <c r="G10" i="3"/>
  <c r="G49" i="2"/>
  <c r="G43" i="2"/>
  <c r="G50" i="2" s="1"/>
  <c r="G39" i="2"/>
  <c r="G41" i="1"/>
</calcChain>
</file>

<file path=xl/sharedStrings.xml><?xml version="1.0" encoding="utf-8"?>
<sst xmlns="http://schemas.openxmlformats.org/spreadsheetml/2006/main" count="572" uniqueCount="196">
  <si>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</si>
  <si>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</si>
  <si>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</si>
  <si>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</si>
  <si>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</si>
  <si>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</si>
  <si>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</si>
  <si>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</si>
  <si>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</si>
  <si>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</si>
  <si>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</si>
  <si>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</si>
  <si>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</si>
  <si>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</si>
  <si>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</si>
  <si>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</si>
  <si>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</si>
  <si>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</si>
  <si>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</si>
  <si>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</si>
  <si>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</si>
  <si>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</si>
  <si>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</si>
  <si>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</si>
  <si>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</si>
  <si>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</si>
  <si>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</si>
  <si>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</si>
  <si>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</si>
  <si>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</si>
  <si>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</si>
  <si>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</si>
  <si>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</si>
  <si>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</si>
  <si>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</si>
  <si>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</si>
  <si>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</si>
  <si>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</si>
  <si>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</si>
  <si>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</si>
  <si>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</si>
  <si>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</si>
  <si>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電訊科技中心(安康營區)     114年     12月   8日      午餐明細表</t>
    <phoneticPr fontId="2" type="noConversion"/>
  </si>
  <si>
    <t>電訊科技中心(安康營區)     114年      12月   09日      午餐明細表</t>
    <phoneticPr fontId="2" type="noConversion"/>
  </si>
  <si>
    <t>電訊科技中心(安康營區)     114年      12月   10日      午餐明細表</t>
    <phoneticPr fontId="2" type="noConversion"/>
  </si>
  <si>
    <t>電訊科技中心(安康營區)     114年      12月   11日      午餐明細表</t>
    <phoneticPr fontId="2" type="noConversion"/>
  </si>
  <si>
    <t>電訊科技中心(安康營區)     114年      12月   12日      午餐明細表</t>
    <phoneticPr fontId="2" type="noConversion"/>
  </si>
  <si>
    <t>黑胡椒豬柳</t>
    <phoneticPr fontId="2" type="noConversion"/>
  </si>
  <si>
    <t>薑燒南瓜</t>
    <phoneticPr fontId="2" type="noConversion"/>
  </si>
  <si>
    <t>螞蟻上樹</t>
    <phoneticPr fontId="2" type="noConversion"/>
  </si>
  <si>
    <t>豬柳</t>
    <phoneticPr fontId="2" type="noConversion"/>
  </si>
  <si>
    <t>去皮洋蔥</t>
    <phoneticPr fontId="2" type="noConversion"/>
  </si>
  <si>
    <t>黑胡椒醬</t>
    <phoneticPr fontId="2" type="noConversion"/>
  </si>
  <si>
    <t>乳瑪琳(小)</t>
    <phoneticPr fontId="2" type="noConversion"/>
  </si>
  <si>
    <t>南瓜塊</t>
    <phoneticPr fontId="2" type="noConversion"/>
  </si>
  <si>
    <t>薑絲</t>
    <phoneticPr fontId="2" type="noConversion"/>
  </si>
  <si>
    <t>木耳絲</t>
    <phoneticPr fontId="2" type="noConversion"/>
  </si>
  <si>
    <t>胡蘿蔔絲</t>
    <phoneticPr fontId="2" type="noConversion"/>
  </si>
  <si>
    <t>絞肉</t>
    <phoneticPr fontId="2" type="noConversion"/>
  </si>
  <si>
    <t>冬粉</t>
    <phoneticPr fontId="2" type="noConversion"/>
  </si>
  <si>
    <t>桶</t>
    <phoneticPr fontId="2" type="noConversion"/>
  </si>
  <si>
    <t>罐</t>
    <phoneticPr fontId="2" type="noConversion"/>
  </si>
  <si>
    <t>油麵</t>
    <phoneticPr fontId="2" type="noConversion"/>
  </si>
  <si>
    <t>肉羹</t>
    <phoneticPr fontId="2" type="noConversion"/>
  </si>
  <si>
    <t>筍絲</t>
    <phoneticPr fontId="2" type="noConversion"/>
  </si>
  <si>
    <t>味噌豆腐湯</t>
    <phoneticPr fontId="2" type="noConversion"/>
  </si>
  <si>
    <t>味噌</t>
    <phoneticPr fontId="2" type="noConversion"/>
  </si>
  <si>
    <t>4.3豆腐</t>
    <phoneticPr fontId="2" type="noConversion"/>
  </si>
  <si>
    <t>素肚</t>
    <phoneticPr fontId="2" type="noConversion"/>
  </si>
  <si>
    <t>九層塔</t>
    <phoneticPr fontId="2" type="noConversion"/>
  </si>
  <si>
    <t>個</t>
    <phoneticPr fontId="2" type="noConversion"/>
  </si>
  <si>
    <t>盒</t>
    <phoneticPr fontId="2" type="noConversion"/>
  </si>
  <si>
    <t>板</t>
    <phoneticPr fontId="2" type="noConversion"/>
  </si>
  <si>
    <t>咖哩雞</t>
    <phoneticPr fontId="2" type="noConversion"/>
  </si>
  <si>
    <t>酥炸鮑菇</t>
    <phoneticPr fontId="2" type="noConversion"/>
  </si>
  <si>
    <t>糖心蛋</t>
    <phoneticPr fontId="2" type="noConversion"/>
  </si>
  <si>
    <t>綠豆薏仁</t>
    <phoneticPr fontId="2" type="noConversion"/>
  </si>
  <si>
    <t>咖哩塊</t>
    <phoneticPr fontId="2" type="noConversion"/>
  </si>
  <si>
    <t>鮮奶油</t>
    <phoneticPr fontId="2" type="noConversion"/>
  </si>
  <si>
    <t>去皮馬鈴薯</t>
    <phoneticPr fontId="2" type="noConversion"/>
  </si>
  <si>
    <t>去骨雞腿丁3*3</t>
    <phoneticPr fontId="2" type="noConversion"/>
  </si>
  <si>
    <t>杏鮑菇</t>
    <phoneticPr fontId="2" type="noConversion"/>
  </si>
  <si>
    <t>酥炸粉</t>
    <phoneticPr fontId="2" type="noConversion"/>
  </si>
  <si>
    <t>鳥蛋</t>
    <phoneticPr fontId="2" type="noConversion"/>
  </si>
  <si>
    <t>油豆腐丁</t>
    <phoneticPr fontId="2" type="noConversion"/>
  </si>
  <si>
    <t>海帶結</t>
    <phoneticPr fontId="2" type="noConversion"/>
  </si>
  <si>
    <t>蒜泥</t>
    <phoneticPr fontId="2" type="noConversion"/>
  </si>
  <si>
    <t>豬肉片</t>
    <phoneticPr fontId="2" type="noConversion"/>
  </si>
  <si>
    <t>五花肉片</t>
    <phoneticPr fontId="2" type="noConversion"/>
  </si>
  <si>
    <t>半</t>
    <phoneticPr fontId="2" type="noConversion"/>
  </si>
  <si>
    <t>粒</t>
    <phoneticPr fontId="2" type="noConversion"/>
  </si>
  <si>
    <t>包</t>
    <phoneticPr fontId="2" type="noConversion"/>
  </si>
  <si>
    <t>瓶</t>
    <phoneticPr fontId="2" type="noConversion"/>
  </si>
  <si>
    <t>綠豆</t>
    <phoneticPr fontId="2" type="noConversion"/>
  </si>
  <si>
    <t>薏仁</t>
    <phoneticPr fontId="2" type="noConversion"/>
  </si>
  <si>
    <t>庫存</t>
    <phoneticPr fontId="2" type="noConversion"/>
  </si>
  <si>
    <t>南瓜炒米粉</t>
    <phoneticPr fontId="2" type="noConversion"/>
  </si>
  <si>
    <t>檸檬鯖魚</t>
    <phoneticPr fontId="2" type="noConversion"/>
  </si>
  <si>
    <t>大黃瓜肉片</t>
    <phoneticPr fontId="2" type="noConversion"/>
  </si>
  <si>
    <t>濕米粉</t>
    <phoneticPr fontId="2" type="noConversion"/>
  </si>
  <si>
    <t>肉絲</t>
    <phoneticPr fontId="2" type="noConversion"/>
  </si>
  <si>
    <t>乾香菇絲</t>
    <phoneticPr fontId="2" type="noConversion"/>
  </si>
  <si>
    <t>去皮南瓜片</t>
    <phoneticPr fontId="2" type="noConversion"/>
  </si>
  <si>
    <t>小蝦米</t>
    <phoneticPr fontId="2" type="noConversion"/>
  </si>
  <si>
    <t>紅蔥頭醬</t>
    <phoneticPr fontId="2" type="noConversion"/>
  </si>
  <si>
    <t>鯖魚</t>
    <phoneticPr fontId="2" type="noConversion"/>
  </si>
  <si>
    <t>檸檬</t>
    <phoneticPr fontId="2" type="noConversion"/>
  </si>
  <si>
    <t>切片大黃瓜</t>
    <phoneticPr fontId="2" type="noConversion"/>
  </si>
  <si>
    <t>金針排骨湯</t>
    <phoneticPr fontId="2" type="noConversion"/>
  </si>
  <si>
    <t>金針</t>
    <phoneticPr fontId="2" type="noConversion"/>
  </si>
  <si>
    <t>軟骨排</t>
    <phoneticPr fontId="2" type="noConversion"/>
  </si>
  <si>
    <t>紅椒</t>
    <phoneticPr fontId="2" type="noConversion"/>
  </si>
  <si>
    <t>黃椒</t>
    <phoneticPr fontId="2" type="noConversion"/>
  </si>
  <si>
    <t>片</t>
    <phoneticPr fontId="2" type="noConversion"/>
  </si>
  <si>
    <t>香菇蒸肉</t>
    <phoneticPr fontId="2" type="noConversion"/>
  </si>
  <si>
    <t>蒜泥豆腐</t>
    <phoneticPr fontId="2" type="noConversion"/>
  </si>
  <si>
    <t>清炒絲瓜</t>
    <phoneticPr fontId="2" type="noConversion"/>
  </si>
  <si>
    <t>芹菜魚丸湯</t>
    <phoneticPr fontId="2" type="noConversion"/>
  </si>
  <si>
    <t>蔥油雞</t>
    <phoneticPr fontId="2" type="noConversion"/>
  </si>
  <si>
    <t>番茄炒蛋</t>
    <phoneticPr fontId="2" type="noConversion"/>
  </si>
  <si>
    <t>三杯麵腸</t>
    <phoneticPr fontId="2" type="noConversion"/>
  </si>
  <si>
    <t>冬瓜海帶結</t>
    <phoneticPr fontId="2" type="noConversion"/>
  </si>
  <si>
    <t>生香菇</t>
    <phoneticPr fontId="2" type="noConversion"/>
  </si>
  <si>
    <t>去皮絲瓜</t>
    <phoneticPr fontId="2" type="noConversion"/>
  </si>
  <si>
    <t>胡蘿蔔</t>
    <phoneticPr fontId="2" type="noConversion"/>
  </si>
  <si>
    <t>川耳</t>
    <phoneticPr fontId="2" type="noConversion"/>
  </si>
  <si>
    <t>去葉芹菜</t>
    <phoneticPr fontId="2" type="noConversion"/>
  </si>
  <si>
    <t>小魚丸</t>
    <phoneticPr fontId="2" type="noConversion"/>
  </si>
  <si>
    <t>雞翅</t>
    <phoneticPr fontId="2" type="noConversion"/>
  </si>
  <si>
    <t>烏龍麵</t>
    <phoneticPr fontId="2" type="noConversion"/>
  </si>
  <si>
    <t>鮑魚菇</t>
    <phoneticPr fontId="2" type="noConversion"/>
  </si>
  <si>
    <t>棒腿</t>
    <phoneticPr fontId="2" type="noConversion"/>
  </si>
  <si>
    <t>牛番茄</t>
    <phoneticPr fontId="2" type="noConversion"/>
  </si>
  <si>
    <t>雞蛋</t>
    <phoneticPr fontId="2" type="noConversion"/>
  </si>
  <si>
    <t>麵腸切片</t>
    <phoneticPr fontId="2" type="noConversion"/>
  </si>
  <si>
    <t>乳酪絲</t>
    <phoneticPr fontId="2" type="noConversion"/>
  </si>
  <si>
    <t>香腸</t>
    <phoneticPr fontId="2" type="noConversion"/>
  </si>
  <si>
    <t>滷蛋</t>
    <phoneticPr fontId="2" type="noConversion"/>
  </si>
  <si>
    <t>五花絞肉</t>
    <phoneticPr fontId="2" type="noConversion"/>
  </si>
  <si>
    <t>去皮冬瓜</t>
    <phoneticPr fontId="2" type="noConversion"/>
  </si>
  <si>
    <t>青蔥</t>
    <phoneticPr fontId="2" type="noConversion"/>
  </si>
  <si>
    <t>高麗菜</t>
    <phoneticPr fontId="2" type="noConversion"/>
  </si>
  <si>
    <t>斤</t>
    <phoneticPr fontId="2" type="noConversion"/>
  </si>
  <si>
    <t>鋁箔紙</t>
    <phoneticPr fontId="2" type="noConversion"/>
  </si>
  <si>
    <t>支</t>
    <phoneticPr fontId="2" type="noConversion"/>
  </si>
  <si>
    <t>布丁</t>
    <phoneticPr fontId="2" type="noConversion"/>
  </si>
  <si>
    <t>個</t>
    <phoneticPr fontId="2" type="noConversion"/>
  </si>
  <si>
    <t>油菜</t>
    <phoneticPr fontId="2" type="noConversion"/>
  </si>
  <si>
    <t>大亨堡</t>
    <phoneticPr fontId="2" type="noConversion"/>
  </si>
  <si>
    <t>香蕉</t>
    <phoneticPr fontId="2" type="noConversion"/>
  </si>
  <si>
    <t>洋香瓜</t>
    <phoneticPr fontId="2" type="noConversion"/>
  </si>
  <si>
    <t>白醋</t>
    <phoneticPr fontId="2" type="noConversion"/>
  </si>
  <si>
    <t>桶</t>
    <phoneticPr fontId="2" type="noConversion"/>
  </si>
  <si>
    <t>沙拉油</t>
    <phoneticPr fontId="2" type="noConversion"/>
  </si>
  <si>
    <t>無骨香雞排</t>
    <phoneticPr fontId="2" type="noConversion"/>
  </si>
  <si>
    <t>件</t>
    <phoneticPr fontId="2" type="noConversion"/>
  </si>
  <si>
    <t>味霖</t>
    <phoneticPr fontId="2" type="noConversion"/>
  </si>
  <si>
    <t>韭菜花</t>
    <phoneticPr fontId="2" type="noConversion"/>
  </si>
  <si>
    <t>斤</t>
    <phoneticPr fontId="2" type="noConversion"/>
  </si>
  <si>
    <t>魷魚花</t>
    <phoneticPr fontId="2" type="noConversion"/>
  </si>
  <si>
    <t>高麗菜</t>
    <phoneticPr fontId="2" type="noConversion"/>
  </si>
  <si>
    <t>骨腿塊</t>
    <phoneticPr fontId="2" type="noConversion"/>
  </si>
  <si>
    <t>太白粉</t>
    <phoneticPr fontId="2" type="noConversion"/>
  </si>
  <si>
    <t>包</t>
    <phoneticPr fontId="2" type="noConversion"/>
  </si>
  <si>
    <t>蔥酥</t>
    <phoneticPr fontId="2" type="noConversion"/>
  </si>
  <si>
    <t>調理米酒</t>
    <phoneticPr fontId="2" type="noConversion"/>
  </si>
  <si>
    <t>瓶</t>
    <phoneticPr fontId="2" type="noConversion"/>
  </si>
  <si>
    <t>去皮洋蔥</t>
    <phoneticPr fontId="2" type="noConversion"/>
  </si>
  <si>
    <t>醬油</t>
    <phoneticPr fontId="2" type="noConversion"/>
  </si>
  <si>
    <t>烏醋</t>
    <phoneticPr fontId="2" type="noConversion"/>
  </si>
  <si>
    <t>鮪魚罐</t>
    <phoneticPr fontId="2" type="noConversion"/>
  </si>
  <si>
    <t>罐</t>
    <phoneticPr fontId="2" type="noConversion"/>
  </si>
  <si>
    <t>盒</t>
    <phoneticPr fontId="2" type="noConversion"/>
  </si>
  <si>
    <t>素肉排</t>
    <phoneticPr fontId="2" type="noConversion"/>
  </si>
  <si>
    <t>高鮮味素</t>
    <phoneticPr fontId="2" type="noConversion"/>
  </si>
  <si>
    <t>辣豆瓣</t>
    <phoneticPr fontId="2" type="noConversion"/>
  </si>
  <si>
    <t>鳳梨片罐</t>
    <phoneticPr fontId="2" type="noConversion"/>
  </si>
  <si>
    <t>鵝白菜</t>
    <phoneticPr fontId="2" type="noConversion"/>
  </si>
  <si>
    <t>胡椒粉</t>
    <phoneticPr fontId="2" type="noConversion"/>
  </si>
  <si>
    <t>青椒</t>
    <phoneticPr fontId="2" type="noConversion"/>
  </si>
  <si>
    <t>斤</t>
    <phoneticPr fontId="2" type="noConversion"/>
  </si>
  <si>
    <t>高麗菜</t>
    <phoneticPr fontId="2" type="noConversion"/>
  </si>
  <si>
    <t>蒜仁</t>
    <phoneticPr fontId="2" type="noConversion"/>
  </si>
  <si>
    <t>二砂</t>
    <phoneticPr fontId="2" type="noConversion"/>
  </si>
  <si>
    <t>袋</t>
    <phoneticPr fontId="2" type="noConversion"/>
  </si>
  <si>
    <t>三好米</t>
    <phoneticPr fontId="2" type="noConversion"/>
  </si>
  <si>
    <t>油膏</t>
    <phoneticPr fontId="2" type="noConversion"/>
  </si>
  <si>
    <t>桶</t>
    <phoneticPr fontId="2" type="noConversion"/>
  </si>
  <si>
    <t>素蠔油</t>
    <phoneticPr fontId="2" type="noConversion"/>
  </si>
  <si>
    <t>金針</t>
    <phoneticPr fontId="2" type="noConversion"/>
  </si>
  <si>
    <t>番茄醬</t>
    <phoneticPr fontId="2" type="noConversion"/>
  </si>
  <si>
    <t>蔥酥</t>
    <phoneticPr fontId="2" type="noConversion"/>
  </si>
  <si>
    <t>包</t>
    <phoneticPr fontId="2" type="noConversion"/>
  </si>
  <si>
    <t>沙拉油</t>
    <phoneticPr fontId="2" type="noConversion"/>
  </si>
  <si>
    <t>水果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</si>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</sst>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5"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42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47</v>
      </c>
      <c r="B3" s="1" t="s">
        <v>50</v>
      </c>
      <c r="C3" s="1">
        <v>60</v>
      </c>
      <c r="D3" s="1">
        <v>144</v>
      </c>
      <c r="E3" s="19">
        <v>60</v>
      </c>
      <c r="F3" s="19" t="s">
        <v>37</v>
      </c>
      <c r="G3" s="20">
        <f>D3*E3</f>
        <v>8640</v>
      </c>
      <c r="H3" s="1"/>
    </row>
    <row r="4" spans="1:8" x14ac:dyDescent="0.25">
      <c r="A4" s="46"/>
      <c r="B4" s="10" t="s">
        <v>51</v>
      </c>
      <c r="C4" s="10">
        <v>6</v>
      </c>
      <c r="D4" s="10">
        <v>30.6</v>
      </c>
      <c r="E4" s="10">
        <v>6</v>
      </c>
      <c r="F4" s="33" t="s">
        <v>37</v>
      </c>
      <c r="G4" s="20">
        <f t="shared" ref="G4:G6" si="0">D4*E4</f>
        <v>183.60000000000002</v>
      </c>
      <c r="H4" s="1"/>
    </row>
    <row r="5" spans="1:8" x14ac:dyDescent="0.25">
      <c r="A5" s="46"/>
      <c r="B5" s="1" t="s">
        <v>52</v>
      </c>
      <c r="C5" s="1">
        <v>2</v>
      </c>
      <c r="D5" s="1">
        <v>587</v>
      </c>
      <c r="E5" s="1">
        <v>2</v>
      </c>
      <c r="F5" s="1" t="s">
        <v>60</v>
      </c>
      <c r="G5" s="20">
        <f t="shared" si="0"/>
        <v>1174</v>
      </c>
      <c r="H5" s="1"/>
    </row>
    <row r="6" spans="1:8" x14ac:dyDescent="0.25">
      <c r="A6" s="46"/>
      <c r="B6" s="1" t="s">
        <v>53</v>
      </c>
      <c r="C6" s="1">
        <v>2</v>
      </c>
      <c r="D6" s="1">
        <v>210</v>
      </c>
      <c r="E6" s="3">
        <v>2</v>
      </c>
      <c r="F6" s="29" t="s">
        <v>61</v>
      </c>
      <c r="G6" s="20">
        <f t="shared" si="0"/>
        <v>420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3">
        <f>SUM(G3:G6)</f>
        <v>10417.6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48</v>
      </c>
      <c r="B9" s="1" t="s">
        <v>54</v>
      </c>
      <c r="C9" s="1">
        <v>45</v>
      </c>
      <c r="D9" s="1">
        <v>12.54</v>
      </c>
      <c r="E9" s="1">
        <v>45</v>
      </c>
      <c r="F9" s="33" t="s">
        <v>37</v>
      </c>
      <c r="G9" s="1">
        <f>D9*E9</f>
        <v>564.29999999999995</v>
      </c>
      <c r="H9" s="1"/>
    </row>
    <row r="10" spans="1:8" x14ac:dyDescent="0.25">
      <c r="A10" s="46"/>
      <c r="B10" s="1" t="s">
        <v>55</v>
      </c>
      <c r="C10" s="1">
        <v>2</v>
      </c>
      <c r="D10" s="1">
        <v>125.4</v>
      </c>
      <c r="E10" s="1">
        <v>2</v>
      </c>
      <c r="F10" s="33" t="s">
        <v>37</v>
      </c>
      <c r="G10" s="10">
        <f t="shared" ref="G10:G12" si="1">D10*E10</f>
        <v>250.8</v>
      </c>
      <c r="H10" s="1"/>
    </row>
    <row r="11" spans="1:8" x14ac:dyDescent="0.25">
      <c r="A11" s="46"/>
      <c r="B11" s="1"/>
      <c r="C11" s="1"/>
      <c r="D11" s="1"/>
      <c r="E11" s="1"/>
      <c r="F11" s="1"/>
      <c r="G11" s="10">
        <f t="shared" si="1"/>
        <v>0</v>
      </c>
      <c r="H11" s="1"/>
    </row>
    <row r="12" spans="1:8" x14ac:dyDescent="0.25">
      <c r="A12" s="46"/>
      <c r="B12" s="1"/>
      <c r="C12" s="1"/>
      <c r="D12" s="1"/>
      <c r="E12" s="1"/>
      <c r="F12" s="1"/>
      <c r="G12" s="10">
        <f t="shared" si="1"/>
        <v>0</v>
      </c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3">
        <f>SUM(G9:G13)</f>
        <v>815.09999999999991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49</v>
      </c>
      <c r="B16" s="1" t="s">
        <v>56</v>
      </c>
      <c r="C16" s="1">
        <v>2</v>
      </c>
      <c r="D16" s="1">
        <v>60</v>
      </c>
      <c r="E16" s="1">
        <v>2</v>
      </c>
      <c r="F16" s="33" t="s">
        <v>37</v>
      </c>
      <c r="G16" s="1">
        <f>D16*E16</f>
        <v>120</v>
      </c>
      <c r="H16" s="1"/>
    </row>
    <row r="17" spans="1:8" x14ac:dyDescent="0.25">
      <c r="A17" s="46"/>
      <c r="B17" s="1" t="s">
        <v>57</v>
      </c>
      <c r="C17" s="1">
        <v>3</v>
      </c>
      <c r="D17" s="1">
        <v>20.52</v>
      </c>
      <c r="E17" s="1">
        <v>3</v>
      </c>
      <c r="F17" s="33" t="s">
        <v>37</v>
      </c>
      <c r="G17" s="16">
        <f t="shared" ref="G17:G19" si="2">D17*E17</f>
        <v>61.56</v>
      </c>
      <c r="H17" s="1"/>
    </row>
    <row r="18" spans="1:8" x14ac:dyDescent="0.25">
      <c r="A18" s="46"/>
      <c r="B18" s="1" t="s">
        <v>58</v>
      </c>
      <c r="C18" s="1">
        <v>10</v>
      </c>
      <c r="D18" s="1">
        <v>117</v>
      </c>
      <c r="E18" s="1">
        <v>10</v>
      </c>
      <c r="F18" s="33" t="s">
        <v>37</v>
      </c>
      <c r="G18" s="2">
        <f t="shared" si="2"/>
        <v>1170</v>
      </c>
      <c r="H18" s="1"/>
    </row>
    <row r="19" spans="1:8" x14ac:dyDescent="0.25">
      <c r="A19" s="46"/>
      <c r="B19" s="1" t="s">
        <v>59</v>
      </c>
      <c r="C19" s="1">
        <v>10</v>
      </c>
      <c r="D19" s="1">
        <v>93</v>
      </c>
      <c r="E19" s="3">
        <v>10</v>
      </c>
      <c r="F19" s="32" t="s">
        <v>37</v>
      </c>
      <c r="G19" s="16">
        <f t="shared" si="2"/>
        <v>930</v>
      </c>
      <c r="H19" s="1"/>
    </row>
    <row r="20" spans="1:8" x14ac:dyDescent="0.25">
      <c r="A20" s="46"/>
      <c r="B20" s="43"/>
      <c r="C20" s="44"/>
      <c r="D20" s="45"/>
      <c r="E20" s="3"/>
      <c r="F20" s="3"/>
      <c r="G20" s="13">
        <f>SUM(G16:G19)</f>
        <v>2281.56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32</v>
      </c>
      <c r="C22" s="1">
        <v>2</v>
      </c>
      <c r="D22" s="1">
        <v>150</v>
      </c>
      <c r="E22" s="1">
        <v>2</v>
      </c>
      <c r="F22" s="1" t="s">
        <v>16</v>
      </c>
      <c r="G22" s="1">
        <f>D22*E22</f>
        <v>300</v>
      </c>
      <c r="H22" s="1"/>
    </row>
    <row r="23" spans="1:8" x14ac:dyDescent="0.25">
      <c r="A23" s="46"/>
      <c r="B23" s="25" t="s">
        <v>35</v>
      </c>
      <c r="C23" s="1" t="s">
        <v>41</v>
      </c>
      <c r="D23" s="1">
        <v>99</v>
      </c>
      <c r="E23" s="1">
        <v>0.5</v>
      </c>
      <c r="F23" s="1" t="s">
        <v>29</v>
      </c>
      <c r="G23" s="34">
        <f t="shared" ref="G23:G35" si="3">D23*E23</f>
        <v>49.5</v>
      </c>
      <c r="H23" s="1"/>
    </row>
    <row r="24" spans="1:8" x14ac:dyDescent="0.25">
      <c r="A24" s="46"/>
      <c r="B24" s="25" t="s">
        <v>22</v>
      </c>
      <c r="C24" s="1">
        <v>8</v>
      </c>
      <c r="D24" s="1">
        <v>96.9</v>
      </c>
      <c r="E24" s="1">
        <v>8</v>
      </c>
      <c r="F24" s="1" t="s">
        <v>21</v>
      </c>
      <c r="G24" s="34">
        <f t="shared" si="3"/>
        <v>775.2</v>
      </c>
      <c r="H24" s="1"/>
    </row>
    <row r="25" spans="1:8" x14ac:dyDescent="0.25">
      <c r="A25" s="46"/>
      <c r="B25" s="1" t="s">
        <v>23</v>
      </c>
      <c r="C25" s="1">
        <v>6</v>
      </c>
      <c r="D25" s="1">
        <v>54.9</v>
      </c>
      <c r="E25" s="1">
        <v>4</v>
      </c>
      <c r="F25" s="1" t="s">
        <v>21</v>
      </c>
      <c r="G25" s="34">
        <f t="shared" si="3"/>
        <v>219.6</v>
      </c>
      <c r="H25" s="1"/>
    </row>
    <row r="26" spans="1:8" x14ac:dyDescent="0.25">
      <c r="A26" s="46"/>
      <c r="B26" s="10" t="s">
        <v>24</v>
      </c>
      <c r="C26" s="10">
        <v>2</v>
      </c>
      <c r="D26" s="10">
        <v>50.4</v>
      </c>
      <c r="E26" s="10">
        <v>20</v>
      </c>
      <c r="F26" s="34" t="s">
        <v>16</v>
      </c>
      <c r="G26" s="34">
        <f t="shared" si="3"/>
        <v>1008</v>
      </c>
      <c r="H26" s="10"/>
    </row>
    <row r="27" spans="1:8" x14ac:dyDescent="0.25">
      <c r="A27" s="46"/>
      <c r="B27" s="10" t="s">
        <v>40</v>
      </c>
      <c r="C27" s="10">
        <v>4</v>
      </c>
      <c r="D27" s="10">
        <v>112.5</v>
      </c>
      <c r="E27" s="10">
        <v>4</v>
      </c>
      <c r="F27" s="10" t="s">
        <v>33</v>
      </c>
      <c r="G27" s="34">
        <f t="shared" si="3"/>
        <v>450</v>
      </c>
      <c r="H27" s="10"/>
    </row>
    <row r="28" spans="1:8" x14ac:dyDescent="0.25">
      <c r="A28" s="46"/>
      <c r="B28" s="33" t="s">
        <v>62</v>
      </c>
      <c r="C28" s="33">
        <v>8</v>
      </c>
      <c r="D28" s="33">
        <v>22.8</v>
      </c>
      <c r="E28" s="33">
        <v>8</v>
      </c>
      <c r="F28" s="33" t="s">
        <v>37</v>
      </c>
      <c r="G28" s="34">
        <f t="shared" si="3"/>
        <v>182.4</v>
      </c>
      <c r="H28" s="33"/>
    </row>
    <row r="29" spans="1:8" x14ac:dyDescent="0.25">
      <c r="A29" s="46"/>
      <c r="B29" s="33" t="s">
        <v>63</v>
      </c>
      <c r="C29" s="33">
        <v>5</v>
      </c>
      <c r="D29" s="33">
        <v>125</v>
      </c>
      <c r="E29" s="33">
        <v>5</v>
      </c>
      <c r="F29" s="33" t="s">
        <v>37</v>
      </c>
      <c r="G29" s="34">
        <f t="shared" si="3"/>
        <v>625</v>
      </c>
      <c r="H29" s="33"/>
    </row>
    <row r="30" spans="1:8" x14ac:dyDescent="0.25">
      <c r="A30" s="46"/>
      <c r="B30" s="33" t="s">
        <v>64</v>
      </c>
      <c r="C30" s="33">
        <v>2</v>
      </c>
      <c r="D30" s="33">
        <v>85.5</v>
      </c>
      <c r="E30" s="33">
        <v>2</v>
      </c>
      <c r="F30" s="33" t="s">
        <v>37</v>
      </c>
      <c r="G30" s="34">
        <f t="shared" si="3"/>
        <v>171</v>
      </c>
      <c r="H30" s="33"/>
    </row>
    <row r="31" spans="1:8" x14ac:dyDescent="0.25">
      <c r="A31" s="46"/>
      <c r="B31" s="10" t="s">
        <v>68</v>
      </c>
      <c r="C31" s="10">
        <v>7</v>
      </c>
      <c r="D31" s="10">
        <v>85</v>
      </c>
      <c r="E31" s="10">
        <v>1.67</v>
      </c>
      <c r="F31" s="10" t="s">
        <v>16</v>
      </c>
      <c r="G31" s="34">
        <f t="shared" si="3"/>
        <v>141.94999999999999</v>
      </c>
      <c r="H31" s="10"/>
    </row>
    <row r="32" spans="1:8" x14ac:dyDescent="0.25">
      <c r="A32" s="46"/>
      <c r="B32" s="10" t="s">
        <v>69</v>
      </c>
      <c r="C32" s="10">
        <v>0.2</v>
      </c>
      <c r="D32" s="10">
        <v>56.1</v>
      </c>
      <c r="E32" s="10">
        <v>0.5</v>
      </c>
      <c r="F32" s="33" t="s">
        <v>37</v>
      </c>
      <c r="G32" s="34">
        <f t="shared" si="3"/>
        <v>28.05</v>
      </c>
      <c r="H32" s="10"/>
    </row>
    <row r="33" spans="1:8" x14ac:dyDescent="0.25">
      <c r="A33" s="46"/>
      <c r="B33" s="10" t="s">
        <v>143</v>
      </c>
      <c r="C33" s="10"/>
      <c r="D33" s="37"/>
      <c r="E33" s="10">
        <v>2</v>
      </c>
      <c r="F33" s="10" t="s">
        <v>144</v>
      </c>
      <c r="G33" s="37">
        <f t="shared" si="3"/>
        <v>0</v>
      </c>
      <c r="H33" s="10"/>
    </row>
    <row r="34" spans="1:8" x14ac:dyDescent="0.25">
      <c r="A34" s="46"/>
      <c r="B34" s="10" t="s">
        <v>34</v>
      </c>
      <c r="C34" s="10">
        <v>1</v>
      </c>
      <c r="D34" s="10">
        <v>4.5</v>
      </c>
      <c r="E34" s="10">
        <v>100</v>
      </c>
      <c r="F34" s="10" t="s">
        <v>70</v>
      </c>
      <c r="G34" s="34">
        <f t="shared" si="3"/>
        <v>450</v>
      </c>
      <c r="H34" s="10"/>
    </row>
    <row r="35" spans="1:8" x14ac:dyDescent="0.25">
      <c r="A35" s="46"/>
      <c r="B35" s="27" t="s">
        <v>31</v>
      </c>
      <c r="C35" s="27">
        <v>1</v>
      </c>
      <c r="D35" s="27">
        <v>240</v>
      </c>
      <c r="E35" s="27">
        <v>1</v>
      </c>
      <c r="F35" s="27" t="s">
        <v>30</v>
      </c>
      <c r="G35" s="34">
        <f t="shared" si="3"/>
        <v>240</v>
      </c>
      <c r="H35" s="1"/>
    </row>
    <row r="36" spans="1:8" x14ac:dyDescent="0.25">
      <c r="A36" s="10"/>
      <c r="B36" s="43" t="s">
        <v>17</v>
      </c>
      <c r="C36" s="44"/>
      <c r="D36" s="45"/>
      <c r="E36" s="27"/>
      <c r="F36" s="27"/>
      <c r="G36" s="14">
        <f>SUM(G22:G35)</f>
        <v>4640.7000000000007</v>
      </c>
      <c r="H36" s="10"/>
    </row>
    <row r="37" spans="1:8" x14ac:dyDescent="0.25">
      <c r="A37" s="1" t="s">
        <v>11</v>
      </c>
      <c r="B37" s="27" t="s">
        <v>1</v>
      </c>
      <c r="C37" s="27" t="s">
        <v>2</v>
      </c>
      <c r="D37" s="27" t="s">
        <v>3</v>
      </c>
      <c r="E37" s="27" t="s">
        <v>4</v>
      </c>
      <c r="F37" s="27"/>
      <c r="G37" s="1" t="s">
        <v>5</v>
      </c>
      <c r="H37" s="1" t="s">
        <v>6</v>
      </c>
    </row>
    <row r="38" spans="1:8" x14ac:dyDescent="0.25">
      <c r="A38" s="46" t="s">
        <v>65</v>
      </c>
      <c r="B38" s="27" t="s">
        <v>66</v>
      </c>
      <c r="C38" s="27">
        <v>1</v>
      </c>
      <c r="D38" s="27">
        <v>187</v>
      </c>
      <c r="E38" s="27">
        <v>1</v>
      </c>
      <c r="F38" s="27" t="s">
        <v>71</v>
      </c>
      <c r="G38" s="1">
        <f>D38*E38</f>
        <v>187</v>
      </c>
      <c r="H38" s="1"/>
    </row>
    <row r="39" spans="1:8" x14ac:dyDescent="0.25">
      <c r="A39" s="46"/>
      <c r="B39" s="27" t="s">
        <v>67</v>
      </c>
      <c r="C39" s="27">
        <v>4</v>
      </c>
      <c r="D39" s="27">
        <v>180</v>
      </c>
      <c r="E39" s="27">
        <v>4</v>
      </c>
      <c r="F39" s="27" t="s">
        <v>72</v>
      </c>
      <c r="G39" s="34">
        <f>D39*E39</f>
        <v>720</v>
      </c>
      <c r="H39" s="1"/>
    </row>
    <row r="40" spans="1:8" x14ac:dyDescent="0.25">
      <c r="A40" s="46"/>
      <c r="B40" s="27"/>
      <c r="C40" s="27"/>
      <c r="D40" s="27"/>
      <c r="E40" s="27"/>
      <c r="F40" s="27"/>
      <c r="G40" s="1"/>
      <c r="H40" s="1"/>
    </row>
    <row r="41" spans="1:8" x14ac:dyDescent="0.25">
      <c r="A41" s="46"/>
      <c r="B41" s="43"/>
      <c r="C41" s="44"/>
      <c r="D41" s="45"/>
      <c r="E41" s="28"/>
      <c r="F41" s="28"/>
      <c r="G41" s="15">
        <f>SUM(G38:G40)</f>
        <v>907</v>
      </c>
      <c r="H41" s="1"/>
    </row>
    <row r="42" spans="1:8" x14ac:dyDescent="0.25">
      <c r="A42" s="1" t="s">
        <v>12</v>
      </c>
      <c r="B42" s="27" t="s">
        <v>1</v>
      </c>
      <c r="C42" s="27" t="s">
        <v>2</v>
      </c>
      <c r="D42" s="27" t="s">
        <v>3</v>
      </c>
      <c r="E42" s="28" t="s">
        <v>4</v>
      </c>
      <c r="F42" s="28"/>
      <c r="G42" s="3" t="s">
        <v>5</v>
      </c>
      <c r="H42" s="1" t="s">
        <v>6</v>
      </c>
    </row>
    <row r="43" spans="1:8" x14ac:dyDescent="0.25">
      <c r="A43" s="47"/>
      <c r="B43" s="1" t="s">
        <v>141</v>
      </c>
      <c r="C43" s="1"/>
      <c r="D43" s="1">
        <v>8.16</v>
      </c>
      <c r="E43" s="1">
        <v>70</v>
      </c>
      <c r="F43" s="1" t="s">
        <v>142</v>
      </c>
      <c r="G43" s="2">
        <f>D43*E43</f>
        <v>571.20000000000005</v>
      </c>
      <c r="H43" s="1"/>
    </row>
    <row r="44" spans="1:8" x14ac:dyDescent="0.25">
      <c r="A44" s="48"/>
      <c r="B44" s="1" t="s">
        <v>145</v>
      </c>
      <c r="C44" s="1"/>
      <c r="D44" s="1">
        <v>10</v>
      </c>
      <c r="E44" s="1">
        <v>300</v>
      </c>
      <c r="F44" s="1" t="s">
        <v>146</v>
      </c>
      <c r="G44" s="2">
        <f>D44*E44</f>
        <v>3000</v>
      </c>
      <c r="H44" s="1"/>
    </row>
    <row r="45" spans="1:8" x14ac:dyDescent="0.25">
      <c r="A45" s="49"/>
      <c r="B45" s="43" t="s">
        <v>7</v>
      </c>
      <c r="C45" s="44"/>
      <c r="D45" s="45"/>
      <c r="E45" s="3"/>
      <c r="F45" s="3"/>
      <c r="G45" s="13">
        <f>SUM(G43:G44)</f>
        <v>3571.2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6"/>
      <c r="B47" s="1"/>
      <c r="C47" s="1"/>
      <c r="D47" s="1"/>
      <c r="E47" s="1"/>
      <c r="F47" s="1"/>
      <c r="G47" s="1">
        <f>D47*E47</f>
        <v>0</v>
      </c>
      <c r="H47" s="1"/>
    </row>
    <row r="48" spans="1:8" x14ac:dyDescent="0.25">
      <c r="A48" s="46"/>
      <c r="B48" s="1"/>
      <c r="C48" s="1"/>
      <c r="D48" s="1"/>
      <c r="E48" s="1"/>
      <c r="F48" s="1"/>
      <c r="G48" s="2">
        <f>D48*E48</f>
        <v>0</v>
      </c>
      <c r="H48" s="1"/>
    </row>
    <row r="49" spans="1:8" x14ac:dyDescent="0.25">
      <c r="A49" s="46"/>
      <c r="B49" s="1"/>
      <c r="C49" s="1"/>
      <c r="D49" s="1"/>
      <c r="E49" s="1"/>
      <c r="F49" s="1"/>
      <c r="G49" s="16">
        <f>D49*E49</f>
        <v>0</v>
      </c>
      <c r="H49" s="1"/>
    </row>
    <row r="50" spans="1:8" x14ac:dyDescent="0.25">
      <c r="A50" s="46"/>
      <c r="B50" s="1"/>
      <c r="C50" s="1"/>
      <c r="D50" s="1"/>
      <c r="E50" s="1"/>
      <c r="F50" s="1"/>
      <c r="G50" s="1"/>
      <c r="H50" s="1"/>
    </row>
    <row r="51" spans="1:8" x14ac:dyDescent="0.25">
      <c r="A51" s="46"/>
      <c r="B51" s="43" t="s">
        <v>7</v>
      </c>
      <c r="C51" s="44"/>
      <c r="D51" s="45"/>
      <c r="E51" s="3"/>
      <c r="F51" s="3"/>
      <c r="G51" s="15">
        <f>SUM(G47:G50)</f>
        <v>0</v>
      </c>
      <c r="H51" s="1"/>
    </row>
    <row r="52" spans="1:8" x14ac:dyDescent="0.25">
      <c r="A52" s="1"/>
      <c r="B52" s="40" t="s">
        <v>14</v>
      </c>
      <c r="C52" s="41"/>
      <c r="D52" s="42"/>
      <c r="E52" s="8"/>
      <c r="F52" s="8"/>
      <c r="G52" s="9">
        <f>G51+G45+G41+G20+G14+G7+G36</f>
        <v>22633.16</v>
      </c>
      <c r="H52" s="1"/>
    </row>
  </sheetData>
  <mergeCells count="16">
    <mergeCell ref="B20:D20"/>
    <mergeCell ref="A1:H1"/>
    <mergeCell ref="A3:A7"/>
    <mergeCell ref="B7:D7"/>
    <mergeCell ref="A9:A14"/>
    <mergeCell ref="B14:D14"/>
    <mergeCell ref="A47:A51"/>
    <mergeCell ref="A22:A35"/>
    <mergeCell ref="A38:A41"/>
    <mergeCell ref="A43:A45"/>
    <mergeCell ref="A16:A20"/>
    <mergeCell ref="B52:D52"/>
    <mergeCell ref="B51:D51"/>
    <mergeCell ref="B45:D45"/>
    <mergeCell ref="B41:D41"/>
    <mergeCell ref="B36:D36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3" workbookViewId="0">
      <selection activeCell="E27" sqref="E2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43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73</v>
      </c>
      <c r="B3" s="1" t="s">
        <v>77</v>
      </c>
      <c r="C3" s="1">
        <v>2</v>
      </c>
      <c r="D3" s="1">
        <v>300</v>
      </c>
      <c r="E3" s="1">
        <v>2</v>
      </c>
      <c r="F3" s="1" t="s">
        <v>71</v>
      </c>
      <c r="G3" s="2">
        <f>D3*E3</f>
        <v>600</v>
      </c>
      <c r="H3" s="1"/>
    </row>
    <row r="4" spans="1:8" x14ac:dyDescent="0.25">
      <c r="A4" s="46"/>
      <c r="B4" s="1" t="s">
        <v>78</v>
      </c>
      <c r="C4" s="1">
        <v>2</v>
      </c>
      <c r="D4" s="1">
        <v>270</v>
      </c>
      <c r="E4" s="1">
        <v>2</v>
      </c>
      <c r="F4" s="1" t="s">
        <v>92</v>
      </c>
      <c r="G4" s="2">
        <f t="shared" ref="G4:G6" si="0">D4*E4</f>
        <v>540</v>
      </c>
      <c r="H4" s="1"/>
    </row>
    <row r="5" spans="1:8" x14ac:dyDescent="0.25">
      <c r="A5" s="46"/>
      <c r="B5" s="1" t="s">
        <v>79</v>
      </c>
      <c r="C5" s="1">
        <v>15</v>
      </c>
      <c r="D5" s="1">
        <v>29.58</v>
      </c>
      <c r="E5" s="1">
        <v>15</v>
      </c>
      <c r="F5" s="33" t="s">
        <v>37</v>
      </c>
      <c r="G5" s="2">
        <f t="shared" si="0"/>
        <v>443.7</v>
      </c>
      <c r="H5" s="1"/>
    </row>
    <row r="6" spans="1:8" x14ac:dyDescent="0.25">
      <c r="A6" s="46"/>
      <c r="B6" s="1" t="s">
        <v>80</v>
      </c>
      <c r="C6" s="1">
        <v>65</v>
      </c>
      <c r="D6" s="1">
        <v>168</v>
      </c>
      <c r="E6" s="3">
        <v>65</v>
      </c>
      <c r="F6" s="32" t="s">
        <v>37</v>
      </c>
      <c r="G6" s="2">
        <f t="shared" si="0"/>
        <v>10920</v>
      </c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3">
        <f>SUM(G3:G6)</f>
        <v>12503.7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74</v>
      </c>
      <c r="B9" s="1" t="s">
        <v>81</v>
      </c>
      <c r="C9" s="1">
        <v>35</v>
      </c>
      <c r="D9" s="1">
        <v>112.5</v>
      </c>
      <c r="E9" s="1">
        <v>35</v>
      </c>
      <c r="F9" s="33" t="s">
        <v>37</v>
      </c>
      <c r="G9" s="2">
        <f>D9*E9</f>
        <v>3937.5</v>
      </c>
      <c r="H9" s="1"/>
    </row>
    <row r="10" spans="1:8" x14ac:dyDescent="0.25">
      <c r="A10" s="46"/>
      <c r="B10" s="1" t="s">
        <v>82</v>
      </c>
      <c r="C10" s="1">
        <v>5</v>
      </c>
      <c r="D10" s="1">
        <v>93</v>
      </c>
      <c r="E10" s="1">
        <v>5</v>
      </c>
      <c r="F10" s="30" t="s">
        <v>91</v>
      </c>
      <c r="G10" s="18">
        <f>D10*E10</f>
        <v>465</v>
      </c>
      <c r="H10" s="1"/>
    </row>
    <row r="11" spans="1:8" x14ac:dyDescent="0.25">
      <c r="A11" s="46"/>
      <c r="B11" s="1"/>
      <c r="C11" s="1"/>
      <c r="D11" s="1"/>
      <c r="E11" s="1"/>
      <c r="F11" s="30"/>
      <c r="G11" s="1"/>
      <c r="H11" s="1"/>
    </row>
    <row r="12" spans="1:8" x14ac:dyDescent="0.25">
      <c r="A12" s="46"/>
      <c r="B12" s="1"/>
      <c r="C12" s="1"/>
      <c r="D12" s="1"/>
      <c r="E12" s="1"/>
      <c r="F12" s="30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3">
        <f>SUM(G9:G13)</f>
        <v>4402.5</v>
      </c>
      <c r="H14" s="1"/>
    </row>
    <row r="15" spans="1:8" x14ac:dyDescent="0.25">
      <c r="A15" s="27" t="s">
        <v>36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75</v>
      </c>
      <c r="B16" s="1" t="s">
        <v>75</v>
      </c>
      <c r="C16" s="1">
        <v>280</v>
      </c>
      <c r="D16" s="1">
        <v>16</v>
      </c>
      <c r="E16" s="1">
        <v>400</v>
      </c>
      <c r="F16" s="30" t="s">
        <v>90</v>
      </c>
      <c r="G16" s="1">
        <f>D16*E16</f>
        <v>6400</v>
      </c>
      <c r="H16" s="1"/>
    </row>
    <row r="17" spans="1:8" x14ac:dyDescent="0.25">
      <c r="A17" s="46"/>
      <c r="B17" s="1"/>
      <c r="C17" s="1"/>
      <c r="D17" s="1"/>
      <c r="E17" s="1"/>
      <c r="F17" s="1"/>
      <c r="G17" s="18">
        <f t="shared" ref="G17:G20" si="1">D17*E17</f>
        <v>0</v>
      </c>
      <c r="H17" s="1"/>
    </row>
    <row r="18" spans="1:8" x14ac:dyDescent="0.25">
      <c r="A18" s="46"/>
      <c r="B18" s="1"/>
      <c r="C18" s="1"/>
      <c r="D18" s="1"/>
      <c r="E18" s="1"/>
      <c r="F18" s="1"/>
      <c r="G18" s="18">
        <f t="shared" si="1"/>
        <v>0</v>
      </c>
      <c r="H18" s="1"/>
    </row>
    <row r="19" spans="1:8" x14ac:dyDescent="0.25">
      <c r="A19" s="46"/>
      <c r="B19" s="1"/>
      <c r="C19" s="1"/>
      <c r="D19" s="1"/>
      <c r="E19" s="3"/>
      <c r="F19" s="3"/>
      <c r="G19" s="18">
        <f t="shared" si="1"/>
        <v>0</v>
      </c>
      <c r="H19" s="1"/>
    </row>
    <row r="20" spans="1:8" x14ac:dyDescent="0.25">
      <c r="A20" s="46"/>
      <c r="B20" s="1"/>
      <c r="C20" s="1"/>
      <c r="D20" s="1"/>
      <c r="E20" s="3"/>
      <c r="F20" s="3"/>
      <c r="G20" s="18">
        <f t="shared" si="1"/>
        <v>0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3">
        <f>SUM(G16:G21)</f>
        <v>6400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6"/>
      <c r="B24" s="1" t="s">
        <v>25</v>
      </c>
      <c r="C24" s="1">
        <v>20</v>
      </c>
      <c r="D24" s="1">
        <v>60</v>
      </c>
      <c r="E24" s="1">
        <v>20</v>
      </c>
      <c r="F24" s="1" t="s">
        <v>16</v>
      </c>
      <c r="G24" s="1">
        <f>D24*E24</f>
        <v>1200</v>
      </c>
      <c r="H24" s="1"/>
    </row>
    <row r="25" spans="1:8" x14ac:dyDescent="0.25">
      <c r="A25" s="46"/>
      <c r="B25" s="31" t="s">
        <v>38</v>
      </c>
      <c r="C25" s="31">
        <v>2</v>
      </c>
      <c r="D25" s="31">
        <v>530</v>
      </c>
      <c r="E25" s="31">
        <v>8</v>
      </c>
      <c r="F25" s="31" t="s">
        <v>60</v>
      </c>
      <c r="G25" s="34">
        <f t="shared" ref="G25:G33" si="2">D25*E25</f>
        <v>4240</v>
      </c>
      <c r="H25" s="1"/>
    </row>
    <row r="26" spans="1:8" x14ac:dyDescent="0.25">
      <c r="A26" s="46"/>
      <c r="B26" s="31" t="s">
        <v>148</v>
      </c>
      <c r="C26" s="31"/>
      <c r="D26" s="31">
        <v>12</v>
      </c>
      <c r="E26" s="31">
        <v>20</v>
      </c>
      <c r="F26" s="31" t="s">
        <v>70</v>
      </c>
      <c r="G26" s="34">
        <f t="shared" si="2"/>
        <v>240</v>
      </c>
      <c r="H26" s="1"/>
    </row>
    <row r="27" spans="1:8" x14ac:dyDescent="0.25">
      <c r="A27" s="46"/>
      <c r="B27" s="33" t="s">
        <v>83</v>
      </c>
      <c r="C27" s="33">
        <v>50</v>
      </c>
      <c r="D27" s="33">
        <v>156</v>
      </c>
      <c r="E27" s="19">
        <v>1</v>
      </c>
      <c r="F27" s="34" t="s">
        <v>16</v>
      </c>
      <c r="G27" s="34">
        <f t="shared" si="2"/>
        <v>156</v>
      </c>
      <c r="H27" s="33"/>
    </row>
    <row r="28" spans="1:8" x14ac:dyDescent="0.25">
      <c r="A28" s="46"/>
      <c r="B28" s="33" t="s">
        <v>84</v>
      </c>
      <c r="C28" s="33" t="s">
        <v>89</v>
      </c>
      <c r="D28" s="33">
        <v>60</v>
      </c>
      <c r="E28" s="33">
        <v>0.5</v>
      </c>
      <c r="F28" s="33" t="s">
        <v>37</v>
      </c>
      <c r="G28" s="34">
        <f t="shared" si="2"/>
        <v>30</v>
      </c>
      <c r="H28" s="33"/>
    </row>
    <row r="29" spans="1:8" x14ac:dyDescent="0.25">
      <c r="A29" s="46"/>
      <c r="B29" s="33" t="s">
        <v>85</v>
      </c>
      <c r="C29" s="33" t="s">
        <v>89</v>
      </c>
      <c r="D29" s="33">
        <v>63</v>
      </c>
      <c r="E29" s="33">
        <v>0.5</v>
      </c>
      <c r="F29" s="33" t="s">
        <v>37</v>
      </c>
      <c r="G29" s="34">
        <f t="shared" si="2"/>
        <v>31.5</v>
      </c>
      <c r="H29" s="33"/>
    </row>
    <row r="30" spans="1:8" x14ac:dyDescent="0.25">
      <c r="A30" s="46"/>
      <c r="B30" s="1" t="s">
        <v>86</v>
      </c>
      <c r="C30" s="1" t="s">
        <v>89</v>
      </c>
      <c r="D30" s="1">
        <v>108.3</v>
      </c>
      <c r="E30" s="1">
        <v>0.5</v>
      </c>
      <c r="F30" s="33" t="s">
        <v>37</v>
      </c>
      <c r="G30" s="34">
        <f t="shared" si="2"/>
        <v>54.15</v>
      </c>
      <c r="H30" s="1"/>
    </row>
    <row r="31" spans="1:8" x14ac:dyDescent="0.25">
      <c r="A31" s="46"/>
      <c r="B31" s="30" t="s">
        <v>55</v>
      </c>
      <c r="C31" s="30">
        <v>1</v>
      </c>
      <c r="D31" s="30">
        <v>125.4</v>
      </c>
      <c r="E31" s="30">
        <v>1</v>
      </c>
      <c r="F31" s="32" t="s">
        <v>37</v>
      </c>
      <c r="G31" s="34">
        <f t="shared" si="2"/>
        <v>125.4</v>
      </c>
      <c r="H31" s="30"/>
    </row>
    <row r="32" spans="1:8" x14ac:dyDescent="0.25">
      <c r="A32" s="46"/>
      <c r="B32" s="33" t="s">
        <v>87</v>
      </c>
      <c r="C32" s="33">
        <v>6</v>
      </c>
      <c r="D32" s="33">
        <v>141</v>
      </c>
      <c r="E32" s="33">
        <v>6</v>
      </c>
      <c r="F32" s="32" t="s">
        <v>37</v>
      </c>
      <c r="G32" s="34">
        <f t="shared" si="2"/>
        <v>846</v>
      </c>
      <c r="H32" s="33"/>
    </row>
    <row r="33" spans="1:8" x14ac:dyDescent="0.25">
      <c r="A33" s="46"/>
      <c r="B33" s="18" t="s">
        <v>88</v>
      </c>
      <c r="C33" s="18">
        <v>2</v>
      </c>
      <c r="D33" s="18">
        <v>177</v>
      </c>
      <c r="E33" s="18">
        <v>2</v>
      </c>
      <c r="F33" s="32" t="s">
        <v>37</v>
      </c>
      <c r="G33" s="34">
        <f t="shared" si="2"/>
        <v>354</v>
      </c>
      <c r="H33" s="18"/>
    </row>
    <row r="34" spans="1:8" x14ac:dyDescent="0.25">
      <c r="A34" s="46"/>
      <c r="B34" s="43" t="s">
        <v>39</v>
      </c>
      <c r="C34" s="44"/>
      <c r="D34" s="45"/>
      <c r="E34" s="3"/>
      <c r="F34" s="3"/>
      <c r="G34" s="13">
        <f>SUM(G24:G33)</f>
        <v>7277.0499999999993</v>
      </c>
      <c r="H34" s="1"/>
    </row>
    <row r="35" spans="1:8" x14ac:dyDescent="0.25">
      <c r="A35" s="1" t="s">
        <v>11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46" t="s">
        <v>76</v>
      </c>
      <c r="B36" s="1" t="s">
        <v>93</v>
      </c>
      <c r="C36" s="1" t="s">
        <v>95</v>
      </c>
      <c r="D36" s="1"/>
      <c r="E36" s="1"/>
      <c r="F36" s="1"/>
      <c r="G36" s="1">
        <f>D36*E36</f>
        <v>0</v>
      </c>
      <c r="H36" s="1"/>
    </row>
    <row r="37" spans="1:8" x14ac:dyDescent="0.25">
      <c r="A37" s="46"/>
      <c r="B37" s="1" t="s">
        <v>94</v>
      </c>
      <c r="C37" s="1" t="s">
        <v>95</v>
      </c>
      <c r="D37" s="1"/>
      <c r="E37" s="1"/>
      <c r="F37" s="30"/>
      <c r="G37" s="1"/>
      <c r="H37" s="1"/>
    </row>
    <row r="38" spans="1:8" x14ac:dyDescent="0.25">
      <c r="A38" s="46"/>
      <c r="B38" s="1"/>
      <c r="C38" s="1"/>
      <c r="D38" s="1"/>
      <c r="E38" s="1"/>
      <c r="F38" s="1"/>
      <c r="G38" s="1"/>
      <c r="H38" s="1"/>
    </row>
    <row r="39" spans="1:8" x14ac:dyDescent="0.25">
      <c r="A39" s="46"/>
      <c r="B39" s="43"/>
      <c r="C39" s="44"/>
      <c r="D39" s="45"/>
      <c r="E39" s="3"/>
      <c r="F39" s="3"/>
      <c r="G39" s="15">
        <f>SUM(G36:G38)</f>
        <v>0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47"/>
      <c r="B41" s="1" t="s">
        <v>147</v>
      </c>
      <c r="C41" s="1"/>
      <c r="D41" s="1">
        <v>12.6</v>
      </c>
      <c r="E41" s="1">
        <v>70</v>
      </c>
      <c r="F41" s="1" t="s">
        <v>142</v>
      </c>
      <c r="G41" s="23">
        <f>D41*E41</f>
        <v>882</v>
      </c>
      <c r="H41" s="1"/>
    </row>
    <row r="42" spans="1:8" x14ac:dyDescent="0.25">
      <c r="A42" s="48"/>
      <c r="B42" s="1" t="s">
        <v>149</v>
      </c>
      <c r="C42" s="1"/>
      <c r="D42" s="1">
        <v>42.24</v>
      </c>
      <c r="E42" s="1">
        <v>57</v>
      </c>
      <c r="F42" s="36" t="s">
        <v>16</v>
      </c>
      <c r="G42" s="23">
        <f>D42*E42</f>
        <v>2407.6800000000003</v>
      </c>
      <c r="H42" s="1"/>
    </row>
    <row r="43" spans="1:8" x14ac:dyDescent="0.25">
      <c r="A43" s="49"/>
      <c r="B43" s="43" t="s">
        <v>7</v>
      </c>
      <c r="C43" s="44"/>
      <c r="D43" s="45"/>
      <c r="E43" s="3"/>
      <c r="F43" s="3"/>
      <c r="G43" s="13">
        <f>SUM(G41:G42)</f>
        <v>3289.6800000000003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46"/>
      <c r="B45" s="1"/>
      <c r="C45" s="1"/>
      <c r="D45" s="1"/>
      <c r="E45" s="1"/>
      <c r="F45" s="1"/>
      <c r="G45" s="1"/>
      <c r="H45" s="1"/>
    </row>
    <row r="46" spans="1:8" x14ac:dyDescent="0.25">
      <c r="A46" s="46"/>
      <c r="B46" s="1"/>
      <c r="C46" s="1"/>
      <c r="D46" s="1"/>
      <c r="E46" s="1"/>
      <c r="F46" s="1"/>
      <c r="G46" s="1"/>
      <c r="H46" s="1"/>
    </row>
    <row r="47" spans="1:8" x14ac:dyDescent="0.25">
      <c r="A47" s="46"/>
      <c r="B47" s="1"/>
      <c r="C47" s="1"/>
      <c r="D47" s="1"/>
      <c r="E47" s="1"/>
      <c r="F47" s="1"/>
      <c r="G47" s="1"/>
      <c r="H47" s="1"/>
    </row>
    <row r="48" spans="1:8" x14ac:dyDescent="0.25">
      <c r="A48" s="46"/>
      <c r="B48" s="1"/>
      <c r="C48" s="1"/>
      <c r="D48" s="1"/>
      <c r="E48" s="1"/>
      <c r="F48" s="1"/>
      <c r="G48" s="1"/>
      <c r="H48" s="1"/>
    </row>
    <row r="49" spans="1:8" x14ac:dyDescent="0.25">
      <c r="A49" s="46"/>
      <c r="B49" s="43" t="s">
        <v>7</v>
      </c>
      <c r="C49" s="44"/>
      <c r="D49" s="45"/>
      <c r="E49" s="3"/>
      <c r="F49" s="3"/>
      <c r="G49" s="4">
        <f>SUM(G45:G48)</f>
        <v>0</v>
      </c>
      <c r="H49" s="1"/>
    </row>
    <row r="50" spans="1:8" x14ac:dyDescent="0.25">
      <c r="A50" s="1"/>
      <c r="B50" s="40" t="s">
        <v>14</v>
      </c>
      <c r="C50" s="41"/>
      <c r="D50" s="42"/>
      <c r="E50" s="8"/>
      <c r="F50" s="8"/>
      <c r="G50" s="9">
        <f>G49+G43+G39+G22+G14+G7+G34</f>
        <v>33872.93</v>
      </c>
      <c r="H50" s="1"/>
    </row>
  </sheetData>
  <mergeCells count="16">
    <mergeCell ref="A16:A22"/>
    <mergeCell ref="B22:D22"/>
    <mergeCell ref="A1:H1"/>
    <mergeCell ref="A3:A7"/>
    <mergeCell ref="B7:D7"/>
    <mergeCell ref="A9:A14"/>
    <mergeCell ref="B14:D14"/>
    <mergeCell ref="A45:A49"/>
    <mergeCell ref="B49:D49"/>
    <mergeCell ref="B50:D50"/>
    <mergeCell ref="A24:A34"/>
    <mergeCell ref="B34:D34"/>
    <mergeCell ref="A36:A39"/>
    <mergeCell ref="B39:D39"/>
    <mergeCell ref="A41:A43"/>
    <mergeCell ref="B43:D43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opLeftCell="A40" workbookViewId="0">
      <selection activeCell="H57" sqref="A1:H5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44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96</v>
      </c>
      <c r="B3" s="1" t="s">
        <v>99</v>
      </c>
      <c r="C3" s="1">
        <v>40</v>
      </c>
      <c r="D3" s="1">
        <v>34.799999999999997</v>
      </c>
      <c r="E3" s="1">
        <v>40</v>
      </c>
      <c r="F3" s="33" t="s">
        <v>37</v>
      </c>
      <c r="G3" s="2">
        <f>D3*E3</f>
        <v>1392</v>
      </c>
      <c r="H3" s="1"/>
    </row>
    <row r="4" spans="1:8" x14ac:dyDescent="0.25">
      <c r="A4" s="46"/>
      <c r="B4" s="1" t="s">
        <v>100</v>
      </c>
      <c r="C4" s="1">
        <v>15</v>
      </c>
      <c r="D4" s="1">
        <v>141</v>
      </c>
      <c r="E4" s="1">
        <v>15</v>
      </c>
      <c r="F4" s="33" t="s">
        <v>37</v>
      </c>
      <c r="G4" s="2">
        <f t="shared" ref="G4:G9" si="0">D4*E4</f>
        <v>2115</v>
      </c>
      <c r="H4" s="1"/>
    </row>
    <row r="5" spans="1:8" x14ac:dyDescent="0.25">
      <c r="A5" s="46"/>
      <c r="B5" s="1" t="s">
        <v>57</v>
      </c>
      <c r="C5" s="1">
        <v>3</v>
      </c>
      <c r="D5" s="1">
        <v>18.239999999999998</v>
      </c>
      <c r="E5" s="1">
        <v>3</v>
      </c>
      <c r="F5" s="33" t="s">
        <v>37</v>
      </c>
      <c r="G5" s="2">
        <f t="shared" si="0"/>
        <v>54.72</v>
      </c>
      <c r="H5" s="1"/>
    </row>
    <row r="6" spans="1:8" x14ac:dyDescent="0.25">
      <c r="A6" s="46"/>
      <c r="B6" s="30" t="s">
        <v>102</v>
      </c>
      <c r="C6" s="30">
        <v>20</v>
      </c>
      <c r="D6" s="30">
        <v>11.4</v>
      </c>
      <c r="E6" s="29">
        <v>20</v>
      </c>
      <c r="F6" s="32" t="s">
        <v>37</v>
      </c>
      <c r="G6" s="2">
        <f t="shared" si="0"/>
        <v>228</v>
      </c>
      <c r="H6" s="30"/>
    </row>
    <row r="7" spans="1:8" x14ac:dyDescent="0.25">
      <c r="A7" s="46"/>
      <c r="B7" s="30" t="s">
        <v>101</v>
      </c>
      <c r="C7" s="30">
        <v>1</v>
      </c>
      <c r="D7" s="30">
        <v>660</v>
      </c>
      <c r="E7" s="29">
        <v>1</v>
      </c>
      <c r="F7" s="32" t="s">
        <v>37</v>
      </c>
      <c r="G7" s="2">
        <f t="shared" si="0"/>
        <v>660</v>
      </c>
      <c r="H7" s="30"/>
    </row>
    <row r="8" spans="1:8" x14ac:dyDescent="0.25">
      <c r="A8" s="46"/>
      <c r="B8" s="33" t="s">
        <v>103</v>
      </c>
      <c r="C8" s="33">
        <v>1</v>
      </c>
      <c r="D8" s="33">
        <v>666.6</v>
      </c>
      <c r="E8" s="32">
        <v>1</v>
      </c>
      <c r="F8" s="32" t="s">
        <v>37</v>
      </c>
      <c r="G8" s="2">
        <f t="shared" si="0"/>
        <v>666.6</v>
      </c>
      <c r="H8" s="33"/>
    </row>
    <row r="9" spans="1:8" x14ac:dyDescent="0.25">
      <c r="A9" s="46"/>
      <c r="B9" s="1" t="s">
        <v>104</v>
      </c>
      <c r="C9" s="1">
        <v>1</v>
      </c>
      <c r="D9" s="1">
        <v>280</v>
      </c>
      <c r="E9" s="3">
        <v>1</v>
      </c>
      <c r="F9" s="29" t="s">
        <v>60</v>
      </c>
      <c r="G9" s="2">
        <f t="shared" si="0"/>
        <v>280</v>
      </c>
      <c r="H9" s="1"/>
    </row>
    <row r="10" spans="1:8" x14ac:dyDescent="0.25">
      <c r="A10" s="46"/>
      <c r="B10" s="43" t="s">
        <v>7</v>
      </c>
      <c r="C10" s="44"/>
      <c r="D10" s="45"/>
      <c r="E10" s="3"/>
      <c r="F10" s="3"/>
      <c r="G10" s="13">
        <f>SUM(G3:G9)</f>
        <v>5396.32</v>
      </c>
      <c r="H10" s="1"/>
    </row>
    <row r="11" spans="1:8" x14ac:dyDescent="0.25">
      <c r="A11" s="1" t="s">
        <v>8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 t="s">
        <v>5</v>
      </c>
      <c r="H11" s="1" t="s">
        <v>6</v>
      </c>
    </row>
    <row r="12" spans="1:8" x14ac:dyDescent="0.25">
      <c r="A12" s="46" t="s">
        <v>97</v>
      </c>
      <c r="B12" s="1" t="s">
        <v>105</v>
      </c>
      <c r="C12" s="1">
        <v>155</v>
      </c>
      <c r="D12" s="1">
        <v>55</v>
      </c>
      <c r="E12" s="26">
        <v>155</v>
      </c>
      <c r="F12" s="30" t="s">
        <v>113</v>
      </c>
      <c r="G12" s="1">
        <f>D12*E12</f>
        <v>8525</v>
      </c>
      <c r="H12" s="1"/>
    </row>
    <row r="13" spans="1:8" x14ac:dyDescent="0.25">
      <c r="A13" s="46"/>
      <c r="B13" s="1" t="s">
        <v>106</v>
      </c>
      <c r="C13" s="1">
        <v>20</v>
      </c>
      <c r="D13" s="1">
        <v>55.68</v>
      </c>
      <c r="E13" s="1">
        <v>3</v>
      </c>
      <c r="F13" s="30" t="s">
        <v>16</v>
      </c>
      <c r="G13" s="21">
        <f t="shared" ref="G13:G15" si="1">D13*E13</f>
        <v>167.04</v>
      </c>
      <c r="H13" s="1"/>
    </row>
    <row r="14" spans="1:8" x14ac:dyDescent="0.25">
      <c r="A14" s="46"/>
      <c r="B14" s="1"/>
      <c r="C14" s="1"/>
      <c r="D14" s="1"/>
      <c r="E14" s="1"/>
      <c r="F14" s="30"/>
      <c r="G14" s="21">
        <f t="shared" si="1"/>
        <v>0</v>
      </c>
      <c r="H14" s="1"/>
    </row>
    <row r="15" spans="1:8" x14ac:dyDescent="0.25">
      <c r="A15" s="46"/>
      <c r="B15" s="1"/>
      <c r="C15" s="1"/>
      <c r="D15" s="1"/>
      <c r="E15" s="1"/>
      <c r="F15" s="30"/>
      <c r="G15" s="21">
        <f t="shared" si="1"/>
        <v>0</v>
      </c>
      <c r="H15" s="1"/>
    </row>
    <row r="16" spans="1:8" x14ac:dyDescent="0.25">
      <c r="A16" s="46"/>
      <c r="B16" s="30"/>
      <c r="C16" s="30"/>
      <c r="D16" s="30"/>
      <c r="E16" s="30"/>
      <c r="F16" s="30"/>
      <c r="G16" s="30"/>
      <c r="H16" s="30"/>
    </row>
    <row r="17" spans="1:8" x14ac:dyDescent="0.25">
      <c r="A17" s="46"/>
      <c r="B17" s="1"/>
      <c r="C17" s="1"/>
      <c r="D17" s="1"/>
      <c r="E17" s="1"/>
      <c r="F17" s="30"/>
      <c r="G17" s="1"/>
      <c r="H17" s="1"/>
    </row>
    <row r="18" spans="1:8" x14ac:dyDescent="0.25">
      <c r="A18" s="1" t="s">
        <v>9</v>
      </c>
      <c r="B18" s="43" t="s">
        <v>7</v>
      </c>
      <c r="C18" s="44"/>
      <c r="D18" s="45"/>
      <c r="E18" s="3"/>
      <c r="F18" s="3"/>
      <c r="G18" s="13">
        <f>SUM(G12:G17)</f>
        <v>8692.0400000000009</v>
      </c>
      <c r="H18" s="1"/>
    </row>
    <row r="19" spans="1:8" x14ac:dyDescent="0.25">
      <c r="A19" s="46" t="s">
        <v>98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 t="s">
        <v>5</v>
      </c>
      <c r="H19" s="1" t="s">
        <v>6</v>
      </c>
    </row>
    <row r="20" spans="1:8" x14ac:dyDescent="0.25">
      <c r="A20" s="46"/>
      <c r="B20" s="1" t="s">
        <v>107</v>
      </c>
      <c r="C20" s="1">
        <v>45</v>
      </c>
      <c r="D20" s="1">
        <v>45.6</v>
      </c>
      <c r="E20" s="1">
        <v>45</v>
      </c>
      <c r="F20" s="33" t="s">
        <v>37</v>
      </c>
      <c r="G20" s="1">
        <f>D20*E20</f>
        <v>2052</v>
      </c>
      <c r="H20" s="1"/>
    </row>
    <row r="21" spans="1:8" x14ac:dyDescent="0.25">
      <c r="A21" s="46"/>
      <c r="B21" s="1" t="s">
        <v>87</v>
      </c>
      <c r="C21" s="1">
        <v>20</v>
      </c>
      <c r="D21" s="1">
        <v>141</v>
      </c>
      <c r="E21" s="1">
        <v>20</v>
      </c>
      <c r="F21" s="33" t="s">
        <v>37</v>
      </c>
      <c r="G21" s="36">
        <f t="shared" ref="G21:G22" si="2">D21*E21</f>
        <v>2820</v>
      </c>
      <c r="H21" s="1"/>
    </row>
    <row r="22" spans="1:8" x14ac:dyDescent="0.25">
      <c r="A22" s="46"/>
      <c r="B22" s="1" t="s">
        <v>124</v>
      </c>
      <c r="C22" s="1">
        <v>3</v>
      </c>
      <c r="D22" s="1">
        <v>14.4</v>
      </c>
      <c r="E22" s="1">
        <v>3</v>
      </c>
      <c r="F22" s="33" t="s">
        <v>37</v>
      </c>
      <c r="G22" s="36">
        <f t="shared" si="2"/>
        <v>43.2</v>
      </c>
      <c r="H22" s="1"/>
    </row>
    <row r="23" spans="1:8" x14ac:dyDescent="0.25">
      <c r="A23" s="46"/>
      <c r="B23" s="1"/>
      <c r="C23" s="1"/>
      <c r="D23" s="1"/>
      <c r="E23" s="3"/>
      <c r="F23" s="3"/>
      <c r="G23" s="1"/>
      <c r="H23" s="1"/>
    </row>
    <row r="24" spans="1:8" x14ac:dyDescent="0.25">
      <c r="A24" s="5" t="s">
        <v>10</v>
      </c>
      <c r="B24" s="43" t="s">
        <v>7</v>
      </c>
      <c r="C24" s="44"/>
      <c r="D24" s="45"/>
      <c r="E24" s="3"/>
      <c r="F24" s="3"/>
      <c r="G24" s="13">
        <f>SUM(G20:G23)</f>
        <v>4915.2</v>
      </c>
      <c r="H24" s="1"/>
    </row>
    <row r="25" spans="1:8" x14ac:dyDescent="0.25">
      <c r="A25" s="46"/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 t="s">
        <v>5</v>
      </c>
      <c r="H25" s="1" t="s">
        <v>6</v>
      </c>
    </row>
    <row r="26" spans="1:8" x14ac:dyDescent="0.25">
      <c r="A26" s="46"/>
      <c r="B26" s="1" t="s">
        <v>111</v>
      </c>
      <c r="C26" s="1">
        <v>2</v>
      </c>
      <c r="D26" s="1">
        <v>82.8</v>
      </c>
      <c r="E26" s="1">
        <v>0.83</v>
      </c>
      <c r="F26" s="1" t="s">
        <v>16</v>
      </c>
      <c r="G26" s="1">
        <f>D26*E26</f>
        <v>68.72399999999999</v>
      </c>
      <c r="H26" s="1" t="s">
        <v>27</v>
      </c>
    </row>
    <row r="27" spans="1:8" x14ac:dyDescent="0.25">
      <c r="A27" s="46"/>
      <c r="B27" s="1" t="s">
        <v>112</v>
      </c>
      <c r="C27" s="1">
        <v>2</v>
      </c>
      <c r="D27" s="1">
        <v>73.8</v>
      </c>
      <c r="E27" s="1">
        <v>0.67</v>
      </c>
      <c r="F27" s="1" t="s">
        <v>16</v>
      </c>
      <c r="G27" s="21">
        <f t="shared" ref="G27:G35" si="3">D27*E27</f>
        <v>49.445999999999998</v>
      </c>
      <c r="H27" s="1"/>
    </row>
    <row r="28" spans="1:8" x14ac:dyDescent="0.25">
      <c r="A28" s="46"/>
      <c r="B28" s="1" t="s">
        <v>151</v>
      </c>
      <c r="C28" s="1"/>
      <c r="D28" s="1">
        <v>240</v>
      </c>
      <c r="E28" s="1">
        <v>1</v>
      </c>
      <c r="F28" s="1" t="s">
        <v>152</v>
      </c>
      <c r="G28" s="21">
        <f t="shared" si="3"/>
        <v>240</v>
      </c>
      <c r="H28" s="1"/>
    </row>
    <row r="29" spans="1:8" x14ac:dyDescent="0.25">
      <c r="A29" s="46"/>
      <c r="B29" s="36" t="s">
        <v>169</v>
      </c>
      <c r="C29" s="36"/>
      <c r="D29" s="36">
        <v>240</v>
      </c>
      <c r="E29" s="36">
        <v>1</v>
      </c>
      <c r="F29" s="36" t="s">
        <v>152</v>
      </c>
      <c r="G29" s="36">
        <f t="shared" si="3"/>
        <v>240</v>
      </c>
      <c r="H29" s="36"/>
    </row>
    <row r="30" spans="1:8" x14ac:dyDescent="0.25">
      <c r="A30" s="46"/>
      <c r="B30" s="1" t="s">
        <v>153</v>
      </c>
      <c r="C30" s="1"/>
      <c r="D30" s="1">
        <v>1188</v>
      </c>
      <c r="E30" s="36">
        <v>1</v>
      </c>
      <c r="F30" s="36" t="s">
        <v>152</v>
      </c>
      <c r="G30" s="36">
        <f t="shared" si="3"/>
        <v>1188</v>
      </c>
      <c r="H30" s="1"/>
    </row>
    <row r="31" spans="1:8" x14ac:dyDescent="0.25">
      <c r="A31" s="46"/>
      <c r="B31" s="21" t="s">
        <v>154</v>
      </c>
      <c r="C31" s="21"/>
      <c r="D31" s="21">
        <v>1236</v>
      </c>
      <c r="E31" s="21">
        <v>1</v>
      </c>
      <c r="F31" s="22" t="s">
        <v>155</v>
      </c>
      <c r="G31" s="36">
        <f t="shared" si="3"/>
        <v>1236</v>
      </c>
      <c r="H31" s="21"/>
    </row>
    <row r="32" spans="1:8" x14ac:dyDescent="0.25">
      <c r="A32" s="46"/>
      <c r="B32" s="36" t="s">
        <v>174</v>
      </c>
      <c r="C32" s="36"/>
      <c r="D32" s="36">
        <v>235</v>
      </c>
      <c r="E32" s="36">
        <v>2</v>
      </c>
      <c r="F32" s="35" t="s">
        <v>172</v>
      </c>
      <c r="G32" s="36">
        <f t="shared" si="3"/>
        <v>470</v>
      </c>
      <c r="H32" s="36"/>
    </row>
    <row r="33" spans="1:8" x14ac:dyDescent="0.25">
      <c r="A33" s="46"/>
      <c r="B33" s="36" t="s">
        <v>175</v>
      </c>
      <c r="C33" s="36"/>
      <c r="D33" s="36">
        <v>280</v>
      </c>
      <c r="E33" s="36">
        <v>1</v>
      </c>
      <c r="F33" s="36" t="s">
        <v>152</v>
      </c>
      <c r="G33" s="36">
        <f t="shared" si="3"/>
        <v>280</v>
      </c>
      <c r="H33" s="36"/>
    </row>
    <row r="34" spans="1:8" x14ac:dyDescent="0.25">
      <c r="A34" s="46"/>
      <c r="B34" s="36" t="s">
        <v>173</v>
      </c>
      <c r="C34" s="36"/>
      <c r="D34" s="36">
        <v>140</v>
      </c>
      <c r="E34" s="36">
        <v>5</v>
      </c>
      <c r="F34" s="35" t="s">
        <v>158</v>
      </c>
      <c r="G34" s="36">
        <f t="shared" si="3"/>
        <v>700</v>
      </c>
      <c r="H34" s="36"/>
    </row>
    <row r="35" spans="1:8" x14ac:dyDescent="0.25">
      <c r="A35" s="46"/>
      <c r="B35" s="21" t="s">
        <v>156</v>
      </c>
      <c r="C35" s="21"/>
      <c r="D35" s="21">
        <v>193</v>
      </c>
      <c r="E35" s="36">
        <v>1</v>
      </c>
      <c r="F35" s="36" t="s">
        <v>152</v>
      </c>
      <c r="G35" s="36">
        <f t="shared" si="3"/>
        <v>193</v>
      </c>
      <c r="H35" s="21"/>
    </row>
    <row r="36" spans="1:8" x14ac:dyDescent="0.25">
      <c r="A36" s="1" t="s">
        <v>11</v>
      </c>
      <c r="B36" s="43" t="s">
        <v>7</v>
      </c>
      <c r="C36" s="44"/>
      <c r="D36" s="45"/>
      <c r="E36" s="3"/>
      <c r="F36" s="3"/>
      <c r="G36" s="13">
        <f>SUM(G26:G35)</f>
        <v>4665.17</v>
      </c>
      <c r="H36" s="1"/>
    </row>
    <row r="37" spans="1:8" x14ac:dyDescent="0.25">
      <c r="A37" s="47" t="s">
        <v>108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48"/>
      <c r="B38" s="1" t="s">
        <v>109</v>
      </c>
      <c r="C38" s="1" t="s">
        <v>95</v>
      </c>
      <c r="D38" s="1"/>
      <c r="E38" s="1"/>
      <c r="F38" s="11"/>
      <c r="G38" s="1">
        <f>D38*E38</f>
        <v>0</v>
      </c>
      <c r="H38" s="1"/>
    </row>
    <row r="39" spans="1:8" x14ac:dyDescent="0.25">
      <c r="A39" s="48"/>
      <c r="B39" s="1" t="s">
        <v>110</v>
      </c>
      <c r="C39" s="1">
        <v>15</v>
      </c>
      <c r="D39" s="1">
        <v>141</v>
      </c>
      <c r="E39" s="1">
        <v>15</v>
      </c>
      <c r="F39" s="33" t="s">
        <v>37</v>
      </c>
      <c r="G39" s="21">
        <f>D39*E39</f>
        <v>2115</v>
      </c>
      <c r="H39" s="1" t="s">
        <v>26</v>
      </c>
    </row>
    <row r="40" spans="1:8" x14ac:dyDescent="0.25">
      <c r="A40" s="48"/>
      <c r="B40" s="1"/>
      <c r="C40" s="1"/>
      <c r="D40" s="1"/>
      <c r="E40" s="1"/>
      <c r="F40" s="1"/>
      <c r="G40" s="1"/>
      <c r="H40" s="1"/>
    </row>
    <row r="41" spans="1:8" x14ac:dyDescent="0.25">
      <c r="A41" s="49"/>
      <c r="B41" s="43" t="s">
        <v>15</v>
      </c>
      <c r="C41" s="44"/>
      <c r="D41" s="45"/>
      <c r="E41" s="3"/>
      <c r="F41" s="3"/>
      <c r="G41" s="13">
        <f>SUM(G38:G40)</f>
        <v>2115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47"/>
      <c r="B43" s="1" t="s">
        <v>150</v>
      </c>
      <c r="C43" s="1"/>
      <c r="D43" s="1">
        <v>40</v>
      </c>
      <c r="E43" s="1">
        <v>133.34</v>
      </c>
      <c r="F43" s="1" t="s">
        <v>20</v>
      </c>
      <c r="G43" s="1">
        <f>D43*E43</f>
        <v>5333.6</v>
      </c>
      <c r="H43" s="1"/>
    </row>
    <row r="44" spans="1:8" x14ac:dyDescent="0.25">
      <c r="A44" s="48"/>
      <c r="B44" s="1" t="s">
        <v>160</v>
      </c>
      <c r="C44" s="1"/>
      <c r="D44" s="1">
        <v>17.34</v>
      </c>
      <c r="E44" s="1">
        <v>70</v>
      </c>
      <c r="F44" s="36" t="s">
        <v>16</v>
      </c>
      <c r="G44" s="21">
        <f>D44*E44</f>
        <v>1213.8</v>
      </c>
      <c r="H44" s="1"/>
    </row>
    <row r="45" spans="1:8" x14ac:dyDescent="0.25">
      <c r="A45" s="49"/>
      <c r="B45" s="43" t="s">
        <v>7</v>
      </c>
      <c r="C45" s="44"/>
      <c r="D45" s="45"/>
      <c r="E45" s="3"/>
      <c r="F45" s="3"/>
      <c r="G45" s="13">
        <f>SUM(G43:G44)</f>
        <v>6547.4000000000005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7"/>
      <c r="B47" s="1" t="s">
        <v>157</v>
      </c>
      <c r="C47" s="1"/>
      <c r="D47" s="1">
        <v>135</v>
      </c>
      <c r="E47" s="1">
        <v>6</v>
      </c>
      <c r="F47" s="11" t="s">
        <v>158</v>
      </c>
      <c r="G47" s="1">
        <f>D47*E47</f>
        <v>810</v>
      </c>
      <c r="H47" s="1"/>
    </row>
    <row r="48" spans="1:8" x14ac:dyDescent="0.25">
      <c r="A48" s="48"/>
      <c r="B48" s="1" t="s">
        <v>159</v>
      </c>
      <c r="C48" s="1"/>
      <c r="D48" s="1">
        <v>138</v>
      </c>
      <c r="E48" s="1">
        <v>10</v>
      </c>
      <c r="F48" s="11" t="s">
        <v>158</v>
      </c>
      <c r="G48" s="21">
        <f t="shared" ref="G48:G55" si="4">D48*E48</f>
        <v>1380</v>
      </c>
      <c r="H48" s="1"/>
    </row>
    <row r="49" spans="1:8" x14ac:dyDescent="0.25">
      <c r="A49" s="48"/>
      <c r="B49" s="1" t="s">
        <v>161</v>
      </c>
      <c r="C49" s="1"/>
      <c r="D49" s="1">
        <v>81</v>
      </c>
      <c r="E49" s="1">
        <v>5</v>
      </c>
      <c r="F49" s="11" t="s">
        <v>158</v>
      </c>
      <c r="G49" s="21">
        <f t="shared" si="4"/>
        <v>405</v>
      </c>
      <c r="H49" s="1"/>
    </row>
    <row r="50" spans="1:8" x14ac:dyDescent="0.25">
      <c r="A50" s="48"/>
      <c r="B50" s="1" t="s">
        <v>162</v>
      </c>
      <c r="C50" s="1"/>
      <c r="D50" s="1">
        <v>630</v>
      </c>
      <c r="E50" s="1">
        <v>1</v>
      </c>
      <c r="F50" s="11" t="s">
        <v>163</v>
      </c>
      <c r="G50" s="21">
        <f t="shared" si="4"/>
        <v>630</v>
      </c>
      <c r="H50" s="1"/>
    </row>
    <row r="51" spans="1:8" x14ac:dyDescent="0.25">
      <c r="A51" s="48"/>
      <c r="B51" s="11" t="s">
        <v>164</v>
      </c>
      <c r="C51" s="11"/>
      <c r="D51" s="12">
        <v>75</v>
      </c>
      <c r="E51" s="36">
        <v>1</v>
      </c>
      <c r="F51" s="36" t="s">
        <v>163</v>
      </c>
      <c r="G51" s="21">
        <f t="shared" si="4"/>
        <v>75</v>
      </c>
      <c r="H51" s="11"/>
    </row>
    <row r="52" spans="1:8" x14ac:dyDescent="0.25">
      <c r="A52" s="48"/>
      <c r="B52" s="36" t="s">
        <v>165</v>
      </c>
      <c r="C52" s="36"/>
      <c r="D52" s="36">
        <v>37</v>
      </c>
      <c r="E52" s="36">
        <v>20</v>
      </c>
      <c r="F52" s="36" t="s">
        <v>166</v>
      </c>
      <c r="G52" s="35">
        <f t="shared" si="4"/>
        <v>740</v>
      </c>
      <c r="H52" s="36"/>
    </row>
    <row r="53" spans="1:8" x14ac:dyDescent="0.25">
      <c r="A53" s="48"/>
      <c r="B53" s="36" t="s">
        <v>167</v>
      </c>
      <c r="C53" s="36"/>
      <c r="D53" s="36">
        <v>30.6</v>
      </c>
      <c r="E53" s="36">
        <v>6</v>
      </c>
      <c r="F53" s="36" t="s">
        <v>158</v>
      </c>
      <c r="G53" s="35">
        <f t="shared" si="4"/>
        <v>183.60000000000002</v>
      </c>
      <c r="H53" s="36"/>
    </row>
    <row r="54" spans="1:8" x14ac:dyDescent="0.25">
      <c r="A54" s="48"/>
      <c r="B54" s="36" t="s">
        <v>176</v>
      </c>
      <c r="C54" s="36"/>
      <c r="D54" s="36">
        <v>85</v>
      </c>
      <c r="E54" s="36">
        <v>1</v>
      </c>
      <c r="F54" s="36" t="s">
        <v>171</v>
      </c>
      <c r="G54" s="35">
        <f t="shared" si="4"/>
        <v>85</v>
      </c>
      <c r="H54" s="36"/>
    </row>
    <row r="55" spans="1:8" x14ac:dyDescent="0.25">
      <c r="A55" s="48"/>
      <c r="B55" s="36" t="s">
        <v>168</v>
      </c>
      <c r="C55" s="36"/>
      <c r="D55" s="36">
        <v>255</v>
      </c>
      <c r="E55" s="36">
        <v>2</v>
      </c>
      <c r="F55" s="36" t="s">
        <v>152</v>
      </c>
      <c r="G55" s="35">
        <f t="shared" si="4"/>
        <v>510</v>
      </c>
      <c r="H55" s="36"/>
    </row>
    <row r="56" spans="1:8" x14ac:dyDescent="0.25">
      <c r="A56" s="49"/>
      <c r="B56" s="43" t="s">
        <v>7</v>
      </c>
      <c r="C56" s="44"/>
      <c r="D56" s="45"/>
      <c r="E56" s="3"/>
      <c r="F56" s="3"/>
      <c r="G56" s="13">
        <f>SUM(G47:G55)</f>
        <v>4818.6000000000004</v>
      </c>
      <c r="H56" s="1"/>
    </row>
    <row r="57" spans="1:8" x14ac:dyDescent="0.25">
      <c r="A57" s="11"/>
      <c r="B57" s="40" t="s">
        <v>14</v>
      </c>
      <c r="C57" s="41"/>
      <c r="D57" s="42"/>
      <c r="E57" s="8"/>
      <c r="F57" s="8"/>
      <c r="G57" s="9">
        <f>G56+G45+G41+G24+G18+G10+G36</f>
        <v>37149.730000000003</v>
      </c>
      <c r="H57" s="1"/>
    </row>
  </sheetData>
  <mergeCells count="16">
    <mergeCell ref="A19:A23"/>
    <mergeCell ref="B24:D24"/>
    <mergeCell ref="A1:H1"/>
    <mergeCell ref="A3:A10"/>
    <mergeCell ref="B10:D10"/>
    <mergeCell ref="A12:A17"/>
    <mergeCell ref="B18:D18"/>
    <mergeCell ref="B56:D56"/>
    <mergeCell ref="B57:D57"/>
    <mergeCell ref="A25:A35"/>
    <mergeCell ref="B36:D36"/>
    <mergeCell ref="B41:D41"/>
    <mergeCell ref="A43:A45"/>
    <mergeCell ref="B45:D45"/>
    <mergeCell ref="A47:A56"/>
    <mergeCell ref="A37:A41"/>
  </mergeCells>
  <phoneticPr fontId="2" type="noConversion"/>
  <pageMargins left="0.7" right="0.7" top="0.75" bottom="0.75" header="0.3" footer="0.3"/>
  <pageSetup paperSize="9" scale="82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opLeftCell="A16" workbookViewId="0">
      <selection activeCell="H44" sqref="A1:H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45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114</v>
      </c>
      <c r="B3" s="1" t="s">
        <v>58</v>
      </c>
      <c r="C3" s="1">
        <v>45</v>
      </c>
      <c r="D3" s="1">
        <v>117</v>
      </c>
      <c r="E3" s="1">
        <v>45</v>
      </c>
      <c r="F3" s="33" t="s">
        <v>37</v>
      </c>
      <c r="G3" s="2">
        <f>D3*E3</f>
        <v>5265</v>
      </c>
      <c r="H3" s="1"/>
    </row>
    <row r="4" spans="1:8" x14ac:dyDescent="0.25">
      <c r="A4" s="46"/>
      <c r="B4" s="1" t="s">
        <v>122</v>
      </c>
      <c r="C4" s="1">
        <v>8</v>
      </c>
      <c r="D4" s="1">
        <v>165</v>
      </c>
      <c r="E4" s="1">
        <v>8</v>
      </c>
      <c r="F4" s="33" t="s">
        <v>37</v>
      </c>
      <c r="G4" s="2">
        <f>D4*E4</f>
        <v>1320</v>
      </c>
      <c r="H4" s="1"/>
    </row>
    <row r="5" spans="1:8" x14ac:dyDescent="0.25">
      <c r="A5" s="46"/>
      <c r="B5" s="1"/>
      <c r="C5" s="1"/>
      <c r="D5" s="1"/>
      <c r="E5" s="1"/>
      <c r="F5" s="30"/>
      <c r="G5" s="1"/>
      <c r="H5" s="1"/>
    </row>
    <row r="6" spans="1:8" x14ac:dyDescent="0.25">
      <c r="A6" s="46"/>
      <c r="B6" s="17"/>
      <c r="C6" s="1"/>
      <c r="D6" s="1"/>
      <c r="E6" s="3"/>
      <c r="F6" s="3"/>
      <c r="G6" s="3"/>
      <c r="H6" s="1"/>
    </row>
    <row r="7" spans="1:8" x14ac:dyDescent="0.25">
      <c r="A7" s="46"/>
      <c r="B7" s="43" t="s">
        <v>7</v>
      </c>
      <c r="C7" s="44"/>
      <c r="D7" s="45"/>
      <c r="E7" s="3"/>
      <c r="F7" s="3"/>
      <c r="G7" s="13">
        <f>SUM(G3:G6)</f>
        <v>6585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6" t="s">
        <v>115</v>
      </c>
      <c r="B9" s="17" t="s">
        <v>67</v>
      </c>
      <c r="C9" s="1">
        <v>8</v>
      </c>
      <c r="D9" s="1">
        <v>180</v>
      </c>
      <c r="E9" s="1">
        <v>8</v>
      </c>
      <c r="F9" s="11" t="s">
        <v>72</v>
      </c>
      <c r="G9" s="1">
        <f>D9*E9</f>
        <v>1440</v>
      </c>
      <c r="H9" s="1"/>
    </row>
    <row r="10" spans="1:8" x14ac:dyDescent="0.25">
      <c r="A10" s="46"/>
      <c r="B10" s="1" t="s">
        <v>86</v>
      </c>
      <c r="C10" s="1">
        <v>3</v>
      </c>
      <c r="D10" s="1">
        <v>108.3</v>
      </c>
      <c r="E10" s="1">
        <v>3</v>
      </c>
      <c r="F10" s="33" t="s">
        <v>37</v>
      </c>
      <c r="G10" s="36">
        <f>D10*E10</f>
        <v>324.89999999999998</v>
      </c>
      <c r="H10" s="1"/>
    </row>
    <row r="11" spans="1:8" x14ac:dyDescent="0.25">
      <c r="A11" s="46"/>
      <c r="B11" s="1"/>
      <c r="C11" s="1"/>
      <c r="D11" s="1"/>
      <c r="E11" s="1"/>
      <c r="F11" s="30"/>
      <c r="G11" s="1"/>
      <c r="H11" s="1"/>
    </row>
    <row r="12" spans="1:8" x14ac:dyDescent="0.25">
      <c r="A12" s="46"/>
      <c r="B12" s="1"/>
      <c r="C12" s="1"/>
      <c r="D12" s="1"/>
      <c r="E12" s="1"/>
      <c r="F12" s="30"/>
      <c r="G12" s="1"/>
      <c r="H12" s="1"/>
    </row>
    <row r="13" spans="1:8" x14ac:dyDescent="0.25">
      <c r="A13" s="46"/>
      <c r="B13" s="1"/>
      <c r="C13" s="1"/>
      <c r="D13" s="1"/>
      <c r="E13" s="1"/>
      <c r="F13" s="1"/>
      <c r="G13" s="1"/>
      <c r="H13" s="1"/>
    </row>
    <row r="14" spans="1:8" x14ac:dyDescent="0.25">
      <c r="A14" s="46"/>
      <c r="B14" s="43" t="s">
        <v>7</v>
      </c>
      <c r="C14" s="44"/>
      <c r="D14" s="45"/>
      <c r="E14" s="3"/>
      <c r="F14" s="3"/>
      <c r="G14" s="13">
        <f>SUM(G9:G13)</f>
        <v>1764.9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6" t="s">
        <v>116</v>
      </c>
      <c r="B16" s="1" t="s">
        <v>123</v>
      </c>
      <c r="C16" s="1">
        <v>60</v>
      </c>
      <c r="D16" s="1">
        <v>34.68</v>
      </c>
      <c r="E16" s="1">
        <v>60</v>
      </c>
      <c r="F16" s="33" t="s">
        <v>37</v>
      </c>
      <c r="G16" s="1">
        <f>D16*E16</f>
        <v>2080.8000000000002</v>
      </c>
      <c r="H16" s="1"/>
    </row>
    <row r="17" spans="1:8" x14ac:dyDescent="0.25">
      <c r="A17" s="46"/>
      <c r="B17" s="1" t="s">
        <v>124</v>
      </c>
      <c r="C17" s="1">
        <v>4</v>
      </c>
      <c r="D17" s="1">
        <v>16.2</v>
      </c>
      <c r="E17" s="1">
        <v>2</v>
      </c>
      <c r="F17" s="33" t="s">
        <v>37</v>
      </c>
      <c r="G17" s="36">
        <f t="shared" ref="G17:G18" si="0">D17*E17</f>
        <v>32.4</v>
      </c>
      <c r="H17" s="1"/>
    </row>
    <row r="18" spans="1:8" x14ac:dyDescent="0.25">
      <c r="A18" s="46"/>
      <c r="B18" s="1" t="s">
        <v>125</v>
      </c>
      <c r="C18" s="1">
        <v>4</v>
      </c>
      <c r="D18" s="1">
        <v>100</v>
      </c>
      <c r="E18" s="1">
        <v>4</v>
      </c>
      <c r="F18" s="33" t="s">
        <v>37</v>
      </c>
      <c r="G18" s="36">
        <f t="shared" si="0"/>
        <v>400</v>
      </c>
      <c r="H18" s="1"/>
    </row>
    <row r="19" spans="1:8" x14ac:dyDescent="0.25">
      <c r="A19" s="46"/>
      <c r="B19" s="24"/>
      <c r="C19" s="24"/>
      <c r="D19" s="24"/>
      <c r="E19" s="24"/>
      <c r="F19" s="30"/>
      <c r="G19" s="1"/>
      <c r="H19" s="1"/>
    </row>
    <row r="20" spans="1:8" x14ac:dyDescent="0.25">
      <c r="A20" s="46"/>
      <c r="B20" s="43" t="s">
        <v>7</v>
      </c>
      <c r="C20" s="44"/>
      <c r="D20" s="45"/>
      <c r="E20" s="3"/>
      <c r="F20" s="3"/>
      <c r="G20" s="13">
        <f>SUM(G16:G19)</f>
        <v>2513.2000000000003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6"/>
      <c r="B22" s="1" t="s">
        <v>128</v>
      </c>
      <c r="C22" s="1">
        <v>35</v>
      </c>
      <c r="D22" s="1">
        <v>78</v>
      </c>
      <c r="E22" s="1">
        <v>5.12</v>
      </c>
      <c r="F22" s="30" t="s">
        <v>16</v>
      </c>
      <c r="G22" s="1">
        <f>D22*E22</f>
        <v>399.36</v>
      </c>
      <c r="H22" s="1"/>
    </row>
    <row r="23" spans="1:8" x14ac:dyDescent="0.25">
      <c r="A23" s="46"/>
      <c r="B23" s="1" t="s">
        <v>87</v>
      </c>
      <c r="C23" s="1">
        <v>4</v>
      </c>
      <c r="D23" s="1">
        <v>141</v>
      </c>
      <c r="E23" s="1">
        <v>4</v>
      </c>
      <c r="F23" s="33" t="s">
        <v>37</v>
      </c>
      <c r="G23" s="36">
        <f t="shared" ref="G23:G27" si="1">D23*E23</f>
        <v>564</v>
      </c>
      <c r="H23" s="1" t="s">
        <v>28</v>
      </c>
    </row>
    <row r="24" spans="1:8" x14ac:dyDescent="0.25">
      <c r="A24" s="46"/>
      <c r="B24" s="1" t="s">
        <v>129</v>
      </c>
      <c r="C24" s="1">
        <v>8</v>
      </c>
      <c r="D24" s="1">
        <v>21</v>
      </c>
      <c r="E24" s="1">
        <v>8</v>
      </c>
      <c r="F24" s="33" t="s">
        <v>37</v>
      </c>
      <c r="G24" s="36">
        <f t="shared" si="1"/>
        <v>168</v>
      </c>
      <c r="H24" s="1"/>
    </row>
    <row r="25" spans="1:8" x14ac:dyDescent="0.25">
      <c r="A25" s="46"/>
      <c r="B25" s="30" t="s">
        <v>56</v>
      </c>
      <c r="C25" s="30">
        <v>0.2</v>
      </c>
      <c r="D25" s="30">
        <v>60</v>
      </c>
      <c r="E25" s="30">
        <v>0.25</v>
      </c>
      <c r="F25" s="33" t="s">
        <v>37</v>
      </c>
      <c r="G25" s="36">
        <f t="shared" si="1"/>
        <v>15</v>
      </c>
      <c r="H25" s="30"/>
    </row>
    <row r="26" spans="1:8" x14ac:dyDescent="0.25">
      <c r="A26" s="46"/>
      <c r="B26" s="33" t="s">
        <v>57</v>
      </c>
      <c r="C26" s="33">
        <v>0.2</v>
      </c>
      <c r="D26" s="33">
        <v>20.52</v>
      </c>
      <c r="E26" s="33">
        <v>0.25</v>
      </c>
      <c r="F26" s="33" t="s">
        <v>37</v>
      </c>
      <c r="G26" s="36">
        <f t="shared" si="1"/>
        <v>5.13</v>
      </c>
      <c r="H26" s="33"/>
    </row>
    <row r="27" spans="1:8" x14ac:dyDescent="0.25">
      <c r="A27" s="46"/>
      <c r="B27" s="1" t="s">
        <v>130</v>
      </c>
      <c r="C27" s="1">
        <v>2</v>
      </c>
      <c r="D27" s="1">
        <v>120</v>
      </c>
      <c r="E27" s="1">
        <v>2</v>
      </c>
      <c r="F27" s="33" t="s">
        <v>37</v>
      </c>
      <c r="G27" s="36">
        <f t="shared" si="1"/>
        <v>240</v>
      </c>
      <c r="H27" s="1"/>
    </row>
    <row r="28" spans="1:8" x14ac:dyDescent="0.25">
      <c r="A28" s="46"/>
      <c r="B28" s="43" t="s">
        <v>7</v>
      </c>
      <c r="C28" s="44"/>
      <c r="D28" s="45"/>
      <c r="E28" s="3"/>
      <c r="F28" s="3"/>
      <c r="G28" s="13">
        <f>SUM(G22:G27)</f>
        <v>1391.4900000000002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6" t="s">
        <v>117</v>
      </c>
      <c r="B30" s="24" t="s">
        <v>126</v>
      </c>
      <c r="C30" s="24">
        <v>3</v>
      </c>
      <c r="D30" s="24">
        <v>47.94</v>
      </c>
      <c r="E30" s="24">
        <v>3</v>
      </c>
      <c r="F30" t="s">
        <v>37</v>
      </c>
      <c r="G30" s="1">
        <f>D30*E30</f>
        <v>143.82</v>
      </c>
      <c r="H30" s="1"/>
    </row>
    <row r="31" spans="1:8" x14ac:dyDescent="0.25">
      <c r="A31" s="46"/>
      <c r="B31" s="1" t="s">
        <v>127</v>
      </c>
      <c r="C31" s="1">
        <v>3</v>
      </c>
      <c r="D31" s="1">
        <v>78.599999999999994</v>
      </c>
      <c r="E31" s="1">
        <v>15</v>
      </c>
      <c r="F31" s="1" t="s">
        <v>16</v>
      </c>
      <c r="G31" s="36">
        <f>D31*E31</f>
        <v>1179</v>
      </c>
      <c r="H31" s="1"/>
    </row>
    <row r="32" spans="1:8" x14ac:dyDescent="0.25">
      <c r="A32" s="46"/>
      <c r="B32" s="1"/>
      <c r="C32" s="1"/>
      <c r="D32" s="1"/>
      <c r="E32" s="1"/>
      <c r="F32" s="1"/>
      <c r="G32" s="1"/>
      <c r="H32" s="1"/>
    </row>
    <row r="33" spans="1:8" x14ac:dyDescent="0.25">
      <c r="A33" s="46"/>
      <c r="B33" s="43"/>
      <c r="C33" s="44"/>
      <c r="D33" s="45"/>
      <c r="E33" s="3"/>
      <c r="F33" s="3"/>
      <c r="G33" s="13">
        <f>SUM(G30:G32)</f>
        <v>1322.82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7"/>
      <c r="B35" s="1" t="s">
        <v>177</v>
      </c>
      <c r="C35" s="1"/>
      <c r="D35" s="1">
        <v>10.8</v>
      </c>
      <c r="E35" s="1">
        <v>70</v>
      </c>
      <c r="F35" s="1" t="s">
        <v>158</v>
      </c>
      <c r="G35" s="1">
        <f>D35*E35</f>
        <v>756</v>
      </c>
      <c r="H35" s="1"/>
    </row>
    <row r="36" spans="1:8" x14ac:dyDescent="0.25">
      <c r="A36" s="48"/>
      <c r="B36" s="1" t="s">
        <v>149</v>
      </c>
      <c r="C36" s="1"/>
      <c r="D36" s="1">
        <v>38.44</v>
      </c>
      <c r="E36" s="1">
        <v>75</v>
      </c>
      <c r="F36" s="39" t="s">
        <v>16</v>
      </c>
      <c r="G36" s="39">
        <f>D36*E36</f>
        <v>2883</v>
      </c>
      <c r="H36" s="1"/>
    </row>
    <row r="37" spans="1:8" x14ac:dyDescent="0.25">
      <c r="A37" s="49"/>
      <c r="B37" s="43" t="s">
        <v>7</v>
      </c>
      <c r="C37" s="44"/>
      <c r="D37" s="45"/>
      <c r="E37" s="3"/>
      <c r="F37" s="3"/>
      <c r="G37" s="13">
        <f>SUM(G35:G36)</f>
        <v>3639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6"/>
      <c r="B39" s="1" t="s">
        <v>178</v>
      </c>
      <c r="C39" s="1"/>
      <c r="D39" s="1">
        <v>120</v>
      </c>
      <c r="E39" s="1">
        <v>1</v>
      </c>
      <c r="F39" s="1" t="s">
        <v>172</v>
      </c>
      <c r="G39" s="1">
        <f>D39*E39</f>
        <v>120</v>
      </c>
      <c r="H39" s="1"/>
    </row>
    <row r="40" spans="1:8" x14ac:dyDescent="0.25">
      <c r="A40" s="46"/>
      <c r="B40" s="1" t="s">
        <v>170</v>
      </c>
      <c r="C40" s="1"/>
      <c r="D40" s="1">
        <v>120</v>
      </c>
      <c r="E40" s="1">
        <v>3</v>
      </c>
      <c r="F40" s="1" t="s">
        <v>171</v>
      </c>
      <c r="G40" s="36">
        <f>D40*E40</f>
        <v>360</v>
      </c>
      <c r="H40" s="1"/>
    </row>
    <row r="41" spans="1:8" x14ac:dyDescent="0.25">
      <c r="A41" s="46"/>
      <c r="B41" s="1"/>
      <c r="C41" s="1"/>
      <c r="D41" s="1"/>
      <c r="E41" s="1"/>
      <c r="F41" s="1"/>
      <c r="G41" s="1"/>
      <c r="H41" s="1"/>
    </row>
    <row r="42" spans="1:8" x14ac:dyDescent="0.25">
      <c r="A42" s="46"/>
      <c r="B42" s="1"/>
      <c r="C42" s="1"/>
      <c r="D42" s="1"/>
      <c r="E42" s="1"/>
      <c r="F42" s="1"/>
      <c r="G42" s="1"/>
      <c r="H42" s="1"/>
    </row>
    <row r="43" spans="1:8" x14ac:dyDescent="0.25">
      <c r="A43" s="46"/>
      <c r="B43" s="43" t="s">
        <v>7</v>
      </c>
      <c r="C43" s="44"/>
      <c r="D43" s="45"/>
      <c r="E43" s="3"/>
      <c r="F43" s="3"/>
      <c r="G43" s="15">
        <f>SUM(G39:G42)</f>
        <v>480</v>
      </c>
      <c r="H43" s="1"/>
    </row>
    <row r="44" spans="1:8" x14ac:dyDescent="0.25">
      <c r="A44" s="1"/>
      <c r="B44" s="40" t="s">
        <v>14</v>
      </c>
      <c r="C44" s="41"/>
      <c r="D44" s="42"/>
      <c r="E44" s="8"/>
      <c r="F44" s="8"/>
      <c r="G44" s="9">
        <f>G43+G37+G33+G20+G14+G7+G28</f>
        <v>17696.41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8"/>
    <mergeCell ref="B28:D28"/>
    <mergeCell ref="A30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tabSelected="1" topLeftCell="A34" workbookViewId="0">
      <selection activeCell="H51" sqref="A1:H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0" t="s">
        <v>46</v>
      </c>
      <c r="B1" s="51"/>
      <c r="C1" s="51"/>
      <c r="D1" s="51"/>
      <c r="E1" s="51"/>
      <c r="F1" s="51"/>
      <c r="G1" s="51"/>
      <c r="H1" s="5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6" t="s">
        <v>118</v>
      </c>
      <c r="B3" s="1" t="s">
        <v>131</v>
      </c>
      <c r="C3" s="1">
        <v>270</v>
      </c>
      <c r="D3" s="1">
        <v>99</v>
      </c>
      <c r="E3" s="1">
        <v>68.23</v>
      </c>
      <c r="F3" s="39" t="s">
        <v>37</v>
      </c>
      <c r="G3" s="2">
        <f>D3*E3</f>
        <v>6754.77</v>
      </c>
      <c r="H3" s="1"/>
    </row>
    <row r="4" spans="1:8" x14ac:dyDescent="0.25">
      <c r="A4" s="46"/>
      <c r="B4" s="1" t="s">
        <v>140</v>
      </c>
      <c r="C4" s="1">
        <v>5</v>
      </c>
      <c r="D4" s="1">
        <v>47.7</v>
      </c>
      <c r="E4" s="1">
        <v>5</v>
      </c>
      <c r="F4" s="33" t="s">
        <v>37</v>
      </c>
      <c r="G4" s="2">
        <f t="shared" ref="G4:G5" si="0">D4*E4</f>
        <v>238.5</v>
      </c>
      <c r="H4" s="1"/>
    </row>
    <row r="5" spans="1:8" x14ac:dyDescent="0.25">
      <c r="A5" s="46"/>
      <c r="B5" s="1" t="s">
        <v>55</v>
      </c>
      <c r="C5" s="1">
        <v>2</v>
      </c>
      <c r="D5" s="1">
        <v>125.4</v>
      </c>
      <c r="E5" s="1">
        <v>2</v>
      </c>
      <c r="F5" s="33" t="s">
        <v>37</v>
      </c>
      <c r="G5" s="2">
        <f t="shared" si="0"/>
        <v>250.8</v>
      </c>
      <c r="H5" s="1"/>
    </row>
    <row r="6" spans="1:8" x14ac:dyDescent="0.25">
      <c r="A6" s="46"/>
      <c r="B6" s="1"/>
      <c r="C6" s="1"/>
      <c r="D6" s="1"/>
      <c r="E6" s="3"/>
      <c r="F6" s="29"/>
      <c r="G6" s="3"/>
      <c r="H6" s="1"/>
    </row>
    <row r="7" spans="1:8" x14ac:dyDescent="0.25">
      <c r="A7" s="46"/>
      <c r="B7" s="1"/>
      <c r="C7" s="1"/>
      <c r="D7" s="1"/>
      <c r="E7" s="3"/>
      <c r="F7" s="3"/>
      <c r="G7" s="3"/>
      <c r="H7" s="1"/>
    </row>
    <row r="8" spans="1:8" x14ac:dyDescent="0.25">
      <c r="A8" s="46"/>
      <c r="B8" s="43" t="s">
        <v>7</v>
      </c>
      <c r="C8" s="44"/>
      <c r="D8" s="45"/>
      <c r="E8" s="3"/>
      <c r="F8" s="3"/>
      <c r="G8" s="13">
        <f>SUM(G3:G7)</f>
        <v>7244.0700000000006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0"/>
      <c r="G9" s="1" t="s">
        <v>5</v>
      </c>
      <c r="H9" s="1" t="s">
        <v>6</v>
      </c>
    </row>
    <row r="10" spans="1:8" x14ac:dyDescent="0.25">
      <c r="A10" s="47" t="s">
        <v>119</v>
      </c>
      <c r="B10" s="24" t="s">
        <v>132</v>
      </c>
      <c r="C10" s="24">
        <v>20</v>
      </c>
      <c r="D10" s="24">
        <v>94.5</v>
      </c>
      <c r="E10" s="24">
        <v>20</v>
      </c>
      <c r="F10" s="33" t="s">
        <v>37</v>
      </c>
      <c r="G10" s="24">
        <f>D10*E10</f>
        <v>1890</v>
      </c>
      <c r="H10" s="24"/>
    </row>
    <row r="11" spans="1:8" x14ac:dyDescent="0.25">
      <c r="A11" s="48"/>
      <c r="B11" s="1" t="s">
        <v>133</v>
      </c>
      <c r="C11" s="1">
        <v>1</v>
      </c>
      <c r="D11" s="1">
        <v>50.4</v>
      </c>
      <c r="E11" s="1">
        <v>20</v>
      </c>
      <c r="F11" s="11" t="s">
        <v>16</v>
      </c>
      <c r="G11" s="39">
        <f>D11*E11</f>
        <v>1008</v>
      </c>
      <c r="H11" s="1"/>
    </row>
    <row r="12" spans="1:8" x14ac:dyDescent="0.25">
      <c r="A12" s="48"/>
      <c r="B12" s="1"/>
      <c r="C12" s="1"/>
      <c r="D12" s="1"/>
      <c r="E12" s="1"/>
      <c r="F12" s="11"/>
      <c r="G12" s="1"/>
      <c r="H12" s="1"/>
    </row>
    <row r="13" spans="1:8" x14ac:dyDescent="0.25">
      <c r="A13" s="48"/>
      <c r="B13" s="1"/>
      <c r="C13" s="1"/>
      <c r="D13" s="1"/>
      <c r="E13" s="1"/>
      <c r="F13" s="11"/>
      <c r="G13" s="1"/>
      <c r="H13" s="1"/>
    </row>
    <row r="14" spans="1:8" x14ac:dyDescent="0.25">
      <c r="A14" s="48"/>
      <c r="B14" s="1"/>
      <c r="C14" s="1"/>
      <c r="D14" s="1"/>
      <c r="E14" s="1"/>
      <c r="F14" s="11"/>
      <c r="G14" s="1"/>
      <c r="H14" s="1"/>
    </row>
    <row r="15" spans="1:8" x14ac:dyDescent="0.25">
      <c r="A15" s="48"/>
      <c r="B15" s="17"/>
      <c r="C15" s="1"/>
      <c r="D15" s="1"/>
      <c r="E15" s="1"/>
      <c r="F15" s="1"/>
      <c r="G15" s="1"/>
      <c r="H15" s="11"/>
    </row>
    <row r="16" spans="1:8" x14ac:dyDescent="0.25">
      <c r="A16" s="49"/>
      <c r="B16" s="43" t="s">
        <v>7</v>
      </c>
      <c r="C16" s="44"/>
      <c r="D16" s="45"/>
      <c r="E16" s="3"/>
      <c r="F16" s="3"/>
      <c r="G16" s="13">
        <f>SUM(G10:G15)</f>
        <v>2898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6" t="s">
        <v>120</v>
      </c>
      <c r="B18" s="1" t="s">
        <v>134</v>
      </c>
      <c r="C18" s="1">
        <v>30</v>
      </c>
      <c r="D18" s="1">
        <v>55.8</v>
      </c>
      <c r="E18" s="1">
        <v>30</v>
      </c>
      <c r="F18" s="33" t="s">
        <v>37</v>
      </c>
      <c r="G18" s="1">
        <f>D18*E18</f>
        <v>1674</v>
      </c>
      <c r="H18" s="1"/>
    </row>
    <row r="19" spans="1:8" x14ac:dyDescent="0.25">
      <c r="A19" s="46"/>
      <c r="B19" s="1" t="s">
        <v>81</v>
      </c>
      <c r="C19" s="1">
        <v>10</v>
      </c>
      <c r="D19" s="1">
        <v>112.5</v>
      </c>
      <c r="E19" s="1">
        <v>10</v>
      </c>
      <c r="F19" s="33" t="s">
        <v>37</v>
      </c>
      <c r="G19" s="39">
        <f t="shared" ref="G19:G20" si="1">D19*E19</f>
        <v>1125</v>
      </c>
      <c r="H19" s="1"/>
    </row>
    <row r="20" spans="1:8" x14ac:dyDescent="0.25">
      <c r="A20" s="46"/>
      <c r="B20" s="1" t="s">
        <v>69</v>
      </c>
      <c r="C20" s="1">
        <v>1</v>
      </c>
      <c r="D20" s="1">
        <v>51</v>
      </c>
      <c r="E20" s="1">
        <v>1</v>
      </c>
      <c r="F20" s="33" t="s">
        <v>37</v>
      </c>
      <c r="G20" s="39">
        <f t="shared" si="1"/>
        <v>51</v>
      </c>
      <c r="H20" s="1"/>
    </row>
    <row r="21" spans="1:8" x14ac:dyDescent="0.25">
      <c r="A21" s="46"/>
      <c r="B21" s="1"/>
      <c r="C21" s="1"/>
      <c r="D21" s="1"/>
      <c r="E21" s="3"/>
      <c r="F21" s="3"/>
      <c r="G21" s="1"/>
      <c r="H21" s="1"/>
    </row>
    <row r="22" spans="1:8" x14ac:dyDescent="0.25">
      <c r="A22" s="46"/>
      <c r="B22" s="43" t="s">
        <v>7</v>
      </c>
      <c r="C22" s="44"/>
      <c r="D22" s="45"/>
      <c r="E22" s="3"/>
      <c r="F22" s="3"/>
      <c r="G22" s="15">
        <f>SUM(G18:G21)</f>
        <v>2850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3"/>
      <c r="B24" s="17" t="s">
        <v>135</v>
      </c>
      <c r="C24" s="11">
        <v>1</v>
      </c>
      <c r="D24" s="11">
        <v>360</v>
      </c>
      <c r="E24" s="11">
        <v>1</v>
      </c>
      <c r="F24" s="30" t="s">
        <v>91</v>
      </c>
      <c r="G24" s="11">
        <f>D24*E24</f>
        <v>360</v>
      </c>
      <c r="H24" s="11" t="s">
        <v>19</v>
      </c>
    </row>
    <row r="25" spans="1:8" x14ac:dyDescent="0.25">
      <c r="A25" s="54"/>
      <c r="B25" s="11" t="s">
        <v>136</v>
      </c>
      <c r="C25" s="11">
        <v>40</v>
      </c>
      <c r="D25" s="11">
        <v>108</v>
      </c>
      <c r="E25" s="11">
        <v>2.5</v>
      </c>
      <c r="F25" s="30" t="s">
        <v>16</v>
      </c>
      <c r="G25" s="39">
        <f t="shared" ref="G25:G30" si="2">D25*E25</f>
        <v>270</v>
      </c>
      <c r="H25" s="11" t="s">
        <v>19</v>
      </c>
    </row>
    <row r="26" spans="1:8" x14ac:dyDescent="0.25">
      <c r="A26" s="54"/>
      <c r="B26" s="11" t="s">
        <v>137</v>
      </c>
      <c r="C26" s="11">
        <v>25</v>
      </c>
      <c r="D26" s="11">
        <v>10</v>
      </c>
      <c r="E26" s="11">
        <v>25</v>
      </c>
      <c r="F26" s="11" t="s">
        <v>90</v>
      </c>
      <c r="G26" s="39">
        <f t="shared" si="2"/>
        <v>250</v>
      </c>
      <c r="H26" s="1" t="s">
        <v>18</v>
      </c>
    </row>
    <row r="27" spans="1:8" x14ac:dyDescent="0.25">
      <c r="A27" s="54"/>
      <c r="B27" s="1" t="s">
        <v>138</v>
      </c>
      <c r="C27" s="1">
        <v>4</v>
      </c>
      <c r="D27" s="1">
        <v>177</v>
      </c>
      <c r="E27" s="1">
        <v>4</v>
      </c>
      <c r="F27" s="33" t="s">
        <v>37</v>
      </c>
      <c r="G27" s="39">
        <f t="shared" si="2"/>
        <v>708</v>
      </c>
      <c r="H27" s="11" t="s">
        <v>18</v>
      </c>
    </row>
    <row r="28" spans="1:8" x14ac:dyDescent="0.25">
      <c r="A28" s="54"/>
      <c r="B28" s="1" t="s">
        <v>79</v>
      </c>
      <c r="C28" s="1">
        <v>2</v>
      </c>
      <c r="D28" s="1">
        <v>29.58</v>
      </c>
      <c r="E28" s="1">
        <v>2</v>
      </c>
      <c r="F28" s="33" t="s">
        <v>37</v>
      </c>
      <c r="G28" s="39">
        <f t="shared" si="2"/>
        <v>59.16</v>
      </c>
      <c r="H28" s="11" t="s">
        <v>18</v>
      </c>
    </row>
    <row r="29" spans="1:8" x14ac:dyDescent="0.25">
      <c r="A29" s="54"/>
      <c r="B29" s="1" t="s">
        <v>179</v>
      </c>
      <c r="C29" s="1"/>
      <c r="D29" s="1">
        <v>52.2</v>
      </c>
      <c r="E29" s="1">
        <v>1</v>
      </c>
      <c r="F29" s="1" t="s">
        <v>180</v>
      </c>
      <c r="G29" s="39">
        <f t="shared" si="2"/>
        <v>52.2</v>
      </c>
      <c r="H29" s="24"/>
    </row>
    <row r="30" spans="1:8" x14ac:dyDescent="0.25">
      <c r="A30" s="54"/>
      <c r="B30" s="1" t="s">
        <v>182</v>
      </c>
      <c r="C30" s="1"/>
      <c r="D30" s="1">
        <v>96.9</v>
      </c>
      <c r="E30" s="1">
        <v>3</v>
      </c>
      <c r="F30" s="1" t="s">
        <v>180</v>
      </c>
      <c r="G30" s="39">
        <f t="shared" si="2"/>
        <v>290.70000000000005</v>
      </c>
      <c r="H30" s="1"/>
    </row>
    <row r="31" spans="1:8" x14ac:dyDescent="0.25">
      <c r="A31" s="55"/>
      <c r="B31" s="43" t="s">
        <v>7</v>
      </c>
      <c r="C31" s="44"/>
      <c r="D31" s="45"/>
      <c r="E31" s="3"/>
      <c r="F31" s="3"/>
      <c r="G31" s="13">
        <f>SUM(G24:G30)</f>
        <v>1990.0600000000002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46" t="s">
        <v>121</v>
      </c>
      <c r="B33" s="1" t="s">
        <v>139</v>
      </c>
      <c r="C33" s="1">
        <v>20</v>
      </c>
      <c r="D33" s="1">
        <v>12.24</v>
      </c>
      <c r="E33" s="1">
        <v>20</v>
      </c>
      <c r="F33" s="33" t="s">
        <v>37</v>
      </c>
      <c r="G33" s="1">
        <f>D33*E33</f>
        <v>244.8</v>
      </c>
      <c r="H33" s="1"/>
    </row>
    <row r="34" spans="1:8" x14ac:dyDescent="0.25">
      <c r="A34" s="46"/>
      <c r="B34" s="1" t="s">
        <v>85</v>
      </c>
      <c r="C34" s="1">
        <v>5</v>
      </c>
      <c r="D34" s="1">
        <v>63</v>
      </c>
      <c r="E34" s="1">
        <v>5</v>
      </c>
      <c r="F34" s="33" t="s">
        <v>37</v>
      </c>
      <c r="G34" s="39">
        <f>D34*E34</f>
        <v>315</v>
      </c>
      <c r="H34" s="1"/>
    </row>
    <row r="35" spans="1:8" x14ac:dyDescent="0.25">
      <c r="A35" s="46"/>
      <c r="B35" s="1"/>
      <c r="C35" s="1"/>
      <c r="D35" s="1"/>
      <c r="E35" s="1"/>
      <c r="F35" s="1"/>
      <c r="G35" s="1"/>
      <c r="H35" s="1"/>
    </row>
    <row r="36" spans="1:8" x14ac:dyDescent="0.25">
      <c r="A36" s="46"/>
      <c r="B36" s="43"/>
      <c r="C36" s="44"/>
      <c r="D36" s="45"/>
      <c r="E36" s="3"/>
      <c r="F36" s="3"/>
      <c r="G36" s="13">
        <f>SUM(G33:G35)</f>
        <v>559.79999999999995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47"/>
      <c r="B38" s="1" t="s">
        <v>181</v>
      </c>
      <c r="C38" s="1"/>
      <c r="D38" s="1">
        <v>12.24</v>
      </c>
      <c r="E38" s="1">
        <v>65</v>
      </c>
      <c r="F38" s="1" t="s">
        <v>180</v>
      </c>
      <c r="G38" s="1">
        <f>D38*E38</f>
        <v>795.6</v>
      </c>
      <c r="H38" s="1"/>
    </row>
    <row r="39" spans="1:8" x14ac:dyDescent="0.25">
      <c r="A39" s="48"/>
      <c r="B39" s="1" t="s">
        <v>194</v>
      </c>
      <c r="C39" s="1"/>
      <c r="D39" s="1"/>
      <c r="E39" s="1"/>
      <c r="F39" s="1"/>
      <c r="G39" s="2">
        <v>0</v>
      </c>
      <c r="H39" s="1" t="s">
        <v>195</v>
      </c>
    </row>
    <row r="40" spans="1:8" x14ac:dyDescent="0.25">
      <c r="A40" s="49"/>
      <c r="B40" s="43" t="s">
        <v>7</v>
      </c>
      <c r="C40" s="44"/>
      <c r="D40" s="45"/>
      <c r="E40" s="3"/>
      <c r="F40" s="3"/>
      <c r="G40" s="13">
        <f>SUM(G38:G39)</f>
        <v>795.6</v>
      </c>
      <c r="H40" s="6"/>
    </row>
    <row r="41" spans="1:8" x14ac:dyDescent="0.25">
      <c r="A41" s="7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46"/>
      <c r="B42" s="1" t="s">
        <v>183</v>
      </c>
      <c r="C42" s="1"/>
      <c r="D42" s="1">
        <v>1688</v>
      </c>
      <c r="E42" s="1">
        <v>1</v>
      </c>
      <c r="F42" s="1" t="s">
        <v>184</v>
      </c>
      <c r="G42" s="1">
        <f>D42*E42</f>
        <v>1688</v>
      </c>
      <c r="H42" s="1"/>
    </row>
    <row r="43" spans="1:8" x14ac:dyDescent="0.25">
      <c r="A43" s="46"/>
      <c r="B43" s="1" t="s">
        <v>185</v>
      </c>
      <c r="C43" s="1"/>
      <c r="D43" s="1">
        <v>32</v>
      </c>
      <c r="E43" s="1">
        <v>100</v>
      </c>
      <c r="F43" s="1" t="s">
        <v>180</v>
      </c>
      <c r="G43" s="39">
        <f t="shared" ref="G43:G49" si="3">D43*E43</f>
        <v>3200</v>
      </c>
      <c r="H43" s="1"/>
    </row>
    <row r="44" spans="1:8" x14ac:dyDescent="0.25">
      <c r="A44" s="46"/>
      <c r="B44" s="1" t="s">
        <v>186</v>
      </c>
      <c r="C44" s="1"/>
      <c r="D44" s="1">
        <v>270</v>
      </c>
      <c r="E44" s="1">
        <v>1</v>
      </c>
      <c r="F44" s="1" t="s">
        <v>187</v>
      </c>
      <c r="G44" s="39">
        <f t="shared" si="3"/>
        <v>270</v>
      </c>
      <c r="H44" s="1"/>
    </row>
    <row r="45" spans="1:8" x14ac:dyDescent="0.25">
      <c r="A45" s="46"/>
      <c r="B45" s="1" t="s">
        <v>188</v>
      </c>
      <c r="C45" s="1"/>
      <c r="D45" s="1">
        <v>310</v>
      </c>
      <c r="E45" s="1">
        <v>1</v>
      </c>
      <c r="F45" s="1" t="s">
        <v>187</v>
      </c>
      <c r="G45" s="39">
        <f t="shared" si="3"/>
        <v>310</v>
      </c>
      <c r="H45" s="1"/>
    </row>
    <row r="46" spans="1:8" x14ac:dyDescent="0.25">
      <c r="A46" s="46"/>
      <c r="B46" s="39" t="s">
        <v>189</v>
      </c>
      <c r="C46" s="39"/>
      <c r="D46" s="39">
        <v>637.79999999999995</v>
      </c>
      <c r="E46" s="39">
        <v>2</v>
      </c>
      <c r="F46" s="39" t="s">
        <v>180</v>
      </c>
      <c r="G46" s="39">
        <f t="shared" si="3"/>
        <v>1275.5999999999999</v>
      </c>
      <c r="H46" s="39"/>
    </row>
    <row r="47" spans="1:8" x14ac:dyDescent="0.25">
      <c r="A47" s="46"/>
      <c r="B47" s="39" t="s">
        <v>190</v>
      </c>
      <c r="C47" s="39"/>
      <c r="D47" s="39">
        <v>273</v>
      </c>
      <c r="E47" s="39">
        <v>2</v>
      </c>
      <c r="F47" s="39" t="s">
        <v>187</v>
      </c>
      <c r="G47" s="39">
        <f t="shared" si="3"/>
        <v>546</v>
      </c>
      <c r="H47" s="39"/>
    </row>
    <row r="48" spans="1:8" x14ac:dyDescent="0.25">
      <c r="A48" s="46"/>
      <c r="B48" s="39" t="s">
        <v>191</v>
      </c>
      <c r="C48" s="39"/>
      <c r="D48" s="39">
        <v>75</v>
      </c>
      <c r="E48" s="39">
        <v>1</v>
      </c>
      <c r="F48" s="39" t="s">
        <v>192</v>
      </c>
      <c r="G48" s="39">
        <f t="shared" si="3"/>
        <v>75</v>
      </c>
      <c r="H48" s="39"/>
    </row>
    <row r="49" spans="1:8" x14ac:dyDescent="0.25">
      <c r="A49" s="46"/>
      <c r="B49" s="39" t="s">
        <v>193</v>
      </c>
      <c r="C49" s="39"/>
      <c r="D49" s="39">
        <v>1188</v>
      </c>
      <c r="E49" s="39">
        <v>1</v>
      </c>
      <c r="F49" s="38" t="s">
        <v>187</v>
      </c>
      <c r="G49" s="39">
        <f t="shared" si="3"/>
        <v>1188</v>
      </c>
      <c r="H49" s="39"/>
    </row>
    <row r="50" spans="1:8" x14ac:dyDescent="0.25">
      <c r="A50" s="46"/>
      <c r="B50" s="43" t="s">
        <v>7</v>
      </c>
      <c r="C50" s="44"/>
      <c r="D50" s="45"/>
      <c r="E50" s="3"/>
      <c r="F50" s="3"/>
      <c r="G50" s="13">
        <f>SUM(G42:G49)</f>
        <v>8552.6</v>
      </c>
      <c r="H50" s="1"/>
    </row>
    <row r="51" spans="1:8" x14ac:dyDescent="0.25">
      <c r="A51" s="1"/>
      <c r="B51" s="40" t="s">
        <v>14</v>
      </c>
      <c r="C51" s="41"/>
      <c r="D51" s="42"/>
      <c r="E51" s="8"/>
      <c r="F51" s="8"/>
      <c r="G51" s="9">
        <f>G50+G40+G36+G22+G16+G8+G31</f>
        <v>24890.13</v>
      </c>
      <c r="H51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42:A50"/>
    <mergeCell ref="B50:D50"/>
    <mergeCell ref="B51:D51"/>
    <mergeCell ref="B31:D31"/>
    <mergeCell ref="A33:A36"/>
    <mergeCell ref="B36:D36"/>
    <mergeCell ref="A38:A40"/>
    <mergeCell ref="B40:D40"/>
    <mergeCell ref="A24:A31"/>
  </mergeCells>
  <phoneticPr fontId="2" type="noConversion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1208</vt:lpstr>
      <vt:lpstr>1209</vt:lpstr>
      <vt:lpstr>1210</vt:lpstr>
      <vt:lpstr>1211</vt:lpstr>
      <vt:lpstr>1212</vt:lpstr>
      <vt:lpstr>'1208'!Print_Area</vt:lpstr>
      <vt:lpstr>'1209'!Print_Area</vt:lpstr>
      <vt:lpstr>'1210'!Print_Area</vt:lpstr>
      <vt:lpstr>'1211'!Print_Area</vt:lpstr>
      <vt:lpstr>'1212'!Print_Area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2025-12-11T01:37:07Z</cp:lastPrinted>
  <dcterms:created xsi:type="dcterms:W3CDTF">2025-02-19T17:01:12Z</dcterms:created>
  <dcterms:modified xsi:type="dcterms:W3CDTF">2025-12-11T01:37:08Z</dcterms:modified>
</cp:coreProperties>
</file>