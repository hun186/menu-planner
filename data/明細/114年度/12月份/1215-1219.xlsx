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2月份\"/>
    </mc:Choice>
  </mc:AlternateContent>
  <bookViews>
    <workbookView xWindow="0" yWindow="0" windowWidth="28800" windowHeight="12255" activeTab="4"/>
  </bookViews>
  <sheets>
    <sheet name="1215" sheetId="1" r:id="rId1"/>
    <sheet name="1216" sheetId="2" r:id="rId2"/>
    <sheet name="1217" sheetId="3" r:id="rId3"/>
    <sheet name="1218" sheetId="4" r:id="rId4"/>
    <sheet name="1219" sheetId="5" r:id="rId5"/>
  </sheets>
  <definedNames>
    <definedName name="_xlnm.Print_Area" localSheetId="0">'1215'!$A$1:$H$52</definedName>
    <definedName name="_xlnm.Print_Area" localSheetId="1">'1216'!$A$1:$H$50</definedName>
    <definedName name="_xlnm.Print_Area" localSheetId="2">'1217'!$A$1:$H$63</definedName>
    <definedName name="_xlnm.Print_Area" localSheetId="3">'1218'!$A$1:$H$48</definedName>
    <definedName name="_xlnm.Print_Area" localSheetId="4">'1219'!$A$1:$H$51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5" l="1"/>
  <c r="G50" i="5"/>
  <c r="G49" i="5"/>
  <c r="G43" i="5"/>
  <c r="G44" i="5"/>
  <c r="G45" i="5"/>
  <c r="G46" i="5"/>
  <c r="G47" i="5"/>
  <c r="G48" i="5"/>
  <c r="G42" i="5"/>
  <c r="G25" i="5"/>
  <c r="G26" i="5"/>
  <c r="G27" i="5"/>
  <c r="G28" i="5"/>
  <c r="G29" i="5"/>
  <c r="G30" i="5"/>
  <c r="G38" i="5"/>
  <c r="G48" i="4"/>
  <c r="G9" i="4" l="1"/>
  <c r="G16" i="4"/>
  <c r="G31" i="4"/>
  <c r="G39" i="4"/>
  <c r="G40" i="4" s="1"/>
  <c r="G38" i="4"/>
  <c r="G47" i="4"/>
  <c r="G43" i="4"/>
  <c r="G44" i="4"/>
  <c r="G45" i="4"/>
  <c r="G46" i="4"/>
  <c r="G42" i="4"/>
  <c r="G30" i="4"/>
  <c r="G52" i="3"/>
  <c r="G58" i="3" l="1"/>
  <c r="G59" i="3"/>
  <c r="G60" i="3"/>
  <c r="G24" i="3"/>
  <c r="G21" i="3"/>
  <c r="G22" i="3"/>
  <c r="G23" i="3"/>
  <c r="G20" i="3"/>
  <c r="G62" i="3"/>
  <c r="G42" i="3"/>
  <c r="G41" i="3"/>
  <c r="G40" i="3"/>
  <c r="G39" i="3"/>
  <c r="G38" i="3"/>
  <c r="G37" i="3"/>
  <c r="G36" i="3"/>
  <c r="G35" i="3"/>
  <c r="G34" i="3"/>
  <c r="G33" i="3"/>
  <c r="G32" i="3"/>
  <c r="G50" i="2"/>
  <c r="G39" i="2" l="1"/>
  <c r="G22" i="2"/>
  <c r="G34" i="2"/>
  <c r="G52" i="1"/>
  <c r="G44" i="1"/>
  <c r="G36" i="1"/>
  <c r="G25" i="1"/>
  <c r="G26" i="1"/>
  <c r="G27" i="1"/>
  <c r="G28" i="1"/>
  <c r="G29" i="1"/>
  <c r="G30" i="1"/>
  <c r="G31" i="1"/>
  <c r="G32" i="1"/>
  <c r="G33" i="1"/>
  <c r="G34" i="1"/>
  <c r="G35" i="1"/>
  <c r="G7" i="1"/>
  <c r="G4" i="1"/>
  <c r="G5" i="1"/>
  <c r="G3" i="5" l="1"/>
  <c r="G11" i="5"/>
  <c r="G16" i="5" s="1"/>
  <c r="G10" i="5"/>
  <c r="G19" i="5"/>
  <c r="G22" i="5" s="1"/>
  <c r="G18" i="5"/>
  <c r="G24" i="5"/>
  <c r="G31" i="5" s="1"/>
  <c r="G34" i="5"/>
  <c r="G33" i="5"/>
  <c r="G34" i="4"/>
  <c r="G33" i="4"/>
  <c r="G28" i="4"/>
  <c r="G27" i="4"/>
  <c r="G26" i="4"/>
  <c r="G25" i="4"/>
  <c r="G29" i="4"/>
  <c r="G24" i="4"/>
  <c r="G20" i="4"/>
  <c r="G19" i="4"/>
  <c r="G18" i="4"/>
  <c r="G12" i="4"/>
  <c r="G11" i="4"/>
  <c r="G7" i="4"/>
  <c r="G6" i="4"/>
  <c r="G5" i="4"/>
  <c r="G4" i="4"/>
  <c r="G3" i="4"/>
  <c r="G14" i="3"/>
  <c r="G13" i="3"/>
  <c r="G12" i="3"/>
  <c r="G3" i="3"/>
  <c r="G10" i="3" s="1"/>
  <c r="G30" i="3"/>
  <c r="G31" i="3"/>
  <c r="G44" i="3"/>
  <c r="G45" i="3"/>
  <c r="G50" i="3"/>
  <c r="G49" i="3"/>
  <c r="G38" i="2"/>
  <c r="G37" i="2"/>
  <c r="G28" i="2"/>
  <c r="G27" i="2"/>
  <c r="G22" i="1"/>
  <c r="G23" i="1"/>
  <c r="G24" i="1"/>
  <c r="G51" i="1"/>
  <c r="G41" i="1"/>
  <c r="G49" i="2"/>
  <c r="G40" i="5"/>
  <c r="G8" i="5"/>
  <c r="G27" i="3"/>
  <c r="G29" i="3"/>
  <c r="G16" i="1"/>
  <c r="G17" i="1"/>
  <c r="G18" i="1"/>
  <c r="G19" i="1"/>
  <c r="G36" i="5" l="1"/>
  <c r="G36" i="4"/>
  <c r="G47" i="3"/>
  <c r="G63" i="3"/>
  <c r="G20" i="1"/>
  <c r="G22" i="4"/>
  <c r="G26" i="2"/>
  <c r="G25" i="2"/>
  <c r="G15" i="3" l="1"/>
  <c r="G18" i="3" s="1"/>
  <c r="G28" i="3"/>
  <c r="G26" i="3"/>
  <c r="G55" i="3"/>
  <c r="G56" i="3"/>
  <c r="G57" i="3"/>
  <c r="G54" i="3"/>
  <c r="G24" i="2" l="1"/>
  <c r="G42" i="2"/>
  <c r="G10" i="2"/>
  <c r="G9" i="2"/>
  <c r="G14" i="2" s="1"/>
  <c r="G17" i="2"/>
  <c r="G18" i="2"/>
  <c r="G19" i="2"/>
  <c r="G20" i="2"/>
  <c r="G16" i="2"/>
  <c r="G36" i="2"/>
  <c r="G4" i="2"/>
  <c r="G5" i="2"/>
  <c r="G6" i="2"/>
  <c r="G3" i="2"/>
  <c r="G7" i="2" s="1"/>
  <c r="G41" i="2"/>
  <c r="G43" i="2" l="1"/>
  <c r="G3" i="1"/>
  <c r="G43" i="1" l="1"/>
  <c r="G45" i="1" s="1"/>
  <c r="G10" i="1" l="1"/>
  <c r="G11" i="1"/>
  <c r="G12" i="1"/>
  <c r="G9" i="1"/>
  <c r="G14" i="1" l="1"/>
</calcChain>
</file>

<file path=xl/sharedStrings.xml><?xml version="1.0" encoding="utf-8"?>
<sst xmlns="http://schemas.openxmlformats.org/spreadsheetml/2006/main" count="581" uniqueCount="213">
  <si>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</si>
  <si>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</si>
  <si>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</si>
  <si>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</si>
  <si>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</si>
  <si>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</si>
  <si>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</si>
  <si>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</si>
  <si>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</si>
  <si>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</si>
  <si>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</si>
  <si>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</si>
  <si>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</si>
  <si>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</si>
  <si>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</si>
  <si>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</si>
  <si>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</si>
  <si>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</si>
  <si>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</si>
  <si>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件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</si>
  <si>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</si>
  <si>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</si>
  <si>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</si>
  <si>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包</t>
    <phoneticPr fontId="2" type="noConversion"/>
  </si>
  <si>
    <t>五穀米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</si>
  <si>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</si>
  <si>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</si>
  <si>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</si>
  <si>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</si>
  <si>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斤</t>
    <phoneticPr fontId="2" type="noConversion"/>
  </si>
  <si>
    <t>小籠包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</si>
  <si>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</si>
  <si>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</si>
  <si>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</si>
  <si>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</si>
  <si>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瓶</t>
    <phoneticPr fontId="2" type="noConversion"/>
  </si>
  <si>
    <t>電訊科技中心(安康營區)     114年     12月   15日      午餐明細表</t>
    <phoneticPr fontId="2" type="noConversion"/>
  </si>
  <si>
    <t>清蒸鯛魚</t>
    <phoneticPr fontId="2" type="noConversion"/>
  </si>
  <si>
    <t>鯛魚片</t>
  </si>
  <si>
    <t>薑絲</t>
  </si>
  <si>
    <t>去皮洋蔥</t>
  </si>
  <si>
    <t>涼拌豆皮</t>
    <phoneticPr fontId="2" type="noConversion"/>
  </si>
  <si>
    <t>海帶芽蛋花湯</t>
    <phoneticPr fontId="2" type="noConversion"/>
  </si>
  <si>
    <t>海帶芽</t>
    <phoneticPr fontId="2" type="noConversion"/>
  </si>
  <si>
    <t>雞蛋</t>
    <phoneticPr fontId="2" type="noConversion"/>
  </si>
  <si>
    <t>炸豆皮</t>
  </si>
  <si>
    <t>蒜泥</t>
  </si>
  <si>
    <t>辣椒</t>
  </si>
  <si>
    <t>薑</t>
  </si>
  <si>
    <t>蒜仁</t>
  </si>
  <si>
    <t>青蔥</t>
  </si>
  <si>
    <t>蛋</t>
  </si>
  <si>
    <t>杏鮑菇</t>
  </si>
  <si>
    <t>甜豆</t>
  </si>
  <si>
    <t>烏龍麵</t>
  </si>
  <si>
    <t>豬肉片</t>
  </si>
  <si>
    <t>紅椒</t>
  </si>
  <si>
    <t>黃椒</t>
  </si>
  <si>
    <t>晚餐</t>
    <phoneticPr fontId="2" type="noConversion"/>
  </si>
  <si>
    <t>素食</t>
    <phoneticPr fontId="2" type="noConversion"/>
  </si>
  <si>
    <t>電訊科技中心(安康營區)     114年      12月   16日      午餐明細表</t>
    <phoneticPr fontId="2" type="noConversion"/>
  </si>
  <si>
    <t>半</t>
    <phoneticPr fontId="2" type="noConversion"/>
  </si>
  <si>
    <t>麻婆豆腐</t>
    <phoneticPr fontId="2" type="noConversion"/>
  </si>
  <si>
    <t>胡瓜炒蛋</t>
    <phoneticPr fontId="2" type="noConversion"/>
  </si>
  <si>
    <t>桂圓紅棗湯圓</t>
    <phoneticPr fontId="2" type="noConversion"/>
  </si>
  <si>
    <t>紅燒排骨</t>
    <phoneticPr fontId="2" type="noConversion"/>
  </si>
  <si>
    <t xml:space="preserve">小排骨 </t>
    <phoneticPr fontId="2" type="noConversion"/>
  </si>
  <si>
    <t>百頁豆腐</t>
    <phoneticPr fontId="2" type="noConversion"/>
  </si>
  <si>
    <t xml:space="preserve">絞肉 </t>
    <phoneticPr fontId="2" type="noConversion"/>
  </si>
  <si>
    <t>個</t>
  </si>
  <si>
    <t xml:space="preserve">胡瓜絲 </t>
    <phoneticPr fontId="2" type="noConversion"/>
  </si>
  <si>
    <t xml:space="preserve">雞蛋 </t>
    <phoneticPr fontId="2" type="noConversion"/>
  </si>
  <si>
    <t>桂圓</t>
  </si>
  <si>
    <t>紅棗</t>
  </si>
  <si>
    <t>紅白小湯圓</t>
  </si>
  <si>
    <t>黑糖</t>
  </si>
  <si>
    <t>胡蘿蔔</t>
  </si>
  <si>
    <t>腿排</t>
  </si>
  <si>
    <t>包</t>
  </si>
  <si>
    <t>電訊科技中心(安康營區)     114年      12月   17日      午餐明細表</t>
    <phoneticPr fontId="2" type="noConversion"/>
  </si>
  <si>
    <t>麻油雞腿</t>
    <phoneticPr fontId="2" type="noConversion"/>
  </si>
  <si>
    <t>焗烤馬鈴薯</t>
    <phoneticPr fontId="2" type="noConversion"/>
  </si>
  <si>
    <t>蘿蔔貢丸湯</t>
    <phoneticPr fontId="2" type="noConversion"/>
  </si>
  <si>
    <t>什錦烏龍麵</t>
    <phoneticPr fontId="2" type="noConversion"/>
  </si>
  <si>
    <t xml:space="preserve">大亨堡 (切) </t>
    <phoneticPr fontId="2" type="noConversion"/>
  </si>
  <si>
    <t>棒腿</t>
  </si>
  <si>
    <t>棒腿</t>
    <phoneticPr fontId="2" type="noConversion"/>
  </si>
  <si>
    <t>去皮馬鈴薯</t>
    <phoneticPr fontId="2" type="noConversion"/>
  </si>
  <si>
    <t>乳酪絲</t>
    <phoneticPr fontId="2" type="noConversion"/>
  </si>
  <si>
    <t>包</t>
    <phoneticPr fontId="2" type="noConversion"/>
  </si>
  <si>
    <t>糯米椒</t>
  </si>
  <si>
    <t>肉絲</t>
  </si>
  <si>
    <t>白蘿蔔</t>
  </si>
  <si>
    <t>小貢丸</t>
  </si>
  <si>
    <t>胡蘿蔔絲</t>
  </si>
  <si>
    <t>木耳絲</t>
  </si>
  <si>
    <t>魷魚細圈</t>
    <phoneticPr fontId="2" type="noConversion"/>
  </si>
  <si>
    <t>半斤</t>
    <phoneticPr fontId="2" type="noConversion"/>
  </si>
  <si>
    <t>火鍋魚板</t>
    <phoneticPr fontId="2" type="noConversion"/>
  </si>
  <si>
    <t>3斤</t>
    <phoneticPr fontId="2" type="noConversion"/>
  </si>
  <si>
    <t>電訊科技中心(安康營區)     114年      12月   18日      午餐明細表</t>
    <phoneticPr fontId="2" type="noConversion"/>
  </si>
  <si>
    <t>小黃瓜鮑菇</t>
    <phoneticPr fontId="2" type="noConversion"/>
  </si>
  <si>
    <t>芹香雞捲</t>
    <phoneticPr fontId="2" type="noConversion"/>
  </si>
  <si>
    <t>番茄豆腐湯</t>
    <phoneticPr fontId="2" type="noConversion"/>
  </si>
  <si>
    <t>回鍋肉</t>
    <phoneticPr fontId="2" type="noConversion"/>
  </si>
  <si>
    <t>4*4豆干</t>
    <phoneticPr fontId="2" type="noConversion"/>
  </si>
  <si>
    <t>電訊科技中心(安康營區)     114年      12月   19日      午餐明細表</t>
    <phoneticPr fontId="2" type="noConversion"/>
  </si>
  <si>
    <t>榨菜肉絲湯</t>
    <phoneticPr fontId="2" type="noConversion"/>
  </si>
  <si>
    <t>洋蔥炒蛋</t>
    <phoneticPr fontId="2" type="noConversion"/>
  </si>
  <si>
    <t>涼拌豆干</t>
    <phoneticPr fontId="2" type="noConversion"/>
  </si>
  <si>
    <t>烤雞腿</t>
    <phoneticPr fontId="2" type="noConversion"/>
  </si>
  <si>
    <t>油麵</t>
  </si>
  <si>
    <t xml:space="preserve">豬肉片 </t>
    <phoneticPr fontId="2" type="noConversion"/>
  </si>
  <si>
    <t xml:space="preserve">去皮洋蔥 </t>
    <phoneticPr fontId="2" type="noConversion"/>
  </si>
  <si>
    <t xml:space="preserve">胡蘿蔔 </t>
    <phoneticPr fontId="2" type="noConversion"/>
  </si>
  <si>
    <t>食材</t>
    <phoneticPr fontId="2" type="noConversion"/>
  </si>
  <si>
    <t xml:space="preserve">五花肉片 </t>
    <phoneticPr fontId="2" type="noConversion"/>
  </si>
  <si>
    <t>4.3豆腐</t>
  </si>
  <si>
    <t>筍絲</t>
  </si>
  <si>
    <t>小黃瓜</t>
  </si>
  <si>
    <t>去葉芹菜</t>
  </si>
  <si>
    <t>去皮冬瓜</t>
  </si>
  <si>
    <t xml:space="preserve">乾香菇絲 </t>
    <phoneticPr fontId="2" type="noConversion"/>
  </si>
  <si>
    <t>豬肉片</t>
    <phoneticPr fontId="2" type="noConversion"/>
  </si>
  <si>
    <t>牛番茄</t>
    <phoneticPr fontId="2" type="noConversion"/>
  </si>
  <si>
    <t>板</t>
    <phoneticPr fontId="2" type="noConversion"/>
  </si>
  <si>
    <t>雞捲</t>
    <phoneticPr fontId="2" type="noConversion"/>
  </si>
  <si>
    <t>杏鮑菇</t>
    <phoneticPr fontId="2" type="noConversion"/>
  </si>
  <si>
    <t>蒜苗</t>
    <phoneticPr fontId="2" type="noConversion"/>
  </si>
  <si>
    <t>川耳</t>
    <phoneticPr fontId="2" type="noConversion"/>
  </si>
  <si>
    <t>黑豆干</t>
    <phoneticPr fontId="2" type="noConversion"/>
  </si>
  <si>
    <t>花椒油</t>
    <phoneticPr fontId="2" type="noConversion"/>
  </si>
  <si>
    <t>去皮洋蔥</t>
    <phoneticPr fontId="2" type="noConversion"/>
  </si>
  <si>
    <t>榨菜絲</t>
    <phoneticPr fontId="2" type="noConversion"/>
  </si>
  <si>
    <t>肉絲</t>
    <phoneticPr fontId="2" type="noConversion"/>
  </si>
  <si>
    <t>五花絞肉</t>
    <phoneticPr fontId="2" type="noConversion"/>
  </si>
  <si>
    <t>香腸</t>
    <phoneticPr fontId="2" type="noConversion"/>
  </si>
  <si>
    <t>斤</t>
    <phoneticPr fontId="2" type="noConversion"/>
  </si>
  <si>
    <t>滷蛋</t>
    <phoneticPr fontId="2" type="noConversion"/>
  </si>
  <si>
    <t>粒</t>
    <phoneticPr fontId="2" type="noConversion"/>
  </si>
  <si>
    <t>香蕉</t>
    <phoneticPr fontId="2" type="noConversion"/>
  </si>
  <si>
    <t>斤</t>
    <phoneticPr fontId="2" type="noConversion"/>
  </si>
  <si>
    <t>個</t>
    <phoneticPr fontId="2" type="noConversion"/>
  </si>
  <si>
    <t>地瓜梅粉</t>
    <phoneticPr fontId="2" type="noConversion"/>
  </si>
  <si>
    <t>地瓜</t>
    <phoneticPr fontId="2" type="noConversion"/>
  </si>
  <si>
    <t>梅子粉</t>
    <phoneticPr fontId="2" type="noConversion"/>
  </si>
  <si>
    <t>包</t>
    <phoneticPr fontId="2" type="noConversion"/>
  </si>
  <si>
    <t>高麗菜</t>
    <phoneticPr fontId="2" type="noConversion"/>
  </si>
  <si>
    <t>桶</t>
    <phoneticPr fontId="2" type="noConversion"/>
  </si>
  <si>
    <t>盒</t>
    <phoneticPr fontId="2" type="noConversion"/>
  </si>
  <si>
    <t>鵝白菜</t>
    <phoneticPr fontId="2" type="noConversion"/>
  </si>
  <si>
    <t>斤</t>
    <phoneticPr fontId="2" type="noConversion"/>
  </si>
  <si>
    <t>油菜</t>
    <phoneticPr fontId="2" type="noConversion"/>
  </si>
  <si>
    <t>醬油</t>
    <phoneticPr fontId="2" type="noConversion"/>
  </si>
  <si>
    <t>桶</t>
    <phoneticPr fontId="2" type="noConversion"/>
  </si>
  <si>
    <t>素蠔油</t>
    <phoneticPr fontId="2" type="noConversion"/>
  </si>
  <si>
    <t>白胡椒粉</t>
    <phoneticPr fontId="2" type="noConversion"/>
  </si>
  <si>
    <t>香油</t>
    <phoneticPr fontId="2" type="noConversion"/>
  </si>
  <si>
    <t>黑麻油</t>
    <phoneticPr fontId="2" type="noConversion"/>
  </si>
  <si>
    <t>盒</t>
    <phoneticPr fontId="2" type="noConversion"/>
  </si>
  <si>
    <t>老薑</t>
    <phoneticPr fontId="2" type="noConversion"/>
  </si>
  <si>
    <t>雞排</t>
    <phoneticPr fontId="2" type="noConversion"/>
  </si>
  <si>
    <t>柳丁</t>
    <phoneticPr fontId="2" type="noConversion"/>
  </si>
  <si>
    <t>卡拉雞腿堡</t>
    <phoneticPr fontId="2" type="noConversion"/>
  </si>
  <si>
    <t>片</t>
    <phoneticPr fontId="2" type="noConversion"/>
  </si>
  <si>
    <t>味素</t>
    <phoneticPr fontId="2" type="noConversion"/>
  </si>
  <si>
    <t>烤肉醬</t>
    <phoneticPr fontId="2" type="noConversion"/>
  </si>
  <si>
    <t>厚片土司</t>
    <phoneticPr fontId="2" type="noConversion"/>
  </si>
  <si>
    <t>條</t>
    <phoneticPr fontId="2" type="noConversion"/>
  </si>
  <si>
    <t>巧克力醬</t>
    <phoneticPr fontId="2" type="noConversion"/>
  </si>
  <si>
    <t>罐</t>
    <phoneticPr fontId="2" type="noConversion"/>
  </si>
  <si>
    <t>桂冠沙拉</t>
    <phoneticPr fontId="2" type="noConversion"/>
  </si>
  <si>
    <t>包</t>
    <phoneticPr fontId="2" type="noConversion"/>
  </si>
  <si>
    <t>蜂蜜</t>
    <phoneticPr fontId="2" type="noConversion"/>
  </si>
  <si>
    <t>鮮奶油</t>
    <phoneticPr fontId="2" type="noConversion"/>
  </si>
  <si>
    <t>瓶</t>
    <phoneticPr fontId="2" type="noConversion"/>
  </si>
  <si>
    <t>烹大師</t>
    <phoneticPr fontId="2" type="noConversion"/>
  </si>
  <si>
    <t>醬油王</t>
    <phoneticPr fontId="2" type="noConversion"/>
  </si>
  <si>
    <t>庫存</t>
    <phoneticPr fontId="2" type="noConversion"/>
  </si>
  <si>
    <t>香蕉</t>
    <phoneticPr fontId="2" type="noConversion"/>
  </si>
  <si>
    <t>桂圓蛋糕</t>
    <phoneticPr fontId="2" type="noConversion"/>
  </si>
  <si>
    <t>加菜</t>
    <phoneticPr fontId="2" type="noConversion"/>
  </si>
  <si>
    <t>鵝白菜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</si>
  <si>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</si>
  <si>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</si>
  <si>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</si>
  <si>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黑麻油</t>
    <phoneticPr fontId="2" type="noConversion"/>
  </si>
  <si>
    <t>桶</t>
    <phoneticPr fontId="2" type="noConversion"/>
  </si>
  <si>
    <t>紅蘿蔔切絲</t>
    <phoneticPr fontId="2" type="noConversion"/>
  </si>
  <si>
    <t>鮪魚罐</t>
    <phoneticPr fontId="2" type="noConversion"/>
  </si>
  <si>
    <t>罐</t>
    <phoneticPr fontId="2" type="noConversion"/>
  </si>
  <si>
    <t>黑胡椒粒</t>
    <phoneticPr fontId="2" type="noConversion"/>
  </si>
  <si>
    <t>包</t>
    <phoneticPr fontId="2" type="noConversion"/>
  </si>
  <si>
    <t>花椒油</t>
    <phoneticPr fontId="2" type="noConversion"/>
  </si>
  <si>
    <t>柳丁</t>
    <phoneticPr fontId="2" type="noConversion"/>
  </si>
  <si>
    <t>斤</t>
    <phoneticPr fontId="2" type="noConversion"/>
  </si>
  <si>
    <t>香蕉</t>
    <phoneticPr fontId="2" type="noConversion"/>
  </si>
  <si>
    <t>高麗菜</t>
    <phoneticPr fontId="2" type="noConversion"/>
  </si>
  <si>
    <t>紅椒</t>
    <phoneticPr fontId="2" type="noConversion"/>
  </si>
  <si>
    <t>黃椒</t>
    <phoneticPr fontId="2" type="noConversion"/>
  </si>
  <si>
    <t>玉米筍</t>
    <phoneticPr fontId="2" type="noConversion"/>
  </si>
  <si>
    <t>盒</t>
    <phoneticPr fontId="2" type="noConversion"/>
  </si>
  <si>
    <t>綠櫛瓜</t>
    <phoneticPr fontId="2" type="noConversion"/>
  </si>
  <si>
    <t>醬油</t>
    <phoneticPr fontId="2" type="noConversion"/>
  </si>
  <si>
    <t>桶</t>
    <phoneticPr fontId="2" type="noConversion"/>
  </si>
  <si>
    <t>三好米</t>
    <phoneticPr fontId="2" type="noConversion"/>
  </si>
  <si>
    <t>鹽</t>
    <phoneticPr fontId="2" type="noConversion"/>
  </si>
  <si>
    <t>包</t>
    <phoneticPr fontId="2" type="noConversion"/>
  </si>
  <si>
    <t>番茄醬</t>
    <phoneticPr fontId="2" type="noConversion"/>
  </si>
  <si>
    <t>黑胡椒醬</t>
    <phoneticPr fontId="2" type="noConversion"/>
  </si>
  <si>
    <t>洗選蛋</t>
    <phoneticPr fontId="2" type="noConversion"/>
  </si>
  <si>
    <t>沙拉油</t>
    <phoneticPr fontId="2" type="noConversion"/>
  </si>
  <si>
    <t>冰糖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</si>
</sst>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rgb="FF262626"/>
      <name val="標楷體"/>
      <family val="4"/>
      <charset val="136"/>
    </font>
    <font>
      <sz val="12"/>
      <color rgb="FF000000"/>
      <name val="標楷體"/>
      <family val="4"/>
      <charset val="136"/>
    </font>
    <font>
      <sz val="11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5"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6" t="s">
        <v>36</v>
      </c>
      <c r="B1" s="67"/>
      <c r="C1" s="67"/>
      <c r="D1" s="67"/>
      <c r="E1" s="67"/>
      <c r="F1" s="67"/>
      <c r="G1" s="67"/>
      <c r="H1" s="68"/>
    </row>
    <row r="2" spans="1:8" x14ac:dyDescent="0.25">
      <c r="A2" s="1" t="s">
        <v>0</v>
      </c>
      <c r="B2" s="37" t="s">
        <v>1</v>
      </c>
      <c r="C2" s="37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9" t="s">
        <v>37</v>
      </c>
      <c r="B3" s="40" t="s">
        <v>38</v>
      </c>
      <c r="C3" s="40">
        <v>260</v>
      </c>
      <c r="D3" s="35">
        <v>225</v>
      </c>
      <c r="E3" s="21">
        <v>52</v>
      </c>
      <c r="F3" s="44" t="s">
        <v>23</v>
      </c>
      <c r="G3" s="22">
        <f>D3*E3</f>
        <v>11700</v>
      </c>
      <c r="H3" s="1"/>
    </row>
    <row r="4" spans="1:8" x14ac:dyDescent="0.25">
      <c r="A4" s="59"/>
      <c r="B4" s="40" t="s">
        <v>39</v>
      </c>
      <c r="C4" s="40">
        <v>2</v>
      </c>
      <c r="D4" s="35">
        <v>125.4</v>
      </c>
      <c r="E4" s="11">
        <v>2</v>
      </c>
      <c r="F4" s="21" t="s">
        <v>32</v>
      </c>
      <c r="G4" s="22">
        <f t="shared" ref="G4:G5" si="0">D4*E4</f>
        <v>250.8</v>
      </c>
      <c r="H4" s="1"/>
    </row>
    <row r="5" spans="1:8" x14ac:dyDescent="0.25">
      <c r="A5" s="59"/>
      <c r="B5" s="40" t="s">
        <v>40</v>
      </c>
      <c r="C5" s="40">
        <v>15</v>
      </c>
      <c r="D5" s="35">
        <v>30.6</v>
      </c>
      <c r="E5" s="1">
        <v>15</v>
      </c>
      <c r="F5" s="34" t="s">
        <v>32</v>
      </c>
      <c r="G5" s="22">
        <f t="shared" si="0"/>
        <v>459</v>
      </c>
      <c r="H5" s="1"/>
    </row>
    <row r="6" spans="1:8" x14ac:dyDescent="0.25">
      <c r="A6" s="62"/>
      <c r="B6" s="38"/>
      <c r="C6" s="38"/>
      <c r="D6" s="36"/>
      <c r="E6" s="3"/>
      <c r="F6" s="30"/>
      <c r="G6" s="3"/>
      <c r="H6" s="1"/>
    </row>
    <row r="7" spans="1:8" x14ac:dyDescent="0.25">
      <c r="A7" s="62"/>
      <c r="B7" s="59" t="s">
        <v>7</v>
      </c>
      <c r="C7" s="60"/>
      <c r="D7" s="61"/>
      <c r="E7" s="3"/>
      <c r="F7" s="3"/>
      <c r="G7" s="15">
        <f>SUM(G3:G6)</f>
        <v>12409.8</v>
      </c>
      <c r="H7" s="1"/>
    </row>
    <row r="8" spans="1:8" x14ac:dyDescent="0.25">
      <c r="A8" s="1" t="s">
        <v>8</v>
      </c>
      <c r="B8" s="37" t="s">
        <v>1</v>
      </c>
      <c r="C8" s="37" t="s">
        <v>2</v>
      </c>
      <c r="D8" s="36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9" t="s">
        <v>143</v>
      </c>
      <c r="B9" s="40" t="s">
        <v>144</v>
      </c>
      <c r="C9" s="40"/>
      <c r="D9" s="35">
        <v>31.62</v>
      </c>
      <c r="E9" s="1">
        <v>40</v>
      </c>
      <c r="F9" s="34" t="s">
        <v>32</v>
      </c>
      <c r="G9" s="1">
        <f>D9*E9</f>
        <v>1264.8</v>
      </c>
      <c r="H9" s="1"/>
    </row>
    <row r="10" spans="1:8" x14ac:dyDescent="0.25">
      <c r="A10" s="59"/>
      <c r="B10" s="40" t="s">
        <v>145</v>
      </c>
      <c r="C10" s="41"/>
      <c r="D10" s="35">
        <v>150</v>
      </c>
      <c r="E10" s="1">
        <v>1</v>
      </c>
      <c r="F10" s="34" t="s">
        <v>146</v>
      </c>
      <c r="G10" s="11">
        <f t="shared" ref="G10:G12" si="1">D10*E10</f>
        <v>150</v>
      </c>
      <c r="H10" s="1"/>
    </row>
    <row r="11" spans="1:8" x14ac:dyDescent="0.25">
      <c r="A11" s="62"/>
      <c r="B11" s="38"/>
      <c r="C11" s="38"/>
      <c r="D11" s="36"/>
      <c r="E11" s="1"/>
      <c r="F11" s="1"/>
      <c r="G11" s="11">
        <f t="shared" si="1"/>
        <v>0</v>
      </c>
      <c r="H11" s="1"/>
    </row>
    <row r="12" spans="1:8" x14ac:dyDescent="0.25">
      <c r="A12" s="62"/>
      <c r="B12" s="36"/>
      <c r="C12" s="36"/>
      <c r="D12" s="36"/>
      <c r="E12" s="1"/>
      <c r="F12" s="1"/>
      <c r="G12" s="11">
        <f t="shared" si="1"/>
        <v>0</v>
      </c>
      <c r="H12" s="1"/>
    </row>
    <row r="13" spans="1:8" x14ac:dyDescent="0.25">
      <c r="A13" s="62"/>
      <c r="B13" s="36"/>
      <c r="C13" s="36"/>
      <c r="D13" s="36"/>
      <c r="E13" s="1"/>
      <c r="F13" s="1"/>
      <c r="G13" s="1"/>
      <c r="H13" s="1"/>
    </row>
    <row r="14" spans="1:8" x14ac:dyDescent="0.25">
      <c r="A14" s="62"/>
      <c r="B14" s="59" t="s">
        <v>7</v>
      </c>
      <c r="C14" s="60"/>
      <c r="D14" s="61"/>
      <c r="E14" s="3"/>
      <c r="F14" s="3"/>
      <c r="G14" s="15">
        <f>SUM(G9:G13)</f>
        <v>1414.8</v>
      </c>
      <c r="H14" s="1"/>
    </row>
    <row r="15" spans="1:8" x14ac:dyDescent="0.25">
      <c r="A15" s="1" t="s">
        <v>9</v>
      </c>
      <c r="B15" s="37" t="s">
        <v>1</v>
      </c>
      <c r="C15" s="37" t="s">
        <v>2</v>
      </c>
      <c r="D15" s="36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9" t="s">
        <v>41</v>
      </c>
      <c r="B16" s="43" t="s">
        <v>45</v>
      </c>
      <c r="C16" s="43">
        <v>250</v>
      </c>
      <c r="D16" s="35">
        <v>150</v>
      </c>
      <c r="E16" s="1">
        <v>23</v>
      </c>
      <c r="F16" s="36" t="s">
        <v>141</v>
      </c>
      <c r="G16" s="1">
        <f>D16*E16</f>
        <v>3450</v>
      </c>
      <c r="H16" s="1"/>
    </row>
    <row r="17" spans="1:8" x14ac:dyDescent="0.25">
      <c r="A17" s="59"/>
      <c r="B17" s="40" t="s">
        <v>46</v>
      </c>
      <c r="C17" s="40">
        <v>2</v>
      </c>
      <c r="D17" s="35">
        <v>108.3</v>
      </c>
      <c r="E17" s="1">
        <v>2</v>
      </c>
      <c r="F17" s="34" t="s">
        <v>32</v>
      </c>
      <c r="G17" s="18">
        <f t="shared" ref="G17:G19" si="2">D17*E17</f>
        <v>216.6</v>
      </c>
      <c r="H17" s="1"/>
    </row>
    <row r="18" spans="1:8" x14ac:dyDescent="0.25">
      <c r="A18" s="59"/>
      <c r="B18" s="42"/>
      <c r="C18" s="42"/>
      <c r="D18" s="35"/>
      <c r="E18" s="1"/>
      <c r="F18" s="34"/>
      <c r="G18" s="2">
        <f t="shared" si="2"/>
        <v>0</v>
      </c>
      <c r="H18" s="1"/>
    </row>
    <row r="19" spans="1:8" x14ac:dyDescent="0.25">
      <c r="A19" s="62"/>
      <c r="B19" s="36"/>
      <c r="C19" s="36"/>
      <c r="D19" s="36"/>
      <c r="E19" s="3"/>
      <c r="F19" s="33"/>
      <c r="G19" s="18">
        <f t="shared" si="2"/>
        <v>0</v>
      </c>
      <c r="H19" s="1"/>
    </row>
    <row r="20" spans="1:8" x14ac:dyDescent="0.25">
      <c r="A20" s="62"/>
      <c r="B20" s="59" t="s">
        <v>7</v>
      </c>
      <c r="C20" s="60"/>
      <c r="D20" s="61"/>
      <c r="E20" s="3"/>
      <c r="F20" s="3"/>
      <c r="G20" s="15">
        <f>SUM(G16:G19)</f>
        <v>3666.6</v>
      </c>
      <c r="H20" s="1"/>
    </row>
    <row r="21" spans="1:8" x14ac:dyDescent="0.25">
      <c r="A21" s="6" t="s">
        <v>10</v>
      </c>
      <c r="B21" s="37" t="s">
        <v>1</v>
      </c>
      <c r="C21" s="37" t="s">
        <v>2</v>
      </c>
      <c r="D21" s="36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3"/>
      <c r="B22" s="40" t="s">
        <v>47</v>
      </c>
      <c r="C22" s="40">
        <v>2</v>
      </c>
      <c r="D22" s="35">
        <v>150</v>
      </c>
      <c r="E22" s="1">
        <v>2</v>
      </c>
      <c r="F22" s="1" t="s">
        <v>17</v>
      </c>
      <c r="G22" s="1">
        <f>D22*E22</f>
        <v>300</v>
      </c>
      <c r="H22" s="1"/>
    </row>
    <row r="23" spans="1:8" x14ac:dyDescent="0.25">
      <c r="A23" s="64"/>
      <c r="B23" s="40" t="s">
        <v>48</v>
      </c>
      <c r="C23" s="40" t="s">
        <v>61</v>
      </c>
      <c r="D23" s="35">
        <v>99</v>
      </c>
      <c r="E23" s="1">
        <v>0.5</v>
      </c>
      <c r="F23" s="1" t="s">
        <v>26</v>
      </c>
      <c r="G23" s="11">
        <f>D23*E23</f>
        <v>49.5</v>
      </c>
      <c r="H23" s="1"/>
    </row>
    <row r="24" spans="1:8" x14ac:dyDescent="0.25">
      <c r="A24" s="64"/>
      <c r="B24" s="40" t="s">
        <v>49</v>
      </c>
      <c r="C24" s="40">
        <v>8</v>
      </c>
      <c r="D24" s="35">
        <v>96.9</v>
      </c>
      <c r="E24" s="1">
        <v>8</v>
      </c>
      <c r="F24" s="1" t="s">
        <v>22</v>
      </c>
      <c r="G24" s="11">
        <f t="shared" ref="G24:G35" si="3">D24*E24</f>
        <v>775.2</v>
      </c>
      <c r="H24" s="1"/>
    </row>
    <row r="25" spans="1:8" x14ac:dyDescent="0.25">
      <c r="A25" s="64"/>
      <c r="B25" s="40" t="s">
        <v>50</v>
      </c>
      <c r="C25" s="40">
        <v>4</v>
      </c>
      <c r="D25" s="35">
        <v>40.5</v>
      </c>
      <c r="E25" s="1">
        <v>4</v>
      </c>
      <c r="F25" s="1" t="s">
        <v>22</v>
      </c>
      <c r="G25" s="39">
        <f t="shared" si="3"/>
        <v>162</v>
      </c>
      <c r="H25" s="1"/>
    </row>
    <row r="26" spans="1:8" x14ac:dyDescent="0.25">
      <c r="A26" s="64"/>
      <c r="B26" s="43" t="s">
        <v>51</v>
      </c>
      <c r="C26" s="43">
        <v>1</v>
      </c>
      <c r="D26" s="35">
        <v>50.4</v>
      </c>
      <c r="E26" s="11">
        <v>20</v>
      </c>
      <c r="F26" s="12" t="s">
        <v>17</v>
      </c>
      <c r="G26" s="39">
        <f t="shared" si="3"/>
        <v>1008</v>
      </c>
      <c r="H26" s="11"/>
    </row>
    <row r="27" spans="1:8" x14ac:dyDescent="0.25">
      <c r="A27" s="64"/>
      <c r="B27" s="40" t="s">
        <v>52</v>
      </c>
      <c r="C27" s="41">
        <v>4</v>
      </c>
      <c r="D27" s="35">
        <v>112.5</v>
      </c>
      <c r="E27" s="11">
        <v>4</v>
      </c>
      <c r="F27" s="11" t="s">
        <v>29</v>
      </c>
      <c r="G27" s="39">
        <f t="shared" si="3"/>
        <v>450</v>
      </c>
      <c r="H27" s="11" t="s">
        <v>59</v>
      </c>
    </row>
    <row r="28" spans="1:8" x14ac:dyDescent="0.25">
      <c r="A28" s="64"/>
      <c r="B28" s="40" t="s">
        <v>56</v>
      </c>
      <c r="C28" s="41">
        <v>2</v>
      </c>
      <c r="D28" s="35">
        <v>59.4</v>
      </c>
      <c r="E28" s="34">
        <v>0.67</v>
      </c>
      <c r="F28" s="39" t="s">
        <v>141</v>
      </c>
      <c r="G28" s="39">
        <f t="shared" si="3"/>
        <v>39.798000000000002</v>
      </c>
      <c r="H28" s="36" t="s">
        <v>59</v>
      </c>
    </row>
    <row r="29" spans="1:8" x14ac:dyDescent="0.25">
      <c r="A29" s="64"/>
      <c r="B29" s="40" t="s">
        <v>57</v>
      </c>
      <c r="C29" s="40">
        <v>2</v>
      </c>
      <c r="D29" s="35">
        <v>76.5</v>
      </c>
      <c r="E29" s="34">
        <v>0.67</v>
      </c>
      <c r="F29" s="36" t="s">
        <v>141</v>
      </c>
      <c r="G29" s="39">
        <f t="shared" si="3"/>
        <v>51.255000000000003</v>
      </c>
      <c r="H29" s="36" t="s">
        <v>59</v>
      </c>
    </row>
    <row r="30" spans="1:8" x14ac:dyDescent="0.25">
      <c r="A30" s="64"/>
      <c r="B30" s="40" t="s">
        <v>53</v>
      </c>
      <c r="C30" s="40">
        <v>1</v>
      </c>
      <c r="D30" s="35">
        <v>200</v>
      </c>
      <c r="E30" s="34">
        <v>1</v>
      </c>
      <c r="F30" s="34" t="s">
        <v>32</v>
      </c>
      <c r="G30" s="39">
        <f t="shared" si="3"/>
        <v>200</v>
      </c>
      <c r="H30" s="36" t="s">
        <v>59</v>
      </c>
    </row>
    <row r="31" spans="1:8" x14ac:dyDescent="0.25">
      <c r="A31" s="64"/>
      <c r="B31" s="40" t="s">
        <v>54</v>
      </c>
      <c r="C31" s="40">
        <v>8</v>
      </c>
      <c r="D31" s="35">
        <v>21</v>
      </c>
      <c r="E31" s="11">
        <v>8</v>
      </c>
      <c r="F31" s="36" t="s">
        <v>32</v>
      </c>
      <c r="G31" s="39">
        <f t="shared" si="3"/>
        <v>168</v>
      </c>
      <c r="H31" s="11" t="s">
        <v>58</v>
      </c>
    </row>
    <row r="32" spans="1:8" x14ac:dyDescent="0.25">
      <c r="A32" s="64"/>
      <c r="B32" s="40" t="s">
        <v>55</v>
      </c>
      <c r="C32" s="40">
        <v>4</v>
      </c>
      <c r="D32" s="35">
        <v>141</v>
      </c>
      <c r="E32" s="11">
        <v>4</v>
      </c>
      <c r="F32" s="34" t="s">
        <v>32</v>
      </c>
      <c r="G32" s="39">
        <f t="shared" si="3"/>
        <v>564</v>
      </c>
      <c r="H32" s="36" t="s">
        <v>58</v>
      </c>
    </row>
    <row r="33" spans="1:8" x14ac:dyDescent="0.25">
      <c r="A33" s="64"/>
      <c r="B33" s="38"/>
      <c r="C33" s="38"/>
      <c r="D33" s="36"/>
      <c r="E33" s="11"/>
      <c r="F33" s="11"/>
      <c r="G33" s="39">
        <f t="shared" si="3"/>
        <v>0</v>
      </c>
      <c r="H33" s="11"/>
    </row>
    <row r="34" spans="1:8" x14ac:dyDescent="0.25">
      <c r="A34" s="64"/>
      <c r="B34" s="11" t="s">
        <v>30</v>
      </c>
      <c r="C34" s="11">
        <v>1</v>
      </c>
      <c r="D34" s="11">
        <v>4.5</v>
      </c>
      <c r="E34" s="11">
        <v>50</v>
      </c>
      <c r="F34" s="11" t="s">
        <v>142</v>
      </c>
      <c r="G34" s="39">
        <f t="shared" si="3"/>
        <v>225</v>
      </c>
      <c r="H34" s="11"/>
    </row>
    <row r="35" spans="1:8" x14ac:dyDescent="0.25">
      <c r="A35" s="64"/>
      <c r="B35" s="28" t="s">
        <v>28</v>
      </c>
      <c r="C35" s="28">
        <v>1</v>
      </c>
      <c r="D35" s="28">
        <v>240</v>
      </c>
      <c r="E35" s="28">
        <v>1</v>
      </c>
      <c r="F35" s="28" t="s">
        <v>27</v>
      </c>
      <c r="G35" s="39">
        <f t="shared" si="3"/>
        <v>240</v>
      </c>
      <c r="H35" s="1"/>
    </row>
    <row r="36" spans="1:8" x14ac:dyDescent="0.25">
      <c r="A36" s="65"/>
      <c r="B36" s="59" t="s">
        <v>18</v>
      </c>
      <c r="C36" s="60"/>
      <c r="D36" s="61"/>
      <c r="E36" s="28"/>
      <c r="F36" s="28"/>
      <c r="G36" s="16">
        <f>SUM(G22:G35)</f>
        <v>4232.7529999999997</v>
      </c>
      <c r="H36" s="11"/>
    </row>
    <row r="37" spans="1:8" x14ac:dyDescent="0.25">
      <c r="A37" s="1" t="s">
        <v>11</v>
      </c>
      <c r="B37" s="28" t="s">
        <v>1</v>
      </c>
      <c r="C37" s="28" t="s">
        <v>2</v>
      </c>
      <c r="D37" s="28" t="s">
        <v>3</v>
      </c>
      <c r="E37" s="28" t="s">
        <v>4</v>
      </c>
      <c r="F37" s="28"/>
      <c r="G37" s="1" t="s">
        <v>5</v>
      </c>
      <c r="H37" s="1" t="s">
        <v>6</v>
      </c>
    </row>
    <row r="38" spans="1:8" x14ac:dyDescent="0.25">
      <c r="A38" s="62" t="s">
        <v>42</v>
      </c>
      <c r="B38" s="28" t="s">
        <v>43</v>
      </c>
      <c r="C38" s="36" t="s">
        <v>15</v>
      </c>
      <c r="D38" s="28"/>
      <c r="E38" s="28"/>
      <c r="F38" s="36" t="s">
        <v>23</v>
      </c>
      <c r="G38" s="1"/>
      <c r="H38" s="36" t="s">
        <v>15</v>
      </c>
    </row>
    <row r="39" spans="1:8" x14ac:dyDescent="0.25">
      <c r="A39" s="62"/>
      <c r="B39" s="28" t="s">
        <v>44</v>
      </c>
      <c r="C39" s="36" t="s">
        <v>15</v>
      </c>
      <c r="D39" s="28"/>
      <c r="E39" s="28"/>
      <c r="F39" s="35" t="s">
        <v>19</v>
      </c>
      <c r="G39" s="1"/>
      <c r="H39" s="1" t="s">
        <v>15</v>
      </c>
    </row>
    <row r="40" spans="1:8" x14ac:dyDescent="0.25">
      <c r="A40" s="62"/>
      <c r="B40" s="28"/>
      <c r="C40" s="28"/>
      <c r="D40" s="28"/>
      <c r="E40" s="28"/>
      <c r="F40" s="28"/>
      <c r="G40" s="1"/>
      <c r="H40" s="1"/>
    </row>
    <row r="41" spans="1:8" x14ac:dyDescent="0.25">
      <c r="A41" s="62"/>
      <c r="B41" s="59" t="s">
        <v>7</v>
      </c>
      <c r="C41" s="60"/>
      <c r="D41" s="61"/>
      <c r="E41" s="29"/>
      <c r="F41" s="29"/>
      <c r="G41" s="5">
        <f>SUM(G38:G40)</f>
        <v>0</v>
      </c>
      <c r="H41" s="1"/>
    </row>
    <row r="42" spans="1:8" x14ac:dyDescent="0.25">
      <c r="A42" s="1" t="s">
        <v>12</v>
      </c>
      <c r="B42" s="28" t="s">
        <v>1</v>
      </c>
      <c r="C42" s="28" t="s">
        <v>2</v>
      </c>
      <c r="D42" s="28" t="s">
        <v>3</v>
      </c>
      <c r="E42" s="29" t="s">
        <v>4</v>
      </c>
      <c r="F42" s="29"/>
      <c r="G42" s="3" t="s">
        <v>5</v>
      </c>
      <c r="H42" s="1" t="s">
        <v>6</v>
      </c>
    </row>
    <row r="43" spans="1:8" x14ac:dyDescent="0.25">
      <c r="A43" s="63"/>
      <c r="B43" s="1" t="s">
        <v>140</v>
      </c>
      <c r="C43" s="1"/>
      <c r="D43" s="1">
        <v>38.4</v>
      </c>
      <c r="E43" s="1">
        <v>75</v>
      </c>
      <c r="F43" s="1" t="s">
        <v>141</v>
      </c>
      <c r="G43" s="2">
        <f>D43*E43</f>
        <v>2880</v>
      </c>
      <c r="H43" s="1"/>
    </row>
    <row r="44" spans="1:8" x14ac:dyDescent="0.25">
      <c r="A44" s="64"/>
      <c r="B44" s="1" t="s">
        <v>147</v>
      </c>
      <c r="C44" s="1"/>
      <c r="D44" s="1">
        <v>10.199999999999999</v>
      </c>
      <c r="E44" s="1">
        <v>70</v>
      </c>
      <c r="F44" s="1" t="s">
        <v>141</v>
      </c>
      <c r="G44" s="2">
        <f>D44*E44</f>
        <v>714</v>
      </c>
      <c r="H44" s="1"/>
    </row>
    <row r="45" spans="1:8" x14ac:dyDescent="0.25">
      <c r="A45" s="65"/>
      <c r="B45" s="59" t="s">
        <v>7</v>
      </c>
      <c r="C45" s="60"/>
      <c r="D45" s="61"/>
      <c r="E45" s="3"/>
      <c r="F45" s="3"/>
      <c r="G45" s="15">
        <f>SUM(G43:G44)</f>
        <v>3594</v>
      </c>
      <c r="H45" s="7"/>
    </row>
    <row r="46" spans="1:8" x14ac:dyDescent="0.25">
      <c r="A46" s="8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62"/>
      <c r="B47" s="1"/>
      <c r="C47" s="1"/>
      <c r="D47" s="1"/>
      <c r="E47" s="1"/>
      <c r="F47" s="1"/>
      <c r="G47" s="1"/>
      <c r="H47" s="1"/>
    </row>
    <row r="48" spans="1:8" x14ac:dyDescent="0.25">
      <c r="A48" s="62"/>
      <c r="B48" s="1"/>
      <c r="C48" s="1"/>
      <c r="D48" s="1"/>
      <c r="E48" s="1"/>
      <c r="F48" s="1"/>
      <c r="G48" s="2"/>
      <c r="H48" s="1"/>
    </row>
    <row r="49" spans="1:8" x14ac:dyDescent="0.25">
      <c r="A49" s="62"/>
      <c r="B49" s="1"/>
      <c r="C49" s="1"/>
      <c r="D49" s="1"/>
      <c r="E49" s="1"/>
      <c r="F49" s="1"/>
      <c r="G49" s="18"/>
      <c r="H49" s="1"/>
    </row>
    <row r="50" spans="1:8" x14ac:dyDescent="0.25">
      <c r="A50" s="62"/>
      <c r="B50" s="1"/>
      <c r="C50" s="1"/>
      <c r="D50" s="1"/>
      <c r="E50" s="1"/>
      <c r="F50" s="1"/>
      <c r="G50" s="1"/>
      <c r="H50" s="1"/>
    </row>
    <row r="51" spans="1:8" x14ac:dyDescent="0.25">
      <c r="A51" s="62"/>
      <c r="B51" s="59" t="s">
        <v>7</v>
      </c>
      <c r="C51" s="60"/>
      <c r="D51" s="61"/>
      <c r="E51" s="3"/>
      <c r="F51" s="3"/>
      <c r="G51" s="17">
        <f>SUM(G47:G50)</f>
        <v>0</v>
      </c>
      <c r="H51" s="1"/>
    </row>
    <row r="52" spans="1:8" x14ac:dyDescent="0.25">
      <c r="A52" s="1"/>
      <c r="B52" s="56" t="s">
        <v>14</v>
      </c>
      <c r="C52" s="57"/>
      <c r="D52" s="58"/>
      <c r="E52" s="9"/>
      <c r="F52" s="9"/>
      <c r="G52" s="10">
        <f>G51+G45+G41+G20+G14+G7+G36</f>
        <v>25317.952999999998</v>
      </c>
      <c r="H52" s="1"/>
    </row>
  </sheetData>
  <mergeCells count="16">
    <mergeCell ref="B20:D20"/>
    <mergeCell ref="A1:H1"/>
    <mergeCell ref="A3:A7"/>
    <mergeCell ref="B7:D7"/>
    <mergeCell ref="A9:A14"/>
    <mergeCell ref="B14:D14"/>
    <mergeCell ref="A47:A51"/>
    <mergeCell ref="A38:A41"/>
    <mergeCell ref="A43:A45"/>
    <mergeCell ref="A16:A20"/>
    <mergeCell ref="A22:A36"/>
    <mergeCell ref="B52:D52"/>
    <mergeCell ref="B51:D51"/>
    <mergeCell ref="B45:D45"/>
    <mergeCell ref="B41:D41"/>
    <mergeCell ref="B36:D36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24" workbookViewId="0">
      <selection activeCell="H50" sqref="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6" t="s">
        <v>60</v>
      </c>
      <c r="B1" s="67"/>
      <c r="C1" s="67"/>
      <c r="D1" s="67"/>
      <c r="E1" s="67"/>
      <c r="F1" s="67"/>
      <c r="G1" s="67"/>
      <c r="H1" s="6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70" t="s">
        <v>65</v>
      </c>
      <c r="B3" s="1" t="s">
        <v>66</v>
      </c>
      <c r="C3" s="36">
        <v>60</v>
      </c>
      <c r="D3" s="1">
        <v>171</v>
      </c>
      <c r="E3" s="1">
        <v>60</v>
      </c>
      <c r="F3" s="36" t="s">
        <v>32</v>
      </c>
      <c r="G3" s="2">
        <f>D3*E3</f>
        <v>10260</v>
      </c>
      <c r="H3" s="1"/>
    </row>
    <row r="4" spans="1:8" x14ac:dyDescent="0.25">
      <c r="A4" s="62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62"/>
      <c r="B5" s="1"/>
      <c r="C5" s="1"/>
      <c r="D5" s="1"/>
      <c r="E5" s="1"/>
      <c r="F5" s="34"/>
      <c r="G5" s="2">
        <f t="shared" si="0"/>
        <v>0</v>
      </c>
      <c r="H5" s="1"/>
    </row>
    <row r="6" spans="1:8" x14ac:dyDescent="0.25">
      <c r="A6" s="62"/>
      <c r="B6" s="1"/>
      <c r="C6" s="1"/>
      <c r="D6" s="1"/>
      <c r="E6" s="3"/>
      <c r="F6" s="33"/>
      <c r="G6" s="2">
        <f t="shared" si="0"/>
        <v>0</v>
      </c>
      <c r="H6" s="1"/>
    </row>
    <row r="7" spans="1:8" x14ac:dyDescent="0.25">
      <c r="A7" s="62"/>
      <c r="B7" s="59" t="s">
        <v>7</v>
      </c>
      <c r="C7" s="60"/>
      <c r="D7" s="61"/>
      <c r="E7" s="3"/>
      <c r="F7" s="3"/>
      <c r="G7" s="15">
        <f>SUM(G3:G6)</f>
        <v>10260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62</v>
      </c>
      <c r="B9" s="40" t="s">
        <v>68</v>
      </c>
      <c r="C9" s="1">
        <v>15</v>
      </c>
      <c r="D9" s="1">
        <v>117</v>
      </c>
      <c r="E9" s="1">
        <v>15</v>
      </c>
      <c r="F9" s="34" t="s">
        <v>32</v>
      </c>
      <c r="G9" s="1">
        <f>D9*E9</f>
        <v>1755</v>
      </c>
      <c r="H9" s="1"/>
    </row>
    <row r="10" spans="1:8" x14ac:dyDescent="0.25">
      <c r="A10" s="62"/>
      <c r="B10" s="1" t="s">
        <v>67</v>
      </c>
      <c r="C10" s="1">
        <v>100</v>
      </c>
      <c r="D10" s="1">
        <v>46.8</v>
      </c>
      <c r="E10" s="51"/>
      <c r="F10" s="39" t="s">
        <v>32</v>
      </c>
      <c r="G10" s="20">
        <f>D10*E10</f>
        <v>0</v>
      </c>
      <c r="H10" s="1"/>
    </row>
    <row r="11" spans="1:8" x14ac:dyDescent="0.25">
      <c r="A11" s="62"/>
      <c r="B11" s="1"/>
      <c r="C11" s="1"/>
      <c r="D11" s="1"/>
      <c r="E11" s="1"/>
      <c r="F11" s="31"/>
      <c r="G11" s="1"/>
      <c r="H11" s="1"/>
    </row>
    <row r="12" spans="1:8" x14ac:dyDescent="0.25">
      <c r="A12" s="62"/>
      <c r="B12" s="1"/>
      <c r="C12" s="1"/>
      <c r="D12" s="1"/>
      <c r="E12" s="1"/>
      <c r="F12" s="31"/>
      <c r="G12" s="1"/>
      <c r="H12" s="1"/>
    </row>
    <row r="13" spans="1:8" x14ac:dyDescent="0.25">
      <c r="A13" s="62"/>
      <c r="B13" s="1"/>
      <c r="C13" s="1"/>
      <c r="D13" s="1"/>
      <c r="E13" s="1"/>
      <c r="F13" s="1"/>
      <c r="G13" s="1"/>
      <c r="H13" s="1"/>
    </row>
    <row r="14" spans="1:8" x14ac:dyDescent="0.25">
      <c r="A14" s="62"/>
      <c r="B14" s="59" t="s">
        <v>7</v>
      </c>
      <c r="C14" s="60"/>
      <c r="D14" s="61"/>
      <c r="E14" s="3"/>
      <c r="F14" s="3"/>
      <c r="G14" s="15">
        <f>SUM(G9:G13)</f>
        <v>1755</v>
      </c>
      <c r="H14" s="1"/>
    </row>
    <row r="15" spans="1:8" x14ac:dyDescent="0.25">
      <c r="A15" s="28" t="s">
        <v>31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63</v>
      </c>
      <c r="B16" s="40" t="s">
        <v>70</v>
      </c>
      <c r="C16" s="1">
        <v>30</v>
      </c>
      <c r="D16" s="1">
        <v>21.66</v>
      </c>
      <c r="E16" s="1">
        <v>30</v>
      </c>
      <c r="F16" s="36" t="s">
        <v>32</v>
      </c>
      <c r="G16" s="1">
        <f>D16*E16</f>
        <v>649.79999999999995</v>
      </c>
      <c r="H16" s="1"/>
    </row>
    <row r="17" spans="1:8" x14ac:dyDescent="0.25">
      <c r="A17" s="62"/>
      <c r="B17" s="36" t="s">
        <v>71</v>
      </c>
      <c r="C17" s="36">
        <v>1</v>
      </c>
      <c r="D17" s="1">
        <v>56</v>
      </c>
      <c r="E17" s="1">
        <v>20</v>
      </c>
      <c r="F17" s="39" t="s">
        <v>32</v>
      </c>
      <c r="G17" s="20">
        <f t="shared" ref="G17:G20" si="1">D17*E17</f>
        <v>1120</v>
      </c>
      <c r="H17" s="1"/>
    </row>
    <row r="18" spans="1:8" x14ac:dyDescent="0.25">
      <c r="A18" s="62"/>
      <c r="B18" s="40" t="s">
        <v>76</v>
      </c>
      <c r="C18" s="40">
        <v>3</v>
      </c>
      <c r="D18" s="1">
        <v>22.5</v>
      </c>
      <c r="E18" s="1">
        <v>3</v>
      </c>
      <c r="F18" s="36" t="s">
        <v>32</v>
      </c>
      <c r="G18" s="20">
        <f t="shared" si="1"/>
        <v>67.5</v>
      </c>
      <c r="H18" s="1"/>
    </row>
    <row r="19" spans="1:8" x14ac:dyDescent="0.25">
      <c r="A19" s="62"/>
      <c r="B19" s="1"/>
      <c r="C19" s="1"/>
      <c r="D19" s="1"/>
      <c r="E19" s="3"/>
      <c r="F19" s="3"/>
      <c r="G19" s="20">
        <f t="shared" si="1"/>
        <v>0</v>
      </c>
      <c r="H19" s="1"/>
    </row>
    <row r="20" spans="1:8" x14ac:dyDescent="0.25">
      <c r="A20" s="62"/>
      <c r="B20" s="1"/>
      <c r="C20" s="1"/>
      <c r="D20" s="1"/>
      <c r="E20" s="3"/>
      <c r="F20" s="3"/>
      <c r="G20" s="20">
        <f t="shared" si="1"/>
        <v>0</v>
      </c>
      <c r="H20" s="1"/>
    </row>
    <row r="21" spans="1:8" x14ac:dyDescent="0.25">
      <c r="A21" s="62"/>
      <c r="B21" s="1"/>
      <c r="C21" s="1"/>
      <c r="D21" s="1"/>
      <c r="E21" s="3"/>
      <c r="F21" s="3"/>
      <c r="G21" s="1"/>
      <c r="H21" s="1"/>
    </row>
    <row r="22" spans="1:8" x14ac:dyDescent="0.25">
      <c r="A22" s="62"/>
      <c r="B22" s="59" t="s">
        <v>7</v>
      </c>
      <c r="C22" s="60"/>
      <c r="D22" s="61"/>
      <c r="E22" s="3"/>
      <c r="F22" s="3"/>
      <c r="G22" s="15">
        <f>SUM(G16:G21)</f>
        <v>1837.3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2"/>
      <c r="B24" s="36" t="s">
        <v>24</v>
      </c>
      <c r="C24" s="36">
        <v>20</v>
      </c>
      <c r="D24" s="36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62"/>
      <c r="B25" s="36" t="s">
        <v>33</v>
      </c>
      <c r="C25" s="36">
        <v>2</v>
      </c>
      <c r="D25" s="36">
        <v>530</v>
      </c>
      <c r="E25" s="32">
        <v>8</v>
      </c>
      <c r="F25" s="32" t="s">
        <v>148</v>
      </c>
      <c r="G25" s="32">
        <f t="shared" ref="G25" si="2">D25*E25</f>
        <v>4240</v>
      </c>
      <c r="H25" s="1"/>
    </row>
    <row r="26" spans="1:8" x14ac:dyDescent="0.25">
      <c r="A26" s="62"/>
      <c r="B26" s="37" t="s">
        <v>84</v>
      </c>
      <c r="C26" s="37">
        <v>20</v>
      </c>
      <c r="D26" s="36">
        <v>12</v>
      </c>
      <c r="E26" s="32">
        <v>20</v>
      </c>
      <c r="F26" s="36" t="s">
        <v>69</v>
      </c>
      <c r="G26" s="20">
        <f t="shared" ref="G26" si="3">D26*E26</f>
        <v>240</v>
      </c>
      <c r="H26" s="1"/>
    </row>
    <row r="27" spans="1:8" x14ac:dyDescent="0.25">
      <c r="A27" s="59"/>
      <c r="B27" s="43" t="s">
        <v>75</v>
      </c>
      <c r="C27" s="40">
        <v>10</v>
      </c>
      <c r="D27" s="35">
        <v>30</v>
      </c>
      <c r="E27" s="34">
        <v>10</v>
      </c>
      <c r="F27" s="36" t="s">
        <v>78</v>
      </c>
      <c r="G27" s="34">
        <f>D27*E27</f>
        <v>300</v>
      </c>
      <c r="H27" s="34"/>
    </row>
    <row r="28" spans="1:8" x14ac:dyDescent="0.25">
      <c r="A28" s="59"/>
      <c r="B28" s="40" t="s">
        <v>77</v>
      </c>
      <c r="C28" s="40">
        <v>35</v>
      </c>
      <c r="D28" s="35">
        <v>72</v>
      </c>
      <c r="E28" s="36">
        <v>8.57</v>
      </c>
      <c r="F28" s="36" t="s">
        <v>17</v>
      </c>
      <c r="G28" s="34">
        <f>D28*E28</f>
        <v>617.04</v>
      </c>
      <c r="H28" s="36" t="s">
        <v>58</v>
      </c>
    </row>
    <row r="29" spans="1:8" x14ac:dyDescent="0.25">
      <c r="A29" s="59"/>
      <c r="B29" s="40"/>
      <c r="C29" s="40"/>
      <c r="D29" s="35"/>
      <c r="E29" s="34"/>
      <c r="F29" s="36"/>
      <c r="G29" s="34"/>
      <c r="H29" s="34"/>
    </row>
    <row r="30" spans="1:8" x14ac:dyDescent="0.25">
      <c r="A30" s="62"/>
      <c r="B30" s="38"/>
      <c r="C30" s="38"/>
      <c r="D30" s="36"/>
      <c r="E30" s="1"/>
      <c r="F30" s="34"/>
      <c r="G30" s="20"/>
      <c r="H30" s="1"/>
    </row>
    <row r="31" spans="1:8" x14ac:dyDescent="0.25">
      <c r="A31" s="62"/>
      <c r="B31" s="36"/>
      <c r="C31" s="36"/>
      <c r="D31" s="36"/>
      <c r="E31" s="31"/>
      <c r="F31" s="33"/>
      <c r="G31" s="31"/>
      <c r="H31" s="31"/>
    </row>
    <row r="32" spans="1:8" x14ac:dyDescent="0.25">
      <c r="A32" s="62"/>
      <c r="B32" s="36"/>
      <c r="C32" s="36"/>
      <c r="D32" s="36"/>
      <c r="E32" s="34"/>
      <c r="F32" s="33"/>
      <c r="G32" s="34"/>
      <c r="H32" s="34"/>
    </row>
    <row r="33" spans="1:8" x14ac:dyDescent="0.25">
      <c r="A33" s="62"/>
      <c r="B33" s="36"/>
      <c r="C33" s="36"/>
      <c r="D33" s="36"/>
      <c r="E33" s="20"/>
      <c r="F33" s="33"/>
      <c r="G33" s="20"/>
      <c r="H33" s="20"/>
    </row>
    <row r="34" spans="1:8" x14ac:dyDescent="0.25">
      <c r="A34" s="62"/>
      <c r="B34" s="59" t="s">
        <v>34</v>
      </c>
      <c r="C34" s="60"/>
      <c r="D34" s="61"/>
      <c r="E34" s="3"/>
      <c r="F34" s="3"/>
      <c r="G34" s="15">
        <f>SUM(G24:G33)</f>
        <v>6597.04</v>
      </c>
      <c r="H34" s="1"/>
    </row>
    <row r="35" spans="1:8" x14ac:dyDescent="0.25">
      <c r="A35" s="1" t="s">
        <v>11</v>
      </c>
      <c r="B35" s="37" t="s">
        <v>1</v>
      </c>
      <c r="C35" s="37" t="s">
        <v>2</v>
      </c>
      <c r="D35" s="37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59" t="s">
        <v>64</v>
      </c>
      <c r="B36" s="40" t="s">
        <v>72</v>
      </c>
      <c r="C36" s="40">
        <v>10</v>
      </c>
      <c r="D36" s="36">
        <v>373</v>
      </c>
      <c r="E36" s="1">
        <v>10</v>
      </c>
      <c r="F36" s="36" t="s">
        <v>149</v>
      </c>
      <c r="G36" s="1">
        <f>D36*E36</f>
        <v>3730</v>
      </c>
      <c r="H36" s="1"/>
    </row>
    <row r="37" spans="1:8" x14ac:dyDescent="0.25">
      <c r="A37" s="59"/>
      <c r="B37" s="40" t="s">
        <v>73</v>
      </c>
      <c r="C37" s="40">
        <v>1</v>
      </c>
      <c r="D37" s="36"/>
      <c r="E37" s="1"/>
      <c r="F37" s="36" t="s">
        <v>32</v>
      </c>
      <c r="G37" s="1">
        <f>D37*E37</f>
        <v>0</v>
      </c>
      <c r="H37" s="1" t="s">
        <v>178</v>
      </c>
    </row>
    <row r="38" spans="1:8" x14ac:dyDescent="0.25">
      <c r="A38" s="59"/>
      <c r="B38" s="40" t="s">
        <v>74</v>
      </c>
      <c r="C38" s="40">
        <v>20</v>
      </c>
      <c r="D38" s="36">
        <v>56</v>
      </c>
      <c r="E38" s="1">
        <v>20</v>
      </c>
      <c r="F38" s="36" t="s">
        <v>32</v>
      </c>
      <c r="G38" s="1">
        <f>D38*E38</f>
        <v>1120</v>
      </c>
      <c r="H38" s="1"/>
    </row>
    <row r="39" spans="1:8" x14ac:dyDescent="0.25">
      <c r="A39" s="62"/>
      <c r="B39" s="69"/>
      <c r="C39" s="67"/>
      <c r="D39" s="68"/>
      <c r="E39" s="3"/>
      <c r="F39" s="3"/>
      <c r="G39" s="17">
        <f>SUM(G36:G38)</f>
        <v>4850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63"/>
      <c r="B41" s="1" t="s">
        <v>150</v>
      </c>
      <c r="C41" s="1"/>
      <c r="D41" s="1">
        <v>9.9</v>
      </c>
      <c r="E41" s="1">
        <v>75</v>
      </c>
      <c r="F41" s="1" t="s">
        <v>141</v>
      </c>
      <c r="G41" s="25">
        <f>D41*E41</f>
        <v>742.5</v>
      </c>
      <c r="H41" s="1"/>
    </row>
    <row r="42" spans="1:8" x14ac:dyDescent="0.25">
      <c r="A42" s="64"/>
      <c r="B42" s="1" t="s">
        <v>162</v>
      </c>
      <c r="C42" s="1"/>
      <c r="D42" s="1">
        <v>32.64</v>
      </c>
      <c r="E42" s="1">
        <v>64</v>
      </c>
      <c r="F42" s="1" t="s">
        <v>151</v>
      </c>
      <c r="G42" s="25">
        <f>D42*E42</f>
        <v>2088.96</v>
      </c>
      <c r="H42" s="1"/>
    </row>
    <row r="43" spans="1:8" x14ac:dyDescent="0.25">
      <c r="A43" s="65"/>
      <c r="B43" s="59" t="s">
        <v>7</v>
      </c>
      <c r="C43" s="60"/>
      <c r="D43" s="61"/>
      <c r="E43" s="3"/>
      <c r="F43" s="3"/>
      <c r="G43" s="15">
        <f>SUM(G41:G42)</f>
        <v>2831.46</v>
      </c>
      <c r="H43" s="7"/>
    </row>
    <row r="44" spans="1:8" x14ac:dyDescent="0.25">
      <c r="A44" s="8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62"/>
      <c r="B45" s="1"/>
      <c r="C45" s="1"/>
      <c r="D45" s="1"/>
      <c r="E45" s="1"/>
      <c r="F45" s="1"/>
      <c r="G45" s="1"/>
      <c r="H45" s="1"/>
    </row>
    <row r="46" spans="1:8" x14ac:dyDescent="0.25">
      <c r="A46" s="62"/>
      <c r="B46" s="1"/>
      <c r="C46" s="1"/>
      <c r="D46" s="1"/>
      <c r="E46" s="1"/>
      <c r="F46" s="1"/>
      <c r="G46" s="1"/>
      <c r="H46" s="1"/>
    </row>
    <row r="47" spans="1:8" x14ac:dyDescent="0.25">
      <c r="A47" s="62"/>
      <c r="B47" s="1"/>
      <c r="C47" s="1"/>
      <c r="D47" s="1"/>
      <c r="E47" s="1"/>
      <c r="F47" s="1"/>
      <c r="G47" s="1"/>
      <c r="H47" s="1"/>
    </row>
    <row r="48" spans="1:8" x14ac:dyDescent="0.25">
      <c r="A48" s="62"/>
      <c r="B48" s="1"/>
      <c r="C48" s="1"/>
      <c r="D48" s="1"/>
      <c r="E48" s="1"/>
      <c r="F48" s="1"/>
      <c r="G48" s="1"/>
      <c r="H48" s="1"/>
    </row>
    <row r="49" spans="1:8" x14ac:dyDescent="0.25">
      <c r="A49" s="62"/>
      <c r="B49" s="59" t="s">
        <v>7</v>
      </c>
      <c r="C49" s="60"/>
      <c r="D49" s="61"/>
      <c r="E49" s="3"/>
      <c r="F49" s="3"/>
      <c r="G49" s="5">
        <f>SUM(G45:G48)</f>
        <v>0</v>
      </c>
      <c r="H49" s="1"/>
    </row>
    <row r="50" spans="1:8" x14ac:dyDescent="0.25">
      <c r="A50" s="1"/>
      <c r="B50" s="56" t="s">
        <v>14</v>
      </c>
      <c r="C50" s="57"/>
      <c r="D50" s="58"/>
      <c r="E50" s="9"/>
      <c r="F50" s="9"/>
      <c r="G50" s="10">
        <f>G49+G43+G39+G22+G14+G7+G34</f>
        <v>28130.800000000003</v>
      </c>
      <c r="H50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5:A49"/>
    <mergeCell ref="B49:D49"/>
    <mergeCell ref="B50:D50"/>
    <mergeCell ref="A24:A34"/>
    <mergeCell ref="B34:D34"/>
    <mergeCell ref="A36:A39"/>
    <mergeCell ref="B39:D39"/>
    <mergeCell ref="A41:A43"/>
    <mergeCell ref="B43:D43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topLeftCell="A46" workbookViewId="0">
      <selection activeCell="H63" sqref="A1:H6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6" t="s">
        <v>79</v>
      </c>
      <c r="B1" s="67"/>
      <c r="C1" s="67"/>
      <c r="D1" s="67"/>
      <c r="E1" s="67"/>
      <c r="F1" s="67"/>
      <c r="G1" s="67"/>
      <c r="H1" s="6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70" t="s">
        <v>80</v>
      </c>
      <c r="B3" s="1" t="s">
        <v>86</v>
      </c>
      <c r="C3" s="1">
        <v>280</v>
      </c>
      <c r="D3" s="1">
        <v>99</v>
      </c>
      <c r="E3" s="1">
        <v>69.22</v>
      </c>
      <c r="F3" s="34" t="s">
        <v>17</v>
      </c>
      <c r="G3" s="2">
        <f>D3*E3</f>
        <v>6852.78</v>
      </c>
      <c r="H3" s="1"/>
    </row>
    <row r="4" spans="1:8" x14ac:dyDescent="0.25">
      <c r="A4" s="62"/>
      <c r="B4" s="1"/>
      <c r="C4" s="1"/>
      <c r="D4" s="1"/>
      <c r="E4" s="1"/>
      <c r="F4" s="34"/>
      <c r="G4" s="1"/>
      <c r="H4" s="1"/>
    </row>
    <row r="5" spans="1:8" x14ac:dyDescent="0.25">
      <c r="A5" s="62"/>
      <c r="B5" s="1"/>
      <c r="C5" s="1"/>
      <c r="D5" s="1"/>
      <c r="E5" s="1"/>
      <c r="F5" s="34"/>
      <c r="G5" s="1"/>
      <c r="H5" s="1"/>
    </row>
    <row r="6" spans="1:8" x14ac:dyDescent="0.25">
      <c r="A6" s="62"/>
      <c r="B6" s="31"/>
      <c r="C6" s="31"/>
      <c r="D6" s="31"/>
      <c r="E6" s="30"/>
      <c r="F6" s="33"/>
      <c r="G6" s="30"/>
      <c r="H6" s="31"/>
    </row>
    <row r="7" spans="1:8" x14ac:dyDescent="0.25">
      <c r="A7" s="62"/>
      <c r="B7" s="31"/>
      <c r="C7" s="31"/>
      <c r="D7" s="31"/>
      <c r="E7" s="30"/>
      <c r="F7" s="33"/>
      <c r="G7" s="30"/>
      <c r="H7" s="31"/>
    </row>
    <row r="8" spans="1:8" x14ac:dyDescent="0.25">
      <c r="A8" s="62"/>
      <c r="B8" s="34"/>
      <c r="C8" s="34"/>
      <c r="D8" s="34"/>
      <c r="E8" s="33"/>
      <c r="F8" s="33"/>
      <c r="G8" s="33"/>
      <c r="H8" s="34"/>
    </row>
    <row r="9" spans="1:8" x14ac:dyDescent="0.25">
      <c r="A9" s="62"/>
      <c r="B9" s="1"/>
      <c r="C9" s="1"/>
      <c r="D9" s="1"/>
      <c r="E9" s="3"/>
      <c r="F9" s="30"/>
      <c r="G9" s="3"/>
      <c r="H9" s="1"/>
    </row>
    <row r="10" spans="1:8" x14ac:dyDescent="0.25">
      <c r="A10" s="62"/>
      <c r="B10" s="59" t="s">
        <v>7</v>
      </c>
      <c r="C10" s="60"/>
      <c r="D10" s="61"/>
      <c r="E10" s="3"/>
      <c r="F10" s="3"/>
      <c r="G10" s="15">
        <f>SUM(G3:G9)</f>
        <v>6852.78</v>
      </c>
      <c r="H10" s="1"/>
    </row>
    <row r="11" spans="1:8" x14ac:dyDescent="0.25">
      <c r="A11" s="1" t="s">
        <v>8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63" t="s">
        <v>81</v>
      </c>
      <c r="B12" s="1" t="s">
        <v>87</v>
      </c>
      <c r="C12" s="1">
        <v>45</v>
      </c>
      <c r="D12" s="1">
        <v>29.58</v>
      </c>
      <c r="E12" s="27">
        <v>45</v>
      </c>
      <c r="F12" s="31" t="s">
        <v>17</v>
      </c>
      <c r="G12" s="1">
        <f>D12*E12</f>
        <v>1331.1</v>
      </c>
      <c r="H12" s="1"/>
    </row>
    <row r="13" spans="1:8" x14ac:dyDescent="0.25">
      <c r="A13" s="64"/>
      <c r="B13" s="1" t="s">
        <v>88</v>
      </c>
      <c r="C13" s="1">
        <v>5</v>
      </c>
      <c r="D13" s="1">
        <v>360</v>
      </c>
      <c r="E13" s="1">
        <v>5</v>
      </c>
      <c r="F13" s="31" t="s">
        <v>89</v>
      </c>
      <c r="G13" s="23">
        <f>D13*E13</f>
        <v>1800</v>
      </c>
      <c r="H13" s="1"/>
    </row>
    <row r="14" spans="1:8" x14ac:dyDescent="0.25">
      <c r="A14" s="64"/>
      <c r="B14" s="1"/>
      <c r="C14" s="1"/>
      <c r="D14" s="1"/>
      <c r="E14" s="1"/>
      <c r="F14" s="31"/>
      <c r="G14" s="23">
        <f t="shared" ref="G14:G15" si="0">D14*E14</f>
        <v>0</v>
      </c>
      <c r="H14" s="1"/>
    </row>
    <row r="15" spans="1:8" x14ac:dyDescent="0.25">
      <c r="A15" s="64"/>
      <c r="B15" s="1"/>
      <c r="C15" s="1"/>
      <c r="D15" s="1"/>
      <c r="E15" s="1"/>
      <c r="F15" s="31"/>
      <c r="G15" s="23">
        <f t="shared" si="0"/>
        <v>0</v>
      </c>
      <c r="H15" s="1"/>
    </row>
    <row r="16" spans="1:8" x14ac:dyDescent="0.25">
      <c r="A16" s="64"/>
      <c r="B16" s="31"/>
      <c r="C16" s="31"/>
      <c r="D16" s="31"/>
      <c r="E16" s="31"/>
      <c r="F16" s="31"/>
      <c r="G16" s="31"/>
      <c r="H16" s="31"/>
    </row>
    <row r="17" spans="1:8" x14ac:dyDescent="0.25">
      <c r="A17" s="64"/>
      <c r="B17" s="1"/>
      <c r="C17" s="1"/>
      <c r="D17" s="1"/>
      <c r="E17" s="1"/>
      <c r="F17" s="31"/>
      <c r="G17" s="1"/>
      <c r="H17" s="1"/>
    </row>
    <row r="18" spans="1:8" x14ac:dyDescent="0.25">
      <c r="A18" s="65"/>
      <c r="B18" s="59" t="s">
        <v>7</v>
      </c>
      <c r="C18" s="60"/>
      <c r="D18" s="61"/>
      <c r="E18" s="3"/>
      <c r="F18" s="3"/>
      <c r="G18" s="15">
        <f>SUM(G12:G17)</f>
        <v>3131.1</v>
      </c>
      <c r="H18" s="1"/>
    </row>
    <row r="19" spans="1:8" x14ac:dyDescent="0.25">
      <c r="A19" s="1" t="s">
        <v>9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5</v>
      </c>
      <c r="H19" s="1" t="s">
        <v>6</v>
      </c>
    </row>
    <row r="20" spans="1:8" x14ac:dyDescent="0.25">
      <c r="A20" s="62"/>
      <c r="B20" s="1" t="s">
        <v>156</v>
      </c>
      <c r="C20" s="1"/>
      <c r="D20" s="1">
        <v>120</v>
      </c>
      <c r="E20" s="1">
        <v>1</v>
      </c>
      <c r="F20" s="34" t="s">
        <v>159</v>
      </c>
      <c r="G20" s="1">
        <f>D20*E20</f>
        <v>120</v>
      </c>
      <c r="H20" s="1"/>
    </row>
    <row r="21" spans="1:8" x14ac:dyDescent="0.25">
      <c r="A21" s="62"/>
      <c r="B21" s="1" t="s">
        <v>157</v>
      </c>
      <c r="C21" s="1"/>
      <c r="D21" s="1">
        <v>362</v>
      </c>
      <c r="E21" s="1">
        <v>2</v>
      </c>
      <c r="F21" s="49" t="s">
        <v>154</v>
      </c>
      <c r="G21" s="50">
        <f t="shared" ref="G21:G23" si="1">D21*E21</f>
        <v>724</v>
      </c>
      <c r="H21" s="1"/>
    </row>
    <row r="22" spans="1:8" x14ac:dyDescent="0.25">
      <c r="A22" s="62"/>
      <c r="B22" s="1" t="s">
        <v>158</v>
      </c>
      <c r="C22" s="1"/>
      <c r="D22" s="1">
        <v>630</v>
      </c>
      <c r="E22" s="1">
        <v>1</v>
      </c>
      <c r="F22" s="49" t="s">
        <v>154</v>
      </c>
      <c r="G22" s="50">
        <f t="shared" si="1"/>
        <v>630</v>
      </c>
      <c r="H22" s="1"/>
    </row>
    <row r="23" spans="1:8" x14ac:dyDescent="0.25">
      <c r="A23" s="62"/>
      <c r="B23" s="36" t="s">
        <v>160</v>
      </c>
      <c r="C23" s="36"/>
      <c r="D23" s="35">
        <v>99</v>
      </c>
      <c r="E23" s="1">
        <v>3</v>
      </c>
      <c r="F23" s="1" t="s">
        <v>151</v>
      </c>
      <c r="G23" s="50">
        <f t="shared" si="1"/>
        <v>297</v>
      </c>
      <c r="H23" s="36"/>
    </row>
    <row r="24" spans="1:8" x14ac:dyDescent="0.25">
      <c r="A24" s="62"/>
      <c r="B24" s="59" t="s">
        <v>7</v>
      </c>
      <c r="C24" s="60"/>
      <c r="D24" s="61"/>
      <c r="E24" s="3"/>
      <c r="F24" s="3"/>
      <c r="G24" s="17">
        <f>SUM(G20:G23)</f>
        <v>1771</v>
      </c>
      <c r="H24" s="1"/>
    </row>
    <row r="25" spans="1:8" x14ac:dyDescent="0.25">
      <c r="A25" s="6" t="s">
        <v>10</v>
      </c>
      <c r="B25" s="37" t="s">
        <v>1</v>
      </c>
      <c r="C25" s="37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62"/>
      <c r="B26" s="40" t="s">
        <v>90</v>
      </c>
      <c r="C26" s="40" t="s">
        <v>97</v>
      </c>
      <c r="D26" s="35">
        <v>140</v>
      </c>
      <c r="E26" s="1">
        <v>0.5</v>
      </c>
      <c r="F26" s="36" t="s">
        <v>32</v>
      </c>
      <c r="G26" s="1">
        <f>D26*E26</f>
        <v>70</v>
      </c>
      <c r="H26" s="1" t="s">
        <v>59</v>
      </c>
    </row>
    <row r="27" spans="1:8" x14ac:dyDescent="0.25">
      <c r="A27" s="59"/>
      <c r="B27" s="36" t="s">
        <v>105</v>
      </c>
      <c r="C27" s="36">
        <v>5</v>
      </c>
      <c r="D27" s="35">
        <v>45</v>
      </c>
      <c r="E27" s="51"/>
      <c r="F27" s="50" t="s">
        <v>32</v>
      </c>
      <c r="G27" s="36">
        <f>D27*E27</f>
        <v>0</v>
      </c>
      <c r="H27" s="36" t="s">
        <v>59</v>
      </c>
    </row>
    <row r="28" spans="1:8" x14ac:dyDescent="0.25">
      <c r="A28" s="59"/>
      <c r="B28" s="40" t="s">
        <v>161</v>
      </c>
      <c r="C28" s="40">
        <v>40</v>
      </c>
      <c r="D28" s="35">
        <v>72</v>
      </c>
      <c r="E28" s="1">
        <v>6.5</v>
      </c>
      <c r="F28" s="1" t="s">
        <v>17</v>
      </c>
      <c r="G28" s="23">
        <f t="shared" ref="G28" si="2">D28*E28</f>
        <v>468</v>
      </c>
      <c r="H28" s="1" t="s">
        <v>58</v>
      </c>
    </row>
    <row r="29" spans="1:8" x14ac:dyDescent="0.25">
      <c r="A29" s="59"/>
      <c r="B29" s="40" t="s">
        <v>91</v>
      </c>
      <c r="C29" s="40">
        <v>4</v>
      </c>
      <c r="D29" s="35">
        <v>141</v>
      </c>
      <c r="E29" s="36">
        <v>4</v>
      </c>
      <c r="F29" s="36" t="s">
        <v>32</v>
      </c>
      <c r="G29" s="36">
        <f t="shared" ref="G29" si="3">D29*E29</f>
        <v>564</v>
      </c>
      <c r="H29" s="36" t="s">
        <v>58</v>
      </c>
    </row>
    <row r="30" spans="1:8" x14ac:dyDescent="0.25">
      <c r="A30" s="59"/>
      <c r="B30" s="36" t="s">
        <v>153</v>
      </c>
      <c r="C30" s="36"/>
      <c r="D30" s="35">
        <v>255</v>
      </c>
      <c r="E30" s="23">
        <v>1</v>
      </c>
      <c r="F30" s="24" t="s">
        <v>154</v>
      </c>
      <c r="G30" s="24">
        <f t="shared" ref="G30:G41" si="4">D30*E30</f>
        <v>255</v>
      </c>
      <c r="H30" s="23"/>
    </row>
    <row r="31" spans="1:8" x14ac:dyDescent="0.25">
      <c r="A31" s="59"/>
      <c r="B31" s="36" t="s">
        <v>155</v>
      </c>
      <c r="C31" s="36"/>
      <c r="D31" s="36">
        <v>310</v>
      </c>
      <c r="E31" s="50">
        <v>1</v>
      </c>
      <c r="F31" s="49" t="s">
        <v>154</v>
      </c>
      <c r="G31" s="24">
        <f t="shared" si="4"/>
        <v>310</v>
      </c>
      <c r="H31" s="23"/>
    </row>
    <row r="32" spans="1:8" x14ac:dyDescent="0.25">
      <c r="A32" s="59"/>
      <c r="B32" s="50" t="s">
        <v>163</v>
      </c>
      <c r="C32" s="50"/>
      <c r="D32" s="50">
        <v>24</v>
      </c>
      <c r="E32" s="50">
        <v>40</v>
      </c>
      <c r="F32" s="50" t="s">
        <v>164</v>
      </c>
      <c r="G32" s="50">
        <f t="shared" si="4"/>
        <v>960</v>
      </c>
      <c r="H32" s="50"/>
    </row>
    <row r="33" spans="1:8" x14ac:dyDescent="0.25">
      <c r="A33" s="59"/>
      <c r="B33" s="50" t="s">
        <v>165</v>
      </c>
      <c r="C33" s="50"/>
      <c r="D33" s="50">
        <v>235</v>
      </c>
      <c r="E33" s="50">
        <v>3</v>
      </c>
      <c r="F33" s="50" t="s">
        <v>159</v>
      </c>
      <c r="G33" s="50">
        <f t="shared" si="4"/>
        <v>705</v>
      </c>
      <c r="H33" s="50"/>
    </row>
    <row r="34" spans="1:8" x14ac:dyDescent="0.25">
      <c r="A34" s="59"/>
      <c r="B34" s="50" t="s">
        <v>166</v>
      </c>
      <c r="C34" s="50"/>
      <c r="D34" s="50">
        <v>480</v>
      </c>
      <c r="E34" s="50">
        <v>1</v>
      </c>
      <c r="F34" s="50" t="s">
        <v>154</v>
      </c>
      <c r="G34" s="50">
        <f t="shared" si="4"/>
        <v>480</v>
      </c>
      <c r="H34" s="50"/>
    </row>
    <row r="35" spans="1:8" x14ac:dyDescent="0.25">
      <c r="A35" s="59"/>
      <c r="B35" s="50" t="s">
        <v>167</v>
      </c>
      <c r="C35" s="50"/>
      <c r="D35" s="50">
        <v>60</v>
      </c>
      <c r="E35" s="50">
        <v>2</v>
      </c>
      <c r="F35" s="50" t="s">
        <v>168</v>
      </c>
      <c r="G35" s="50">
        <f t="shared" si="4"/>
        <v>120</v>
      </c>
      <c r="H35" s="50"/>
    </row>
    <row r="36" spans="1:8" x14ac:dyDescent="0.25">
      <c r="A36" s="59"/>
      <c r="B36" s="50" t="s">
        <v>169</v>
      </c>
      <c r="C36" s="50"/>
      <c r="D36" s="50">
        <v>250</v>
      </c>
      <c r="E36" s="50">
        <v>1</v>
      </c>
      <c r="F36" s="50" t="s">
        <v>170</v>
      </c>
      <c r="G36" s="50">
        <f t="shared" si="4"/>
        <v>250</v>
      </c>
      <c r="H36" s="50"/>
    </row>
    <row r="37" spans="1:8" x14ac:dyDescent="0.25">
      <c r="A37" s="59"/>
      <c r="B37" s="50" t="s">
        <v>171</v>
      </c>
      <c r="C37" s="50"/>
      <c r="D37" s="50">
        <v>77</v>
      </c>
      <c r="E37" s="50">
        <v>2</v>
      </c>
      <c r="F37" s="50" t="s">
        <v>172</v>
      </c>
      <c r="G37" s="50">
        <f t="shared" si="4"/>
        <v>154</v>
      </c>
      <c r="H37" s="50"/>
    </row>
    <row r="38" spans="1:8" x14ac:dyDescent="0.25">
      <c r="A38" s="59"/>
      <c r="B38" s="50" t="s">
        <v>173</v>
      </c>
      <c r="C38" s="50"/>
      <c r="D38" s="50">
        <v>480</v>
      </c>
      <c r="E38" s="50">
        <v>1</v>
      </c>
      <c r="F38" s="50" t="s">
        <v>154</v>
      </c>
      <c r="G38" s="50">
        <f t="shared" si="4"/>
        <v>480</v>
      </c>
      <c r="H38" s="50"/>
    </row>
    <row r="39" spans="1:8" x14ac:dyDescent="0.25">
      <c r="A39" s="59"/>
      <c r="B39" s="50" t="s">
        <v>174</v>
      </c>
      <c r="C39" s="50"/>
      <c r="D39" s="50">
        <v>270</v>
      </c>
      <c r="E39" s="50">
        <v>1</v>
      </c>
      <c r="F39" s="50" t="s">
        <v>175</v>
      </c>
      <c r="G39" s="50">
        <f t="shared" si="4"/>
        <v>270</v>
      </c>
      <c r="H39" s="50"/>
    </row>
    <row r="40" spans="1:8" x14ac:dyDescent="0.25">
      <c r="A40" s="59"/>
      <c r="B40" s="50" t="s">
        <v>176</v>
      </c>
      <c r="C40" s="50"/>
      <c r="D40" s="50">
        <v>360</v>
      </c>
      <c r="E40" s="50">
        <v>1</v>
      </c>
      <c r="F40" s="50" t="s">
        <v>172</v>
      </c>
      <c r="G40" s="50">
        <f t="shared" si="4"/>
        <v>360</v>
      </c>
      <c r="H40" s="50"/>
    </row>
    <row r="41" spans="1:8" x14ac:dyDescent="0.25">
      <c r="A41" s="59"/>
      <c r="B41" s="50" t="s">
        <v>177</v>
      </c>
      <c r="C41" s="50"/>
      <c r="D41" s="50">
        <v>670</v>
      </c>
      <c r="E41" s="50">
        <v>1</v>
      </c>
      <c r="F41" s="50" t="s">
        <v>154</v>
      </c>
      <c r="G41" s="50">
        <f t="shared" si="4"/>
        <v>670</v>
      </c>
      <c r="H41" s="50"/>
    </row>
    <row r="42" spans="1:8" x14ac:dyDescent="0.25">
      <c r="A42" s="62"/>
      <c r="B42" s="59" t="s">
        <v>7</v>
      </c>
      <c r="C42" s="60"/>
      <c r="D42" s="61"/>
      <c r="E42" s="3"/>
      <c r="F42" s="3"/>
      <c r="G42" s="17">
        <f>SUM(G26:G41)</f>
        <v>6116</v>
      </c>
      <c r="H42" s="1"/>
    </row>
    <row r="43" spans="1:8" x14ac:dyDescent="0.25">
      <c r="A43" s="1" t="s">
        <v>11</v>
      </c>
      <c r="B43" s="37" t="s">
        <v>1</v>
      </c>
      <c r="C43" s="37" t="s">
        <v>2</v>
      </c>
      <c r="D43" s="36" t="s">
        <v>3</v>
      </c>
      <c r="E43" s="1" t="s">
        <v>4</v>
      </c>
      <c r="F43" s="1"/>
      <c r="G43" s="1" t="s">
        <v>5</v>
      </c>
      <c r="H43" s="1" t="s">
        <v>6</v>
      </c>
    </row>
    <row r="44" spans="1:8" x14ac:dyDescent="0.25">
      <c r="A44" s="62" t="s">
        <v>82</v>
      </c>
      <c r="B44" s="40" t="s">
        <v>92</v>
      </c>
      <c r="C44" s="40">
        <v>15</v>
      </c>
      <c r="D44" s="35">
        <v>12.6</v>
      </c>
      <c r="E44" s="1">
        <v>15</v>
      </c>
      <c r="F44" s="36" t="s">
        <v>32</v>
      </c>
      <c r="G44" s="1">
        <f>D44*E44</f>
        <v>189</v>
      </c>
      <c r="H44" s="1"/>
    </row>
    <row r="45" spans="1:8" x14ac:dyDescent="0.25">
      <c r="A45" s="59"/>
      <c r="B45" s="40" t="s">
        <v>93</v>
      </c>
      <c r="C45" s="40">
        <v>3</v>
      </c>
      <c r="D45" s="35">
        <v>101.4</v>
      </c>
      <c r="E45" s="1">
        <v>15</v>
      </c>
      <c r="F45" s="36" t="s">
        <v>151</v>
      </c>
      <c r="G45" s="23">
        <f>D45*E45</f>
        <v>1521</v>
      </c>
      <c r="H45" s="1"/>
    </row>
    <row r="46" spans="1:8" x14ac:dyDescent="0.25">
      <c r="A46" s="59"/>
      <c r="B46" s="36"/>
      <c r="C46" s="36"/>
      <c r="D46" s="35"/>
      <c r="E46" s="1"/>
      <c r="F46" s="1"/>
      <c r="G46" s="1"/>
      <c r="H46" s="1"/>
    </row>
    <row r="47" spans="1:8" x14ac:dyDescent="0.25">
      <c r="A47" s="59"/>
      <c r="B47" s="59" t="s">
        <v>16</v>
      </c>
      <c r="C47" s="60"/>
      <c r="D47" s="61"/>
      <c r="E47" s="3"/>
      <c r="F47" s="3"/>
      <c r="G47" s="15">
        <f>SUM(G44:G46)</f>
        <v>1710</v>
      </c>
      <c r="H47" s="1"/>
    </row>
    <row r="48" spans="1:8" x14ac:dyDescent="0.25">
      <c r="A48" s="1" t="s">
        <v>12</v>
      </c>
      <c r="B48" s="36" t="s">
        <v>1</v>
      </c>
      <c r="C48" s="36" t="s">
        <v>2</v>
      </c>
      <c r="D48" s="36" t="s">
        <v>3</v>
      </c>
      <c r="E48" s="3" t="s">
        <v>4</v>
      </c>
      <c r="F48" s="3"/>
      <c r="G48" s="3" t="s">
        <v>5</v>
      </c>
      <c r="H48" s="1" t="s">
        <v>6</v>
      </c>
    </row>
    <row r="49" spans="1:15" x14ac:dyDescent="0.25">
      <c r="A49" s="62"/>
      <c r="B49" s="53" t="s">
        <v>152</v>
      </c>
      <c r="C49" s="53"/>
      <c r="D49" s="53">
        <v>10.8</v>
      </c>
      <c r="E49" s="53">
        <v>70</v>
      </c>
      <c r="F49" s="53" t="s">
        <v>17</v>
      </c>
      <c r="G49" s="53">
        <f>D49*E49</f>
        <v>756</v>
      </c>
      <c r="H49" s="53"/>
    </row>
    <row r="50" spans="1:15" x14ac:dyDescent="0.25">
      <c r="A50" s="62"/>
      <c r="B50" s="53" t="s">
        <v>179</v>
      </c>
      <c r="C50" s="53"/>
      <c r="D50" s="53">
        <v>41.28</v>
      </c>
      <c r="E50" s="53">
        <v>75</v>
      </c>
      <c r="F50" s="53" t="s">
        <v>17</v>
      </c>
      <c r="G50" s="53">
        <f>D50*E50</f>
        <v>3096</v>
      </c>
      <c r="H50" s="53"/>
    </row>
    <row r="51" spans="1:15" x14ac:dyDescent="0.25">
      <c r="A51" s="62"/>
      <c r="B51" s="46"/>
      <c r="C51" s="46"/>
      <c r="D51" s="46"/>
      <c r="E51" s="46"/>
      <c r="F51" s="46"/>
      <c r="G51" s="46"/>
      <c r="H51" s="46"/>
      <c r="I51" s="53" t="s">
        <v>180</v>
      </c>
      <c r="J51" s="53"/>
      <c r="K51" s="53"/>
      <c r="L51" s="53"/>
      <c r="M51" s="52"/>
      <c r="N51" s="52">
        <v>8874</v>
      </c>
      <c r="O51" s="53" t="s">
        <v>181</v>
      </c>
    </row>
    <row r="52" spans="1:15" x14ac:dyDescent="0.25">
      <c r="A52" s="62"/>
      <c r="B52" s="62" t="s">
        <v>7</v>
      </c>
      <c r="C52" s="62"/>
      <c r="D52" s="62"/>
      <c r="E52" s="53"/>
      <c r="F52" s="53"/>
      <c r="G52" s="16">
        <f>SUM(G49:G51)</f>
        <v>3852</v>
      </c>
      <c r="H52" s="7"/>
    </row>
    <row r="53" spans="1:15" x14ac:dyDescent="0.25">
      <c r="A53" s="8" t="s">
        <v>13</v>
      </c>
      <c r="B53" s="37" t="s">
        <v>1</v>
      </c>
      <c r="C53" s="37" t="s">
        <v>2</v>
      </c>
      <c r="D53" s="36" t="s">
        <v>3</v>
      </c>
      <c r="E53" s="1" t="s">
        <v>4</v>
      </c>
      <c r="F53" s="1"/>
      <c r="G53" s="1" t="s">
        <v>5</v>
      </c>
      <c r="H53" s="1"/>
    </row>
    <row r="54" spans="1:15" x14ac:dyDescent="0.25">
      <c r="A54" s="63" t="s">
        <v>83</v>
      </c>
      <c r="B54" s="40" t="s">
        <v>54</v>
      </c>
      <c r="C54" s="40">
        <v>60</v>
      </c>
      <c r="D54" s="35">
        <v>21</v>
      </c>
      <c r="E54" s="1">
        <v>60</v>
      </c>
      <c r="F54" s="1" t="s">
        <v>21</v>
      </c>
      <c r="G54" s="1">
        <f>D54*E54</f>
        <v>1260</v>
      </c>
      <c r="H54" s="1"/>
    </row>
    <row r="55" spans="1:15" x14ac:dyDescent="0.25">
      <c r="A55" s="64"/>
      <c r="B55" s="40" t="s">
        <v>91</v>
      </c>
      <c r="C55" s="40">
        <v>15</v>
      </c>
      <c r="D55" s="35">
        <v>141</v>
      </c>
      <c r="E55" s="1">
        <v>15</v>
      </c>
      <c r="F55" s="36" t="s">
        <v>17</v>
      </c>
      <c r="G55" s="23">
        <f t="shared" ref="G55:G60" si="5">D55*E55</f>
        <v>2115</v>
      </c>
      <c r="H55" s="1"/>
    </row>
    <row r="56" spans="1:15" x14ac:dyDescent="0.25">
      <c r="A56" s="64"/>
      <c r="B56" s="40" t="s">
        <v>94</v>
      </c>
      <c r="C56" s="41">
        <v>3</v>
      </c>
      <c r="D56" s="35">
        <v>18.239999999999998</v>
      </c>
      <c r="E56" s="1">
        <v>3</v>
      </c>
      <c r="F56" s="36" t="s">
        <v>17</v>
      </c>
      <c r="G56" s="23">
        <f t="shared" si="5"/>
        <v>54.72</v>
      </c>
      <c r="H56" s="1"/>
    </row>
    <row r="57" spans="1:15" x14ac:dyDescent="0.25">
      <c r="A57" s="64"/>
      <c r="B57" s="40" t="s">
        <v>95</v>
      </c>
      <c r="C57" s="40">
        <v>4</v>
      </c>
      <c r="D57" s="35">
        <v>60</v>
      </c>
      <c r="E57" s="1">
        <v>4</v>
      </c>
      <c r="F57" s="36" t="s">
        <v>17</v>
      </c>
      <c r="G57" s="23">
        <f t="shared" si="5"/>
        <v>240</v>
      </c>
      <c r="H57" s="1"/>
    </row>
    <row r="58" spans="1:15" x14ac:dyDescent="0.25">
      <c r="A58" s="64"/>
      <c r="B58" s="40" t="s">
        <v>96</v>
      </c>
      <c r="C58" s="40">
        <v>15</v>
      </c>
      <c r="D58" s="35">
        <v>174</v>
      </c>
      <c r="E58" s="35">
        <v>15</v>
      </c>
      <c r="F58" s="36" t="s">
        <v>17</v>
      </c>
      <c r="G58" s="50">
        <f t="shared" si="5"/>
        <v>2610</v>
      </c>
      <c r="H58" s="13"/>
    </row>
    <row r="59" spans="1:15" x14ac:dyDescent="0.25">
      <c r="A59" s="64"/>
      <c r="B59" s="40" t="s">
        <v>98</v>
      </c>
      <c r="C59" s="40" t="s">
        <v>99</v>
      </c>
      <c r="D59" s="35">
        <v>120</v>
      </c>
      <c r="E59" s="35">
        <v>3</v>
      </c>
      <c r="F59" s="36" t="s">
        <v>17</v>
      </c>
      <c r="G59" s="2">
        <f t="shared" si="5"/>
        <v>360</v>
      </c>
      <c r="H59" s="36"/>
    </row>
    <row r="60" spans="1:15" x14ac:dyDescent="0.25">
      <c r="A60" s="64"/>
      <c r="B60" s="40" t="s">
        <v>40</v>
      </c>
      <c r="C60" s="40">
        <v>6</v>
      </c>
      <c r="D60" s="35">
        <v>30.6</v>
      </c>
      <c r="E60" s="14">
        <v>6</v>
      </c>
      <c r="F60" s="36" t="s">
        <v>17</v>
      </c>
      <c r="G60" s="2">
        <f t="shared" si="5"/>
        <v>183.60000000000002</v>
      </c>
      <c r="H60" s="36"/>
    </row>
    <row r="61" spans="1:15" x14ac:dyDescent="0.25">
      <c r="A61" s="64"/>
      <c r="B61" s="54"/>
      <c r="C61" s="54"/>
      <c r="D61" s="54"/>
      <c r="E61" s="50"/>
      <c r="F61" s="46"/>
      <c r="G61" s="22"/>
      <c r="H61" s="36"/>
    </row>
    <row r="62" spans="1:15" x14ac:dyDescent="0.25">
      <c r="A62" s="64"/>
      <c r="B62" s="62" t="s">
        <v>7</v>
      </c>
      <c r="C62" s="62"/>
      <c r="D62" s="62"/>
      <c r="E62" s="50"/>
      <c r="F62" s="46"/>
      <c r="G62" s="16">
        <f>SUM(G54:G61)</f>
        <v>6823.32</v>
      </c>
      <c r="H62" s="50"/>
    </row>
    <row r="63" spans="1:15" x14ac:dyDescent="0.25">
      <c r="A63" s="65"/>
      <c r="B63" s="71" t="s">
        <v>14</v>
      </c>
      <c r="C63" s="71"/>
      <c r="D63" s="71"/>
      <c r="E63" s="47"/>
      <c r="F63" s="46"/>
      <c r="G63" s="48">
        <f>G62+G52+G47+G24+G18+G10+G42</f>
        <v>30256.199999999997</v>
      </c>
      <c r="H63" s="36"/>
    </row>
  </sheetData>
  <mergeCells count="16">
    <mergeCell ref="A20:A24"/>
    <mergeCell ref="B24:D24"/>
    <mergeCell ref="A1:H1"/>
    <mergeCell ref="A3:A10"/>
    <mergeCell ref="B10:D10"/>
    <mergeCell ref="B18:D18"/>
    <mergeCell ref="A12:A18"/>
    <mergeCell ref="B63:D63"/>
    <mergeCell ref="A26:A42"/>
    <mergeCell ref="B42:D42"/>
    <mergeCell ref="A44:A47"/>
    <mergeCell ref="B47:D47"/>
    <mergeCell ref="A49:A52"/>
    <mergeCell ref="B52:D52"/>
    <mergeCell ref="A54:A63"/>
    <mergeCell ref="B62:D62"/>
  </mergeCells>
  <phoneticPr fontId="2" type="noConversion"/>
  <pageMargins left="0.7" right="0.7" top="0.75" bottom="0.75" header="0.3" footer="0.3"/>
  <pageSetup paperSize="9" scale="7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1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6" t="s">
        <v>100</v>
      </c>
      <c r="B1" s="67"/>
      <c r="C1" s="67"/>
      <c r="D1" s="67"/>
      <c r="E1" s="67"/>
      <c r="F1" s="67"/>
      <c r="G1" s="67"/>
      <c r="H1" s="6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72" t="s">
        <v>104</v>
      </c>
      <c r="B3" s="40" t="s">
        <v>116</v>
      </c>
      <c r="C3" s="36">
        <v>20</v>
      </c>
      <c r="D3" s="1">
        <v>177</v>
      </c>
      <c r="E3" s="1">
        <v>20</v>
      </c>
      <c r="F3" s="34" t="s">
        <v>32</v>
      </c>
      <c r="G3" s="2">
        <f>D3*E3</f>
        <v>3540</v>
      </c>
      <c r="H3" s="1"/>
    </row>
    <row r="4" spans="1:8" x14ac:dyDescent="0.25">
      <c r="A4" s="73"/>
      <c r="B4" s="36" t="s">
        <v>113</v>
      </c>
      <c r="C4" s="36">
        <v>6</v>
      </c>
      <c r="D4" s="1">
        <v>30.6</v>
      </c>
      <c r="E4" s="1">
        <v>6</v>
      </c>
      <c r="F4" s="34" t="s">
        <v>32</v>
      </c>
      <c r="G4" s="1">
        <f>D4*E4</f>
        <v>183.60000000000002</v>
      </c>
      <c r="H4" s="1"/>
    </row>
    <row r="5" spans="1:8" x14ac:dyDescent="0.25">
      <c r="A5" s="73"/>
      <c r="B5" s="36" t="s">
        <v>114</v>
      </c>
      <c r="C5" s="36">
        <v>4</v>
      </c>
      <c r="D5" s="1">
        <v>15.3</v>
      </c>
      <c r="E5" s="1">
        <v>2.17</v>
      </c>
      <c r="F5" s="31" t="s">
        <v>17</v>
      </c>
      <c r="G5" s="1">
        <f>D5*E5</f>
        <v>33.201000000000001</v>
      </c>
      <c r="H5" s="1"/>
    </row>
    <row r="6" spans="1:8" x14ac:dyDescent="0.25">
      <c r="A6" s="73"/>
      <c r="B6" s="36" t="s">
        <v>112</v>
      </c>
      <c r="C6" s="36">
        <v>35</v>
      </c>
      <c r="D6" s="36">
        <v>141</v>
      </c>
      <c r="E6" s="35">
        <v>35</v>
      </c>
      <c r="F6" s="36" t="s">
        <v>32</v>
      </c>
      <c r="G6" s="3">
        <f>D6*E6</f>
        <v>4935</v>
      </c>
      <c r="H6" s="1"/>
    </row>
    <row r="7" spans="1:8" x14ac:dyDescent="0.25">
      <c r="A7" s="73"/>
      <c r="B7" s="36" t="s">
        <v>128</v>
      </c>
      <c r="C7" s="36">
        <v>2</v>
      </c>
      <c r="D7" s="36">
        <v>107.1</v>
      </c>
      <c r="E7" s="35">
        <v>2</v>
      </c>
      <c r="F7" s="35" t="s">
        <v>32</v>
      </c>
      <c r="G7" s="4">
        <f>D7*E7</f>
        <v>214.2</v>
      </c>
      <c r="H7" s="1"/>
    </row>
    <row r="8" spans="1:8" x14ac:dyDescent="0.25">
      <c r="A8" s="74"/>
      <c r="B8" s="21"/>
      <c r="C8" s="36"/>
      <c r="D8" s="1"/>
      <c r="E8" s="3"/>
      <c r="F8" s="36"/>
      <c r="G8" s="4"/>
      <c r="H8" s="36"/>
    </row>
    <row r="9" spans="1:8" x14ac:dyDescent="0.25">
      <c r="A9" s="1" t="s">
        <v>8</v>
      </c>
      <c r="B9" s="59" t="s">
        <v>7</v>
      </c>
      <c r="C9" s="60"/>
      <c r="D9" s="61"/>
      <c r="E9" s="3"/>
      <c r="F9" s="13"/>
      <c r="G9" s="15">
        <f>SUM(G3:G7)</f>
        <v>8906.0010000000002</v>
      </c>
      <c r="H9" s="1"/>
    </row>
    <row r="10" spans="1:8" x14ac:dyDescent="0.25">
      <c r="A10" s="62" t="s">
        <v>101</v>
      </c>
      <c r="B10" s="37" t="s">
        <v>115</v>
      </c>
      <c r="C10" s="37" t="s">
        <v>2</v>
      </c>
      <c r="D10" s="1" t="s">
        <v>3</v>
      </c>
      <c r="E10" s="1" t="s">
        <v>4</v>
      </c>
      <c r="F10" s="34"/>
      <c r="G10" s="36" t="s">
        <v>5</v>
      </c>
      <c r="H10" s="36" t="s">
        <v>6</v>
      </c>
    </row>
    <row r="11" spans="1:8" x14ac:dyDescent="0.25">
      <c r="A11" s="59"/>
      <c r="B11" s="43" t="s">
        <v>119</v>
      </c>
      <c r="C11" s="40">
        <v>25</v>
      </c>
      <c r="D11" s="35">
        <v>54.9</v>
      </c>
      <c r="E11" s="1">
        <v>25</v>
      </c>
      <c r="F11" s="36" t="s">
        <v>32</v>
      </c>
      <c r="G11" s="1">
        <f>D11*E11</f>
        <v>1372.5</v>
      </c>
      <c r="H11" s="1"/>
    </row>
    <row r="12" spans="1:8" x14ac:dyDescent="0.25">
      <c r="A12" s="59"/>
      <c r="B12" s="40" t="s">
        <v>127</v>
      </c>
      <c r="C12" s="40">
        <v>20</v>
      </c>
      <c r="D12" s="35">
        <v>112.5</v>
      </c>
      <c r="E12" s="1">
        <v>20</v>
      </c>
      <c r="F12" s="36" t="s">
        <v>32</v>
      </c>
      <c r="G12" s="1">
        <f>D12*E12</f>
        <v>2250</v>
      </c>
      <c r="H12" s="1"/>
    </row>
    <row r="13" spans="1:8" x14ac:dyDescent="0.25">
      <c r="A13" s="62"/>
      <c r="B13" s="38"/>
      <c r="C13" s="38"/>
      <c r="D13" s="1"/>
      <c r="E13" s="1"/>
      <c r="F13" s="1"/>
      <c r="G13" s="1"/>
      <c r="H13" s="1"/>
    </row>
    <row r="14" spans="1:8" x14ac:dyDescent="0.25">
      <c r="A14" s="62"/>
      <c r="B14" s="1"/>
      <c r="C14" s="1"/>
      <c r="D14" s="1"/>
      <c r="E14" s="1"/>
      <c r="F14" s="3"/>
      <c r="G14" s="1"/>
      <c r="H14" s="1"/>
    </row>
    <row r="15" spans="1:8" x14ac:dyDescent="0.25">
      <c r="A15" s="62"/>
      <c r="B15" s="1"/>
      <c r="C15" s="1"/>
      <c r="D15" s="1"/>
      <c r="E15" s="1"/>
      <c r="F15" s="1"/>
      <c r="G15" s="4"/>
      <c r="H15" s="1"/>
    </row>
    <row r="16" spans="1:8" x14ac:dyDescent="0.25">
      <c r="A16" s="1" t="s">
        <v>9</v>
      </c>
      <c r="B16" s="59" t="s">
        <v>7</v>
      </c>
      <c r="C16" s="60"/>
      <c r="D16" s="61"/>
      <c r="E16" s="3"/>
      <c r="F16" s="34"/>
      <c r="G16" s="15">
        <f>SUM(G11:G15)</f>
        <v>3622.5</v>
      </c>
      <c r="H16" s="1"/>
    </row>
    <row r="17" spans="1:8" x14ac:dyDescent="0.25">
      <c r="A17" s="62" t="s">
        <v>102</v>
      </c>
      <c r="B17" s="1" t="s">
        <v>1</v>
      </c>
      <c r="C17" s="1" t="s">
        <v>2</v>
      </c>
      <c r="D17" s="1" t="s">
        <v>3</v>
      </c>
      <c r="E17" s="1" t="s">
        <v>4</v>
      </c>
      <c r="F17" s="34"/>
      <c r="G17" s="36" t="s">
        <v>5</v>
      </c>
      <c r="H17" s="36" t="s">
        <v>6</v>
      </c>
    </row>
    <row r="18" spans="1:8" x14ac:dyDescent="0.25">
      <c r="A18" s="62"/>
      <c r="B18" s="40" t="s">
        <v>120</v>
      </c>
      <c r="C18" s="40">
        <v>8</v>
      </c>
      <c r="D18" s="36">
        <v>39.78</v>
      </c>
      <c r="E18" s="36">
        <v>8</v>
      </c>
      <c r="F18" s="36" t="s">
        <v>32</v>
      </c>
      <c r="G18" s="1">
        <f>D18*E18</f>
        <v>318.24</v>
      </c>
      <c r="H18" s="1"/>
    </row>
    <row r="19" spans="1:8" x14ac:dyDescent="0.25">
      <c r="A19" s="62"/>
      <c r="B19" s="36" t="s">
        <v>126</v>
      </c>
      <c r="C19" s="36">
        <v>30</v>
      </c>
      <c r="D19" s="36">
        <v>50</v>
      </c>
      <c r="E19" s="36">
        <v>30</v>
      </c>
      <c r="F19" s="36" t="s">
        <v>32</v>
      </c>
      <c r="G19" s="1">
        <f>D19*E19</f>
        <v>1500</v>
      </c>
      <c r="H19" s="1"/>
    </row>
    <row r="20" spans="1:8" x14ac:dyDescent="0.25">
      <c r="A20" s="62"/>
      <c r="B20" s="21" t="s">
        <v>129</v>
      </c>
      <c r="C20" s="36">
        <v>5</v>
      </c>
      <c r="D20" s="36">
        <v>100</v>
      </c>
      <c r="E20" s="35">
        <v>5</v>
      </c>
      <c r="F20" s="36" t="s">
        <v>32</v>
      </c>
      <c r="G20" s="1">
        <f>D20*E20</f>
        <v>500</v>
      </c>
      <c r="H20" s="1"/>
    </row>
    <row r="21" spans="1:8" x14ac:dyDescent="0.25">
      <c r="A21" s="62"/>
      <c r="B21" s="26"/>
      <c r="C21" s="26"/>
      <c r="D21" s="26"/>
      <c r="E21" s="26"/>
      <c r="F21" s="1"/>
      <c r="G21" s="5"/>
      <c r="H21" s="1"/>
    </row>
    <row r="22" spans="1:8" x14ac:dyDescent="0.25">
      <c r="A22" s="6" t="s">
        <v>10</v>
      </c>
      <c r="B22" s="59" t="s">
        <v>7</v>
      </c>
      <c r="C22" s="60"/>
      <c r="D22" s="61"/>
      <c r="E22" s="3"/>
      <c r="F22" s="31"/>
      <c r="G22" s="15">
        <f>SUM(G18:G21)</f>
        <v>2318.2399999999998</v>
      </c>
      <c r="H22" s="1"/>
    </row>
    <row r="23" spans="1:8" x14ac:dyDescent="0.25">
      <c r="A23" s="63"/>
      <c r="B23" s="37" t="s">
        <v>1</v>
      </c>
      <c r="C23" s="37" t="s">
        <v>2</v>
      </c>
      <c r="D23" s="1" t="s">
        <v>3</v>
      </c>
      <c r="E23" s="1" t="s">
        <v>4</v>
      </c>
      <c r="F23" s="34"/>
      <c r="G23" s="36" t="s">
        <v>5</v>
      </c>
      <c r="H23" s="36" t="s">
        <v>6</v>
      </c>
    </row>
    <row r="24" spans="1:8" x14ac:dyDescent="0.25">
      <c r="A24" s="64"/>
      <c r="B24" s="40" t="s">
        <v>111</v>
      </c>
      <c r="C24" s="40">
        <v>8</v>
      </c>
      <c r="D24" s="35">
        <v>22.8</v>
      </c>
      <c r="E24" s="1">
        <v>8</v>
      </c>
      <c r="F24" s="36" t="s">
        <v>32</v>
      </c>
      <c r="G24" s="1">
        <f>D24*E24</f>
        <v>182.4</v>
      </c>
      <c r="H24" s="46"/>
    </row>
    <row r="25" spans="1:8" x14ac:dyDescent="0.25">
      <c r="A25" s="64"/>
      <c r="B25" s="45" t="s">
        <v>85</v>
      </c>
      <c r="C25" s="40">
        <v>35</v>
      </c>
      <c r="D25" s="35">
        <v>99</v>
      </c>
      <c r="E25" s="1">
        <v>8.23</v>
      </c>
      <c r="F25" s="36" t="s">
        <v>17</v>
      </c>
      <c r="G25" s="36">
        <f>D25*E25</f>
        <v>814.7700000000001</v>
      </c>
      <c r="H25" s="1" t="s">
        <v>25</v>
      </c>
    </row>
    <row r="26" spans="1:8" x14ac:dyDescent="0.25">
      <c r="A26" s="64"/>
      <c r="B26" s="36" t="s">
        <v>123</v>
      </c>
      <c r="C26" s="36">
        <v>4</v>
      </c>
      <c r="D26" s="35">
        <v>141</v>
      </c>
      <c r="E26" s="1">
        <v>4</v>
      </c>
      <c r="F26" s="36" t="s">
        <v>32</v>
      </c>
      <c r="G26" s="36">
        <f>D26*E26</f>
        <v>564</v>
      </c>
      <c r="H26" s="36" t="s">
        <v>20</v>
      </c>
    </row>
    <row r="27" spans="1:8" x14ac:dyDescent="0.25">
      <c r="A27" s="64"/>
      <c r="B27" s="36" t="s">
        <v>122</v>
      </c>
      <c r="C27" s="36">
        <v>0.2</v>
      </c>
      <c r="D27" s="35">
        <v>660</v>
      </c>
      <c r="E27" s="31">
        <v>0.2</v>
      </c>
      <c r="F27" s="36" t="s">
        <v>32</v>
      </c>
      <c r="G27" s="36">
        <f>D27*E27</f>
        <v>132</v>
      </c>
      <c r="H27" s="36" t="s">
        <v>20</v>
      </c>
    </row>
    <row r="28" spans="1:8" x14ac:dyDescent="0.25">
      <c r="A28" s="64"/>
      <c r="B28" s="40" t="s">
        <v>118</v>
      </c>
      <c r="C28" s="40" t="s">
        <v>97</v>
      </c>
      <c r="D28" s="35">
        <v>85.5</v>
      </c>
      <c r="E28" s="36">
        <v>0.5</v>
      </c>
      <c r="F28" s="36" t="s">
        <v>32</v>
      </c>
      <c r="G28" s="36">
        <f t="shared" ref="G28:G30" si="0">D28*E28</f>
        <v>42.75</v>
      </c>
      <c r="H28" s="1" t="s">
        <v>59</v>
      </c>
    </row>
    <row r="29" spans="1:8" x14ac:dyDescent="0.25">
      <c r="A29" s="64"/>
      <c r="B29" s="40" t="s">
        <v>121</v>
      </c>
      <c r="C29" s="40">
        <v>1</v>
      </c>
      <c r="D29" s="35">
        <v>9.18</v>
      </c>
      <c r="E29" s="36">
        <v>1</v>
      </c>
      <c r="F29" s="36" t="s">
        <v>32</v>
      </c>
      <c r="G29" s="36">
        <f t="shared" si="0"/>
        <v>9.18</v>
      </c>
      <c r="H29" s="36" t="s">
        <v>59</v>
      </c>
    </row>
    <row r="30" spans="1:8" x14ac:dyDescent="0.25">
      <c r="A30" s="65"/>
      <c r="B30" s="40" t="s">
        <v>184</v>
      </c>
      <c r="C30" s="40"/>
      <c r="D30" s="35">
        <v>37</v>
      </c>
      <c r="E30" s="1">
        <v>20</v>
      </c>
      <c r="F30" s="1" t="s">
        <v>185</v>
      </c>
      <c r="G30" s="3">
        <f t="shared" si="0"/>
        <v>740</v>
      </c>
      <c r="H30" s="36" t="s">
        <v>59</v>
      </c>
    </row>
    <row r="31" spans="1:8" x14ac:dyDescent="0.25">
      <c r="A31" s="1" t="s">
        <v>11</v>
      </c>
      <c r="B31" s="69" t="s">
        <v>7</v>
      </c>
      <c r="C31" s="67"/>
      <c r="D31" s="61"/>
      <c r="E31" s="3"/>
      <c r="G31" s="16">
        <f>SUM(G24:G30)</f>
        <v>2485.1000000000004</v>
      </c>
      <c r="H31" s="36"/>
    </row>
    <row r="32" spans="1:8" x14ac:dyDescent="0.25">
      <c r="A32" s="63" t="s">
        <v>103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36" t="s">
        <v>5</v>
      </c>
      <c r="H32" s="36" t="s">
        <v>6</v>
      </c>
    </row>
    <row r="33" spans="1:8" x14ac:dyDescent="0.25">
      <c r="A33" s="64"/>
      <c r="B33" s="26" t="s">
        <v>124</v>
      </c>
      <c r="C33" s="26">
        <v>15</v>
      </c>
      <c r="D33" s="26">
        <v>74.7</v>
      </c>
      <c r="E33" s="26">
        <v>15</v>
      </c>
      <c r="F33" s="36" t="s">
        <v>17</v>
      </c>
      <c r="G33" s="1">
        <f>D33*E33</f>
        <v>1120.5</v>
      </c>
      <c r="H33" s="1"/>
    </row>
    <row r="34" spans="1:8" x14ac:dyDescent="0.25">
      <c r="A34" s="64"/>
      <c r="B34" s="40" t="s">
        <v>117</v>
      </c>
      <c r="C34" s="40">
        <v>4</v>
      </c>
      <c r="D34" s="35">
        <v>180</v>
      </c>
      <c r="E34" s="36">
        <v>4</v>
      </c>
      <c r="F34" s="36" t="s">
        <v>125</v>
      </c>
      <c r="G34" s="36">
        <f>D34*E34</f>
        <v>720</v>
      </c>
      <c r="H34" s="1"/>
    </row>
    <row r="35" spans="1:8" x14ac:dyDescent="0.25">
      <c r="A35" s="64"/>
      <c r="B35" s="1"/>
      <c r="C35" s="1"/>
      <c r="D35" s="1"/>
      <c r="E35" s="1"/>
      <c r="F35" s="3"/>
      <c r="G35" s="5"/>
      <c r="H35" s="1"/>
    </row>
    <row r="36" spans="1:8" x14ac:dyDescent="0.25">
      <c r="A36" s="65"/>
      <c r="B36" s="69" t="s">
        <v>7</v>
      </c>
      <c r="C36" s="67"/>
      <c r="D36" s="61"/>
      <c r="E36" s="35"/>
      <c r="F36" s="35"/>
      <c r="G36" s="15">
        <f>SUM(G33:G35)</f>
        <v>1840.5</v>
      </c>
      <c r="H36" s="36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1"/>
      <c r="G37" s="3" t="s">
        <v>5</v>
      </c>
      <c r="H37" s="1" t="s">
        <v>6</v>
      </c>
    </row>
    <row r="38" spans="1:8" x14ac:dyDescent="0.25">
      <c r="A38" s="63"/>
      <c r="B38" s="1" t="s">
        <v>182</v>
      </c>
      <c r="C38" s="1"/>
      <c r="D38" s="1">
        <v>12.6</v>
      </c>
      <c r="E38" s="1">
        <v>75</v>
      </c>
      <c r="F38" s="3" t="s">
        <v>183</v>
      </c>
      <c r="G38" s="35">
        <f>D38*E38</f>
        <v>945</v>
      </c>
      <c r="H38" s="36"/>
    </row>
    <row r="39" spans="1:8" x14ac:dyDescent="0.25">
      <c r="A39" s="64"/>
      <c r="B39" s="1" t="s">
        <v>194</v>
      </c>
      <c r="C39" s="1"/>
      <c r="D39" s="1">
        <v>31.68</v>
      </c>
      <c r="E39" s="1">
        <v>51.67</v>
      </c>
      <c r="F39" s="1" t="s">
        <v>195</v>
      </c>
      <c r="G39" s="78">
        <f>D39*E39</f>
        <v>1636.9056</v>
      </c>
      <c r="H39" s="1"/>
    </row>
    <row r="40" spans="1:8" x14ac:dyDescent="0.25">
      <c r="A40" s="65"/>
      <c r="B40" s="59" t="s">
        <v>7</v>
      </c>
      <c r="C40" s="60"/>
      <c r="D40" s="61"/>
      <c r="E40" s="3"/>
      <c r="F40" s="1"/>
      <c r="G40" s="15">
        <f>SUM(G38:G39)</f>
        <v>2581.9056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36" t="s">
        <v>6</v>
      </c>
    </row>
    <row r="42" spans="1:8" x14ac:dyDescent="0.25">
      <c r="A42" s="62"/>
      <c r="B42" s="1" t="s">
        <v>186</v>
      </c>
      <c r="C42" s="1"/>
      <c r="D42" s="1">
        <v>630</v>
      </c>
      <c r="E42" s="1">
        <v>1</v>
      </c>
      <c r="F42" s="1" t="s">
        <v>187</v>
      </c>
      <c r="G42" s="1">
        <f>D42*E42</f>
        <v>630</v>
      </c>
      <c r="H42" s="1"/>
    </row>
    <row r="43" spans="1:8" x14ac:dyDescent="0.25">
      <c r="A43" s="62"/>
      <c r="B43" s="1" t="s">
        <v>188</v>
      </c>
      <c r="C43" s="1"/>
      <c r="D43" s="1">
        <v>19.38</v>
      </c>
      <c r="E43" s="1">
        <v>3</v>
      </c>
      <c r="F43" s="1" t="s">
        <v>183</v>
      </c>
      <c r="G43" s="53">
        <f t="shared" ref="G43:G46" si="1">D43*E43</f>
        <v>58.14</v>
      </c>
      <c r="H43" s="1"/>
    </row>
    <row r="44" spans="1:8" x14ac:dyDescent="0.25">
      <c r="A44" s="62"/>
      <c r="B44" s="1" t="s">
        <v>189</v>
      </c>
      <c r="C44" s="1"/>
      <c r="D44" s="1">
        <v>70</v>
      </c>
      <c r="E44" s="1">
        <v>3</v>
      </c>
      <c r="F44" s="3" t="s">
        <v>190</v>
      </c>
      <c r="G44" s="53">
        <f t="shared" si="1"/>
        <v>210</v>
      </c>
      <c r="H44" s="1"/>
    </row>
    <row r="45" spans="1:8" x14ac:dyDescent="0.25">
      <c r="A45" s="62"/>
      <c r="B45" s="1" t="s">
        <v>191</v>
      </c>
      <c r="C45" s="1"/>
      <c r="D45" s="1">
        <v>355</v>
      </c>
      <c r="E45" s="53">
        <v>1</v>
      </c>
      <c r="F45" s="53" t="s">
        <v>192</v>
      </c>
      <c r="G45" s="53">
        <f t="shared" si="1"/>
        <v>355</v>
      </c>
      <c r="H45" s="1"/>
    </row>
    <row r="46" spans="1:8" x14ac:dyDescent="0.25">
      <c r="A46" s="62"/>
      <c r="B46" s="53" t="s">
        <v>193</v>
      </c>
      <c r="C46" s="53"/>
      <c r="D46" s="53">
        <v>365</v>
      </c>
      <c r="E46" s="53">
        <v>1</v>
      </c>
      <c r="F46" s="52" t="s">
        <v>190</v>
      </c>
      <c r="G46" s="53">
        <f t="shared" si="1"/>
        <v>365</v>
      </c>
      <c r="H46" s="53"/>
    </row>
    <row r="47" spans="1:8" x14ac:dyDescent="0.25">
      <c r="A47" s="62"/>
      <c r="B47" s="59" t="s">
        <v>7</v>
      </c>
      <c r="C47" s="60"/>
      <c r="D47" s="61"/>
      <c r="E47" s="36"/>
      <c r="F47" s="46"/>
      <c r="G47" s="16">
        <f>SUM(G42:G46)</f>
        <v>1618.1399999999999</v>
      </c>
      <c r="H47" s="1"/>
    </row>
    <row r="48" spans="1:8" x14ac:dyDescent="0.25">
      <c r="A48" s="1"/>
      <c r="B48" s="56" t="s">
        <v>14</v>
      </c>
      <c r="C48" s="57"/>
      <c r="D48" s="58"/>
      <c r="E48" s="47"/>
      <c r="F48" s="46"/>
      <c r="G48" s="48">
        <f>G47+G40+G36+G22+G16+G9+G31</f>
        <v>23372.386599999998</v>
      </c>
      <c r="H48" s="1"/>
    </row>
  </sheetData>
  <mergeCells count="16">
    <mergeCell ref="B48:D48"/>
    <mergeCell ref="A32:A36"/>
    <mergeCell ref="A17:A21"/>
    <mergeCell ref="B22:D22"/>
    <mergeCell ref="A1:H1"/>
    <mergeCell ref="B9:D9"/>
    <mergeCell ref="A10:A15"/>
    <mergeCell ref="B16:D16"/>
    <mergeCell ref="A3:A8"/>
    <mergeCell ref="A42:A47"/>
    <mergeCell ref="B47:D47"/>
    <mergeCell ref="B31:D31"/>
    <mergeCell ref="B36:D36"/>
    <mergeCell ref="A38:A40"/>
    <mergeCell ref="B40:D40"/>
    <mergeCell ref="A23:A30"/>
  </mergeCells>
  <phoneticPr fontId="2" type="noConversion"/>
  <pageMargins left="0.7" right="0.7" top="0.75" bottom="0.75" header="0.3" footer="0.3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topLeftCell="A34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6" t="s">
        <v>106</v>
      </c>
      <c r="B1" s="67"/>
      <c r="C1" s="67"/>
      <c r="D1" s="67"/>
      <c r="E1" s="67"/>
      <c r="F1" s="67"/>
      <c r="G1" s="67"/>
      <c r="H1" s="6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70" t="s">
        <v>110</v>
      </c>
      <c r="B3" s="1" t="s">
        <v>86</v>
      </c>
      <c r="C3" s="1">
        <v>260</v>
      </c>
      <c r="D3" s="1">
        <v>99</v>
      </c>
      <c r="E3" s="1">
        <v>63.92</v>
      </c>
      <c r="F3" s="31" t="s">
        <v>17</v>
      </c>
      <c r="G3" s="2">
        <f>D3*E3</f>
        <v>6328.08</v>
      </c>
      <c r="H3" s="1"/>
    </row>
    <row r="4" spans="1:8" x14ac:dyDescent="0.25">
      <c r="A4" s="62"/>
      <c r="B4" s="1"/>
      <c r="C4" s="1"/>
      <c r="D4" s="1"/>
      <c r="E4" s="1"/>
      <c r="F4" s="34"/>
      <c r="G4" s="1"/>
      <c r="H4" s="1"/>
    </row>
    <row r="5" spans="1:8" x14ac:dyDescent="0.25">
      <c r="A5" s="62"/>
      <c r="B5" s="1"/>
      <c r="C5" s="1"/>
      <c r="D5" s="1"/>
      <c r="E5" s="1"/>
      <c r="F5" s="34"/>
      <c r="G5" s="1"/>
      <c r="H5" s="1"/>
    </row>
    <row r="6" spans="1:8" x14ac:dyDescent="0.25">
      <c r="A6" s="62"/>
      <c r="B6" s="1"/>
      <c r="C6" s="1"/>
      <c r="D6" s="1"/>
      <c r="E6" s="3"/>
      <c r="F6" s="30"/>
      <c r="G6" s="3"/>
      <c r="H6" s="1"/>
    </row>
    <row r="7" spans="1:8" x14ac:dyDescent="0.25">
      <c r="A7" s="62"/>
      <c r="B7" s="1"/>
      <c r="C7" s="1"/>
      <c r="D7" s="1"/>
      <c r="E7" s="3"/>
      <c r="F7" s="3"/>
      <c r="G7" s="3"/>
      <c r="H7" s="1"/>
    </row>
    <row r="8" spans="1:8" x14ac:dyDescent="0.25">
      <c r="A8" s="62"/>
      <c r="B8" s="59" t="s">
        <v>7</v>
      </c>
      <c r="C8" s="60"/>
      <c r="D8" s="61"/>
      <c r="E8" s="3"/>
      <c r="F8" s="3"/>
      <c r="G8" s="15">
        <f>SUM(G3:G7)</f>
        <v>6328.08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63" t="s">
        <v>109</v>
      </c>
      <c r="B10" s="26" t="s">
        <v>130</v>
      </c>
      <c r="C10" s="26">
        <v>40</v>
      </c>
      <c r="D10" s="26">
        <v>48</v>
      </c>
      <c r="E10" s="26">
        <v>40</v>
      </c>
      <c r="F10" s="34" t="s">
        <v>32</v>
      </c>
      <c r="G10" s="26">
        <f>D10*E10</f>
        <v>1920</v>
      </c>
      <c r="H10" s="26"/>
    </row>
    <row r="11" spans="1:8" x14ac:dyDescent="0.25">
      <c r="A11" s="64"/>
      <c r="B11" s="1" t="s">
        <v>131</v>
      </c>
      <c r="C11" s="1">
        <v>2</v>
      </c>
      <c r="D11" s="1">
        <v>365</v>
      </c>
      <c r="E11" s="1">
        <v>2</v>
      </c>
      <c r="F11" s="13" t="s">
        <v>35</v>
      </c>
      <c r="G11" s="36">
        <f>D11*E11</f>
        <v>730</v>
      </c>
      <c r="H11" s="1"/>
    </row>
    <row r="12" spans="1:8" x14ac:dyDescent="0.25">
      <c r="A12" s="64"/>
      <c r="B12" s="1"/>
      <c r="C12" s="1"/>
      <c r="D12" s="1"/>
      <c r="E12" s="1"/>
      <c r="F12" s="13"/>
      <c r="G12" s="1"/>
      <c r="H12" s="1"/>
    </row>
    <row r="13" spans="1:8" x14ac:dyDescent="0.25">
      <c r="A13" s="64"/>
      <c r="B13" s="1"/>
      <c r="C13" s="1"/>
      <c r="D13" s="1"/>
      <c r="E13" s="1"/>
      <c r="F13" s="13"/>
      <c r="G13" s="1"/>
      <c r="H13" s="1"/>
    </row>
    <row r="14" spans="1:8" x14ac:dyDescent="0.25">
      <c r="A14" s="64"/>
      <c r="B14" s="1"/>
      <c r="C14" s="1"/>
      <c r="D14" s="1"/>
      <c r="E14" s="1"/>
      <c r="F14" s="13"/>
      <c r="G14" s="1"/>
      <c r="H14" s="1"/>
    </row>
    <row r="15" spans="1:8" x14ac:dyDescent="0.25">
      <c r="A15" s="64"/>
      <c r="B15" s="19"/>
      <c r="C15" s="1"/>
      <c r="D15" s="1"/>
      <c r="E15" s="1"/>
      <c r="F15" s="1"/>
      <c r="G15" s="1"/>
      <c r="H15" s="13"/>
    </row>
    <row r="16" spans="1:8" x14ac:dyDescent="0.25">
      <c r="A16" s="65"/>
      <c r="B16" s="59" t="s">
        <v>7</v>
      </c>
      <c r="C16" s="60"/>
      <c r="D16" s="61"/>
      <c r="E16" s="3"/>
      <c r="F16" s="3"/>
      <c r="G16" s="15">
        <f>SUM(G10:G15)</f>
        <v>2650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62" t="s">
        <v>108</v>
      </c>
      <c r="B18" s="1" t="s">
        <v>132</v>
      </c>
      <c r="C18" s="1">
        <v>20</v>
      </c>
      <c r="D18" s="1">
        <v>30.6</v>
      </c>
      <c r="E18" s="1">
        <v>20</v>
      </c>
      <c r="F18" s="34" t="s">
        <v>32</v>
      </c>
      <c r="G18" s="1">
        <f>D18*E18</f>
        <v>612</v>
      </c>
      <c r="H18" s="1"/>
    </row>
    <row r="19" spans="1:8" x14ac:dyDescent="0.25">
      <c r="A19" s="62"/>
      <c r="B19" s="1" t="s">
        <v>44</v>
      </c>
      <c r="C19" s="1">
        <v>1</v>
      </c>
      <c r="D19" s="1">
        <v>50.4</v>
      </c>
      <c r="E19" s="1">
        <v>20</v>
      </c>
      <c r="F19" s="34" t="s">
        <v>17</v>
      </c>
      <c r="G19" s="36">
        <f>D19*E19</f>
        <v>1008</v>
      </c>
      <c r="H19" s="1"/>
    </row>
    <row r="20" spans="1:8" x14ac:dyDescent="0.25">
      <c r="A20" s="62"/>
      <c r="B20" s="1"/>
      <c r="C20" s="1"/>
      <c r="D20" s="1"/>
      <c r="E20" s="1"/>
      <c r="F20" s="34"/>
      <c r="G20" s="1"/>
      <c r="H20" s="1"/>
    </row>
    <row r="21" spans="1:8" x14ac:dyDescent="0.25">
      <c r="A21" s="62"/>
      <c r="B21" s="1"/>
      <c r="C21" s="1"/>
      <c r="D21" s="1"/>
      <c r="E21" s="3"/>
      <c r="F21" s="3"/>
      <c r="G21" s="1"/>
      <c r="H21" s="1"/>
    </row>
    <row r="22" spans="1:8" x14ac:dyDescent="0.25">
      <c r="A22" s="62"/>
      <c r="B22" s="59" t="s">
        <v>7</v>
      </c>
      <c r="C22" s="60"/>
      <c r="D22" s="61"/>
      <c r="E22" s="3"/>
      <c r="F22" s="3"/>
      <c r="G22" s="17">
        <f>SUM(G18:G21)</f>
        <v>1620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75"/>
      <c r="B24" s="19" t="s">
        <v>135</v>
      </c>
      <c r="C24" s="13">
        <v>4</v>
      </c>
      <c r="D24" s="13">
        <v>177</v>
      </c>
      <c r="E24" s="13">
        <v>4</v>
      </c>
      <c r="F24" s="31" t="s">
        <v>137</v>
      </c>
      <c r="G24" s="13">
        <f>D24*E24</f>
        <v>708</v>
      </c>
      <c r="H24" s="13"/>
    </row>
    <row r="25" spans="1:8" x14ac:dyDescent="0.25">
      <c r="A25" s="76"/>
      <c r="B25" s="13" t="s">
        <v>136</v>
      </c>
      <c r="C25" s="13">
        <v>40</v>
      </c>
      <c r="D25" s="13">
        <v>132</v>
      </c>
      <c r="E25" s="13">
        <v>2.5</v>
      </c>
      <c r="F25" s="31" t="s">
        <v>17</v>
      </c>
      <c r="G25" s="55">
        <f t="shared" ref="G25:G30" si="0">D25*E25</f>
        <v>330</v>
      </c>
      <c r="H25" s="13"/>
    </row>
    <row r="26" spans="1:8" x14ac:dyDescent="0.25">
      <c r="A26" s="76"/>
      <c r="B26" s="13" t="s">
        <v>138</v>
      </c>
      <c r="C26" s="13">
        <v>25</v>
      </c>
      <c r="D26" s="13">
        <v>10</v>
      </c>
      <c r="E26" s="13">
        <v>25</v>
      </c>
      <c r="F26" s="13" t="s">
        <v>139</v>
      </c>
      <c r="G26" s="55">
        <f t="shared" si="0"/>
        <v>250</v>
      </c>
      <c r="H26" s="1"/>
    </row>
    <row r="27" spans="1:8" x14ac:dyDescent="0.25">
      <c r="A27" s="76"/>
      <c r="B27" s="1" t="s">
        <v>198</v>
      </c>
      <c r="C27" s="1"/>
      <c r="D27" s="1">
        <v>90</v>
      </c>
      <c r="E27" s="1">
        <v>0.67</v>
      </c>
      <c r="F27" s="34" t="s">
        <v>195</v>
      </c>
      <c r="G27" s="55">
        <f t="shared" si="0"/>
        <v>60.300000000000004</v>
      </c>
      <c r="H27" s="13"/>
    </row>
    <row r="28" spans="1:8" x14ac:dyDescent="0.25">
      <c r="A28" s="76"/>
      <c r="B28" s="1" t="s">
        <v>199</v>
      </c>
      <c r="C28" s="1"/>
      <c r="D28" s="1">
        <v>94.5</v>
      </c>
      <c r="E28" s="55">
        <v>0.67</v>
      </c>
      <c r="F28" s="55" t="s">
        <v>195</v>
      </c>
      <c r="G28" s="55">
        <f t="shared" si="0"/>
        <v>63.315000000000005</v>
      </c>
      <c r="H28" s="13"/>
    </row>
    <row r="29" spans="1:8" x14ac:dyDescent="0.25">
      <c r="A29" s="76"/>
      <c r="B29" s="1" t="s">
        <v>200</v>
      </c>
      <c r="C29" s="1"/>
      <c r="D29" s="1">
        <v>38</v>
      </c>
      <c r="E29" s="1">
        <v>3</v>
      </c>
      <c r="F29" s="1" t="s">
        <v>201</v>
      </c>
      <c r="G29" s="55">
        <f t="shared" si="0"/>
        <v>114</v>
      </c>
      <c r="H29" s="26"/>
    </row>
    <row r="30" spans="1:8" x14ac:dyDescent="0.25">
      <c r="A30" s="76"/>
      <c r="B30" s="1" t="s">
        <v>202</v>
      </c>
      <c r="C30" s="1"/>
      <c r="D30" s="1">
        <v>68.400000000000006</v>
      </c>
      <c r="E30" s="1">
        <v>0.67</v>
      </c>
      <c r="F30" s="1" t="s">
        <v>195</v>
      </c>
      <c r="G30" s="55">
        <f t="shared" si="0"/>
        <v>45.82800000000001</v>
      </c>
      <c r="H30" s="1"/>
    </row>
    <row r="31" spans="1:8" x14ac:dyDescent="0.25">
      <c r="A31" s="77"/>
      <c r="B31" s="59" t="s">
        <v>7</v>
      </c>
      <c r="C31" s="60"/>
      <c r="D31" s="61"/>
      <c r="E31" s="3"/>
      <c r="F31" s="3"/>
      <c r="G31" s="15">
        <f>SUM(G24:G30)</f>
        <v>1571.443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62" t="s">
        <v>107</v>
      </c>
      <c r="B33" s="1" t="s">
        <v>133</v>
      </c>
      <c r="C33" s="1">
        <v>8</v>
      </c>
      <c r="D33" s="1">
        <v>21</v>
      </c>
      <c r="E33" s="1">
        <v>8</v>
      </c>
      <c r="F33" s="34" t="s">
        <v>32</v>
      </c>
      <c r="G33" s="1">
        <f>D33*E33</f>
        <v>168</v>
      </c>
      <c r="H33" s="1"/>
    </row>
    <row r="34" spans="1:8" x14ac:dyDescent="0.25">
      <c r="A34" s="62"/>
      <c r="B34" s="1" t="s">
        <v>134</v>
      </c>
      <c r="C34" s="1">
        <v>15</v>
      </c>
      <c r="D34" s="1">
        <v>141</v>
      </c>
      <c r="E34" s="1">
        <v>15</v>
      </c>
      <c r="F34" s="34" t="s">
        <v>32</v>
      </c>
      <c r="G34" s="36">
        <f>D34*E34</f>
        <v>2115</v>
      </c>
      <c r="H34" s="1"/>
    </row>
    <row r="35" spans="1:8" x14ac:dyDescent="0.25">
      <c r="A35" s="62"/>
      <c r="B35" s="1"/>
      <c r="C35" s="1"/>
      <c r="D35" s="1"/>
      <c r="E35" s="1"/>
      <c r="F35" s="1"/>
      <c r="G35" s="1"/>
      <c r="H35" s="1"/>
    </row>
    <row r="36" spans="1:8" x14ac:dyDescent="0.25">
      <c r="A36" s="62"/>
      <c r="B36" s="59" t="s">
        <v>7</v>
      </c>
      <c r="C36" s="60"/>
      <c r="D36" s="61"/>
      <c r="E36" s="3"/>
      <c r="F36" s="3"/>
      <c r="G36" s="17">
        <f>SUM(G33:G35)</f>
        <v>2283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63"/>
      <c r="B38" s="1" t="s">
        <v>196</v>
      </c>
      <c r="C38" s="1"/>
      <c r="D38" s="1">
        <v>41.28</v>
      </c>
      <c r="E38" s="1">
        <v>75</v>
      </c>
      <c r="F38" s="1" t="s">
        <v>195</v>
      </c>
      <c r="G38" s="1">
        <f>D38*E38</f>
        <v>3096</v>
      </c>
      <c r="H38" s="1"/>
    </row>
    <row r="39" spans="1:8" x14ac:dyDescent="0.25">
      <c r="A39" s="64"/>
      <c r="B39" s="1" t="s">
        <v>197</v>
      </c>
      <c r="C39" s="1"/>
      <c r="D39" s="1">
        <v>12.24</v>
      </c>
      <c r="E39" s="1">
        <v>70</v>
      </c>
      <c r="F39" s="1" t="s">
        <v>195</v>
      </c>
      <c r="G39" s="2"/>
      <c r="H39" s="1"/>
    </row>
    <row r="40" spans="1:8" x14ac:dyDescent="0.25">
      <c r="A40" s="65"/>
      <c r="B40" s="59" t="s">
        <v>7</v>
      </c>
      <c r="C40" s="60"/>
      <c r="D40" s="61"/>
      <c r="E40" s="3"/>
      <c r="F40" s="3"/>
      <c r="G40" s="15">
        <f>SUM(G38:G39)</f>
        <v>3096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62"/>
      <c r="B42" s="1" t="s">
        <v>203</v>
      </c>
      <c r="C42" s="1"/>
      <c r="D42" s="1">
        <v>255</v>
      </c>
      <c r="E42" s="1">
        <v>1</v>
      </c>
      <c r="F42" s="1" t="s">
        <v>204</v>
      </c>
      <c r="G42" s="1">
        <f>D42*E42</f>
        <v>255</v>
      </c>
      <c r="H42" s="1"/>
    </row>
    <row r="43" spans="1:8" x14ac:dyDescent="0.25">
      <c r="A43" s="62"/>
      <c r="B43" s="1" t="s">
        <v>205</v>
      </c>
      <c r="C43" s="1"/>
      <c r="D43" s="1">
        <v>32</v>
      </c>
      <c r="E43" s="1">
        <v>50</v>
      </c>
      <c r="F43" s="1" t="s">
        <v>195</v>
      </c>
      <c r="G43" s="55">
        <f t="shared" ref="G43:G49" si="1">D43*E43</f>
        <v>1600</v>
      </c>
      <c r="H43" s="1"/>
    </row>
    <row r="44" spans="1:8" x14ac:dyDescent="0.25">
      <c r="A44" s="62"/>
      <c r="B44" s="1" t="s">
        <v>206</v>
      </c>
      <c r="C44" s="1"/>
      <c r="D44" s="1">
        <v>467</v>
      </c>
      <c r="E44" s="1">
        <v>1</v>
      </c>
      <c r="F44" s="1" t="s">
        <v>207</v>
      </c>
      <c r="G44" s="55">
        <f t="shared" si="1"/>
        <v>467</v>
      </c>
      <c r="H44" s="1"/>
    </row>
    <row r="45" spans="1:8" x14ac:dyDescent="0.25">
      <c r="A45" s="62"/>
      <c r="B45" s="1" t="s">
        <v>208</v>
      </c>
      <c r="C45" s="1"/>
      <c r="D45" s="1">
        <v>273</v>
      </c>
      <c r="E45" s="55">
        <v>1</v>
      </c>
      <c r="F45" s="55" t="s">
        <v>204</v>
      </c>
      <c r="G45" s="55">
        <f t="shared" si="1"/>
        <v>273</v>
      </c>
      <c r="H45" s="1"/>
    </row>
    <row r="46" spans="1:8" x14ac:dyDescent="0.25">
      <c r="A46" s="62"/>
      <c r="B46" s="55" t="s">
        <v>209</v>
      </c>
      <c r="C46" s="55"/>
      <c r="D46" s="55">
        <v>587</v>
      </c>
      <c r="E46" s="55">
        <v>1</v>
      </c>
      <c r="F46" s="55" t="s">
        <v>204</v>
      </c>
      <c r="G46" s="55">
        <f t="shared" si="1"/>
        <v>587</v>
      </c>
      <c r="H46" s="55"/>
    </row>
    <row r="47" spans="1:8" x14ac:dyDescent="0.25">
      <c r="A47" s="62"/>
      <c r="B47" s="55" t="s">
        <v>210</v>
      </c>
      <c r="C47" s="55"/>
      <c r="D47" s="55">
        <v>50.4</v>
      </c>
      <c r="E47" s="55">
        <v>20</v>
      </c>
      <c r="F47" s="55" t="s">
        <v>195</v>
      </c>
      <c r="G47" s="55">
        <f t="shared" si="1"/>
        <v>1008</v>
      </c>
      <c r="H47" s="55"/>
    </row>
    <row r="48" spans="1:8" x14ac:dyDescent="0.25">
      <c r="A48" s="62"/>
      <c r="B48" s="55" t="s">
        <v>211</v>
      </c>
      <c r="C48" s="55"/>
      <c r="D48" s="55">
        <v>1188</v>
      </c>
      <c r="E48" s="55">
        <v>1</v>
      </c>
      <c r="F48" s="55" t="s">
        <v>204</v>
      </c>
      <c r="G48" s="55">
        <f t="shared" si="1"/>
        <v>1188</v>
      </c>
      <c r="H48" s="55"/>
    </row>
    <row r="49" spans="1:8" x14ac:dyDescent="0.25">
      <c r="A49" s="62"/>
      <c r="B49" s="55" t="s">
        <v>212</v>
      </c>
      <c r="C49" s="55"/>
      <c r="D49" s="55">
        <v>53.4</v>
      </c>
      <c r="E49" s="55">
        <v>5</v>
      </c>
      <c r="F49" s="55" t="s">
        <v>195</v>
      </c>
      <c r="G49" s="55">
        <f t="shared" si="1"/>
        <v>267</v>
      </c>
      <c r="H49" s="55"/>
    </row>
    <row r="50" spans="1:8" x14ac:dyDescent="0.25">
      <c r="A50" s="62"/>
      <c r="B50" s="59" t="s">
        <v>7</v>
      </c>
      <c r="C50" s="60"/>
      <c r="D50" s="61"/>
      <c r="E50" s="3"/>
      <c r="F50" s="3"/>
      <c r="G50" s="17">
        <f>SUM(G42:G49)</f>
        <v>5645</v>
      </c>
      <c r="H50" s="1"/>
    </row>
    <row r="51" spans="1:8" x14ac:dyDescent="0.25">
      <c r="A51" s="1"/>
      <c r="B51" s="56" t="s">
        <v>14</v>
      </c>
      <c r="C51" s="57"/>
      <c r="D51" s="58"/>
      <c r="E51" s="9"/>
      <c r="F51" s="9"/>
      <c r="G51" s="10">
        <f>G50+G40+G36+G22+G16+G8+G31</f>
        <v>23193.523000000001</v>
      </c>
      <c r="H51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50"/>
    <mergeCell ref="B50:D50"/>
    <mergeCell ref="B51:D51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1215</vt:lpstr>
      <vt:lpstr>1216</vt:lpstr>
      <vt:lpstr>1217</vt:lpstr>
      <vt:lpstr>1218</vt:lpstr>
      <vt:lpstr>1219</vt:lpstr>
      <vt:lpstr>'1215'!Print_Area</vt:lpstr>
      <vt:lpstr>'1216'!Print_Area</vt:lpstr>
      <vt:lpstr>'1217'!Print_Area</vt:lpstr>
      <vt:lpstr>'1218'!Print_Area</vt:lpstr>
      <vt:lpstr>'1219'!Print_Area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2025-12-18T01:07:28Z</cp:lastPrinted>
  <dcterms:created xsi:type="dcterms:W3CDTF">2025-02-19T17:01:12Z</dcterms:created>
  <dcterms:modified xsi:type="dcterms:W3CDTF">2025-12-18T01:07:29Z</dcterms:modified>
</cp:coreProperties>
</file>