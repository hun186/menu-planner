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2月份\"/>
    </mc:Choice>
  </mc:AlternateContent>
  <bookViews>
    <workbookView xWindow="0" yWindow="0" windowWidth="28800" windowHeight="12255" activeTab="3"/>
  </bookViews>
  <sheets>
    <sheet name="1222+" sheetId="1" r:id="rId1"/>
    <sheet name="1223+" sheetId="2" r:id="rId2"/>
    <sheet name="1224+" sheetId="3" r:id="rId3"/>
    <sheet name="1226+" sheetId="4" r:id="rId4"/>
    <sheet name="0000" sheetId="5" r:id="rId5"/>
  </sheets>
  <definedNames>
    <definedName name="_xlnm.Print_Area" localSheetId="0">'1222+'!$A$1:$H$57</definedName>
    <definedName name="_xlnm.Print_Area" localSheetId="1">'1223+'!$A$1:$H$53</definedName>
    <definedName name="_xlnm.Print_Area" localSheetId="2">'1224+'!$A$1:$H$59</definedName>
    <definedName name="_xlnm.Print_Area" localSheetId="3">'1226+'!$A$1:$H$70</definedName>
    <definedName name="_xlnm.Print_Titles" localSheetId="3">'1226+'!$1:$1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4" l="1"/>
  <c r="G51" i="4" s="1"/>
  <c r="G67" i="4" s="1"/>
  <c r="G66" i="4"/>
  <c r="G63" i="4"/>
  <c r="G64" i="4"/>
  <c r="G65" i="4"/>
  <c r="G62" i="4"/>
  <c r="G50" i="4"/>
  <c r="G59" i="4"/>
  <c r="G60" i="4" s="1"/>
  <c r="G58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 l="1"/>
  <c r="G16" i="4"/>
  <c r="G56" i="3"/>
  <c r="G15" i="3"/>
  <c r="G40" i="3" l="1"/>
  <c r="G39" i="3"/>
  <c r="G38" i="3"/>
  <c r="G24" i="3"/>
  <c r="G29" i="3"/>
  <c r="G30" i="3"/>
  <c r="G31" i="3"/>
  <c r="G32" i="3"/>
  <c r="G33" i="3"/>
  <c r="G34" i="3"/>
  <c r="G35" i="3"/>
  <c r="G36" i="3"/>
  <c r="G18" i="3"/>
  <c r="G19" i="3"/>
  <c r="G20" i="3"/>
  <c r="G21" i="3"/>
  <c r="G22" i="3"/>
  <c r="G23" i="3"/>
  <c r="G17" i="3"/>
  <c r="G27" i="3"/>
  <c r="G28" i="3"/>
  <c r="G34" i="2"/>
  <c r="G22" i="2"/>
  <c r="G19" i="2"/>
  <c r="G14" i="2"/>
  <c r="G11" i="2"/>
  <c r="G54" i="1"/>
  <c r="G38" i="1"/>
  <c r="G7" i="1"/>
  <c r="G46" i="1"/>
  <c r="G47" i="5" l="1"/>
  <c r="G46" i="5"/>
  <c r="G49" i="2"/>
  <c r="G13" i="4" l="1"/>
  <c r="G29" i="2"/>
  <c r="G28" i="1"/>
  <c r="G29" i="1"/>
  <c r="G30" i="1"/>
  <c r="G31" i="1"/>
  <c r="G32" i="1"/>
  <c r="G33" i="1"/>
  <c r="G34" i="1"/>
  <c r="G35" i="1"/>
  <c r="G36" i="1"/>
  <c r="G37" i="1"/>
  <c r="G4" i="1"/>
  <c r="G5" i="1"/>
  <c r="G6" i="1"/>
  <c r="G3" i="5" l="1"/>
  <c r="G11" i="5"/>
  <c r="G10" i="5"/>
  <c r="G19" i="5"/>
  <c r="G18" i="5"/>
  <c r="G25" i="5"/>
  <c r="G26" i="5"/>
  <c r="G31" i="5" s="1"/>
  <c r="G24" i="5"/>
  <c r="G34" i="5"/>
  <c r="G36" i="5" s="1"/>
  <c r="G33" i="5"/>
  <c r="G54" i="4"/>
  <c r="G53" i="4"/>
  <c r="G28" i="4"/>
  <c r="G27" i="4"/>
  <c r="G26" i="4"/>
  <c r="G25" i="4"/>
  <c r="G29" i="4"/>
  <c r="G24" i="4"/>
  <c r="G20" i="4"/>
  <c r="G19" i="4"/>
  <c r="G18" i="4"/>
  <c r="G12" i="4"/>
  <c r="G11" i="4"/>
  <c r="G7" i="4"/>
  <c r="G6" i="4"/>
  <c r="G5" i="4"/>
  <c r="G4" i="4"/>
  <c r="G3" i="4"/>
  <c r="G11" i="3"/>
  <c r="G10" i="3"/>
  <c r="G9" i="3"/>
  <c r="G3" i="3"/>
  <c r="G7" i="3" s="1"/>
  <c r="G42" i="3"/>
  <c r="G43" i="3"/>
  <c r="G48" i="3"/>
  <c r="G47" i="3"/>
  <c r="G38" i="2"/>
  <c r="G37" i="2"/>
  <c r="G28" i="2"/>
  <c r="G27" i="2"/>
  <c r="G22" i="1"/>
  <c r="G23" i="1"/>
  <c r="G24" i="1"/>
  <c r="G25" i="1"/>
  <c r="G26" i="1"/>
  <c r="G27" i="1"/>
  <c r="G43" i="1"/>
  <c r="G40" i="5"/>
  <c r="G22" i="5"/>
  <c r="G16" i="5"/>
  <c r="G8" i="5"/>
  <c r="G16" i="1"/>
  <c r="G17" i="1"/>
  <c r="G18" i="1"/>
  <c r="G19" i="1"/>
  <c r="G49" i="3" l="1"/>
  <c r="G45" i="3"/>
  <c r="G9" i="4"/>
  <c r="G56" i="4"/>
  <c r="G20" i="1"/>
  <c r="G22" i="4"/>
  <c r="G26" i="2"/>
  <c r="G25" i="2"/>
  <c r="G12" i="3" l="1"/>
  <c r="G26" i="3"/>
  <c r="G37" i="3"/>
  <c r="G53" i="3"/>
  <c r="G54" i="3"/>
  <c r="G51" i="3"/>
  <c r="G55" i="3" l="1"/>
  <c r="G24" i="2"/>
  <c r="G42" i="2"/>
  <c r="G10" i="2"/>
  <c r="G9" i="2"/>
  <c r="G17" i="2"/>
  <c r="G18" i="2"/>
  <c r="G20" i="2"/>
  <c r="G16" i="2"/>
  <c r="G36" i="2"/>
  <c r="G39" i="2" s="1"/>
  <c r="G4" i="2"/>
  <c r="G5" i="2"/>
  <c r="G6" i="2"/>
  <c r="G3" i="2"/>
  <c r="G41" i="2"/>
  <c r="G43" i="2" s="1"/>
  <c r="G7" i="2" l="1"/>
  <c r="G50" i="2"/>
  <c r="G50" i="1"/>
  <c r="G51" i="1"/>
  <c r="G3" i="1"/>
  <c r="G49" i="1" l="1"/>
  <c r="G53" i="1" s="1"/>
  <c r="G45" i="1"/>
  <c r="G47" i="1" s="1"/>
  <c r="G10" i="1" l="1"/>
  <c r="G11" i="1"/>
  <c r="G12" i="1"/>
  <c r="G9" i="1"/>
  <c r="G14" i="1" l="1"/>
</calcChain>
</file>

<file path=xl/sharedStrings.xml><?xml version="1.0" encoding="utf-8"?>
<sst xmlns="http://schemas.openxmlformats.org/spreadsheetml/2006/main" count="604" uniqueCount="206">
  <si>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</si>
  <si>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</si>
  <si>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</si>
  <si>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</si>
  <si>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</si>
  <si>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</si>
  <si>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</si>
  <si>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</si>
  <si>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</si>
  <si>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</si>
  <si>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</si>
  <si>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</si>
  <si>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</si>
  <si>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</si>
  <si>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</si>
  <si>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</si>
  <si>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</si>
  <si>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</si>
  <si>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</si>
  <si>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件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</si>
  <si>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</si>
  <si>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</si>
  <si>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</si>
  <si>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</si>
  <si>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</si>
  <si>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</si>
  <si>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斤</t>
    <phoneticPr fontId="2" type="noConversion"/>
  </si>
  <si>
    <t>鋁箔包飲料</t>
    <phoneticPr fontId="2" type="noConversion"/>
  </si>
  <si>
    <t>斤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</si>
  <si>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</si>
  <si>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</si>
  <si>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</si>
  <si>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</si>
  <si>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辣椒</t>
  </si>
  <si>
    <t>薑</t>
  </si>
  <si>
    <t>蒜仁</t>
  </si>
  <si>
    <t>青蔥</t>
  </si>
  <si>
    <t>蛋</t>
  </si>
  <si>
    <t>杏鮑菇</t>
  </si>
  <si>
    <t>半</t>
    <phoneticPr fontId="2" type="noConversion"/>
  </si>
  <si>
    <t>個</t>
  </si>
  <si>
    <t xml:space="preserve">大亨堡 (切) </t>
    <phoneticPr fontId="2" type="noConversion"/>
  </si>
  <si>
    <t>食材</t>
    <phoneticPr fontId="2" type="noConversion"/>
  </si>
  <si>
    <t>電訊科技中心(安康營區)     114年      月   日      午餐明細表</t>
    <phoneticPr fontId="2" type="noConversion"/>
  </si>
  <si>
    <t>電訊科技中心(安康營區)     114年      12月   26日      午餐明細表</t>
    <phoneticPr fontId="2" type="noConversion"/>
  </si>
  <si>
    <t>電訊科技中心(安康營區)     114年      12月   24日      午餐明細表</t>
    <phoneticPr fontId="2" type="noConversion"/>
  </si>
  <si>
    <t>電訊科技中心(安康營區)     114年      12月   23日      午餐明細表</t>
    <phoneticPr fontId="2" type="noConversion"/>
  </si>
  <si>
    <t>電訊科技中心(安康營區)     114年     12月   22日      午餐明細表</t>
    <phoneticPr fontId="2" type="noConversion"/>
  </si>
  <si>
    <t>腐乳肉片</t>
    <phoneticPr fontId="2" type="noConversion"/>
  </si>
  <si>
    <t>糖醋豆包</t>
    <phoneticPr fontId="2" type="noConversion"/>
  </si>
  <si>
    <t>玉米絞肉</t>
    <phoneticPr fontId="2" type="noConversion"/>
  </si>
  <si>
    <t>豬肉片</t>
    <phoneticPr fontId="2" type="noConversion"/>
  </si>
  <si>
    <t>五花肉片</t>
    <phoneticPr fontId="2" type="noConversion"/>
  </si>
  <si>
    <t>豆腐乳(大)</t>
    <phoneticPr fontId="2" type="noConversion"/>
  </si>
  <si>
    <t>罐</t>
    <phoneticPr fontId="2" type="noConversion"/>
  </si>
  <si>
    <t>去皮洋蔥</t>
    <phoneticPr fontId="2" type="noConversion"/>
  </si>
  <si>
    <t>炸豆包</t>
    <phoneticPr fontId="2" type="noConversion"/>
  </si>
  <si>
    <t>絞肉</t>
    <phoneticPr fontId="2" type="noConversion"/>
  </si>
  <si>
    <t>冷凍洋芋</t>
    <phoneticPr fontId="2" type="noConversion"/>
  </si>
  <si>
    <t>包</t>
    <phoneticPr fontId="2" type="noConversion"/>
  </si>
  <si>
    <t>番茄醬</t>
    <phoneticPr fontId="2" type="noConversion"/>
  </si>
  <si>
    <t>素肚</t>
    <phoneticPr fontId="2" type="noConversion"/>
  </si>
  <si>
    <t>個</t>
    <phoneticPr fontId="2" type="noConversion"/>
  </si>
  <si>
    <t>九層塔</t>
    <phoneticPr fontId="2" type="noConversion"/>
  </si>
  <si>
    <t>肉絲</t>
    <phoneticPr fontId="2" type="noConversion"/>
  </si>
  <si>
    <t>油麵</t>
    <phoneticPr fontId="2" type="noConversion"/>
  </si>
  <si>
    <t>粒</t>
    <phoneticPr fontId="2" type="noConversion"/>
  </si>
  <si>
    <t>蘿蔔蔔絲</t>
    <phoneticPr fontId="2" type="noConversion"/>
  </si>
  <si>
    <t>木耳絲</t>
    <phoneticPr fontId="2" type="noConversion"/>
  </si>
  <si>
    <t>紫菜蛋花湯</t>
    <phoneticPr fontId="2" type="noConversion"/>
  </si>
  <si>
    <t>紫菜</t>
    <phoneticPr fontId="2" type="noConversion"/>
  </si>
  <si>
    <t>雞蛋</t>
    <phoneticPr fontId="2" type="noConversion"/>
  </si>
  <si>
    <t>素食</t>
    <phoneticPr fontId="2" type="noConversion"/>
  </si>
  <si>
    <t>晚餐</t>
    <phoneticPr fontId="2" type="noConversion"/>
  </si>
  <si>
    <t>滷雞腿</t>
    <phoneticPr fontId="2" type="noConversion"/>
  </si>
  <si>
    <t>絲瓜油條</t>
    <phoneticPr fontId="2" type="noConversion"/>
  </si>
  <si>
    <t>客家小炒</t>
    <phoneticPr fontId="2" type="noConversion"/>
  </si>
  <si>
    <t>珍珠奶茶</t>
    <phoneticPr fontId="2" type="noConversion"/>
  </si>
  <si>
    <t>棒腿</t>
    <phoneticPr fontId="2" type="noConversion"/>
  </si>
  <si>
    <t>支</t>
    <phoneticPr fontId="2" type="noConversion"/>
  </si>
  <si>
    <t>去皮絲瓜</t>
    <phoneticPr fontId="2" type="noConversion"/>
  </si>
  <si>
    <t>川耳</t>
    <phoneticPr fontId="2" type="noConversion"/>
  </si>
  <si>
    <t>油條</t>
    <phoneticPr fontId="2" type="noConversion"/>
  </si>
  <si>
    <t>4*4豆干</t>
    <phoneticPr fontId="2" type="noConversion"/>
  </si>
  <si>
    <t>乾魷魚</t>
    <phoneticPr fontId="2" type="noConversion"/>
  </si>
  <si>
    <t>五花肉絲</t>
    <phoneticPr fontId="2" type="noConversion"/>
  </si>
  <si>
    <t>小粉圓</t>
    <phoneticPr fontId="2" type="noConversion"/>
  </si>
  <si>
    <t>奶精粉</t>
    <phoneticPr fontId="2" type="noConversion"/>
  </si>
  <si>
    <t>鮮奶油</t>
    <phoneticPr fontId="2" type="noConversion"/>
  </si>
  <si>
    <t>瓶</t>
    <phoneticPr fontId="2" type="noConversion"/>
  </si>
  <si>
    <t>紅椒</t>
    <phoneticPr fontId="2" type="noConversion"/>
  </si>
  <si>
    <t>黃椒</t>
    <phoneticPr fontId="2" type="noConversion"/>
  </si>
  <si>
    <t>腿排</t>
    <phoneticPr fontId="2" type="noConversion"/>
  </si>
  <si>
    <t>鹹酥雞</t>
    <phoneticPr fontId="2" type="noConversion"/>
  </si>
  <si>
    <t>炒時蔬</t>
    <phoneticPr fontId="2" type="noConversion"/>
  </si>
  <si>
    <t>冬瓜排骨湯</t>
    <phoneticPr fontId="2" type="noConversion"/>
  </si>
  <si>
    <t>蝦仁炒飯</t>
    <phoneticPr fontId="2" type="noConversion"/>
  </si>
  <si>
    <t>雞胸肉3*3</t>
    <phoneticPr fontId="2" type="noConversion"/>
  </si>
  <si>
    <t>冷凍青花菜</t>
    <phoneticPr fontId="2" type="noConversion"/>
  </si>
  <si>
    <t>玉米筍罐頭</t>
    <phoneticPr fontId="2" type="noConversion"/>
  </si>
  <si>
    <t>杏鮑菇</t>
    <phoneticPr fontId="2" type="noConversion"/>
  </si>
  <si>
    <t>斤</t>
    <phoneticPr fontId="2" type="noConversion"/>
  </si>
  <si>
    <t>豆皮</t>
    <phoneticPr fontId="2" type="noConversion"/>
  </si>
  <si>
    <t>去皮冬瓜</t>
    <phoneticPr fontId="2" type="noConversion"/>
  </si>
  <si>
    <t>軟骨排</t>
    <phoneticPr fontId="2" type="noConversion"/>
  </si>
  <si>
    <t>薑絲</t>
    <phoneticPr fontId="2" type="noConversion"/>
  </si>
  <si>
    <t>烏龍麵</t>
    <phoneticPr fontId="2" type="noConversion"/>
  </si>
  <si>
    <t>胡蘿蔔絲</t>
    <phoneticPr fontId="2" type="noConversion"/>
  </si>
  <si>
    <t>蔥油雞</t>
    <phoneticPr fontId="2" type="noConversion"/>
  </si>
  <si>
    <t>番茄炒蛋</t>
    <phoneticPr fontId="2" type="noConversion"/>
  </si>
  <si>
    <t>泰式豆腐</t>
    <phoneticPr fontId="2" type="noConversion"/>
  </si>
  <si>
    <t>味噌貢丸湯</t>
    <phoneticPr fontId="2" type="noConversion"/>
  </si>
  <si>
    <t>小貢丸</t>
    <phoneticPr fontId="2" type="noConversion"/>
  </si>
  <si>
    <t>牛番茄</t>
    <phoneticPr fontId="2" type="noConversion"/>
  </si>
  <si>
    <t>4.3豆腐</t>
    <phoneticPr fontId="2" type="noConversion"/>
  </si>
  <si>
    <t>板</t>
    <phoneticPr fontId="2" type="noConversion"/>
  </si>
  <si>
    <t>燒雞醬</t>
    <phoneticPr fontId="2" type="noConversion"/>
  </si>
  <si>
    <t>檸檬汁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</si>
  <si>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</si>
  <si>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</si>
  <si>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</si>
  <si>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味噌</t>
    <phoneticPr fontId="2" type="noConversion"/>
  </si>
  <si>
    <t>庫存</t>
    <phoneticPr fontId="2" type="noConversion"/>
  </si>
  <si>
    <t>廚餘量</t>
    <phoneticPr fontId="2" type="noConversion"/>
  </si>
  <si>
    <t>目視剩餘菜色</t>
    <phoneticPr fontId="2" type="noConversion"/>
  </si>
  <si>
    <t>今日用餐人數</t>
    <phoneticPr fontId="2" type="noConversion"/>
  </si>
  <si>
    <t>備註</t>
    <phoneticPr fontId="2" type="noConversion"/>
  </si>
  <si>
    <t>計數器</t>
    <phoneticPr fontId="2" type="noConversion"/>
  </si>
  <si>
    <t>人事系統</t>
    <phoneticPr fontId="2" type="noConversion"/>
  </si>
  <si>
    <t>食材量預估人數
        人</t>
    <phoneticPr fontId="2" type="noConversion"/>
  </si>
  <si>
    <t>柳丁</t>
    <phoneticPr fontId="2" type="noConversion"/>
  </si>
  <si>
    <t>斤</t>
    <phoneticPr fontId="2" type="noConversion"/>
  </si>
  <si>
    <t>鬆餅</t>
    <phoneticPr fontId="2" type="noConversion"/>
  </si>
  <si>
    <t>包</t>
    <phoneticPr fontId="2" type="noConversion"/>
  </si>
  <si>
    <t>高麗菜</t>
    <phoneticPr fontId="2" type="noConversion"/>
  </si>
  <si>
    <t>目視剩餘菜色(較多)</t>
    <phoneticPr fontId="2" type="noConversion"/>
  </si>
  <si>
    <t>香蕉</t>
    <phoneticPr fontId="2" type="noConversion"/>
  </si>
  <si>
    <t>桶</t>
    <phoneticPr fontId="2" type="noConversion"/>
  </si>
  <si>
    <t>鵝白菜</t>
    <phoneticPr fontId="2" type="noConversion"/>
  </si>
  <si>
    <t>去葉芹菜</t>
    <phoneticPr fontId="2" type="noConversion"/>
  </si>
  <si>
    <t>玉米絞肉</t>
    <phoneticPr fontId="2" type="noConversion"/>
  </si>
  <si>
    <t>食材量預估人數
 250-260  人</t>
    <phoneticPr fontId="2" type="noConversion"/>
  </si>
  <si>
    <t>無統計</t>
    <phoneticPr fontId="2" type="noConversion"/>
  </si>
  <si>
    <t>x</t>
    <phoneticPr fontId="2" type="noConversion"/>
  </si>
  <si>
    <t>食材量預估人數
  250-260 人</t>
    <phoneticPr fontId="2" type="noConversion"/>
  </si>
  <si>
    <t>洗選蛋</t>
    <phoneticPr fontId="2" type="noConversion"/>
  </si>
  <si>
    <t>醬油</t>
    <phoneticPr fontId="2" type="noConversion"/>
  </si>
  <si>
    <t>桶</t>
    <phoneticPr fontId="2" type="noConversion"/>
  </si>
  <si>
    <t>油膏</t>
    <phoneticPr fontId="2" type="noConversion"/>
  </si>
  <si>
    <t>素蠔油</t>
    <phoneticPr fontId="2" type="noConversion"/>
  </si>
  <si>
    <t>味霖</t>
    <phoneticPr fontId="2" type="noConversion"/>
  </si>
  <si>
    <t>白胡椒粉</t>
    <phoneticPr fontId="2" type="noConversion"/>
  </si>
  <si>
    <t>盒</t>
    <phoneticPr fontId="2" type="noConversion"/>
  </si>
  <si>
    <t>滷包</t>
    <phoneticPr fontId="2" type="noConversion"/>
  </si>
  <si>
    <t>調理米酒</t>
    <phoneticPr fontId="2" type="noConversion"/>
  </si>
  <si>
    <t>瓶</t>
    <phoneticPr fontId="2" type="noConversion"/>
  </si>
  <si>
    <t>草蝦仁</t>
    <phoneticPr fontId="2" type="noConversion"/>
  </si>
  <si>
    <t>台塑蘑菇醬</t>
    <phoneticPr fontId="2" type="noConversion"/>
  </si>
  <si>
    <t>紫菜</t>
    <phoneticPr fontId="2" type="noConversion"/>
  </si>
  <si>
    <t>厚片土司</t>
    <phoneticPr fontId="2" type="noConversion"/>
  </si>
  <si>
    <t>條</t>
    <phoneticPr fontId="2" type="noConversion"/>
  </si>
  <si>
    <t>無骨豬排</t>
    <phoneticPr fontId="2" type="noConversion"/>
  </si>
  <si>
    <t>件</t>
    <phoneticPr fontId="2" type="noConversion"/>
  </si>
  <si>
    <t>三好米</t>
    <phoneticPr fontId="2" type="noConversion"/>
  </si>
  <si>
    <t>紅蘿蔔切絲</t>
    <phoneticPr fontId="2" type="noConversion"/>
  </si>
  <si>
    <t>蒜泥</t>
    <phoneticPr fontId="2" type="noConversion"/>
  </si>
  <si>
    <t>白飯，其他相當平均</t>
    <phoneticPr fontId="2" type="noConversion"/>
  </si>
  <si>
    <t>廚餘少(很平均)</t>
    <phoneticPr fontId="2" type="noConversion"/>
  </si>
  <si>
    <t>橘子</t>
    <phoneticPr fontId="2" type="noConversion"/>
  </si>
  <si>
    <t>貴</t>
    <phoneticPr fontId="2" type="noConversion"/>
  </si>
  <si>
    <t>薑絲</t>
    <phoneticPr fontId="2" type="noConversion"/>
  </si>
  <si>
    <t>斤</t>
    <phoneticPr fontId="2" type="noConversion"/>
  </si>
  <si>
    <t>苦瓜</t>
    <phoneticPr fontId="2" type="noConversion"/>
  </si>
  <si>
    <t>油菜</t>
    <phoneticPr fontId="2" type="noConversion"/>
  </si>
  <si>
    <t>九層塔</t>
    <phoneticPr fontId="2" type="noConversion"/>
  </si>
  <si>
    <t>糯米椒</t>
    <phoneticPr fontId="2" type="noConversion"/>
  </si>
  <si>
    <t>豆干</t>
    <phoneticPr fontId="2" type="noConversion"/>
  </si>
  <si>
    <t>黑胡椒醬</t>
    <phoneticPr fontId="2" type="noConversion"/>
  </si>
  <si>
    <t>桶</t>
    <phoneticPr fontId="2" type="noConversion"/>
  </si>
  <si>
    <t>鳥蛋</t>
    <phoneticPr fontId="2" type="noConversion"/>
  </si>
  <si>
    <t>去皮洋蔥</t>
    <phoneticPr fontId="2" type="noConversion"/>
  </si>
  <si>
    <t>甜不辣條</t>
    <phoneticPr fontId="2" type="noConversion"/>
  </si>
  <si>
    <t>去葉芹菜</t>
    <phoneticPr fontId="2" type="noConversion"/>
  </si>
  <si>
    <t>前腿肉絲</t>
    <phoneticPr fontId="2" type="noConversion"/>
  </si>
  <si>
    <t>大白菜</t>
    <phoneticPr fontId="2" type="noConversion"/>
  </si>
  <si>
    <t>無骨清雞腿肉丁</t>
    <phoneticPr fontId="2" type="noConversion"/>
  </si>
  <si>
    <t>前腿肉柳</t>
    <phoneticPr fontId="2" type="noConversion"/>
  </si>
  <si>
    <t>安佳奶油</t>
    <phoneticPr fontId="2" type="noConversion"/>
  </si>
  <si>
    <t>條</t>
    <phoneticPr fontId="2" type="noConversion"/>
  </si>
  <si>
    <t>油豆腐丁</t>
    <phoneticPr fontId="2" type="noConversion"/>
  </si>
  <si>
    <t>卡拉雞腿堡</t>
    <phoneticPr fontId="2" type="noConversion"/>
  </si>
  <si>
    <t>片</t>
    <phoneticPr fontId="2" type="noConversion"/>
  </si>
  <si>
    <t>芋頭塊</t>
    <phoneticPr fontId="2" type="noConversion"/>
  </si>
  <si>
    <t>中華豆腐</t>
    <phoneticPr fontId="2" type="noConversion"/>
  </si>
  <si>
    <t>盒</t>
    <phoneticPr fontId="2" type="noConversion"/>
  </si>
  <si>
    <t>香軟排塊</t>
    <phoneticPr fontId="2" type="noConversion"/>
  </si>
  <si>
    <t>骨腿塊</t>
    <phoneticPr fontId="2" type="noConversion"/>
  </si>
  <si>
    <t>油麵</t>
    <phoneticPr fontId="2" type="noConversion"/>
  </si>
  <si>
    <t>烏龍麵</t>
    <phoneticPr fontId="2" type="noConversion"/>
  </si>
  <si>
    <t>滷蛋</t>
    <phoneticPr fontId="2" type="noConversion"/>
  </si>
  <si>
    <t>個</t>
    <phoneticPr fontId="2" type="noConversion"/>
  </si>
  <si>
    <t>沙拉油</t>
    <phoneticPr fontId="2" type="noConversion"/>
  </si>
  <si>
    <t>柳丁</t>
    <phoneticPr fontId="2" type="noConversion"/>
  </si>
  <si>
    <t>蒜仁</t>
    <phoneticPr fontId="2" type="noConversion"/>
  </si>
  <si>
    <t>大黑豆干</t>
    <phoneticPr fontId="2" type="noConversion"/>
  </si>
  <si>
    <t>骨頭多(蔥油雞)
油菜
番茄炒蛋的醬汁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</si>
</sst>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rgb="FF262626"/>
      <name val="標楷體"/>
      <family val="4"/>
      <charset val="136"/>
    </font>
    <font>
      <sz val="12"/>
      <color rgb="FF000000"/>
      <name val="標楷體"/>
      <family val="4"/>
      <charset val="136"/>
    </font>
    <font>
      <sz val="11"/>
      <color theme="1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1" fontId="1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vertical="center"/>
    </xf>
    <xf numFmtId="0" fontId="3" fillId="9" borderId="25" xfId="0" applyFont="1" applyFill="1" applyBorder="1" applyAlignment="1">
      <alignment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topLeftCell="A39" workbookViewId="0">
      <selection activeCell="A53" sqref="A53:A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9" t="s">
        <v>47</v>
      </c>
      <c r="B1" s="80"/>
      <c r="C1" s="80"/>
      <c r="D1" s="80"/>
      <c r="E1" s="80"/>
      <c r="F1" s="80"/>
      <c r="G1" s="80"/>
      <c r="H1" s="81"/>
    </row>
    <row r="2" spans="1:8" x14ac:dyDescent="0.25">
      <c r="A2" s="1" t="s">
        <v>0</v>
      </c>
      <c r="B2" s="34" t="s">
        <v>1</v>
      </c>
      <c r="C2" s="34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73" t="s">
        <v>48</v>
      </c>
      <c r="B3" s="38" t="s">
        <v>51</v>
      </c>
      <c r="C3" s="38">
        <v>35</v>
      </c>
      <c r="D3" s="32">
        <v>141</v>
      </c>
      <c r="E3" s="18">
        <v>35</v>
      </c>
      <c r="F3" s="18" t="s">
        <v>30</v>
      </c>
      <c r="G3" s="19">
        <f>D3*E3</f>
        <v>4935</v>
      </c>
      <c r="H3" s="1"/>
    </row>
    <row r="4" spans="1:8" x14ac:dyDescent="0.25">
      <c r="A4" s="73"/>
      <c r="B4" s="38" t="s">
        <v>52</v>
      </c>
      <c r="C4" s="38">
        <v>15</v>
      </c>
      <c r="D4" s="32">
        <v>177</v>
      </c>
      <c r="E4" s="9">
        <v>15</v>
      </c>
      <c r="F4" s="18" t="s">
        <v>30</v>
      </c>
      <c r="G4" s="19">
        <f t="shared" ref="G4:G6" si="0">D4*E4</f>
        <v>2655</v>
      </c>
      <c r="H4" s="1"/>
    </row>
    <row r="5" spans="1:8" x14ac:dyDescent="0.25">
      <c r="A5" s="73"/>
      <c r="B5" s="38" t="s">
        <v>53</v>
      </c>
      <c r="C5" s="38">
        <v>1</v>
      </c>
      <c r="D5" s="32">
        <v>400</v>
      </c>
      <c r="E5" s="1">
        <v>1</v>
      </c>
      <c r="F5" s="31" t="s">
        <v>54</v>
      </c>
      <c r="G5" s="19">
        <f t="shared" si="0"/>
        <v>400</v>
      </c>
      <c r="H5" s="1"/>
    </row>
    <row r="6" spans="1:8" x14ac:dyDescent="0.25">
      <c r="A6" s="82"/>
      <c r="B6" s="35" t="s">
        <v>55</v>
      </c>
      <c r="C6" s="35">
        <v>8</v>
      </c>
      <c r="D6" s="33">
        <v>30.6</v>
      </c>
      <c r="E6" s="3">
        <v>8</v>
      </c>
      <c r="F6" s="18" t="s">
        <v>30</v>
      </c>
      <c r="G6" s="19">
        <f t="shared" si="0"/>
        <v>244.8</v>
      </c>
      <c r="H6" s="1"/>
    </row>
    <row r="7" spans="1:8" x14ac:dyDescent="0.25">
      <c r="A7" s="82"/>
      <c r="B7" s="73" t="s">
        <v>7</v>
      </c>
      <c r="C7" s="74"/>
      <c r="D7" s="75"/>
      <c r="E7" s="3"/>
      <c r="F7" s="3"/>
      <c r="G7" s="12">
        <f>SUM(G3:G6)</f>
        <v>8234.7999999999993</v>
      </c>
      <c r="H7" s="1"/>
    </row>
    <row r="8" spans="1:8" x14ac:dyDescent="0.25">
      <c r="A8" s="1" t="s">
        <v>8</v>
      </c>
      <c r="B8" s="34" t="s">
        <v>1</v>
      </c>
      <c r="C8" s="34" t="s">
        <v>2</v>
      </c>
      <c r="D8" s="33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73" t="s">
        <v>49</v>
      </c>
      <c r="B9" s="38" t="s">
        <v>56</v>
      </c>
      <c r="C9" s="38">
        <v>260</v>
      </c>
      <c r="D9" s="32">
        <v>150</v>
      </c>
      <c r="E9" s="1">
        <v>25.83</v>
      </c>
      <c r="F9" s="31" t="s">
        <v>17</v>
      </c>
      <c r="G9" s="2">
        <f>D9*E9</f>
        <v>3874.4999999999995</v>
      </c>
      <c r="H9" s="1"/>
    </row>
    <row r="10" spans="1:8" x14ac:dyDescent="0.25">
      <c r="A10" s="73"/>
      <c r="B10" s="38"/>
      <c r="C10" s="39"/>
      <c r="D10" s="32"/>
      <c r="E10" s="1"/>
      <c r="F10" s="31"/>
      <c r="G10" s="9">
        <f t="shared" ref="G10:G12" si="1">D10*E10</f>
        <v>0</v>
      </c>
      <c r="H10" s="1"/>
    </row>
    <row r="11" spans="1:8" x14ac:dyDescent="0.25">
      <c r="A11" s="82"/>
      <c r="B11" s="35"/>
      <c r="C11" s="35"/>
      <c r="D11" s="33"/>
      <c r="E11" s="1"/>
      <c r="F11" s="1"/>
      <c r="G11" s="9">
        <f t="shared" si="1"/>
        <v>0</v>
      </c>
      <c r="H11" s="1"/>
    </row>
    <row r="12" spans="1:8" x14ac:dyDescent="0.25">
      <c r="A12" s="82"/>
      <c r="B12" s="33"/>
      <c r="C12" s="33"/>
      <c r="D12" s="33"/>
      <c r="E12" s="1"/>
      <c r="F12" s="1"/>
      <c r="G12" s="9">
        <f t="shared" si="1"/>
        <v>0</v>
      </c>
      <c r="H12" s="1"/>
    </row>
    <row r="13" spans="1:8" x14ac:dyDescent="0.25">
      <c r="A13" s="82"/>
      <c r="B13" s="33"/>
      <c r="C13" s="33"/>
      <c r="D13" s="33"/>
      <c r="E13" s="1"/>
      <c r="F13" s="1"/>
      <c r="G13" s="1"/>
      <c r="H13" s="1"/>
    </row>
    <row r="14" spans="1:8" x14ac:dyDescent="0.25">
      <c r="A14" s="82"/>
      <c r="B14" s="73" t="s">
        <v>7</v>
      </c>
      <c r="C14" s="74"/>
      <c r="D14" s="75"/>
      <c r="E14" s="3"/>
      <c r="F14" s="3"/>
      <c r="G14" s="12">
        <f>SUM(G9:G13)</f>
        <v>3874.4999999999995</v>
      </c>
      <c r="H14" s="1"/>
    </row>
    <row r="15" spans="1:8" x14ac:dyDescent="0.25">
      <c r="A15" s="1" t="s">
        <v>9</v>
      </c>
      <c r="B15" s="34" t="s">
        <v>1</v>
      </c>
      <c r="C15" s="34" t="s">
        <v>2</v>
      </c>
      <c r="D15" s="33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73" t="s">
        <v>50</v>
      </c>
      <c r="B16" s="41" t="s">
        <v>57</v>
      </c>
      <c r="C16" s="41">
        <v>15</v>
      </c>
      <c r="D16" s="32">
        <v>117</v>
      </c>
      <c r="E16" s="1">
        <v>15</v>
      </c>
      <c r="F16" s="36" t="s">
        <v>30</v>
      </c>
      <c r="G16" s="1">
        <f>D16*E16</f>
        <v>1755</v>
      </c>
      <c r="H16" s="1"/>
    </row>
    <row r="17" spans="1:8" x14ac:dyDescent="0.25">
      <c r="A17" s="73"/>
      <c r="B17" s="38" t="s">
        <v>58</v>
      </c>
      <c r="C17" s="38">
        <v>6</v>
      </c>
      <c r="D17" s="32">
        <v>100</v>
      </c>
      <c r="E17" s="1">
        <v>6</v>
      </c>
      <c r="F17" s="31" t="s">
        <v>59</v>
      </c>
      <c r="G17" s="15">
        <f t="shared" ref="G17:G19" si="2">D17*E17</f>
        <v>600</v>
      </c>
      <c r="H17" s="1"/>
    </row>
    <row r="18" spans="1:8" x14ac:dyDescent="0.25">
      <c r="A18" s="73"/>
      <c r="B18" s="40"/>
      <c r="C18" s="40"/>
      <c r="D18" s="32"/>
      <c r="E18" s="1"/>
      <c r="F18" s="31"/>
      <c r="G18" s="2">
        <f t="shared" si="2"/>
        <v>0</v>
      </c>
      <c r="H18" s="1"/>
    </row>
    <row r="19" spans="1:8" x14ac:dyDescent="0.25">
      <c r="A19" s="82"/>
      <c r="B19" s="33"/>
      <c r="C19" s="33"/>
      <c r="D19" s="33"/>
      <c r="E19" s="3"/>
      <c r="F19" s="30"/>
      <c r="G19" s="15">
        <f t="shared" si="2"/>
        <v>0</v>
      </c>
      <c r="H19" s="1"/>
    </row>
    <row r="20" spans="1:8" x14ac:dyDescent="0.25">
      <c r="A20" s="82"/>
      <c r="B20" s="73" t="s">
        <v>7</v>
      </c>
      <c r="C20" s="74"/>
      <c r="D20" s="75"/>
      <c r="E20" s="3"/>
      <c r="F20" s="3"/>
      <c r="G20" s="12">
        <f>SUM(G16:G19)</f>
        <v>2355</v>
      </c>
      <c r="H20" s="1"/>
    </row>
    <row r="21" spans="1:8" x14ac:dyDescent="0.25">
      <c r="A21" s="6" t="s">
        <v>10</v>
      </c>
      <c r="B21" s="34" t="s">
        <v>1</v>
      </c>
      <c r="C21" s="34" t="s">
        <v>2</v>
      </c>
      <c r="D21" s="33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83"/>
      <c r="B22" s="38" t="s">
        <v>33</v>
      </c>
      <c r="C22" s="38">
        <v>2</v>
      </c>
      <c r="D22" s="32">
        <v>150</v>
      </c>
      <c r="E22" s="1">
        <v>2</v>
      </c>
      <c r="F22" s="1" t="s">
        <v>17</v>
      </c>
      <c r="G22" s="1">
        <f>D22*E22</f>
        <v>300</v>
      </c>
      <c r="H22" s="1"/>
    </row>
    <row r="23" spans="1:8" x14ac:dyDescent="0.25">
      <c r="A23" s="84"/>
      <c r="B23" s="38" t="s">
        <v>34</v>
      </c>
      <c r="C23" s="38" t="s">
        <v>39</v>
      </c>
      <c r="D23" s="32">
        <v>99</v>
      </c>
      <c r="E23" s="1">
        <v>0.5</v>
      </c>
      <c r="F23" s="1" t="s">
        <v>26</v>
      </c>
      <c r="G23" s="9">
        <f>D23*E23</f>
        <v>49.5</v>
      </c>
      <c r="H23" s="1"/>
    </row>
    <row r="24" spans="1:8" x14ac:dyDescent="0.25">
      <c r="A24" s="84"/>
      <c r="B24" s="38" t="s">
        <v>35</v>
      </c>
      <c r="C24" s="38">
        <v>8</v>
      </c>
      <c r="D24" s="32">
        <v>96.9</v>
      </c>
      <c r="E24" s="1">
        <v>8</v>
      </c>
      <c r="F24" s="1" t="s">
        <v>22</v>
      </c>
      <c r="G24" s="9">
        <f t="shared" ref="G24:G26" si="3">D24*E24</f>
        <v>775.2</v>
      </c>
      <c r="H24" s="1"/>
    </row>
    <row r="25" spans="1:8" x14ac:dyDescent="0.25">
      <c r="A25" s="84"/>
      <c r="B25" s="38" t="s">
        <v>36</v>
      </c>
      <c r="C25" s="38">
        <v>4</v>
      </c>
      <c r="D25" s="32">
        <v>33.299999999999997</v>
      </c>
      <c r="E25" s="1">
        <v>4</v>
      </c>
      <c r="F25" s="1" t="s">
        <v>22</v>
      </c>
      <c r="G25" s="2">
        <f t="shared" si="3"/>
        <v>133.19999999999999</v>
      </c>
      <c r="H25" s="1"/>
    </row>
    <row r="26" spans="1:8" x14ac:dyDescent="0.25">
      <c r="A26" s="84"/>
      <c r="B26" s="41" t="s">
        <v>37</v>
      </c>
      <c r="C26" s="41">
        <v>1</v>
      </c>
      <c r="D26" s="32">
        <v>46.8</v>
      </c>
      <c r="E26" s="9">
        <v>20</v>
      </c>
      <c r="F26" s="10" t="s">
        <v>17</v>
      </c>
      <c r="G26" s="9">
        <f t="shared" si="3"/>
        <v>936</v>
      </c>
      <c r="H26" s="9"/>
    </row>
    <row r="27" spans="1:8" x14ac:dyDescent="0.25">
      <c r="A27" s="84"/>
      <c r="B27" s="38" t="s">
        <v>38</v>
      </c>
      <c r="C27" s="39">
        <v>4</v>
      </c>
      <c r="D27" s="32">
        <v>112.5</v>
      </c>
      <c r="E27" s="9">
        <v>4</v>
      </c>
      <c r="F27" s="9" t="s">
        <v>28</v>
      </c>
      <c r="G27" s="2">
        <f>D27*E27</f>
        <v>450</v>
      </c>
      <c r="H27" s="9"/>
    </row>
    <row r="28" spans="1:8" x14ac:dyDescent="0.25">
      <c r="A28" s="84"/>
      <c r="B28" s="38" t="s">
        <v>60</v>
      </c>
      <c r="C28" s="39">
        <v>2</v>
      </c>
      <c r="D28" s="32">
        <v>273</v>
      </c>
      <c r="E28" s="31">
        <v>2</v>
      </c>
      <c r="F28" s="33" t="s">
        <v>54</v>
      </c>
      <c r="G28" s="2">
        <f t="shared" ref="G28:G35" si="4">D28*E28</f>
        <v>546</v>
      </c>
      <c r="H28" s="33"/>
    </row>
    <row r="29" spans="1:8" x14ac:dyDescent="0.25">
      <c r="A29" s="84"/>
      <c r="B29" s="38" t="s">
        <v>61</v>
      </c>
      <c r="C29" s="38">
        <v>7</v>
      </c>
      <c r="D29" s="32">
        <v>85</v>
      </c>
      <c r="E29" s="31">
        <v>1.5</v>
      </c>
      <c r="F29" s="33" t="s">
        <v>17</v>
      </c>
      <c r="G29" s="2">
        <f t="shared" si="4"/>
        <v>127.5</v>
      </c>
      <c r="H29" s="33" t="s">
        <v>72</v>
      </c>
    </row>
    <row r="30" spans="1:8" x14ac:dyDescent="0.25">
      <c r="A30" s="84"/>
      <c r="B30" s="38" t="s">
        <v>63</v>
      </c>
      <c r="C30" s="38">
        <v>0.3</v>
      </c>
      <c r="D30" s="32">
        <v>30.6</v>
      </c>
      <c r="E30" s="31">
        <v>0.3</v>
      </c>
      <c r="F30" s="36" t="s">
        <v>17</v>
      </c>
      <c r="G30" s="2">
        <f t="shared" si="4"/>
        <v>9.18</v>
      </c>
      <c r="H30" s="36" t="s">
        <v>72</v>
      </c>
    </row>
    <row r="31" spans="1:8" x14ac:dyDescent="0.25">
      <c r="A31" s="84"/>
      <c r="B31" s="38" t="s">
        <v>64</v>
      </c>
      <c r="C31" s="38">
        <v>4</v>
      </c>
      <c r="D31" s="32">
        <v>141</v>
      </c>
      <c r="E31" s="9">
        <v>4</v>
      </c>
      <c r="F31" s="36" t="s">
        <v>17</v>
      </c>
      <c r="G31" s="2">
        <f t="shared" si="4"/>
        <v>564</v>
      </c>
      <c r="H31" s="9" t="s">
        <v>73</v>
      </c>
    </row>
    <row r="32" spans="1:8" x14ac:dyDescent="0.25">
      <c r="A32" s="84"/>
      <c r="B32" s="38" t="s">
        <v>55</v>
      </c>
      <c r="C32" s="38">
        <v>2</v>
      </c>
      <c r="D32" s="32">
        <v>30.6</v>
      </c>
      <c r="E32" s="9">
        <v>1.34</v>
      </c>
      <c r="F32" s="31" t="s">
        <v>17</v>
      </c>
      <c r="G32" s="2">
        <f t="shared" si="4"/>
        <v>41.004000000000005</v>
      </c>
      <c r="H32" s="36" t="s">
        <v>73</v>
      </c>
    </row>
    <row r="33" spans="1:8" x14ac:dyDescent="0.25">
      <c r="A33" s="84"/>
      <c r="B33" s="35" t="s">
        <v>65</v>
      </c>
      <c r="C33" s="35">
        <v>8</v>
      </c>
      <c r="D33" s="33">
        <v>22.8</v>
      </c>
      <c r="E33" s="9">
        <v>8</v>
      </c>
      <c r="F33" s="36" t="s">
        <v>17</v>
      </c>
      <c r="G33" s="2">
        <f t="shared" si="4"/>
        <v>182.4</v>
      </c>
      <c r="H33" s="36" t="s">
        <v>73</v>
      </c>
    </row>
    <row r="34" spans="1:8" x14ac:dyDescent="0.25">
      <c r="A34" s="84"/>
      <c r="B34" s="37" t="s">
        <v>67</v>
      </c>
      <c r="C34" s="37">
        <v>0.2</v>
      </c>
      <c r="D34" s="36">
        <v>21.66</v>
      </c>
      <c r="E34" s="36">
        <v>0.25</v>
      </c>
      <c r="F34" s="36" t="s">
        <v>17</v>
      </c>
      <c r="G34" s="2">
        <f t="shared" si="4"/>
        <v>5.415</v>
      </c>
      <c r="H34" s="36" t="s">
        <v>73</v>
      </c>
    </row>
    <row r="35" spans="1:8" x14ac:dyDescent="0.25">
      <c r="A35" s="84"/>
      <c r="B35" s="37" t="s">
        <v>68</v>
      </c>
      <c r="C35" s="37">
        <v>0.2</v>
      </c>
      <c r="D35" s="36">
        <v>60</v>
      </c>
      <c r="E35" s="36">
        <v>0.25</v>
      </c>
      <c r="F35" s="36" t="s">
        <v>17</v>
      </c>
      <c r="G35" s="2">
        <f t="shared" si="4"/>
        <v>15</v>
      </c>
      <c r="H35" s="36" t="s">
        <v>73</v>
      </c>
    </row>
    <row r="36" spans="1:8" x14ac:dyDescent="0.25">
      <c r="A36" s="84"/>
      <c r="B36" s="36" t="s">
        <v>27</v>
      </c>
      <c r="C36" s="36">
        <v>1</v>
      </c>
      <c r="D36" s="36">
        <v>10</v>
      </c>
      <c r="E36" s="36">
        <v>24</v>
      </c>
      <c r="F36" s="36" t="s">
        <v>89</v>
      </c>
      <c r="G36" s="2">
        <f>D36*E36</f>
        <v>240</v>
      </c>
      <c r="H36" s="9"/>
    </row>
    <row r="37" spans="1:8" x14ac:dyDescent="0.25">
      <c r="A37" s="84"/>
      <c r="B37" s="25" t="s">
        <v>132</v>
      </c>
      <c r="C37" s="25"/>
      <c r="D37" s="25">
        <v>40</v>
      </c>
      <c r="E37" s="25">
        <v>2</v>
      </c>
      <c r="F37" s="25" t="s">
        <v>133</v>
      </c>
      <c r="G37" s="2">
        <f>D37*E37</f>
        <v>80</v>
      </c>
      <c r="H37" s="1"/>
    </row>
    <row r="38" spans="1:8" x14ac:dyDescent="0.25">
      <c r="A38" s="85"/>
      <c r="B38" s="73" t="s">
        <v>18</v>
      </c>
      <c r="C38" s="74"/>
      <c r="D38" s="75"/>
      <c r="E38" s="25"/>
      <c r="F38" s="25"/>
      <c r="G38" s="13">
        <f>SUM(G22:G37)</f>
        <v>4454.3989999999994</v>
      </c>
      <c r="H38" s="9"/>
    </row>
    <row r="39" spans="1:8" x14ac:dyDescent="0.25">
      <c r="A39" s="1" t="s">
        <v>11</v>
      </c>
      <c r="B39" s="25" t="s">
        <v>1</v>
      </c>
      <c r="C39" s="25" t="s">
        <v>2</v>
      </c>
      <c r="D39" s="25" t="s">
        <v>3</v>
      </c>
      <c r="E39" s="25" t="s">
        <v>4</v>
      </c>
      <c r="F39" s="25"/>
      <c r="G39" s="1" t="s">
        <v>5</v>
      </c>
      <c r="H39" s="1" t="s">
        <v>6</v>
      </c>
    </row>
    <row r="40" spans="1:8" x14ac:dyDescent="0.25">
      <c r="A40" s="82" t="s">
        <v>69</v>
      </c>
      <c r="B40" s="25" t="s">
        <v>70</v>
      </c>
      <c r="C40" s="36" t="s">
        <v>15</v>
      </c>
      <c r="D40" s="25"/>
      <c r="E40" s="25"/>
      <c r="F40" s="33" t="s">
        <v>24</v>
      </c>
      <c r="G40" s="1"/>
      <c r="H40" s="33" t="s">
        <v>15</v>
      </c>
    </row>
    <row r="41" spans="1:8" x14ac:dyDescent="0.25">
      <c r="A41" s="82"/>
      <c r="B41" s="25" t="s">
        <v>71</v>
      </c>
      <c r="C41" s="36" t="s">
        <v>15</v>
      </c>
      <c r="D41" s="25"/>
      <c r="E41" s="25"/>
      <c r="F41" s="32" t="s">
        <v>19</v>
      </c>
      <c r="G41" s="1"/>
      <c r="H41" s="1" t="s">
        <v>15</v>
      </c>
    </row>
    <row r="42" spans="1:8" x14ac:dyDescent="0.25">
      <c r="A42" s="82"/>
      <c r="B42" s="25"/>
      <c r="C42" s="25"/>
      <c r="D42" s="25"/>
      <c r="E42" s="25"/>
      <c r="F42" s="25"/>
      <c r="G42" s="1"/>
      <c r="H42" s="1"/>
    </row>
    <row r="43" spans="1:8" x14ac:dyDescent="0.25">
      <c r="A43" s="82"/>
      <c r="B43" s="73" t="s">
        <v>7</v>
      </c>
      <c r="C43" s="74"/>
      <c r="D43" s="75"/>
      <c r="E43" s="26"/>
      <c r="F43" s="26"/>
      <c r="G43" s="5">
        <f>SUM(G40:G42)</f>
        <v>0</v>
      </c>
      <c r="H43" s="1"/>
    </row>
    <row r="44" spans="1:8" x14ac:dyDescent="0.25">
      <c r="A44" s="1" t="s">
        <v>12</v>
      </c>
      <c r="B44" s="25" t="s">
        <v>1</v>
      </c>
      <c r="C44" s="25" t="s">
        <v>2</v>
      </c>
      <c r="D44" s="25" t="s">
        <v>3</v>
      </c>
      <c r="E44" s="26" t="s">
        <v>4</v>
      </c>
      <c r="F44" s="26"/>
      <c r="G44" s="3" t="s">
        <v>5</v>
      </c>
      <c r="H44" s="1" t="s">
        <v>6</v>
      </c>
    </row>
    <row r="45" spans="1:8" x14ac:dyDescent="0.25">
      <c r="A45" s="83"/>
      <c r="B45" s="1" t="s">
        <v>130</v>
      </c>
      <c r="C45" s="1"/>
      <c r="D45" s="1">
        <v>51.2</v>
      </c>
      <c r="E45" s="1">
        <v>33</v>
      </c>
      <c r="F45" s="1" t="s">
        <v>131</v>
      </c>
      <c r="G45" s="2">
        <f>D45*E45</f>
        <v>1689.6000000000001</v>
      </c>
      <c r="H45" s="1"/>
    </row>
    <row r="46" spans="1:8" x14ac:dyDescent="0.25">
      <c r="A46" s="84"/>
      <c r="B46" s="1" t="s">
        <v>134</v>
      </c>
      <c r="C46" s="1"/>
      <c r="D46" s="1">
        <v>9.18</v>
      </c>
      <c r="E46" s="1">
        <v>65</v>
      </c>
      <c r="F46" s="1" t="s">
        <v>131</v>
      </c>
      <c r="G46" s="2">
        <f>D46*E46</f>
        <v>596.69999999999993</v>
      </c>
      <c r="H46" s="1"/>
    </row>
    <row r="47" spans="1:8" x14ac:dyDescent="0.25">
      <c r="A47" s="85"/>
      <c r="B47" s="73" t="s">
        <v>7</v>
      </c>
      <c r="C47" s="74"/>
      <c r="D47" s="75"/>
      <c r="E47" s="3"/>
      <c r="F47" s="3"/>
      <c r="G47" s="12">
        <f>SUM(G45:G46)</f>
        <v>2286.3000000000002</v>
      </c>
      <c r="H47" s="7"/>
    </row>
    <row r="48" spans="1:8" x14ac:dyDescent="0.25">
      <c r="A48" s="8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82"/>
      <c r="B49" s="1" t="s">
        <v>23</v>
      </c>
      <c r="C49" s="1">
        <v>1</v>
      </c>
      <c r="D49" s="1">
        <v>4.5</v>
      </c>
      <c r="E49" s="1">
        <v>50</v>
      </c>
      <c r="F49" s="1" t="s">
        <v>62</v>
      </c>
      <c r="G49" s="1">
        <f>D49*E49</f>
        <v>225</v>
      </c>
      <c r="H49" s="1"/>
    </row>
    <row r="50" spans="1:8" x14ac:dyDescent="0.25">
      <c r="A50" s="82"/>
      <c r="B50" s="1"/>
      <c r="C50" s="1"/>
      <c r="D50" s="1"/>
      <c r="E50" s="1"/>
      <c r="F50" s="1"/>
      <c r="G50" s="2">
        <f>D50*E50</f>
        <v>0</v>
      </c>
      <c r="H50" s="1"/>
    </row>
    <row r="51" spans="1:8" x14ac:dyDescent="0.25">
      <c r="A51" s="82"/>
      <c r="B51" s="1"/>
      <c r="C51" s="1"/>
      <c r="D51" s="1"/>
      <c r="E51" s="1"/>
      <c r="F51" s="1"/>
      <c r="G51" s="15">
        <f>D51*E51</f>
        <v>0</v>
      </c>
      <c r="H51" s="1"/>
    </row>
    <row r="52" spans="1:8" x14ac:dyDescent="0.25">
      <c r="A52" s="82"/>
      <c r="B52" s="1"/>
      <c r="C52" s="1"/>
      <c r="D52" s="1"/>
      <c r="E52" s="1"/>
      <c r="F52" s="1"/>
      <c r="G52" s="1"/>
      <c r="H52" s="1"/>
    </row>
    <row r="53" spans="1:8" x14ac:dyDescent="0.25">
      <c r="A53" s="89" t="s">
        <v>141</v>
      </c>
      <c r="B53" s="73" t="s">
        <v>7</v>
      </c>
      <c r="C53" s="74"/>
      <c r="D53" s="75"/>
      <c r="E53" s="3"/>
      <c r="F53" s="3"/>
      <c r="G53" s="14">
        <f>SUM(G49:G52)</f>
        <v>225</v>
      </c>
      <c r="H53" s="1"/>
    </row>
    <row r="54" spans="1:8" ht="17.25" thickBot="1" x14ac:dyDescent="0.3">
      <c r="A54" s="90"/>
      <c r="B54" s="86" t="s">
        <v>14</v>
      </c>
      <c r="C54" s="87"/>
      <c r="D54" s="88"/>
      <c r="E54" s="51"/>
      <c r="F54" s="51"/>
      <c r="G54" s="52">
        <f>G53+G47+G43+G20+G14+G7+G38</f>
        <v>21429.998999999996</v>
      </c>
      <c r="H54" s="46"/>
    </row>
    <row r="55" spans="1:8" ht="20.100000000000001" customHeight="1" x14ac:dyDescent="0.25">
      <c r="A55" s="61" t="s">
        <v>123</v>
      </c>
      <c r="B55" s="76" t="s">
        <v>135</v>
      </c>
      <c r="C55" s="76"/>
      <c r="D55" s="76"/>
      <c r="E55" s="64" t="s">
        <v>125</v>
      </c>
      <c r="F55" s="65"/>
      <c r="G55" s="66"/>
      <c r="H55" s="57" t="s">
        <v>126</v>
      </c>
    </row>
    <row r="56" spans="1:8" ht="20.100000000000001" customHeight="1" x14ac:dyDescent="0.25">
      <c r="A56" s="62"/>
      <c r="B56" s="77" t="s">
        <v>140</v>
      </c>
      <c r="C56" s="77"/>
      <c r="D56" s="77"/>
      <c r="E56" s="55" t="s">
        <v>128</v>
      </c>
      <c r="F56" s="67"/>
      <c r="G56" s="68"/>
      <c r="H56" s="71"/>
    </row>
    <row r="57" spans="1:8" ht="20.100000000000001" customHeight="1" thickBot="1" x14ac:dyDescent="0.3">
      <c r="A57" s="63"/>
      <c r="B57" s="78"/>
      <c r="C57" s="78"/>
      <c r="D57" s="78"/>
      <c r="E57" s="56" t="s">
        <v>127</v>
      </c>
      <c r="F57" s="69" t="s">
        <v>142</v>
      </c>
      <c r="G57" s="70"/>
      <c r="H57" s="72"/>
    </row>
  </sheetData>
  <mergeCells count="24">
    <mergeCell ref="A53:A54"/>
    <mergeCell ref="A40:A43"/>
    <mergeCell ref="A45:A47"/>
    <mergeCell ref="B20:D20"/>
    <mergeCell ref="B38:D38"/>
    <mergeCell ref="B55:D55"/>
    <mergeCell ref="B56:D57"/>
    <mergeCell ref="A1:H1"/>
    <mergeCell ref="A3:A7"/>
    <mergeCell ref="B7:D7"/>
    <mergeCell ref="A9:A14"/>
    <mergeCell ref="B14:D14"/>
    <mergeCell ref="A16:A20"/>
    <mergeCell ref="A22:A38"/>
    <mergeCell ref="B54:D54"/>
    <mergeCell ref="B53:D53"/>
    <mergeCell ref="B47:D47"/>
    <mergeCell ref="B43:D43"/>
    <mergeCell ref="A49:A52"/>
    <mergeCell ref="A55:A57"/>
    <mergeCell ref="E55:G55"/>
    <mergeCell ref="F56:G56"/>
    <mergeCell ref="F57:G57"/>
    <mergeCell ref="H56:H57"/>
  </mergeCells>
  <phoneticPr fontId="2" type="noConversion"/>
  <pageMargins left="0.7" right="0.7" top="0.75" bottom="0.75" header="0.3" footer="0.3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25" workbookViewId="0">
      <selection activeCell="G6" sqref="G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9" t="s">
        <v>46</v>
      </c>
      <c r="B1" s="80"/>
      <c r="C1" s="80"/>
      <c r="D1" s="80"/>
      <c r="E1" s="80"/>
      <c r="F1" s="80"/>
      <c r="G1" s="80"/>
      <c r="H1" s="8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92" t="s">
        <v>74</v>
      </c>
      <c r="B3" s="1" t="s">
        <v>78</v>
      </c>
      <c r="C3" s="33">
        <v>270</v>
      </c>
      <c r="D3" s="1">
        <v>99</v>
      </c>
      <c r="E3" s="18">
        <v>46.88</v>
      </c>
      <c r="F3" s="33" t="s">
        <v>17</v>
      </c>
      <c r="G3" s="2">
        <f>D3*E3</f>
        <v>4641.12</v>
      </c>
      <c r="H3" s="1"/>
    </row>
    <row r="4" spans="1:8" x14ac:dyDescent="0.25">
      <c r="A4" s="82"/>
      <c r="B4" s="1"/>
      <c r="C4" s="1"/>
      <c r="D4" s="1"/>
      <c r="E4" s="1"/>
      <c r="F4" s="1"/>
      <c r="G4" s="2">
        <f t="shared" ref="G4:G6" si="0">D4*E4</f>
        <v>0</v>
      </c>
      <c r="H4" s="1"/>
    </row>
    <row r="5" spans="1:8" x14ac:dyDescent="0.25">
      <c r="A5" s="82"/>
      <c r="B5" s="1"/>
      <c r="C5" s="1"/>
      <c r="D5" s="1"/>
      <c r="E5" s="1"/>
      <c r="F5" s="31"/>
      <c r="G5" s="2">
        <f t="shared" si="0"/>
        <v>0</v>
      </c>
      <c r="H5" s="1"/>
    </row>
    <row r="6" spans="1:8" x14ac:dyDescent="0.25">
      <c r="A6" s="82"/>
      <c r="B6" s="1"/>
      <c r="C6" s="1"/>
      <c r="D6" s="1"/>
      <c r="E6" s="3"/>
      <c r="F6" s="30"/>
      <c r="G6" s="2">
        <f t="shared" si="0"/>
        <v>0</v>
      </c>
      <c r="H6" s="1"/>
    </row>
    <row r="7" spans="1:8" x14ac:dyDescent="0.25">
      <c r="A7" s="82"/>
      <c r="B7" s="73" t="s">
        <v>7</v>
      </c>
      <c r="C7" s="74"/>
      <c r="D7" s="75"/>
      <c r="E7" s="3"/>
      <c r="F7" s="3"/>
      <c r="G7" s="12">
        <f>SUM(G3:G6)</f>
        <v>4641.12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82" t="s">
        <v>75</v>
      </c>
      <c r="B9" s="38" t="s">
        <v>80</v>
      </c>
      <c r="C9" s="1">
        <v>50</v>
      </c>
      <c r="D9" s="1">
        <v>27.54</v>
      </c>
      <c r="E9" s="1">
        <v>50</v>
      </c>
      <c r="F9" s="31" t="s">
        <v>30</v>
      </c>
      <c r="G9" s="1">
        <f>D9*E9</f>
        <v>1377</v>
      </c>
      <c r="H9" s="1"/>
    </row>
    <row r="10" spans="1:8" x14ac:dyDescent="0.25">
      <c r="A10" s="82"/>
      <c r="B10" s="1" t="s">
        <v>81</v>
      </c>
      <c r="C10" s="1">
        <v>4</v>
      </c>
      <c r="D10" s="1">
        <v>100</v>
      </c>
      <c r="E10" s="1">
        <v>4</v>
      </c>
      <c r="F10" s="36" t="s">
        <v>30</v>
      </c>
      <c r="G10" s="17">
        <f>D10*E10</f>
        <v>400</v>
      </c>
      <c r="H10" s="1"/>
    </row>
    <row r="11" spans="1:8" x14ac:dyDescent="0.25">
      <c r="A11" s="82"/>
      <c r="B11" s="1" t="s">
        <v>82</v>
      </c>
      <c r="C11" s="1">
        <v>35</v>
      </c>
      <c r="D11" s="1">
        <v>20</v>
      </c>
      <c r="E11" s="1">
        <v>35</v>
      </c>
      <c r="F11" s="28" t="s">
        <v>79</v>
      </c>
      <c r="G11" s="54">
        <f>D11*E11</f>
        <v>700</v>
      </c>
      <c r="H11" s="1"/>
    </row>
    <row r="12" spans="1:8" x14ac:dyDescent="0.25">
      <c r="A12" s="82"/>
      <c r="B12" s="1"/>
      <c r="C12" s="1"/>
      <c r="D12" s="1"/>
      <c r="E12" s="1"/>
      <c r="F12" s="28"/>
      <c r="G12" s="1"/>
      <c r="H12" s="1"/>
    </row>
    <row r="13" spans="1:8" x14ac:dyDescent="0.25">
      <c r="A13" s="82"/>
      <c r="B13" s="1"/>
      <c r="C13" s="1"/>
      <c r="D13" s="1"/>
      <c r="E13" s="1"/>
      <c r="F13" s="1"/>
      <c r="G13" s="1"/>
      <c r="H13" s="1"/>
    </row>
    <row r="14" spans="1:8" x14ac:dyDescent="0.25">
      <c r="A14" s="82"/>
      <c r="B14" s="73" t="s">
        <v>7</v>
      </c>
      <c r="C14" s="74"/>
      <c r="D14" s="75"/>
      <c r="E14" s="3"/>
      <c r="F14" s="3"/>
      <c r="G14" s="12">
        <f>SUM(G9:G13)</f>
        <v>2477</v>
      </c>
      <c r="H14" s="1"/>
    </row>
    <row r="15" spans="1:8" x14ac:dyDescent="0.25">
      <c r="A15" s="25" t="s">
        <v>29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82" t="s">
        <v>76</v>
      </c>
      <c r="B16" s="38" t="s">
        <v>83</v>
      </c>
      <c r="C16" s="1">
        <v>30</v>
      </c>
      <c r="D16" s="1">
        <v>45</v>
      </c>
      <c r="E16" s="1">
        <v>30</v>
      </c>
      <c r="F16" s="33" t="s">
        <v>30</v>
      </c>
      <c r="G16" s="1">
        <f>D16*E16</f>
        <v>1350</v>
      </c>
      <c r="H16" s="1"/>
    </row>
    <row r="17" spans="1:8" x14ac:dyDescent="0.25">
      <c r="A17" s="82"/>
      <c r="B17" s="33" t="s">
        <v>84</v>
      </c>
      <c r="C17" s="33">
        <v>8</v>
      </c>
      <c r="D17" s="1">
        <v>900</v>
      </c>
      <c r="E17" s="1">
        <v>1.45</v>
      </c>
      <c r="F17" s="33" t="s">
        <v>17</v>
      </c>
      <c r="G17" s="17">
        <f t="shared" ref="G17:G20" si="1">D17*E17</f>
        <v>1305</v>
      </c>
      <c r="H17" s="1"/>
    </row>
    <row r="18" spans="1:8" x14ac:dyDescent="0.25">
      <c r="A18" s="82"/>
      <c r="B18" s="38" t="s">
        <v>85</v>
      </c>
      <c r="C18" s="38">
        <v>10</v>
      </c>
      <c r="D18" s="1">
        <v>177</v>
      </c>
      <c r="E18" s="1">
        <v>10</v>
      </c>
      <c r="F18" s="36" t="s">
        <v>30</v>
      </c>
      <c r="G18" s="17">
        <f t="shared" si="1"/>
        <v>1770</v>
      </c>
      <c r="H18" s="1"/>
    </row>
    <row r="19" spans="1:8" x14ac:dyDescent="0.25">
      <c r="A19" s="82"/>
      <c r="B19" s="35" t="s">
        <v>139</v>
      </c>
      <c r="C19" s="35"/>
      <c r="D19" s="33">
        <v>51</v>
      </c>
      <c r="E19" s="1">
        <v>5</v>
      </c>
      <c r="F19" s="31" t="s">
        <v>131</v>
      </c>
      <c r="G19" s="17">
        <f>D19*E19</f>
        <v>255</v>
      </c>
      <c r="H19" s="1"/>
    </row>
    <row r="20" spans="1:8" x14ac:dyDescent="0.25">
      <c r="A20" s="82"/>
      <c r="B20" s="1"/>
      <c r="C20" s="1"/>
      <c r="D20" s="1"/>
      <c r="E20" s="3"/>
      <c r="F20" s="3"/>
      <c r="G20" s="17">
        <f t="shared" si="1"/>
        <v>0</v>
      </c>
      <c r="H20" s="1"/>
    </row>
    <row r="21" spans="1:8" x14ac:dyDescent="0.25">
      <c r="A21" s="82"/>
      <c r="B21" s="1"/>
      <c r="C21" s="1"/>
      <c r="D21" s="1"/>
      <c r="E21" s="3"/>
      <c r="F21" s="3"/>
      <c r="G21" s="1"/>
      <c r="H21" s="1"/>
    </row>
    <row r="22" spans="1:8" x14ac:dyDescent="0.25">
      <c r="A22" s="82"/>
      <c r="B22" s="73" t="s">
        <v>7</v>
      </c>
      <c r="C22" s="74"/>
      <c r="D22" s="75"/>
      <c r="E22" s="3"/>
      <c r="F22" s="3"/>
      <c r="G22" s="12">
        <f>SUM(G16:G21)</f>
        <v>4680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82"/>
      <c r="B24" s="33" t="s">
        <v>25</v>
      </c>
      <c r="C24" s="33">
        <v>20</v>
      </c>
      <c r="D24" s="33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82"/>
      <c r="B25" s="33" t="s">
        <v>31</v>
      </c>
      <c r="C25" s="33">
        <v>2</v>
      </c>
      <c r="D25" s="33">
        <v>530</v>
      </c>
      <c r="E25" s="29">
        <v>8</v>
      </c>
      <c r="F25" s="29" t="s">
        <v>137</v>
      </c>
      <c r="G25" s="29">
        <f t="shared" ref="G25" si="2">D25*E25</f>
        <v>4240</v>
      </c>
      <c r="H25" s="1"/>
    </row>
    <row r="26" spans="1:8" x14ac:dyDescent="0.25">
      <c r="A26" s="82"/>
      <c r="B26" s="34" t="s">
        <v>41</v>
      </c>
      <c r="C26" s="34">
        <v>20</v>
      </c>
      <c r="D26" s="33"/>
      <c r="E26" s="29"/>
      <c r="F26" s="33" t="s">
        <v>40</v>
      </c>
      <c r="G26" s="17">
        <f t="shared" ref="G26" si="3">D26*E26</f>
        <v>0</v>
      </c>
      <c r="H26" s="1"/>
    </row>
    <row r="27" spans="1:8" x14ac:dyDescent="0.25">
      <c r="A27" s="73"/>
      <c r="B27" s="41" t="s">
        <v>90</v>
      </c>
      <c r="C27" s="38">
        <v>2</v>
      </c>
      <c r="D27" s="32">
        <v>94.5</v>
      </c>
      <c r="E27" s="31">
        <v>0.92</v>
      </c>
      <c r="F27" s="33" t="s">
        <v>17</v>
      </c>
      <c r="G27" s="31">
        <f>D27*E27</f>
        <v>86.94</v>
      </c>
      <c r="H27" s="36" t="s">
        <v>72</v>
      </c>
    </row>
    <row r="28" spans="1:8" x14ac:dyDescent="0.25">
      <c r="A28" s="73"/>
      <c r="B28" s="38" t="s">
        <v>91</v>
      </c>
      <c r="C28" s="38">
        <v>2</v>
      </c>
      <c r="D28" s="32">
        <v>117</v>
      </c>
      <c r="E28" s="33">
        <v>0.67</v>
      </c>
      <c r="F28" s="36" t="s">
        <v>17</v>
      </c>
      <c r="G28" s="31">
        <f>D28*E28</f>
        <v>78.39</v>
      </c>
      <c r="H28" s="33" t="s">
        <v>72</v>
      </c>
    </row>
    <row r="29" spans="1:8" x14ac:dyDescent="0.25">
      <c r="A29" s="73"/>
      <c r="B29" s="38" t="s">
        <v>92</v>
      </c>
      <c r="C29" s="38">
        <v>35</v>
      </c>
      <c r="D29" s="32">
        <v>72</v>
      </c>
      <c r="E29" s="31">
        <v>8.77</v>
      </c>
      <c r="F29" s="33" t="s">
        <v>17</v>
      </c>
      <c r="G29" s="36">
        <f>D29*E29</f>
        <v>631.43999999999994</v>
      </c>
      <c r="H29" s="36" t="s">
        <v>20</v>
      </c>
    </row>
    <row r="30" spans="1:8" x14ac:dyDescent="0.25">
      <c r="A30" s="82"/>
      <c r="B30" s="44"/>
      <c r="C30" s="44"/>
      <c r="D30" s="44"/>
      <c r="E30" s="44"/>
      <c r="F30" s="44"/>
      <c r="G30" s="44"/>
      <c r="H30" s="1"/>
    </row>
    <row r="31" spans="1:8" x14ac:dyDescent="0.25">
      <c r="A31" s="82"/>
      <c r="B31" s="33"/>
      <c r="C31" s="33"/>
      <c r="D31" s="33"/>
      <c r="E31" s="28"/>
      <c r="F31" s="30"/>
      <c r="G31" s="28"/>
      <c r="H31" s="28"/>
    </row>
    <row r="32" spans="1:8" x14ac:dyDescent="0.25">
      <c r="A32" s="82"/>
      <c r="B32" s="33"/>
      <c r="C32" s="33"/>
      <c r="D32" s="33"/>
      <c r="E32" s="31"/>
      <c r="F32" s="30"/>
      <c r="G32" s="31"/>
      <c r="H32" s="31"/>
    </row>
    <row r="33" spans="1:8" x14ac:dyDescent="0.25">
      <c r="A33" s="82"/>
      <c r="B33" s="33"/>
      <c r="C33" s="33"/>
      <c r="D33" s="33"/>
      <c r="E33" s="17"/>
      <c r="F33" s="30"/>
      <c r="G33" s="17"/>
      <c r="H33" s="17"/>
    </row>
    <row r="34" spans="1:8" x14ac:dyDescent="0.25">
      <c r="A34" s="82"/>
      <c r="B34" s="73" t="s">
        <v>32</v>
      </c>
      <c r="C34" s="74"/>
      <c r="D34" s="75"/>
      <c r="E34" s="3"/>
      <c r="F34" s="3"/>
      <c r="G34" s="12">
        <f>SUM(G24:G33)</f>
        <v>6236.7699999999995</v>
      </c>
      <c r="H34" s="1"/>
    </row>
    <row r="35" spans="1:8" x14ac:dyDescent="0.25">
      <c r="A35" s="1" t="s">
        <v>11</v>
      </c>
      <c r="B35" s="34" t="s">
        <v>1</v>
      </c>
      <c r="C35" s="34" t="s">
        <v>2</v>
      </c>
      <c r="D35" s="34" t="s">
        <v>3</v>
      </c>
      <c r="E35" s="1" t="s">
        <v>4</v>
      </c>
      <c r="F35" s="1"/>
      <c r="G35" s="1" t="s">
        <v>5</v>
      </c>
      <c r="H35" s="1" t="s">
        <v>6</v>
      </c>
    </row>
    <row r="36" spans="1:8" x14ac:dyDescent="0.25">
      <c r="A36" s="73" t="s">
        <v>77</v>
      </c>
      <c r="B36" s="38" t="s">
        <v>86</v>
      </c>
      <c r="C36" s="38">
        <v>10</v>
      </c>
      <c r="D36" s="33">
        <v>36</v>
      </c>
      <c r="E36" s="1">
        <v>10</v>
      </c>
      <c r="F36" s="36" t="s">
        <v>17</v>
      </c>
      <c r="G36" s="1">
        <f>D36*E36</f>
        <v>360</v>
      </c>
      <c r="H36" s="1"/>
    </row>
    <row r="37" spans="1:8" x14ac:dyDescent="0.25">
      <c r="A37" s="73"/>
      <c r="B37" s="38" t="s">
        <v>87</v>
      </c>
      <c r="C37" s="38">
        <v>1</v>
      </c>
      <c r="D37" s="33">
        <v>220</v>
      </c>
      <c r="E37" s="1">
        <v>1</v>
      </c>
      <c r="F37" s="33" t="s">
        <v>59</v>
      </c>
      <c r="G37" s="1">
        <f>D37*E37</f>
        <v>220</v>
      </c>
      <c r="H37" s="1"/>
    </row>
    <row r="38" spans="1:8" x14ac:dyDescent="0.25">
      <c r="A38" s="73"/>
      <c r="B38" s="38" t="s">
        <v>88</v>
      </c>
      <c r="C38" s="38">
        <v>2</v>
      </c>
      <c r="D38" s="33">
        <v>270</v>
      </c>
      <c r="E38" s="1">
        <v>2</v>
      </c>
      <c r="F38" s="33" t="s">
        <v>89</v>
      </c>
      <c r="G38" s="1">
        <f>D38*E38</f>
        <v>540</v>
      </c>
      <c r="H38" s="1"/>
    </row>
    <row r="39" spans="1:8" x14ac:dyDescent="0.25">
      <c r="A39" s="82"/>
      <c r="B39" s="91"/>
      <c r="C39" s="80"/>
      <c r="D39" s="81"/>
      <c r="E39" s="3"/>
      <c r="F39" s="3"/>
      <c r="G39" s="14">
        <f>SUM(G36:G38)</f>
        <v>1120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83"/>
      <c r="B41" s="1" t="s">
        <v>136</v>
      </c>
      <c r="C41" s="1">
        <v>240</v>
      </c>
      <c r="D41" s="1">
        <v>48</v>
      </c>
      <c r="E41" s="18">
        <v>75</v>
      </c>
      <c r="F41" s="1" t="s">
        <v>131</v>
      </c>
      <c r="G41" s="2">
        <f>D41*E41</f>
        <v>3600</v>
      </c>
      <c r="H41" s="1"/>
    </row>
    <row r="42" spans="1:8" x14ac:dyDescent="0.25">
      <c r="A42" s="84"/>
      <c r="B42" s="1" t="s">
        <v>138</v>
      </c>
      <c r="C42" s="1"/>
      <c r="D42" s="1">
        <v>13.5</v>
      </c>
      <c r="E42" s="1">
        <v>70</v>
      </c>
      <c r="F42" s="1" t="s">
        <v>131</v>
      </c>
      <c r="G42" s="22">
        <f>D42*E42</f>
        <v>945</v>
      </c>
      <c r="H42" s="1"/>
    </row>
    <row r="43" spans="1:8" x14ac:dyDescent="0.25">
      <c r="A43" s="85"/>
      <c r="B43" s="73" t="s">
        <v>7</v>
      </c>
      <c r="C43" s="74"/>
      <c r="D43" s="75"/>
      <c r="E43" s="3"/>
      <c r="F43" s="3"/>
      <c r="G43" s="12">
        <f>SUM(G41:G42)</f>
        <v>4545</v>
      </c>
      <c r="H43" s="7"/>
    </row>
    <row r="44" spans="1:8" x14ac:dyDescent="0.25">
      <c r="A44" s="8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83"/>
      <c r="B45" s="1"/>
      <c r="C45" s="1"/>
      <c r="D45" s="1"/>
      <c r="E45" s="1"/>
      <c r="F45" s="1"/>
      <c r="G45" s="1"/>
      <c r="H45" s="1"/>
    </row>
    <row r="46" spans="1:8" x14ac:dyDescent="0.25">
      <c r="A46" s="84"/>
      <c r="B46" s="1"/>
      <c r="C46" s="1"/>
      <c r="D46" s="1"/>
      <c r="E46" s="1"/>
      <c r="F46" s="1"/>
      <c r="G46" s="1"/>
      <c r="H46" s="1"/>
    </row>
    <row r="47" spans="1:8" x14ac:dyDescent="0.25">
      <c r="A47" s="84"/>
      <c r="B47" s="1"/>
      <c r="C47" s="1"/>
      <c r="D47" s="1"/>
      <c r="E47" s="1"/>
      <c r="F47" s="1"/>
      <c r="G47" s="1"/>
      <c r="H47" s="1"/>
    </row>
    <row r="48" spans="1:8" x14ac:dyDescent="0.25">
      <c r="A48" s="85"/>
      <c r="B48" s="1"/>
      <c r="C48" s="1"/>
      <c r="D48" s="1"/>
      <c r="E48" s="1"/>
      <c r="F48" s="1"/>
      <c r="G48" s="1"/>
      <c r="H48" s="1"/>
    </row>
    <row r="49" spans="1:8" x14ac:dyDescent="0.25">
      <c r="A49" s="89" t="s">
        <v>144</v>
      </c>
      <c r="B49" s="73" t="s">
        <v>7</v>
      </c>
      <c r="C49" s="74"/>
      <c r="D49" s="75"/>
      <c r="E49" s="47"/>
      <c r="F49" s="47"/>
      <c r="G49" s="14">
        <f>SUM(G45:G48)</f>
        <v>0</v>
      </c>
      <c r="H49" s="48"/>
    </row>
    <row r="50" spans="1:8" ht="16.5" customHeight="1" thickBot="1" x14ac:dyDescent="0.3">
      <c r="A50" s="90"/>
      <c r="B50" s="86" t="s">
        <v>14</v>
      </c>
      <c r="C50" s="87"/>
      <c r="D50" s="88"/>
      <c r="E50" s="51"/>
      <c r="F50" s="51"/>
      <c r="G50" s="52">
        <f>G49+G43+G39+G3+G34+G22+G14+G7</f>
        <v>28341.01</v>
      </c>
      <c r="H50" s="49"/>
    </row>
    <row r="51" spans="1:8" x14ac:dyDescent="0.25">
      <c r="A51" s="61" t="s">
        <v>123</v>
      </c>
      <c r="B51" s="76" t="s">
        <v>124</v>
      </c>
      <c r="C51" s="76"/>
      <c r="D51" s="76"/>
      <c r="E51" s="64" t="s">
        <v>125</v>
      </c>
      <c r="F51" s="65"/>
      <c r="G51" s="66"/>
      <c r="H51" s="57" t="s">
        <v>126</v>
      </c>
    </row>
    <row r="52" spans="1:8" x14ac:dyDescent="0.25">
      <c r="A52" s="62"/>
      <c r="B52" s="77" t="s">
        <v>166</v>
      </c>
      <c r="C52" s="77"/>
      <c r="D52" s="77"/>
      <c r="E52" s="55" t="s">
        <v>128</v>
      </c>
      <c r="F52" s="67" t="s">
        <v>143</v>
      </c>
      <c r="G52" s="68"/>
      <c r="H52" s="71"/>
    </row>
    <row r="53" spans="1:8" ht="17.25" thickBot="1" x14ac:dyDescent="0.3">
      <c r="A53" s="63"/>
      <c r="B53" s="78"/>
      <c r="C53" s="78"/>
      <c r="D53" s="78"/>
      <c r="E53" s="56" t="s">
        <v>127</v>
      </c>
      <c r="F53" s="69">
        <v>247</v>
      </c>
      <c r="G53" s="70"/>
      <c r="H53" s="72"/>
    </row>
  </sheetData>
  <mergeCells count="24">
    <mergeCell ref="A16:A22"/>
    <mergeCell ref="B22:D22"/>
    <mergeCell ref="A1:H1"/>
    <mergeCell ref="A3:A7"/>
    <mergeCell ref="B7:D7"/>
    <mergeCell ref="A9:A14"/>
    <mergeCell ref="B14:D14"/>
    <mergeCell ref="A45:A48"/>
    <mergeCell ref="A49:A50"/>
    <mergeCell ref="A51:A53"/>
    <mergeCell ref="E51:G51"/>
    <mergeCell ref="B52:D53"/>
    <mergeCell ref="A24:A34"/>
    <mergeCell ref="B34:D34"/>
    <mergeCell ref="A36:A39"/>
    <mergeCell ref="B39:D39"/>
    <mergeCell ref="A41:A43"/>
    <mergeCell ref="B43:D43"/>
    <mergeCell ref="F52:G52"/>
    <mergeCell ref="H52:H53"/>
    <mergeCell ref="F53:G53"/>
    <mergeCell ref="B49:D49"/>
    <mergeCell ref="B50:D50"/>
    <mergeCell ref="B51:D51"/>
  </mergeCells>
  <phoneticPr fontId="2" type="noConversion"/>
  <pageMargins left="0.7" right="0.7" top="0.75" bottom="0.75" header="0.3" footer="0.3"/>
  <pageSetup paperSize="9" scale="88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opLeftCell="A41" workbookViewId="0">
      <selection activeCell="H58" sqref="A1:H5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9" t="s">
        <v>45</v>
      </c>
      <c r="B1" s="80"/>
      <c r="C1" s="80"/>
      <c r="D1" s="80"/>
      <c r="E1" s="80"/>
      <c r="F1" s="80"/>
      <c r="G1" s="80"/>
      <c r="H1" s="8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92" t="s">
        <v>93</v>
      </c>
      <c r="B3" s="1" t="s">
        <v>97</v>
      </c>
      <c r="C3" s="1">
        <v>55</v>
      </c>
      <c r="D3" s="1">
        <v>168</v>
      </c>
      <c r="E3" s="1">
        <v>55</v>
      </c>
      <c r="F3" s="36" t="s">
        <v>30</v>
      </c>
      <c r="G3" s="2">
        <f>D3*E3</f>
        <v>9240</v>
      </c>
      <c r="H3" s="1"/>
    </row>
    <row r="4" spans="1:8" x14ac:dyDescent="0.25">
      <c r="A4" s="82"/>
      <c r="B4" s="1"/>
      <c r="C4" s="1"/>
      <c r="D4" s="1"/>
      <c r="E4" s="1"/>
      <c r="F4" s="31"/>
      <c r="G4" s="1"/>
      <c r="H4" s="1"/>
    </row>
    <row r="5" spans="1:8" x14ac:dyDescent="0.25">
      <c r="A5" s="82"/>
      <c r="B5" s="1"/>
      <c r="C5" s="1"/>
      <c r="D5" s="1"/>
      <c r="E5" s="1"/>
      <c r="F5" s="31"/>
      <c r="G5" s="1"/>
      <c r="H5" s="1"/>
    </row>
    <row r="6" spans="1:8" x14ac:dyDescent="0.25">
      <c r="A6" s="82"/>
      <c r="B6" s="28"/>
      <c r="C6" s="28"/>
      <c r="D6" s="28"/>
      <c r="E6" s="27"/>
      <c r="F6" s="30"/>
      <c r="G6" s="27"/>
      <c r="H6" s="28"/>
    </row>
    <row r="7" spans="1:8" x14ac:dyDescent="0.25">
      <c r="A7" s="82"/>
      <c r="B7" s="73" t="s">
        <v>7</v>
      </c>
      <c r="C7" s="74"/>
      <c r="D7" s="75"/>
      <c r="E7" s="3"/>
      <c r="F7" s="3"/>
      <c r="G7" s="12">
        <f>SUM(G3:G6)</f>
        <v>9240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83" t="s">
        <v>94</v>
      </c>
      <c r="B9" s="1" t="s">
        <v>98</v>
      </c>
      <c r="C9" s="1">
        <v>2</v>
      </c>
      <c r="D9" s="1">
        <v>70</v>
      </c>
      <c r="E9" s="24">
        <v>20</v>
      </c>
      <c r="F9" s="28" t="s">
        <v>24</v>
      </c>
      <c r="G9" s="1">
        <f>D9*E9</f>
        <v>1400</v>
      </c>
      <c r="H9" s="1"/>
    </row>
    <row r="10" spans="1:8" x14ac:dyDescent="0.25">
      <c r="A10" s="84"/>
      <c r="B10" s="1" t="s">
        <v>99</v>
      </c>
      <c r="C10" s="1">
        <v>4</v>
      </c>
      <c r="D10" s="1">
        <v>220</v>
      </c>
      <c r="E10" s="1">
        <v>4</v>
      </c>
      <c r="F10" s="28" t="s">
        <v>54</v>
      </c>
      <c r="G10" s="20">
        <f>D10*E10</f>
        <v>880</v>
      </c>
      <c r="H10" s="1"/>
    </row>
    <row r="11" spans="1:8" x14ac:dyDescent="0.25">
      <c r="A11" s="84"/>
      <c r="B11" s="1" t="s">
        <v>100</v>
      </c>
      <c r="C11" s="1">
        <v>15</v>
      </c>
      <c r="D11" s="1">
        <v>112.5</v>
      </c>
      <c r="E11" s="1">
        <v>15</v>
      </c>
      <c r="F11" s="28" t="s">
        <v>101</v>
      </c>
      <c r="G11" s="20">
        <f t="shared" ref="G11:G12" si="0">D11*E11</f>
        <v>1687.5</v>
      </c>
      <c r="H11" s="1"/>
    </row>
    <row r="12" spans="1:8" x14ac:dyDescent="0.25">
      <c r="A12" s="84"/>
      <c r="B12" s="1" t="s">
        <v>102</v>
      </c>
      <c r="C12" s="1">
        <v>150</v>
      </c>
      <c r="D12" s="1">
        <v>123</v>
      </c>
      <c r="E12" s="18">
        <v>13.67</v>
      </c>
      <c r="F12" s="58" t="s">
        <v>17</v>
      </c>
      <c r="G12" s="2">
        <f t="shared" si="0"/>
        <v>1681.41</v>
      </c>
      <c r="H12" s="1"/>
    </row>
    <row r="13" spans="1:8" x14ac:dyDescent="0.25">
      <c r="A13" s="84"/>
      <c r="B13" s="28"/>
      <c r="C13" s="28"/>
      <c r="D13" s="28"/>
      <c r="E13" s="28"/>
      <c r="F13" s="28"/>
      <c r="G13" s="28"/>
      <c r="H13" s="28"/>
    </row>
    <row r="14" spans="1:8" x14ac:dyDescent="0.25">
      <c r="A14" s="84"/>
      <c r="B14" s="1"/>
      <c r="C14" s="1"/>
      <c r="D14" s="1"/>
      <c r="E14" s="1"/>
      <c r="F14" s="28"/>
      <c r="G14" s="1"/>
      <c r="H14" s="1"/>
    </row>
    <row r="15" spans="1:8" x14ac:dyDescent="0.25">
      <c r="A15" s="85"/>
      <c r="B15" s="73" t="s">
        <v>7</v>
      </c>
      <c r="C15" s="74"/>
      <c r="D15" s="75"/>
      <c r="E15" s="3"/>
      <c r="F15" s="3"/>
      <c r="G15" s="12">
        <f>SUM(G9:G14)</f>
        <v>5648.91</v>
      </c>
      <c r="H15" s="1"/>
    </row>
    <row r="16" spans="1:8" x14ac:dyDescent="0.25">
      <c r="A16" s="1" t="s">
        <v>10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82"/>
      <c r="B17" s="1" t="s">
        <v>146</v>
      </c>
      <c r="C17" s="1"/>
      <c r="D17" s="1">
        <v>255</v>
      </c>
      <c r="E17" s="1">
        <v>2</v>
      </c>
      <c r="F17" s="31" t="s">
        <v>147</v>
      </c>
      <c r="G17" s="1">
        <f>D17*E17</f>
        <v>510</v>
      </c>
      <c r="H17" s="1"/>
    </row>
    <row r="18" spans="1:8" x14ac:dyDescent="0.25">
      <c r="A18" s="82"/>
      <c r="B18" s="1" t="s">
        <v>148</v>
      </c>
      <c r="C18" s="1"/>
      <c r="D18" s="1">
        <v>270</v>
      </c>
      <c r="E18" s="54">
        <v>1</v>
      </c>
      <c r="F18" s="54" t="s">
        <v>147</v>
      </c>
      <c r="G18" s="54">
        <f t="shared" ref="G18:G23" si="1">D18*E18</f>
        <v>270</v>
      </c>
      <c r="H18" s="1"/>
    </row>
    <row r="19" spans="1:8" x14ac:dyDescent="0.25">
      <c r="A19" s="82"/>
      <c r="B19" s="1" t="s">
        <v>149</v>
      </c>
      <c r="C19" s="1"/>
      <c r="D19" s="1">
        <v>310</v>
      </c>
      <c r="E19" s="1">
        <v>2</v>
      </c>
      <c r="F19" s="31" t="s">
        <v>147</v>
      </c>
      <c r="G19" s="54">
        <f t="shared" si="1"/>
        <v>620</v>
      </c>
      <c r="H19" s="1"/>
    </row>
    <row r="20" spans="1:8" x14ac:dyDescent="0.25">
      <c r="A20" s="82"/>
      <c r="B20" s="33" t="s">
        <v>150</v>
      </c>
      <c r="C20" s="33"/>
      <c r="D20" s="32">
        <v>193</v>
      </c>
      <c r="E20" s="54">
        <v>1</v>
      </c>
      <c r="F20" s="54" t="s">
        <v>147</v>
      </c>
      <c r="G20" s="54">
        <f t="shared" si="1"/>
        <v>193</v>
      </c>
      <c r="H20" s="33"/>
    </row>
    <row r="21" spans="1:8" x14ac:dyDescent="0.25">
      <c r="A21" s="82"/>
      <c r="B21" s="54" t="s">
        <v>151</v>
      </c>
      <c r="C21" s="54"/>
      <c r="D21" s="54">
        <v>120</v>
      </c>
      <c r="E21" s="54">
        <v>1</v>
      </c>
      <c r="F21" s="54" t="s">
        <v>152</v>
      </c>
      <c r="G21" s="54">
        <f t="shared" si="1"/>
        <v>120</v>
      </c>
      <c r="H21" s="54"/>
    </row>
    <row r="22" spans="1:8" x14ac:dyDescent="0.25">
      <c r="A22" s="82"/>
      <c r="B22" s="54" t="s">
        <v>153</v>
      </c>
      <c r="C22" s="54"/>
      <c r="D22" s="54">
        <v>138</v>
      </c>
      <c r="E22" s="54">
        <v>1</v>
      </c>
      <c r="F22" s="54" t="s">
        <v>133</v>
      </c>
      <c r="G22" s="54">
        <f t="shared" si="1"/>
        <v>138</v>
      </c>
      <c r="H22" s="54"/>
    </row>
    <row r="23" spans="1:8" x14ac:dyDescent="0.25">
      <c r="A23" s="82"/>
      <c r="B23" s="54" t="s">
        <v>154</v>
      </c>
      <c r="C23" s="54"/>
      <c r="D23" s="54">
        <v>37</v>
      </c>
      <c r="E23" s="54">
        <v>20</v>
      </c>
      <c r="F23" s="54" t="s">
        <v>155</v>
      </c>
      <c r="G23" s="54">
        <f t="shared" si="1"/>
        <v>740</v>
      </c>
      <c r="H23" s="54"/>
    </row>
    <row r="24" spans="1:8" x14ac:dyDescent="0.25">
      <c r="A24" s="82"/>
      <c r="B24" s="73" t="s">
        <v>7</v>
      </c>
      <c r="C24" s="74"/>
      <c r="D24" s="75"/>
      <c r="E24" s="3"/>
      <c r="F24" s="3"/>
      <c r="G24" s="14">
        <f>SUM(G17:G23)</f>
        <v>2591</v>
      </c>
      <c r="H24" s="1"/>
    </row>
    <row r="25" spans="1:8" x14ac:dyDescent="0.25">
      <c r="A25" s="6" t="s">
        <v>10</v>
      </c>
      <c r="B25" s="34" t="s">
        <v>1</v>
      </c>
      <c r="C25" s="34" t="s">
        <v>2</v>
      </c>
      <c r="D25" s="1" t="s">
        <v>3</v>
      </c>
      <c r="E25" s="1" t="s">
        <v>4</v>
      </c>
      <c r="F25" s="1"/>
      <c r="G25" s="1" t="s">
        <v>5</v>
      </c>
      <c r="H25" s="1" t="s">
        <v>6</v>
      </c>
    </row>
    <row r="26" spans="1:8" x14ac:dyDescent="0.25">
      <c r="A26" s="83"/>
      <c r="B26" s="38" t="s">
        <v>105</v>
      </c>
      <c r="C26" s="38">
        <v>1</v>
      </c>
      <c r="D26" s="32">
        <v>125.4</v>
      </c>
      <c r="E26" s="1">
        <v>1</v>
      </c>
      <c r="F26" s="33" t="s">
        <v>30</v>
      </c>
      <c r="G26" s="1">
        <f>D26*E26</f>
        <v>125.4</v>
      </c>
      <c r="H26" s="1"/>
    </row>
    <row r="27" spans="1:8" x14ac:dyDescent="0.25">
      <c r="A27" s="84"/>
      <c r="B27" s="33" t="s">
        <v>51</v>
      </c>
      <c r="C27" s="33">
        <v>4</v>
      </c>
      <c r="D27" s="32">
        <v>141</v>
      </c>
      <c r="E27" s="33">
        <v>4</v>
      </c>
      <c r="F27" s="36" t="s">
        <v>30</v>
      </c>
      <c r="G27" s="54">
        <f t="shared" ref="G27:G36" si="2">D27*E27</f>
        <v>564</v>
      </c>
      <c r="H27" s="33"/>
    </row>
    <row r="28" spans="1:8" x14ac:dyDescent="0.25">
      <c r="A28" s="84"/>
      <c r="B28" s="38" t="s">
        <v>106</v>
      </c>
      <c r="C28" s="38">
        <v>8</v>
      </c>
      <c r="D28" s="32">
        <v>21</v>
      </c>
      <c r="E28" s="1">
        <v>8</v>
      </c>
      <c r="F28" s="36" t="s">
        <v>30</v>
      </c>
      <c r="G28" s="54">
        <f t="shared" si="2"/>
        <v>168</v>
      </c>
      <c r="H28" s="1"/>
    </row>
    <row r="29" spans="1:8" x14ac:dyDescent="0.25">
      <c r="A29" s="84"/>
      <c r="B29" s="38" t="s">
        <v>107</v>
      </c>
      <c r="C29" s="38">
        <v>0.2</v>
      </c>
      <c r="D29" s="32">
        <v>19.38</v>
      </c>
      <c r="E29" s="33">
        <v>0.25</v>
      </c>
      <c r="F29" s="36" t="s">
        <v>30</v>
      </c>
      <c r="G29" s="54">
        <f t="shared" si="2"/>
        <v>4.8449999999999998</v>
      </c>
      <c r="H29" s="33"/>
    </row>
    <row r="30" spans="1:8" x14ac:dyDescent="0.25">
      <c r="A30" s="84"/>
      <c r="B30" s="33" t="s">
        <v>68</v>
      </c>
      <c r="C30" s="33">
        <v>0.2</v>
      </c>
      <c r="D30" s="32">
        <v>60</v>
      </c>
      <c r="E30" s="20">
        <v>0.25</v>
      </c>
      <c r="F30" s="36" t="s">
        <v>30</v>
      </c>
      <c r="G30" s="54">
        <f t="shared" si="2"/>
        <v>15</v>
      </c>
      <c r="H30" s="20"/>
    </row>
    <row r="31" spans="1:8" x14ac:dyDescent="0.25">
      <c r="A31" s="84"/>
      <c r="B31" s="33" t="s">
        <v>55</v>
      </c>
      <c r="C31" s="33">
        <v>2</v>
      </c>
      <c r="D31" s="33">
        <v>30.6</v>
      </c>
      <c r="E31" s="20">
        <v>1.34</v>
      </c>
      <c r="F31" s="21" t="s">
        <v>17</v>
      </c>
      <c r="G31" s="54">
        <f t="shared" si="2"/>
        <v>41.004000000000005</v>
      </c>
      <c r="H31" s="20"/>
    </row>
    <row r="32" spans="1:8" x14ac:dyDescent="0.25">
      <c r="A32" s="84"/>
      <c r="B32" s="54" t="s">
        <v>145</v>
      </c>
      <c r="C32" s="54"/>
      <c r="D32" s="54">
        <v>46.8</v>
      </c>
      <c r="E32" s="54">
        <v>20</v>
      </c>
      <c r="F32" s="54" t="s">
        <v>131</v>
      </c>
      <c r="G32" s="54">
        <f t="shared" si="2"/>
        <v>936</v>
      </c>
      <c r="H32" s="54"/>
    </row>
    <row r="33" spans="1:8" x14ac:dyDescent="0.25">
      <c r="A33" s="84"/>
      <c r="B33" s="54" t="s">
        <v>157</v>
      </c>
      <c r="C33" s="54"/>
      <c r="D33" s="54">
        <v>587</v>
      </c>
      <c r="E33" s="54">
        <v>1</v>
      </c>
      <c r="F33" s="54" t="s">
        <v>147</v>
      </c>
      <c r="G33" s="54">
        <f t="shared" si="2"/>
        <v>587</v>
      </c>
      <c r="H33" s="54"/>
    </row>
    <row r="34" spans="1:8" x14ac:dyDescent="0.25">
      <c r="A34" s="84"/>
      <c r="B34" s="54" t="s">
        <v>158</v>
      </c>
      <c r="C34" s="54"/>
      <c r="D34" s="54">
        <v>580</v>
      </c>
      <c r="E34" s="54">
        <v>2</v>
      </c>
      <c r="F34" s="54" t="s">
        <v>133</v>
      </c>
      <c r="G34" s="54">
        <f t="shared" si="2"/>
        <v>1160</v>
      </c>
      <c r="H34" s="54"/>
    </row>
    <row r="35" spans="1:8" x14ac:dyDescent="0.25">
      <c r="A35" s="84"/>
      <c r="B35" s="54" t="s">
        <v>159</v>
      </c>
      <c r="C35" s="54"/>
      <c r="D35" s="54">
        <v>60</v>
      </c>
      <c r="E35" s="54">
        <v>2</v>
      </c>
      <c r="F35" s="54" t="s">
        <v>160</v>
      </c>
      <c r="G35" s="54">
        <f t="shared" si="2"/>
        <v>120</v>
      </c>
      <c r="H35" s="54"/>
    </row>
    <row r="36" spans="1:8" x14ac:dyDescent="0.25">
      <c r="A36" s="84"/>
      <c r="B36" s="54" t="s">
        <v>161</v>
      </c>
      <c r="C36" s="54"/>
      <c r="D36" s="54">
        <v>1350</v>
      </c>
      <c r="E36" s="54">
        <v>1</v>
      </c>
      <c r="F36" s="53" t="s">
        <v>162</v>
      </c>
      <c r="G36" s="54">
        <f t="shared" si="2"/>
        <v>1350</v>
      </c>
      <c r="H36" s="54"/>
    </row>
    <row r="37" spans="1:8" x14ac:dyDescent="0.25">
      <c r="A37" s="84"/>
      <c r="B37" s="38" t="s">
        <v>163</v>
      </c>
      <c r="C37" s="38"/>
      <c r="D37" s="32">
        <v>32</v>
      </c>
      <c r="E37" s="1">
        <v>100</v>
      </c>
      <c r="F37" s="33" t="s">
        <v>17</v>
      </c>
      <c r="G37" s="20">
        <f>D37*E37</f>
        <v>3200</v>
      </c>
      <c r="H37" s="54"/>
    </row>
    <row r="38" spans="1:8" x14ac:dyDescent="0.25">
      <c r="A38" s="84"/>
      <c r="B38" s="54" t="s">
        <v>164</v>
      </c>
      <c r="C38" s="54"/>
      <c r="D38" s="54">
        <v>19.38</v>
      </c>
      <c r="E38" s="54">
        <v>3</v>
      </c>
      <c r="F38" s="54" t="s">
        <v>131</v>
      </c>
      <c r="G38" s="54">
        <f>D38*E38</f>
        <v>58.14</v>
      </c>
      <c r="H38" s="54"/>
    </row>
    <row r="39" spans="1:8" x14ac:dyDescent="0.25">
      <c r="A39" s="84"/>
      <c r="B39" s="54" t="s">
        <v>165</v>
      </c>
      <c r="C39" s="54"/>
      <c r="D39" s="54">
        <v>108.3</v>
      </c>
      <c r="E39" s="54">
        <v>0.5</v>
      </c>
      <c r="F39" s="54" t="s">
        <v>131</v>
      </c>
      <c r="G39" s="54">
        <f>D39*E39</f>
        <v>54.15</v>
      </c>
      <c r="H39" s="54"/>
    </row>
    <row r="40" spans="1:8" x14ac:dyDescent="0.25">
      <c r="A40" s="85"/>
      <c r="B40" s="73" t="s">
        <v>7</v>
      </c>
      <c r="C40" s="74"/>
      <c r="D40" s="75"/>
      <c r="E40" s="3"/>
      <c r="F40" s="3"/>
      <c r="G40" s="12">
        <f>SUM(G26:G39)</f>
        <v>8383.5389999999989</v>
      </c>
      <c r="H40" s="1"/>
    </row>
    <row r="41" spans="1:8" x14ac:dyDescent="0.25">
      <c r="A41" s="1" t="s">
        <v>11</v>
      </c>
      <c r="B41" s="34" t="s">
        <v>1</v>
      </c>
      <c r="C41" s="34" t="s">
        <v>2</v>
      </c>
      <c r="D41" s="33" t="s">
        <v>3</v>
      </c>
      <c r="E41" s="1" t="s">
        <v>4</v>
      </c>
      <c r="F41" s="1"/>
      <c r="G41" s="1" t="s">
        <v>5</v>
      </c>
      <c r="H41" s="1" t="s">
        <v>6</v>
      </c>
    </row>
    <row r="42" spans="1:8" x14ac:dyDescent="0.25">
      <c r="A42" s="83" t="s">
        <v>95</v>
      </c>
      <c r="B42" s="38" t="s">
        <v>103</v>
      </c>
      <c r="C42" s="38">
        <v>20</v>
      </c>
      <c r="D42" s="32">
        <v>16.32</v>
      </c>
      <c r="E42" s="1">
        <v>20</v>
      </c>
      <c r="F42" s="33" t="s">
        <v>30</v>
      </c>
      <c r="G42" s="1">
        <f>D42*E42</f>
        <v>326.39999999999998</v>
      </c>
      <c r="H42" s="1"/>
    </row>
    <row r="43" spans="1:8" x14ac:dyDescent="0.25">
      <c r="A43" s="84"/>
      <c r="B43" s="38" t="s">
        <v>104</v>
      </c>
      <c r="C43" s="38">
        <v>15</v>
      </c>
      <c r="D43" s="32">
        <v>141</v>
      </c>
      <c r="E43" s="1">
        <v>15</v>
      </c>
      <c r="F43" s="36" t="s">
        <v>30</v>
      </c>
      <c r="G43" s="20">
        <f>D43*E43</f>
        <v>2115</v>
      </c>
      <c r="H43" s="1"/>
    </row>
    <row r="44" spans="1:8" x14ac:dyDescent="0.25">
      <c r="A44" s="84"/>
      <c r="B44" s="33"/>
      <c r="C44" s="33"/>
      <c r="D44" s="32"/>
      <c r="E44" s="1"/>
      <c r="F44" s="1"/>
      <c r="G44" s="1"/>
      <c r="H44" s="1"/>
    </row>
    <row r="45" spans="1:8" x14ac:dyDescent="0.25">
      <c r="A45" s="85"/>
      <c r="B45" s="73" t="s">
        <v>16</v>
      </c>
      <c r="C45" s="74"/>
      <c r="D45" s="75"/>
      <c r="E45" s="3"/>
      <c r="F45" s="3"/>
      <c r="G45" s="12">
        <f>SUM(G42:G44)</f>
        <v>2441.4</v>
      </c>
      <c r="H45" s="1"/>
    </row>
    <row r="46" spans="1:8" x14ac:dyDescent="0.25">
      <c r="A46" s="1" t="s">
        <v>12</v>
      </c>
      <c r="B46" s="33" t="s">
        <v>1</v>
      </c>
      <c r="C46" s="33" t="s">
        <v>2</v>
      </c>
      <c r="D46" s="33" t="s">
        <v>3</v>
      </c>
      <c r="E46" s="3" t="s">
        <v>4</v>
      </c>
      <c r="F46" s="3"/>
      <c r="G46" s="3" t="s">
        <v>5</v>
      </c>
      <c r="H46" s="1" t="s">
        <v>6</v>
      </c>
    </row>
    <row r="47" spans="1:8" x14ac:dyDescent="0.25">
      <c r="A47" s="83"/>
      <c r="B47" s="33" t="s">
        <v>134</v>
      </c>
      <c r="C47" s="33"/>
      <c r="D47" s="33">
        <v>8.16</v>
      </c>
      <c r="E47" s="1">
        <v>70</v>
      </c>
      <c r="F47" s="33" t="s">
        <v>17</v>
      </c>
      <c r="G47" s="1">
        <f>D47*E47</f>
        <v>571.20000000000005</v>
      </c>
      <c r="H47" s="1"/>
    </row>
    <row r="48" spans="1:8" x14ac:dyDescent="0.25">
      <c r="A48" s="84"/>
      <c r="B48" s="33" t="s">
        <v>168</v>
      </c>
      <c r="C48" s="33">
        <v>250</v>
      </c>
      <c r="D48" s="33">
        <v>54.72</v>
      </c>
      <c r="E48" s="1">
        <v>83.34</v>
      </c>
      <c r="F48" s="58" t="s">
        <v>17</v>
      </c>
      <c r="G48" s="2">
        <f>D48*E48</f>
        <v>4560.3648000000003</v>
      </c>
      <c r="H48" s="1" t="s">
        <v>169</v>
      </c>
    </row>
    <row r="49" spans="1:8" x14ac:dyDescent="0.25">
      <c r="A49" s="85"/>
      <c r="B49" s="73" t="s">
        <v>7</v>
      </c>
      <c r="C49" s="74"/>
      <c r="D49" s="75"/>
      <c r="E49" s="3"/>
      <c r="F49" s="3"/>
      <c r="G49" s="12">
        <f>SUM(G47:G48)</f>
        <v>5131.5648000000001</v>
      </c>
      <c r="H49" s="7"/>
    </row>
    <row r="50" spans="1:8" x14ac:dyDescent="0.25">
      <c r="A50" s="8" t="s">
        <v>13</v>
      </c>
      <c r="B50" s="34" t="s">
        <v>1</v>
      </c>
      <c r="C50" s="34" t="s">
        <v>2</v>
      </c>
      <c r="D50" s="33" t="s">
        <v>3</v>
      </c>
      <c r="E50" s="1" t="s">
        <v>4</v>
      </c>
      <c r="F50" s="1"/>
      <c r="G50" s="1" t="s">
        <v>5</v>
      </c>
      <c r="H50" s="1"/>
    </row>
    <row r="51" spans="1:8" x14ac:dyDescent="0.25">
      <c r="A51" s="83" t="s">
        <v>96</v>
      </c>
      <c r="B51" s="38" t="s">
        <v>156</v>
      </c>
      <c r="C51" s="38"/>
      <c r="D51" s="32">
        <v>240</v>
      </c>
      <c r="E51" s="1">
        <v>20</v>
      </c>
      <c r="F51" s="1" t="s">
        <v>21</v>
      </c>
      <c r="G51" s="1">
        <f>D51*E51</f>
        <v>4800</v>
      </c>
      <c r="H51" s="1"/>
    </row>
    <row r="52" spans="1:8" x14ac:dyDescent="0.25">
      <c r="A52" s="84"/>
      <c r="B52" s="44"/>
      <c r="C52" s="44"/>
      <c r="D52" s="44"/>
      <c r="E52" s="44"/>
      <c r="F52" s="44"/>
      <c r="G52" s="44"/>
      <c r="H52" s="1"/>
    </row>
    <row r="53" spans="1:8" x14ac:dyDescent="0.25">
      <c r="A53" s="84"/>
      <c r="B53" s="38"/>
      <c r="C53" s="39"/>
      <c r="D53" s="32"/>
      <c r="E53" s="1"/>
      <c r="F53" s="33" t="s">
        <v>17</v>
      </c>
      <c r="G53" s="20">
        <f t="shared" ref="G53:G54" si="3">D53*E53</f>
        <v>0</v>
      </c>
      <c r="H53" s="1"/>
    </row>
    <row r="54" spans="1:8" x14ac:dyDescent="0.25">
      <c r="A54" s="84"/>
      <c r="B54" s="38"/>
      <c r="C54" s="38"/>
      <c r="D54" s="32"/>
      <c r="E54" s="1"/>
      <c r="F54" s="33" t="s">
        <v>17</v>
      </c>
      <c r="G54" s="20">
        <f t="shared" si="3"/>
        <v>0</v>
      </c>
      <c r="H54" s="1"/>
    </row>
    <row r="55" spans="1:8" x14ac:dyDescent="0.25">
      <c r="A55" s="89" t="s">
        <v>144</v>
      </c>
      <c r="B55" s="73" t="s">
        <v>7</v>
      </c>
      <c r="C55" s="74"/>
      <c r="D55" s="75"/>
      <c r="E55" s="48"/>
      <c r="F55" s="44"/>
      <c r="G55" s="13">
        <f>SUM(G51:G54)</f>
        <v>4800</v>
      </c>
      <c r="H55" s="48"/>
    </row>
    <row r="56" spans="1:8" ht="17.25" thickBot="1" x14ac:dyDescent="0.3">
      <c r="A56" s="90"/>
      <c r="B56" s="93" t="s">
        <v>14</v>
      </c>
      <c r="C56" s="94"/>
      <c r="D56" s="95"/>
      <c r="E56" s="50"/>
      <c r="F56" s="44"/>
      <c r="G56" s="45">
        <f>G55+G49+G45+G24+G15+G7+G40</f>
        <v>38236.413799999995</v>
      </c>
      <c r="H56" s="48"/>
    </row>
    <row r="57" spans="1:8" x14ac:dyDescent="0.25">
      <c r="A57" s="61" t="s">
        <v>123</v>
      </c>
      <c r="B57" s="76" t="s">
        <v>124</v>
      </c>
      <c r="C57" s="76"/>
      <c r="D57" s="76"/>
      <c r="E57" s="64" t="s">
        <v>125</v>
      </c>
      <c r="F57" s="65"/>
      <c r="G57" s="66"/>
      <c r="H57" s="57" t="s">
        <v>126</v>
      </c>
    </row>
    <row r="58" spans="1:8" x14ac:dyDescent="0.25">
      <c r="A58" s="62"/>
      <c r="B58" s="77" t="s">
        <v>167</v>
      </c>
      <c r="C58" s="77"/>
      <c r="D58" s="77"/>
      <c r="E58" s="55" t="s">
        <v>128</v>
      </c>
      <c r="F58" s="67"/>
      <c r="G58" s="68"/>
      <c r="H58" s="71"/>
    </row>
    <row r="59" spans="1:8" ht="17.25" thickBot="1" x14ac:dyDescent="0.3">
      <c r="A59" s="63"/>
      <c r="B59" s="78"/>
      <c r="C59" s="78"/>
      <c r="D59" s="78"/>
      <c r="E59" s="56" t="s">
        <v>127</v>
      </c>
      <c r="F59" s="69">
        <v>220</v>
      </c>
      <c r="G59" s="70"/>
      <c r="H59" s="72"/>
    </row>
  </sheetData>
  <mergeCells count="24">
    <mergeCell ref="A1:H1"/>
    <mergeCell ref="A3:A7"/>
    <mergeCell ref="B7:D7"/>
    <mergeCell ref="B15:D15"/>
    <mergeCell ref="A9:A15"/>
    <mergeCell ref="A51:A54"/>
    <mergeCell ref="A57:A59"/>
    <mergeCell ref="B58:D59"/>
    <mergeCell ref="A17:A24"/>
    <mergeCell ref="B24:D24"/>
    <mergeCell ref="B40:D40"/>
    <mergeCell ref="B45:D45"/>
    <mergeCell ref="A47:A49"/>
    <mergeCell ref="B49:D49"/>
    <mergeCell ref="A42:A45"/>
    <mergeCell ref="A26:A40"/>
    <mergeCell ref="F58:G58"/>
    <mergeCell ref="H58:H59"/>
    <mergeCell ref="F59:G59"/>
    <mergeCell ref="A55:A56"/>
    <mergeCell ref="B57:D57"/>
    <mergeCell ref="E57:G57"/>
    <mergeCell ref="B55:D55"/>
    <mergeCell ref="B56:D56"/>
  </mergeCells>
  <phoneticPr fontId="2" type="noConversion"/>
  <pageMargins left="0.7" right="0.7" top="0.75" bottom="0.75" header="0.3" footer="0.3"/>
  <pageSetup paperSize="9" scale="7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0"/>
  <sheetViews>
    <sheetView tabSelected="1" topLeftCell="A52" workbookViewId="0">
      <selection activeCell="E72" sqref="E7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9" t="s">
        <v>44</v>
      </c>
      <c r="B1" s="80"/>
      <c r="C1" s="80"/>
      <c r="D1" s="80"/>
      <c r="E1" s="80"/>
      <c r="F1" s="80"/>
      <c r="G1" s="80"/>
      <c r="H1" s="8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96" t="s">
        <v>108</v>
      </c>
      <c r="B3" s="38" t="s">
        <v>78</v>
      </c>
      <c r="C3" s="33">
        <v>260</v>
      </c>
      <c r="D3" s="1">
        <v>99</v>
      </c>
      <c r="E3" s="1">
        <v>60.72</v>
      </c>
      <c r="F3" s="31" t="s">
        <v>17</v>
      </c>
      <c r="G3" s="2">
        <f>D3*E3</f>
        <v>6011.28</v>
      </c>
      <c r="H3" s="1"/>
    </row>
    <row r="4" spans="1:8" x14ac:dyDescent="0.25">
      <c r="A4" s="97"/>
      <c r="B4" s="33"/>
      <c r="C4" s="33"/>
      <c r="D4" s="1"/>
      <c r="E4" s="1"/>
      <c r="F4" s="31"/>
      <c r="G4" s="1">
        <f>D4*E4</f>
        <v>0</v>
      </c>
      <c r="H4" s="1"/>
    </row>
    <row r="5" spans="1:8" x14ac:dyDescent="0.25">
      <c r="A5" s="97"/>
      <c r="B5" s="33"/>
      <c r="C5" s="33"/>
      <c r="D5" s="1"/>
      <c r="E5" s="1"/>
      <c r="F5" s="28"/>
      <c r="G5" s="1">
        <f>D5*E5</f>
        <v>0</v>
      </c>
      <c r="H5" s="1"/>
    </row>
    <row r="6" spans="1:8" x14ac:dyDescent="0.25">
      <c r="A6" s="97"/>
      <c r="B6" s="33"/>
      <c r="C6" s="33"/>
      <c r="D6" s="33"/>
      <c r="E6" s="32"/>
      <c r="F6" s="33"/>
      <c r="G6" s="3">
        <f>D6*E6</f>
        <v>0</v>
      </c>
      <c r="H6" s="1"/>
    </row>
    <row r="7" spans="1:8" x14ac:dyDescent="0.25">
      <c r="A7" s="97"/>
      <c r="B7" s="33"/>
      <c r="C7" s="33"/>
      <c r="D7" s="33"/>
      <c r="E7" s="32"/>
      <c r="F7" s="32"/>
      <c r="G7" s="4">
        <f>D7*E7</f>
        <v>0</v>
      </c>
      <c r="H7" s="1"/>
    </row>
    <row r="8" spans="1:8" x14ac:dyDescent="0.25">
      <c r="A8" s="97"/>
      <c r="B8" s="18"/>
      <c r="C8" s="33"/>
      <c r="D8" s="1"/>
      <c r="E8" s="3"/>
      <c r="F8" s="33"/>
      <c r="G8" s="4"/>
      <c r="H8" s="33"/>
    </row>
    <row r="9" spans="1:8" x14ac:dyDescent="0.25">
      <c r="A9" s="98"/>
      <c r="B9" s="73" t="s">
        <v>7</v>
      </c>
      <c r="C9" s="74"/>
      <c r="D9" s="75"/>
      <c r="E9" s="3"/>
      <c r="F9" s="11"/>
      <c r="G9" s="12">
        <f>SUM(G3:G7)</f>
        <v>6011.28</v>
      </c>
      <c r="H9" s="1"/>
    </row>
    <row r="10" spans="1:8" x14ac:dyDescent="0.25">
      <c r="A10" s="1" t="s">
        <v>8</v>
      </c>
      <c r="B10" s="34" t="s">
        <v>42</v>
      </c>
      <c r="C10" s="34" t="s">
        <v>2</v>
      </c>
      <c r="D10" s="1" t="s">
        <v>3</v>
      </c>
      <c r="E10" s="1" t="s">
        <v>4</v>
      </c>
      <c r="F10" s="31"/>
      <c r="G10" s="33" t="s">
        <v>5</v>
      </c>
      <c r="H10" s="33" t="s">
        <v>6</v>
      </c>
    </row>
    <row r="11" spans="1:8" x14ac:dyDescent="0.25">
      <c r="A11" s="82" t="s">
        <v>109</v>
      </c>
      <c r="B11" s="41" t="s">
        <v>113</v>
      </c>
      <c r="C11" s="38">
        <v>15</v>
      </c>
      <c r="D11" s="32">
        <v>45.9</v>
      </c>
      <c r="E11" s="1">
        <v>15</v>
      </c>
      <c r="F11" s="33" t="s">
        <v>30</v>
      </c>
      <c r="G11" s="1">
        <f>D11*E11</f>
        <v>688.5</v>
      </c>
      <c r="H11" s="1"/>
    </row>
    <row r="12" spans="1:8" x14ac:dyDescent="0.25">
      <c r="A12" s="73"/>
      <c r="B12" s="38" t="s">
        <v>55</v>
      </c>
      <c r="C12" s="38">
        <v>15</v>
      </c>
      <c r="D12" s="32">
        <v>30.6</v>
      </c>
      <c r="E12" s="1">
        <v>15</v>
      </c>
      <c r="F12" s="33" t="s">
        <v>30</v>
      </c>
      <c r="G12" s="1">
        <f>D12*E12</f>
        <v>459</v>
      </c>
      <c r="H12" s="1"/>
    </row>
    <row r="13" spans="1:8" x14ac:dyDescent="0.25">
      <c r="A13" s="73"/>
      <c r="B13" s="35" t="s">
        <v>71</v>
      </c>
      <c r="C13" s="35">
        <v>1</v>
      </c>
      <c r="D13" s="1">
        <v>46.8</v>
      </c>
      <c r="E13" s="1">
        <v>20</v>
      </c>
      <c r="F13" s="1" t="s">
        <v>17</v>
      </c>
      <c r="G13" s="36">
        <f>D13*E13</f>
        <v>936</v>
      </c>
      <c r="H13" s="1"/>
    </row>
    <row r="14" spans="1:8" x14ac:dyDescent="0.25">
      <c r="A14" s="82"/>
      <c r="B14" s="1"/>
      <c r="C14" s="1"/>
      <c r="D14" s="1"/>
      <c r="E14" s="1"/>
      <c r="F14" s="3"/>
      <c r="G14" s="1"/>
      <c r="H14" s="1"/>
    </row>
    <row r="15" spans="1:8" x14ac:dyDescent="0.25">
      <c r="A15" s="82"/>
      <c r="B15" s="1"/>
      <c r="C15" s="1"/>
      <c r="D15" s="1"/>
      <c r="E15" s="1"/>
      <c r="F15" s="1"/>
      <c r="G15" s="4"/>
      <c r="H15" s="1"/>
    </row>
    <row r="16" spans="1:8" x14ac:dyDescent="0.25">
      <c r="A16" s="82"/>
      <c r="B16" s="73" t="s">
        <v>7</v>
      </c>
      <c r="C16" s="74"/>
      <c r="D16" s="75"/>
      <c r="E16" s="3"/>
      <c r="F16" s="31"/>
      <c r="G16" s="12">
        <f>SUM(G11:G15)</f>
        <v>2083.5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31"/>
      <c r="G17" s="33" t="s">
        <v>5</v>
      </c>
      <c r="H17" s="33" t="s">
        <v>6</v>
      </c>
    </row>
    <row r="18" spans="1:8" x14ac:dyDescent="0.25">
      <c r="A18" s="82" t="s">
        <v>110</v>
      </c>
      <c r="B18" s="38" t="s">
        <v>114</v>
      </c>
      <c r="C18" s="38">
        <v>6</v>
      </c>
      <c r="D18" s="33">
        <v>180</v>
      </c>
      <c r="E18" s="33">
        <v>6</v>
      </c>
      <c r="F18" s="33" t="s">
        <v>115</v>
      </c>
      <c r="G18" s="1">
        <f>D18*E18</f>
        <v>1080</v>
      </c>
      <c r="H18" s="1"/>
    </row>
    <row r="19" spans="1:8" x14ac:dyDescent="0.25">
      <c r="A19" s="82"/>
      <c r="B19" s="33" t="s">
        <v>116</v>
      </c>
      <c r="C19" s="33">
        <v>4</v>
      </c>
      <c r="D19" s="33">
        <v>110</v>
      </c>
      <c r="E19" s="33">
        <v>4</v>
      </c>
      <c r="F19" s="33" t="s">
        <v>89</v>
      </c>
      <c r="G19" s="1">
        <f>D19*E19</f>
        <v>440</v>
      </c>
      <c r="H19" s="1"/>
    </row>
    <row r="20" spans="1:8" x14ac:dyDescent="0.25">
      <c r="A20" s="82"/>
      <c r="B20" s="18" t="s">
        <v>117</v>
      </c>
      <c r="C20" s="33">
        <v>2</v>
      </c>
      <c r="D20" s="33">
        <v>225</v>
      </c>
      <c r="E20" s="32">
        <v>2</v>
      </c>
      <c r="F20" s="33" t="s">
        <v>89</v>
      </c>
      <c r="G20" s="1">
        <f>D20*E20</f>
        <v>450</v>
      </c>
      <c r="H20" s="1"/>
    </row>
    <row r="21" spans="1:8" x14ac:dyDescent="0.25">
      <c r="A21" s="82"/>
      <c r="B21" s="23"/>
      <c r="C21" s="23"/>
      <c r="D21" s="23"/>
      <c r="E21" s="23"/>
      <c r="F21" s="1"/>
      <c r="G21" s="5"/>
      <c r="H21" s="1"/>
    </row>
    <row r="22" spans="1:8" x14ac:dyDescent="0.25">
      <c r="A22" s="82"/>
      <c r="B22" s="73" t="s">
        <v>7</v>
      </c>
      <c r="C22" s="74"/>
      <c r="D22" s="75"/>
      <c r="E22" s="3"/>
      <c r="F22" s="28"/>
      <c r="G22" s="14">
        <f>SUM(G18:G21)</f>
        <v>1970</v>
      </c>
      <c r="H22" s="1"/>
    </row>
    <row r="23" spans="1:8" x14ac:dyDescent="0.25">
      <c r="A23" s="6" t="s">
        <v>10</v>
      </c>
      <c r="B23" s="34" t="s">
        <v>1</v>
      </c>
      <c r="C23" s="34" t="s">
        <v>2</v>
      </c>
      <c r="D23" s="1" t="s">
        <v>3</v>
      </c>
      <c r="E23" s="1" t="s">
        <v>4</v>
      </c>
      <c r="F23" s="31"/>
      <c r="G23" s="33" t="s">
        <v>5</v>
      </c>
      <c r="H23" s="33" t="s">
        <v>6</v>
      </c>
    </row>
    <row r="24" spans="1:8" x14ac:dyDescent="0.25">
      <c r="A24" s="83"/>
      <c r="B24" s="38" t="s">
        <v>174</v>
      </c>
      <c r="C24" s="38"/>
      <c r="D24" s="32">
        <v>40.799999999999997</v>
      </c>
      <c r="E24" s="1">
        <v>0.5</v>
      </c>
      <c r="F24" s="33" t="s">
        <v>17</v>
      </c>
      <c r="G24" s="2">
        <f>D24*E24</f>
        <v>20.399999999999999</v>
      </c>
      <c r="H24" s="36" t="s">
        <v>72</v>
      </c>
    </row>
    <row r="25" spans="1:8" x14ac:dyDescent="0.25">
      <c r="A25" s="84"/>
      <c r="B25" s="43" t="s">
        <v>118</v>
      </c>
      <c r="C25" s="38">
        <v>4</v>
      </c>
      <c r="D25" s="32">
        <v>177</v>
      </c>
      <c r="E25" s="1">
        <v>4</v>
      </c>
      <c r="F25" s="33" t="s">
        <v>101</v>
      </c>
      <c r="G25" s="2">
        <f>D25*E25</f>
        <v>708</v>
      </c>
      <c r="H25" s="1"/>
    </row>
    <row r="26" spans="1:8" x14ac:dyDescent="0.25">
      <c r="A26" s="84"/>
      <c r="B26" s="33" t="s">
        <v>119</v>
      </c>
      <c r="C26" s="33">
        <v>40</v>
      </c>
      <c r="D26" s="32">
        <v>132</v>
      </c>
      <c r="E26" s="1">
        <v>2.5</v>
      </c>
      <c r="F26" s="33" t="s">
        <v>17</v>
      </c>
      <c r="G26" s="2">
        <f>D26*E26</f>
        <v>330</v>
      </c>
      <c r="H26" s="33" t="s">
        <v>73</v>
      </c>
    </row>
    <row r="27" spans="1:8" x14ac:dyDescent="0.25">
      <c r="A27" s="84"/>
      <c r="B27" s="33" t="s">
        <v>120</v>
      </c>
      <c r="C27" s="33">
        <v>25</v>
      </c>
      <c r="D27" s="32">
        <v>10</v>
      </c>
      <c r="E27" s="28">
        <v>25</v>
      </c>
      <c r="F27" s="33" t="s">
        <v>66</v>
      </c>
      <c r="G27" s="2">
        <f>D27*E27</f>
        <v>250</v>
      </c>
      <c r="H27" s="36" t="s">
        <v>73</v>
      </c>
    </row>
    <row r="28" spans="1:8" x14ac:dyDescent="0.25">
      <c r="A28" s="84"/>
      <c r="B28" s="38" t="s">
        <v>170</v>
      </c>
      <c r="C28" s="38"/>
      <c r="D28" s="32">
        <v>125.4</v>
      </c>
      <c r="E28" s="33">
        <v>1</v>
      </c>
      <c r="F28" s="33" t="s">
        <v>171</v>
      </c>
      <c r="G28" s="2">
        <f t="shared" ref="G28:G50" si="0">D28*E28</f>
        <v>125.4</v>
      </c>
      <c r="H28" s="1"/>
    </row>
    <row r="29" spans="1:8" x14ac:dyDescent="0.25">
      <c r="A29" s="84"/>
      <c r="B29" s="38" t="s">
        <v>172</v>
      </c>
      <c r="C29" s="38"/>
      <c r="D29" s="32">
        <v>48.6</v>
      </c>
      <c r="E29" s="33">
        <v>2.17</v>
      </c>
      <c r="F29" s="33" t="s">
        <v>171</v>
      </c>
      <c r="G29" s="2">
        <f t="shared" si="0"/>
        <v>105.462</v>
      </c>
      <c r="H29" s="33"/>
    </row>
    <row r="30" spans="1:8" x14ac:dyDescent="0.25">
      <c r="A30" s="84"/>
      <c r="B30" s="38" t="s">
        <v>175</v>
      </c>
      <c r="C30" s="38"/>
      <c r="D30" s="32">
        <v>140</v>
      </c>
      <c r="E30" s="1">
        <v>1.5</v>
      </c>
      <c r="F30" s="1" t="s">
        <v>171</v>
      </c>
      <c r="G30" s="105">
        <f t="shared" si="0"/>
        <v>210</v>
      </c>
      <c r="H30" s="33"/>
    </row>
    <row r="31" spans="1:8" x14ac:dyDescent="0.25">
      <c r="A31" s="84"/>
      <c r="B31" s="60" t="s">
        <v>181</v>
      </c>
      <c r="C31" s="60"/>
      <c r="D31" s="58">
        <v>48</v>
      </c>
      <c r="E31" s="58">
        <v>0.5</v>
      </c>
      <c r="F31" s="58" t="s">
        <v>171</v>
      </c>
      <c r="G31" s="2">
        <f t="shared" si="0"/>
        <v>24</v>
      </c>
      <c r="H31" s="58"/>
    </row>
    <row r="32" spans="1:8" x14ac:dyDescent="0.25">
      <c r="A32" s="84"/>
      <c r="B32" s="60" t="s">
        <v>182</v>
      </c>
      <c r="C32" s="60"/>
      <c r="D32" s="58">
        <v>40.799999999999997</v>
      </c>
      <c r="E32" s="58">
        <v>1</v>
      </c>
      <c r="F32" s="58" t="s">
        <v>171</v>
      </c>
      <c r="G32" s="2">
        <f t="shared" si="0"/>
        <v>40.799999999999997</v>
      </c>
      <c r="H32" s="58"/>
    </row>
    <row r="33" spans="1:8" x14ac:dyDescent="0.25">
      <c r="A33" s="84"/>
      <c r="B33" s="60" t="s">
        <v>183</v>
      </c>
      <c r="C33" s="60"/>
      <c r="D33" s="58">
        <v>141</v>
      </c>
      <c r="E33" s="58">
        <v>3</v>
      </c>
      <c r="F33" s="58" t="s">
        <v>171</v>
      </c>
      <c r="G33" s="2">
        <f t="shared" si="0"/>
        <v>423</v>
      </c>
      <c r="H33" s="58"/>
    </row>
    <row r="34" spans="1:8" x14ac:dyDescent="0.25">
      <c r="A34" s="84"/>
      <c r="B34" s="60" t="s">
        <v>184</v>
      </c>
      <c r="C34" s="60"/>
      <c r="D34" s="58">
        <v>25.5</v>
      </c>
      <c r="E34" s="58">
        <v>11.84</v>
      </c>
      <c r="F34" s="58" t="s">
        <v>171</v>
      </c>
      <c r="G34" s="2">
        <f t="shared" si="0"/>
        <v>301.92</v>
      </c>
      <c r="H34" s="58"/>
    </row>
    <row r="35" spans="1:8" x14ac:dyDescent="0.25">
      <c r="A35" s="84"/>
      <c r="B35" s="60" t="s">
        <v>185</v>
      </c>
      <c r="C35" s="60"/>
      <c r="D35" s="58">
        <v>168</v>
      </c>
      <c r="E35" s="58">
        <v>4</v>
      </c>
      <c r="F35" s="58" t="s">
        <v>171</v>
      </c>
      <c r="G35" s="2">
        <f t="shared" si="0"/>
        <v>672</v>
      </c>
      <c r="H35" s="58"/>
    </row>
    <row r="36" spans="1:8" x14ac:dyDescent="0.25">
      <c r="A36" s="84"/>
      <c r="B36" s="60" t="s">
        <v>186</v>
      </c>
      <c r="C36" s="60"/>
      <c r="D36" s="58">
        <v>144</v>
      </c>
      <c r="E36" s="58">
        <v>4</v>
      </c>
      <c r="F36" s="58" t="s">
        <v>171</v>
      </c>
      <c r="G36" s="2">
        <f t="shared" si="0"/>
        <v>576</v>
      </c>
      <c r="H36" s="58"/>
    </row>
    <row r="37" spans="1:8" x14ac:dyDescent="0.25">
      <c r="A37" s="84"/>
      <c r="B37" s="60" t="s">
        <v>187</v>
      </c>
      <c r="C37" s="60"/>
      <c r="D37" s="58">
        <v>285</v>
      </c>
      <c r="E37" s="58">
        <v>1</v>
      </c>
      <c r="F37" s="58" t="s">
        <v>188</v>
      </c>
      <c r="G37" s="2">
        <f t="shared" si="0"/>
        <v>285</v>
      </c>
      <c r="H37" s="58"/>
    </row>
    <row r="38" spans="1:8" x14ac:dyDescent="0.25">
      <c r="A38" s="84"/>
      <c r="B38" s="60" t="s">
        <v>189</v>
      </c>
      <c r="C38" s="60"/>
      <c r="D38" s="58">
        <v>60</v>
      </c>
      <c r="E38" s="58">
        <v>1</v>
      </c>
      <c r="F38" s="58" t="s">
        <v>171</v>
      </c>
      <c r="G38" s="2">
        <f t="shared" si="0"/>
        <v>60</v>
      </c>
      <c r="H38" s="58"/>
    </row>
    <row r="39" spans="1:8" x14ac:dyDescent="0.25">
      <c r="A39" s="84"/>
      <c r="B39" s="60" t="s">
        <v>190</v>
      </c>
      <c r="C39" s="60"/>
      <c r="D39" s="58">
        <v>24</v>
      </c>
      <c r="E39" s="58">
        <v>30</v>
      </c>
      <c r="F39" s="58" t="s">
        <v>191</v>
      </c>
      <c r="G39" s="2">
        <f t="shared" si="0"/>
        <v>720</v>
      </c>
      <c r="H39" s="58"/>
    </row>
    <row r="40" spans="1:8" x14ac:dyDescent="0.25">
      <c r="A40" s="84"/>
      <c r="B40" s="60" t="s">
        <v>192</v>
      </c>
      <c r="C40" s="60"/>
      <c r="D40" s="58">
        <v>84</v>
      </c>
      <c r="E40" s="58">
        <v>3.34</v>
      </c>
      <c r="F40" s="58" t="s">
        <v>171</v>
      </c>
      <c r="G40" s="2">
        <f t="shared" si="0"/>
        <v>280.56</v>
      </c>
      <c r="H40" s="58"/>
    </row>
    <row r="41" spans="1:8" x14ac:dyDescent="0.25">
      <c r="A41" s="84"/>
      <c r="B41" s="60" t="s">
        <v>193</v>
      </c>
      <c r="C41" s="60"/>
      <c r="D41" s="58">
        <v>16</v>
      </c>
      <c r="E41" s="58">
        <v>2</v>
      </c>
      <c r="F41" s="58" t="s">
        <v>194</v>
      </c>
      <c r="G41" s="2">
        <f t="shared" si="0"/>
        <v>32</v>
      </c>
      <c r="H41" s="58"/>
    </row>
    <row r="42" spans="1:8" x14ac:dyDescent="0.25">
      <c r="A42" s="84"/>
      <c r="B42" s="60" t="s">
        <v>195</v>
      </c>
      <c r="C42" s="60"/>
      <c r="D42" s="58">
        <v>141</v>
      </c>
      <c r="E42" s="58">
        <v>3</v>
      </c>
      <c r="F42" s="58" t="s">
        <v>171</v>
      </c>
      <c r="G42" s="2">
        <f t="shared" si="0"/>
        <v>423</v>
      </c>
      <c r="H42" s="58"/>
    </row>
    <row r="43" spans="1:8" x14ac:dyDescent="0.25">
      <c r="A43" s="84"/>
      <c r="B43" s="60" t="s">
        <v>196</v>
      </c>
      <c r="C43" s="60"/>
      <c r="D43" s="58">
        <v>81</v>
      </c>
      <c r="E43" s="58">
        <v>3</v>
      </c>
      <c r="F43" s="58" t="s">
        <v>171</v>
      </c>
      <c r="G43" s="2">
        <f t="shared" si="0"/>
        <v>243</v>
      </c>
      <c r="H43" s="58"/>
    </row>
    <row r="44" spans="1:8" x14ac:dyDescent="0.25">
      <c r="A44" s="84"/>
      <c r="B44" s="60" t="s">
        <v>183</v>
      </c>
      <c r="C44" s="60"/>
      <c r="D44" s="58">
        <v>141</v>
      </c>
      <c r="E44" s="58">
        <v>3</v>
      </c>
      <c r="F44" s="58" t="s">
        <v>171</v>
      </c>
      <c r="G44" s="2">
        <f t="shared" si="0"/>
        <v>423</v>
      </c>
      <c r="H44" s="58"/>
    </row>
    <row r="45" spans="1:8" x14ac:dyDescent="0.25">
      <c r="A45" s="84"/>
      <c r="B45" s="60" t="s">
        <v>197</v>
      </c>
      <c r="C45" s="60"/>
      <c r="D45" s="58">
        <v>22.8</v>
      </c>
      <c r="E45" s="58">
        <v>3</v>
      </c>
      <c r="F45" s="58" t="s">
        <v>171</v>
      </c>
      <c r="G45" s="2">
        <f t="shared" si="0"/>
        <v>68.400000000000006</v>
      </c>
      <c r="H45" s="58"/>
    </row>
    <row r="46" spans="1:8" x14ac:dyDescent="0.25">
      <c r="A46" s="84"/>
      <c r="B46" s="60" t="s">
        <v>198</v>
      </c>
      <c r="C46" s="60"/>
      <c r="D46" s="58">
        <v>21</v>
      </c>
      <c r="E46" s="58">
        <v>3</v>
      </c>
      <c r="F46" s="58" t="s">
        <v>171</v>
      </c>
      <c r="G46" s="2">
        <f t="shared" si="0"/>
        <v>63</v>
      </c>
      <c r="H46" s="58"/>
    </row>
    <row r="47" spans="1:8" x14ac:dyDescent="0.25">
      <c r="A47" s="84"/>
      <c r="B47" s="60" t="s">
        <v>199</v>
      </c>
      <c r="C47" s="60"/>
      <c r="D47" s="58">
        <v>10</v>
      </c>
      <c r="E47" s="58">
        <v>20</v>
      </c>
      <c r="F47" s="58" t="s">
        <v>200</v>
      </c>
      <c r="G47" s="2">
        <f t="shared" si="0"/>
        <v>200</v>
      </c>
      <c r="H47" s="58"/>
    </row>
    <row r="48" spans="1:8" x14ac:dyDescent="0.25">
      <c r="A48" s="84"/>
      <c r="B48" s="60" t="s">
        <v>201</v>
      </c>
      <c r="C48" s="60"/>
      <c r="D48" s="58">
        <v>1188</v>
      </c>
      <c r="E48" s="58">
        <v>1</v>
      </c>
      <c r="F48" s="58" t="s">
        <v>178</v>
      </c>
      <c r="G48" s="2">
        <f t="shared" si="0"/>
        <v>1188</v>
      </c>
      <c r="H48" s="58"/>
    </row>
    <row r="49" spans="1:8" x14ac:dyDescent="0.25">
      <c r="A49" s="84"/>
      <c r="B49" s="60" t="s">
        <v>204</v>
      </c>
      <c r="C49" s="60"/>
      <c r="D49" s="58">
        <v>48</v>
      </c>
      <c r="E49" s="58">
        <v>1.34</v>
      </c>
      <c r="F49" s="58" t="s">
        <v>171</v>
      </c>
      <c r="G49" s="2">
        <f t="shared" si="0"/>
        <v>64.320000000000007</v>
      </c>
      <c r="H49" s="58"/>
    </row>
    <row r="50" spans="1:8" x14ac:dyDescent="0.25">
      <c r="A50" s="84"/>
      <c r="B50" s="60" t="s">
        <v>203</v>
      </c>
      <c r="C50" s="60"/>
      <c r="D50" s="58">
        <v>96.9</v>
      </c>
      <c r="E50" s="58">
        <v>3</v>
      </c>
      <c r="F50" s="58" t="s">
        <v>171</v>
      </c>
      <c r="G50" s="2">
        <f t="shared" si="0"/>
        <v>290.70000000000005</v>
      </c>
      <c r="H50" s="58"/>
    </row>
    <row r="51" spans="1:8" x14ac:dyDescent="0.25">
      <c r="A51" s="85"/>
      <c r="B51" s="91" t="s">
        <v>7</v>
      </c>
      <c r="C51" s="80"/>
      <c r="D51" s="81"/>
      <c r="E51" s="59"/>
      <c r="G51" s="104">
        <f>SUM(G24:G50)</f>
        <v>8127.9619999999995</v>
      </c>
      <c r="H51" s="33"/>
    </row>
    <row r="52" spans="1:8" x14ac:dyDescent="0.25">
      <c r="A52" s="1" t="s">
        <v>11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33" t="s">
        <v>5</v>
      </c>
      <c r="H52" s="33" t="s">
        <v>6</v>
      </c>
    </row>
    <row r="53" spans="1:8" x14ac:dyDescent="0.25">
      <c r="A53" s="83" t="s">
        <v>111</v>
      </c>
      <c r="B53" s="23" t="s">
        <v>112</v>
      </c>
      <c r="C53" s="23">
        <v>3</v>
      </c>
      <c r="D53" s="23">
        <v>101.4</v>
      </c>
      <c r="E53" s="23">
        <v>15</v>
      </c>
      <c r="F53" s="33" t="s">
        <v>17</v>
      </c>
      <c r="G53" s="1">
        <f>D53*E53</f>
        <v>1521</v>
      </c>
      <c r="H53" s="1"/>
    </row>
    <row r="54" spans="1:8" x14ac:dyDescent="0.25">
      <c r="A54" s="84"/>
      <c r="B54" s="38" t="s">
        <v>121</v>
      </c>
      <c r="C54" s="38" t="s">
        <v>122</v>
      </c>
      <c r="D54" s="32"/>
      <c r="E54" s="33"/>
      <c r="F54" s="33"/>
      <c r="G54" s="33">
        <f>D54*E54</f>
        <v>0</v>
      </c>
      <c r="H54" s="42" t="s">
        <v>122</v>
      </c>
    </row>
    <row r="55" spans="1:8" x14ac:dyDescent="0.25">
      <c r="A55" s="84"/>
      <c r="B55" s="1"/>
      <c r="C55" s="1"/>
      <c r="D55" s="1"/>
      <c r="E55" s="1"/>
      <c r="F55" s="3"/>
      <c r="G55" s="5"/>
      <c r="H55" s="1"/>
    </row>
    <row r="56" spans="1:8" x14ac:dyDescent="0.25">
      <c r="A56" s="85"/>
      <c r="B56" s="91" t="s">
        <v>7</v>
      </c>
      <c r="C56" s="80"/>
      <c r="D56" s="75"/>
      <c r="E56" s="32"/>
      <c r="F56" s="32"/>
      <c r="G56" s="14">
        <f>SUM(G53:G55)</f>
        <v>1521</v>
      </c>
      <c r="H56" s="33"/>
    </row>
    <row r="57" spans="1:8" x14ac:dyDescent="0.25">
      <c r="A57" s="1" t="s">
        <v>12</v>
      </c>
      <c r="B57" s="1" t="s">
        <v>1</v>
      </c>
      <c r="C57" s="1" t="s">
        <v>2</v>
      </c>
      <c r="D57" s="1" t="s">
        <v>3</v>
      </c>
      <c r="E57" s="3" t="s">
        <v>4</v>
      </c>
      <c r="F57" s="1"/>
      <c r="G57" s="3" t="s">
        <v>5</v>
      </c>
      <c r="H57" s="1" t="s">
        <v>6</v>
      </c>
    </row>
    <row r="58" spans="1:8" x14ac:dyDescent="0.25">
      <c r="A58" s="83"/>
      <c r="B58" s="1" t="s">
        <v>173</v>
      </c>
      <c r="C58" s="1"/>
      <c r="D58" s="1">
        <v>19.8</v>
      </c>
      <c r="E58" s="1">
        <v>65</v>
      </c>
      <c r="F58" s="3" t="s">
        <v>171</v>
      </c>
      <c r="G58" s="32">
        <f>D58*E58</f>
        <v>1287</v>
      </c>
      <c r="H58" s="33"/>
    </row>
    <row r="59" spans="1:8" x14ac:dyDescent="0.25">
      <c r="A59" s="84"/>
      <c r="B59" s="1" t="s">
        <v>202</v>
      </c>
      <c r="C59" s="1"/>
      <c r="D59" s="1">
        <v>31.68</v>
      </c>
      <c r="E59" s="58">
        <v>51.34</v>
      </c>
      <c r="F59" s="1" t="s">
        <v>171</v>
      </c>
      <c r="G59" s="105">
        <f>D59*E59</f>
        <v>1626.4512000000002</v>
      </c>
      <c r="H59" s="1"/>
    </row>
    <row r="60" spans="1:8" x14ac:dyDescent="0.25">
      <c r="A60" s="85"/>
      <c r="B60" s="73" t="s">
        <v>7</v>
      </c>
      <c r="C60" s="74"/>
      <c r="D60" s="75"/>
      <c r="E60" s="3"/>
      <c r="F60" s="1"/>
      <c r="G60" s="12">
        <f>SUM(G58:G59)</f>
        <v>2913.4512000000004</v>
      </c>
      <c r="H60" s="7"/>
    </row>
    <row r="61" spans="1:8" x14ac:dyDescent="0.25">
      <c r="A61" s="8" t="s">
        <v>13</v>
      </c>
      <c r="B61" s="1" t="s">
        <v>1</v>
      </c>
      <c r="C61" s="1" t="s">
        <v>2</v>
      </c>
      <c r="D61" s="1" t="s">
        <v>3</v>
      </c>
      <c r="E61" s="1" t="s">
        <v>4</v>
      </c>
      <c r="F61" s="1"/>
      <c r="G61" s="1" t="s">
        <v>5</v>
      </c>
      <c r="H61" s="33" t="s">
        <v>6</v>
      </c>
    </row>
    <row r="62" spans="1:8" x14ac:dyDescent="0.25">
      <c r="A62" s="83"/>
      <c r="B62" s="1" t="s">
        <v>176</v>
      </c>
      <c r="C62" s="1"/>
      <c r="D62" s="1">
        <v>45</v>
      </c>
      <c r="E62" s="58">
        <v>0.5</v>
      </c>
      <c r="F62" s="1" t="s">
        <v>171</v>
      </c>
      <c r="G62" s="1">
        <f>D62*E62</f>
        <v>22.5</v>
      </c>
      <c r="H62" s="1"/>
    </row>
    <row r="63" spans="1:8" x14ac:dyDescent="0.25">
      <c r="A63" s="84"/>
      <c r="B63" s="1" t="s">
        <v>177</v>
      </c>
      <c r="C63" s="1"/>
      <c r="D63" s="1">
        <v>587</v>
      </c>
      <c r="E63" s="58">
        <v>1</v>
      </c>
      <c r="F63" s="1" t="s">
        <v>178</v>
      </c>
      <c r="G63" s="58">
        <f t="shared" ref="G63:G65" si="1">D63*E63</f>
        <v>587</v>
      </c>
      <c r="H63" s="1"/>
    </row>
    <row r="64" spans="1:8" x14ac:dyDescent="0.25">
      <c r="A64" s="84"/>
      <c r="B64" s="1" t="s">
        <v>179</v>
      </c>
      <c r="C64" s="1"/>
      <c r="D64" s="1">
        <v>156</v>
      </c>
      <c r="E64" s="58">
        <v>1</v>
      </c>
      <c r="F64" s="58" t="s">
        <v>171</v>
      </c>
      <c r="G64" s="58">
        <f t="shared" si="1"/>
        <v>156</v>
      </c>
      <c r="H64" s="1"/>
    </row>
    <row r="65" spans="1:8" x14ac:dyDescent="0.25">
      <c r="A65" s="84"/>
      <c r="B65" s="1" t="s">
        <v>180</v>
      </c>
      <c r="C65" s="1"/>
      <c r="D65" s="1">
        <v>30.6</v>
      </c>
      <c r="E65" s="1">
        <v>1.17</v>
      </c>
      <c r="F65" s="58" t="s">
        <v>171</v>
      </c>
      <c r="G65" s="58">
        <f t="shared" si="1"/>
        <v>35.802</v>
      </c>
      <c r="H65" s="1"/>
    </row>
    <row r="66" spans="1:8" x14ac:dyDescent="0.25">
      <c r="A66" s="89" t="s">
        <v>144</v>
      </c>
      <c r="B66" s="73" t="s">
        <v>7</v>
      </c>
      <c r="C66" s="74"/>
      <c r="D66" s="75"/>
      <c r="E66" s="48"/>
      <c r="F66" s="44"/>
      <c r="G66" s="13">
        <f>SUM(G62:G65)</f>
        <v>801.30200000000002</v>
      </c>
      <c r="H66" s="48"/>
    </row>
    <row r="67" spans="1:8" ht="17.25" thickBot="1" x14ac:dyDescent="0.3">
      <c r="A67" s="90"/>
      <c r="B67" s="93" t="s">
        <v>14</v>
      </c>
      <c r="C67" s="94"/>
      <c r="D67" s="95"/>
      <c r="E67" s="50"/>
      <c r="F67" s="44"/>
      <c r="G67" s="45">
        <f>G66+G60+G56+G51+G22+G16+G9</f>
        <v>23428.495199999998</v>
      </c>
      <c r="H67" s="48"/>
    </row>
    <row r="68" spans="1:8" x14ac:dyDescent="0.25">
      <c r="A68" s="61" t="s">
        <v>123</v>
      </c>
      <c r="B68" s="76" t="s">
        <v>124</v>
      </c>
      <c r="C68" s="76"/>
      <c r="D68" s="76"/>
      <c r="E68" s="64" t="s">
        <v>125</v>
      </c>
      <c r="F68" s="65"/>
      <c r="G68" s="66"/>
      <c r="H68" s="57" t="s">
        <v>126</v>
      </c>
    </row>
    <row r="69" spans="1:8" x14ac:dyDescent="0.25">
      <c r="A69" s="62"/>
      <c r="B69" s="106" t="s">
        <v>205</v>
      </c>
      <c r="C69" s="77"/>
      <c r="D69" s="77"/>
      <c r="E69" s="55" t="s">
        <v>128</v>
      </c>
      <c r="F69" s="67"/>
      <c r="G69" s="68"/>
      <c r="H69" s="71"/>
    </row>
    <row r="70" spans="1:8" ht="53.25" customHeight="1" thickBot="1" x14ac:dyDescent="0.3">
      <c r="A70" s="63"/>
      <c r="B70" s="78"/>
      <c r="C70" s="78"/>
      <c r="D70" s="78"/>
      <c r="E70" s="56" t="s">
        <v>127</v>
      </c>
      <c r="F70" s="69">
        <v>180</v>
      </c>
      <c r="G70" s="70"/>
      <c r="H70" s="72"/>
    </row>
  </sheetData>
  <mergeCells count="24">
    <mergeCell ref="A1:H1"/>
    <mergeCell ref="B9:D9"/>
    <mergeCell ref="A11:A16"/>
    <mergeCell ref="B16:D16"/>
    <mergeCell ref="B66:D66"/>
    <mergeCell ref="B51:D51"/>
    <mergeCell ref="B56:D56"/>
    <mergeCell ref="A58:A60"/>
    <mergeCell ref="B60:D60"/>
    <mergeCell ref="A24:A51"/>
    <mergeCell ref="A3:A9"/>
    <mergeCell ref="A53:A56"/>
    <mergeCell ref="A18:A22"/>
    <mergeCell ref="B22:D22"/>
    <mergeCell ref="H69:H70"/>
    <mergeCell ref="F70:G70"/>
    <mergeCell ref="A62:A65"/>
    <mergeCell ref="A66:A67"/>
    <mergeCell ref="A68:A70"/>
    <mergeCell ref="B68:D68"/>
    <mergeCell ref="E68:G68"/>
    <mergeCell ref="B69:D70"/>
    <mergeCell ref="F69:G69"/>
    <mergeCell ref="B67:D6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opLeftCell="A23" workbookViewId="0">
      <selection activeCell="M46" sqref="M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79" t="s">
        <v>43</v>
      </c>
      <c r="B1" s="80"/>
      <c r="C1" s="80"/>
      <c r="D1" s="80"/>
      <c r="E1" s="80"/>
      <c r="F1" s="80"/>
      <c r="G1" s="80"/>
      <c r="H1" s="81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92"/>
      <c r="B3" s="1"/>
      <c r="C3" s="1"/>
      <c r="D3" s="1"/>
      <c r="E3" s="1"/>
      <c r="F3" s="28"/>
      <c r="G3" s="2">
        <f>D3*E3</f>
        <v>0</v>
      </c>
      <c r="H3" s="1"/>
    </row>
    <row r="4" spans="1:8" x14ac:dyDescent="0.25">
      <c r="A4" s="82"/>
      <c r="B4" s="1"/>
      <c r="C4" s="1"/>
      <c r="D4" s="1"/>
      <c r="E4" s="1"/>
      <c r="F4" s="31"/>
      <c r="G4" s="1"/>
      <c r="H4" s="1"/>
    </row>
    <row r="5" spans="1:8" x14ac:dyDescent="0.25">
      <c r="A5" s="82"/>
      <c r="B5" s="1"/>
      <c r="C5" s="1"/>
      <c r="D5" s="1"/>
      <c r="E5" s="1"/>
      <c r="F5" s="31"/>
      <c r="G5" s="1"/>
      <c r="H5" s="1"/>
    </row>
    <row r="6" spans="1:8" x14ac:dyDescent="0.25">
      <c r="A6" s="82"/>
      <c r="B6" s="1"/>
      <c r="C6" s="1"/>
      <c r="D6" s="1"/>
      <c r="E6" s="3"/>
      <c r="F6" s="27"/>
      <c r="G6" s="3"/>
      <c r="H6" s="1"/>
    </row>
    <row r="7" spans="1:8" x14ac:dyDescent="0.25">
      <c r="A7" s="82"/>
      <c r="B7" s="1"/>
      <c r="C7" s="1"/>
      <c r="D7" s="1"/>
      <c r="E7" s="3"/>
      <c r="F7" s="3"/>
      <c r="G7" s="3"/>
      <c r="H7" s="1"/>
    </row>
    <row r="8" spans="1:8" x14ac:dyDescent="0.25">
      <c r="A8" s="82"/>
      <c r="B8" s="73" t="s">
        <v>7</v>
      </c>
      <c r="C8" s="74"/>
      <c r="D8" s="75"/>
      <c r="E8" s="3"/>
      <c r="F8" s="3"/>
      <c r="G8" s="4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28"/>
      <c r="G9" s="1" t="s">
        <v>5</v>
      </c>
      <c r="H9" s="1" t="s">
        <v>6</v>
      </c>
    </row>
    <row r="10" spans="1:8" x14ac:dyDescent="0.25">
      <c r="A10" s="83"/>
      <c r="B10" s="23"/>
      <c r="C10" s="23"/>
      <c r="D10" s="23"/>
      <c r="E10" s="23"/>
      <c r="F10" s="31"/>
      <c r="G10" s="23">
        <f>D10*E10</f>
        <v>0</v>
      </c>
      <c r="H10" s="23"/>
    </row>
    <row r="11" spans="1:8" x14ac:dyDescent="0.25">
      <c r="A11" s="84"/>
      <c r="B11" s="1"/>
      <c r="C11" s="1"/>
      <c r="D11" s="1"/>
      <c r="E11" s="1"/>
      <c r="F11" s="11"/>
      <c r="G11" s="33">
        <f>D11*E11</f>
        <v>0</v>
      </c>
      <c r="H11" s="1"/>
    </row>
    <row r="12" spans="1:8" x14ac:dyDescent="0.25">
      <c r="A12" s="84"/>
      <c r="B12" s="1"/>
      <c r="C12" s="1"/>
      <c r="D12" s="1"/>
      <c r="E12" s="1"/>
      <c r="F12" s="11"/>
      <c r="G12" s="1"/>
      <c r="H12" s="1"/>
    </row>
    <row r="13" spans="1:8" x14ac:dyDescent="0.25">
      <c r="A13" s="84"/>
      <c r="B13" s="1"/>
      <c r="C13" s="1"/>
      <c r="D13" s="1"/>
      <c r="E13" s="1"/>
      <c r="F13" s="11"/>
      <c r="G13" s="1"/>
      <c r="H13" s="1"/>
    </row>
    <row r="14" spans="1:8" x14ac:dyDescent="0.25">
      <c r="A14" s="84"/>
      <c r="B14" s="1"/>
      <c r="C14" s="1"/>
      <c r="D14" s="1"/>
      <c r="E14" s="1"/>
      <c r="F14" s="11"/>
      <c r="G14" s="1"/>
      <c r="H14" s="1"/>
    </row>
    <row r="15" spans="1:8" x14ac:dyDescent="0.25">
      <c r="A15" s="84"/>
      <c r="B15" s="16"/>
      <c r="C15" s="1"/>
      <c r="D15" s="1"/>
      <c r="E15" s="1"/>
      <c r="F15" s="1"/>
      <c r="G15" s="1"/>
      <c r="H15" s="11"/>
    </row>
    <row r="16" spans="1:8" x14ac:dyDescent="0.25">
      <c r="A16" s="85"/>
      <c r="B16" s="73" t="s">
        <v>7</v>
      </c>
      <c r="C16" s="74"/>
      <c r="D16" s="75"/>
      <c r="E16" s="3"/>
      <c r="F16" s="3"/>
      <c r="G16" s="4">
        <f>SUM(G10:G15)</f>
        <v>0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82"/>
      <c r="B18" s="1"/>
      <c r="C18" s="1"/>
      <c r="D18" s="1"/>
      <c r="E18" s="1"/>
      <c r="F18" s="31"/>
      <c r="G18" s="1">
        <f>D18*E18</f>
        <v>0</v>
      </c>
      <c r="H18" s="1"/>
    </row>
    <row r="19" spans="1:8" x14ac:dyDescent="0.25">
      <c r="A19" s="82"/>
      <c r="B19" s="1"/>
      <c r="C19" s="1"/>
      <c r="D19" s="1"/>
      <c r="E19" s="1"/>
      <c r="F19" s="31"/>
      <c r="G19" s="33">
        <f>D19*E19</f>
        <v>0</v>
      </c>
      <c r="H19" s="1"/>
    </row>
    <row r="20" spans="1:8" x14ac:dyDescent="0.25">
      <c r="A20" s="82"/>
      <c r="B20" s="1"/>
      <c r="C20" s="1"/>
      <c r="D20" s="1"/>
      <c r="E20" s="1"/>
      <c r="F20" s="31"/>
      <c r="G20" s="1"/>
      <c r="H20" s="1"/>
    </row>
    <row r="21" spans="1:8" x14ac:dyDescent="0.25">
      <c r="A21" s="82"/>
      <c r="B21" s="1"/>
      <c r="C21" s="1"/>
      <c r="D21" s="1"/>
      <c r="E21" s="3"/>
      <c r="F21" s="3"/>
      <c r="G21" s="1"/>
      <c r="H21" s="1"/>
    </row>
    <row r="22" spans="1:8" x14ac:dyDescent="0.25">
      <c r="A22" s="82"/>
      <c r="B22" s="73" t="s">
        <v>7</v>
      </c>
      <c r="C22" s="74"/>
      <c r="D22" s="75"/>
      <c r="E22" s="3"/>
      <c r="F22" s="3"/>
      <c r="G22" s="5">
        <f>SUM(G18:G21)</f>
        <v>0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101"/>
      <c r="B24" s="16"/>
      <c r="C24" s="11"/>
      <c r="D24" s="11"/>
      <c r="E24" s="11"/>
      <c r="F24" s="28"/>
      <c r="G24" s="11">
        <f>D24*E24</f>
        <v>0</v>
      </c>
      <c r="H24" s="11"/>
    </row>
    <row r="25" spans="1:8" x14ac:dyDescent="0.25">
      <c r="A25" s="102"/>
      <c r="B25" s="11"/>
      <c r="C25" s="11"/>
      <c r="D25" s="11"/>
      <c r="E25" s="11"/>
      <c r="F25" s="28"/>
      <c r="G25" s="33">
        <f t="shared" ref="G25:G26" si="0">D25*E25</f>
        <v>0</v>
      </c>
      <c r="H25" s="11"/>
    </row>
    <row r="26" spans="1:8" x14ac:dyDescent="0.25">
      <c r="A26" s="102"/>
      <c r="B26" s="11"/>
      <c r="C26" s="11"/>
      <c r="D26" s="11"/>
      <c r="E26" s="11"/>
      <c r="F26" s="11"/>
      <c r="G26" s="33">
        <f t="shared" si="0"/>
        <v>0</v>
      </c>
      <c r="H26" s="1"/>
    </row>
    <row r="27" spans="1:8" x14ac:dyDescent="0.25">
      <c r="A27" s="102"/>
      <c r="B27" s="1"/>
      <c r="C27" s="1"/>
      <c r="D27" s="1"/>
      <c r="E27" s="1"/>
      <c r="F27" s="31"/>
      <c r="G27" s="1"/>
      <c r="H27" s="11"/>
    </row>
    <row r="28" spans="1:8" x14ac:dyDescent="0.25">
      <c r="A28" s="102"/>
      <c r="B28" s="1"/>
      <c r="C28" s="1"/>
      <c r="D28" s="1"/>
      <c r="E28" s="1"/>
      <c r="F28" s="31"/>
      <c r="G28" s="1"/>
      <c r="H28" s="11"/>
    </row>
    <row r="29" spans="1:8" x14ac:dyDescent="0.25">
      <c r="A29" s="102"/>
      <c r="B29" s="1"/>
      <c r="C29" s="1"/>
      <c r="D29" s="1"/>
      <c r="E29" s="1"/>
      <c r="F29" s="1"/>
      <c r="G29" s="1"/>
      <c r="H29" s="23"/>
    </row>
    <row r="30" spans="1:8" x14ac:dyDescent="0.25">
      <c r="A30" s="102"/>
      <c r="B30" s="1"/>
      <c r="C30" s="1"/>
      <c r="D30" s="1"/>
      <c r="E30" s="1"/>
      <c r="F30" s="1"/>
      <c r="G30" s="1"/>
      <c r="H30" s="1"/>
    </row>
    <row r="31" spans="1:8" x14ac:dyDescent="0.25">
      <c r="A31" s="103"/>
      <c r="B31" s="73" t="s">
        <v>7</v>
      </c>
      <c r="C31" s="74"/>
      <c r="D31" s="75"/>
      <c r="E31" s="3"/>
      <c r="F31" s="3"/>
      <c r="G31" s="3">
        <f>SUM(G24:G30)</f>
        <v>0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82"/>
      <c r="B33" s="1"/>
      <c r="C33" s="1"/>
      <c r="D33" s="1"/>
      <c r="E33" s="1"/>
      <c r="F33" s="31"/>
      <c r="G33" s="1">
        <f>D33*E33</f>
        <v>0</v>
      </c>
      <c r="H33" s="1"/>
    </row>
    <row r="34" spans="1:8" x14ac:dyDescent="0.25">
      <c r="A34" s="82"/>
      <c r="B34" s="1"/>
      <c r="C34" s="1"/>
      <c r="D34" s="1"/>
      <c r="E34" s="1"/>
      <c r="F34" s="31"/>
      <c r="G34" s="33">
        <f>D34*E34</f>
        <v>0</v>
      </c>
      <c r="H34" s="1"/>
    </row>
    <row r="35" spans="1:8" x14ac:dyDescent="0.25">
      <c r="A35" s="82"/>
      <c r="B35" s="1"/>
      <c r="C35" s="1"/>
      <c r="D35" s="1"/>
      <c r="E35" s="1"/>
      <c r="F35" s="1"/>
      <c r="G35" s="1"/>
      <c r="H35" s="1"/>
    </row>
    <row r="36" spans="1:8" x14ac:dyDescent="0.25">
      <c r="A36" s="82"/>
      <c r="B36" s="73" t="s">
        <v>7</v>
      </c>
      <c r="C36" s="74"/>
      <c r="D36" s="75"/>
      <c r="E36" s="3"/>
      <c r="F36" s="3"/>
      <c r="G36" s="5">
        <f>SUM(G33:G35)</f>
        <v>0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83"/>
      <c r="B38" s="1"/>
      <c r="C38" s="1"/>
      <c r="D38" s="1"/>
      <c r="E38" s="1"/>
      <c r="F38" s="1"/>
      <c r="G38" s="1"/>
      <c r="H38" s="1"/>
    </row>
    <row r="39" spans="1:8" x14ac:dyDescent="0.25">
      <c r="A39" s="84"/>
      <c r="B39" s="1"/>
      <c r="C39" s="1"/>
      <c r="D39" s="1"/>
      <c r="E39" s="1"/>
      <c r="F39" s="1"/>
      <c r="G39" s="2"/>
      <c r="H39" s="1"/>
    </row>
    <row r="40" spans="1:8" x14ac:dyDescent="0.25">
      <c r="A40" s="85"/>
      <c r="B40" s="73" t="s">
        <v>7</v>
      </c>
      <c r="C40" s="74"/>
      <c r="D40" s="75"/>
      <c r="E40" s="3"/>
      <c r="F40" s="3"/>
      <c r="G40" s="4">
        <f>SUM(G38:G39)</f>
        <v>0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83"/>
      <c r="B42" s="1"/>
      <c r="C42" s="1"/>
      <c r="D42" s="1"/>
      <c r="E42" s="1"/>
      <c r="F42" s="1"/>
      <c r="G42" s="1"/>
      <c r="H42" s="1"/>
    </row>
    <row r="43" spans="1:8" x14ac:dyDescent="0.25">
      <c r="A43" s="84"/>
      <c r="B43" s="1"/>
      <c r="C43" s="1"/>
      <c r="D43" s="1"/>
      <c r="E43" s="1"/>
      <c r="F43" s="1"/>
      <c r="G43" s="1"/>
      <c r="H43" s="1"/>
    </row>
    <row r="44" spans="1:8" x14ac:dyDescent="0.25">
      <c r="A44" s="84"/>
      <c r="B44" s="1"/>
      <c r="C44" s="1"/>
      <c r="D44" s="1"/>
      <c r="E44" s="1"/>
      <c r="F44" s="1"/>
      <c r="G44" s="1"/>
      <c r="H44" s="1"/>
    </row>
    <row r="45" spans="1:8" x14ac:dyDescent="0.25">
      <c r="A45" s="85"/>
      <c r="B45" s="1"/>
      <c r="C45" s="1"/>
      <c r="D45" s="1"/>
      <c r="E45" s="1"/>
      <c r="F45" s="1"/>
      <c r="G45" s="1"/>
      <c r="H45" s="1"/>
    </row>
    <row r="46" spans="1:8" ht="16.5" customHeight="1" x14ac:dyDescent="0.25">
      <c r="A46" s="99" t="s">
        <v>129</v>
      </c>
      <c r="B46" s="73" t="s">
        <v>7</v>
      </c>
      <c r="C46" s="74"/>
      <c r="D46" s="75"/>
      <c r="E46" s="48"/>
      <c r="F46" s="44"/>
      <c r="G46" s="13">
        <f>SUM(G39:G45)</f>
        <v>0</v>
      </c>
      <c r="H46" s="48"/>
    </row>
    <row r="47" spans="1:8" ht="17.25" thickBot="1" x14ac:dyDescent="0.3">
      <c r="A47" s="100"/>
      <c r="B47" s="93" t="s">
        <v>14</v>
      </c>
      <c r="C47" s="94"/>
      <c r="D47" s="95"/>
      <c r="E47" s="50"/>
      <c r="F47" s="44"/>
      <c r="G47" s="45">
        <f>G46+G40+G36+G31+G22+G16+G8</f>
        <v>0</v>
      </c>
      <c r="H47" s="48"/>
    </row>
    <row r="48" spans="1:8" x14ac:dyDescent="0.25">
      <c r="A48" s="61" t="s">
        <v>123</v>
      </c>
      <c r="B48" s="76" t="s">
        <v>124</v>
      </c>
      <c r="C48" s="76"/>
      <c r="D48" s="76"/>
      <c r="E48" s="64" t="s">
        <v>125</v>
      </c>
      <c r="F48" s="65"/>
      <c r="G48" s="66"/>
      <c r="H48" s="57" t="s">
        <v>126</v>
      </c>
    </row>
    <row r="49" spans="1:8" x14ac:dyDescent="0.25">
      <c r="A49" s="62"/>
      <c r="B49" s="77"/>
      <c r="C49" s="77"/>
      <c r="D49" s="77"/>
      <c r="E49" s="55" t="s">
        <v>128</v>
      </c>
      <c r="F49" s="67"/>
      <c r="G49" s="68"/>
      <c r="H49" s="71"/>
    </row>
    <row r="50" spans="1:8" ht="17.25" thickBot="1" x14ac:dyDescent="0.3">
      <c r="A50" s="63"/>
      <c r="B50" s="78"/>
      <c r="C50" s="78"/>
      <c r="D50" s="78"/>
      <c r="E50" s="56" t="s">
        <v>127</v>
      </c>
      <c r="F50" s="69"/>
      <c r="G50" s="70"/>
      <c r="H50" s="72"/>
    </row>
  </sheetData>
  <mergeCells count="24">
    <mergeCell ref="A18:A22"/>
    <mergeCell ref="B22:D22"/>
    <mergeCell ref="A1:H1"/>
    <mergeCell ref="A3:A8"/>
    <mergeCell ref="B8:D8"/>
    <mergeCell ref="B16:D16"/>
    <mergeCell ref="A10:A16"/>
    <mergeCell ref="B31:D31"/>
    <mergeCell ref="A33:A36"/>
    <mergeCell ref="B36:D36"/>
    <mergeCell ref="A38:A40"/>
    <mergeCell ref="B40:D40"/>
    <mergeCell ref="A24:A31"/>
    <mergeCell ref="H49:H50"/>
    <mergeCell ref="F50:G50"/>
    <mergeCell ref="A42:A45"/>
    <mergeCell ref="A48:A50"/>
    <mergeCell ref="B48:D48"/>
    <mergeCell ref="E48:G48"/>
    <mergeCell ref="B49:D50"/>
    <mergeCell ref="F49:G49"/>
    <mergeCell ref="B46:D46"/>
    <mergeCell ref="B47:D47"/>
    <mergeCell ref="A46:A4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1222+</vt:lpstr>
      <vt:lpstr>1223+</vt:lpstr>
      <vt:lpstr>1224+</vt:lpstr>
      <vt:lpstr>1226+</vt:lpstr>
      <vt:lpstr>0000</vt:lpstr>
      <vt:lpstr>'1222+'!Print_Area</vt:lpstr>
      <vt:lpstr>'1223+'!Print_Area</vt:lpstr>
      <vt:lpstr>'1224+'!Print_Area</vt:lpstr>
      <vt:lpstr>'1226+'!Print_Area</vt:lpstr>
      <vt:lpstr>'1226+'!Print_Titles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2025-12-29T00:47:54Z</cp:lastPrinted>
  <dcterms:created xsi:type="dcterms:W3CDTF">2025-02-19T17:01:12Z</dcterms:created>
  <dcterms:modified xsi:type="dcterms:W3CDTF">2025-12-29T00:48:02Z</dcterms:modified>
</cp:coreProperties>
</file>