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1月份\"/>
    </mc:Choice>
  </mc:AlternateContent>
  <bookViews>
    <workbookView xWindow="0" yWindow="0" windowWidth="28800" windowHeight="12255" activeTab="4"/>
  </bookViews>
  <sheets>
    <sheet name="0120" sheetId="1" r:id="rId1"/>
    <sheet name="0121" sheetId="2" r:id="rId2"/>
    <sheet name="0122" sheetId="3" r:id="rId3"/>
    <sheet name="0123" sheetId="4" r:id="rId4"/>
    <sheet name="0124" sheetId="5" r:id="rId5"/>
  </sheets>
  <definedNames>
    <definedName name="_xlnm.Print_Area" localSheetId="0">'0120'!$A$1:$H$48</definedName>
    <definedName name="_xlnm.Print_Area" localSheetId="1">'0121'!$A$1:$H$48</definedName>
    <definedName name="_xlnm.Print_Area" localSheetId="2">'0122'!$A$1:$H$55</definedName>
    <definedName name="_xlnm.Print_Area" localSheetId="3">'0123'!$A$1:$H$43</definedName>
    <definedName name="_xlnm.Print_Area" localSheetId="4">'0124'!$A$1:$H$46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6" i="5" l="1"/>
  <c r="G45" i="5"/>
  <c r="G42" i="5"/>
  <c r="G43" i="5"/>
  <c r="G44" i="5"/>
  <c r="G41" i="5"/>
  <c r="G29" i="5"/>
  <c r="G30" i="5"/>
  <c r="G28" i="5"/>
  <c r="G27" i="5"/>
  <c r="G26" i="5"/>
  <c r="G35" i="5"/>
  <c r="G33" i="5"/>
  <c r="G39" i="5"/>
  <c r="G38" i="5"/>
  <c r="G37" i="5"/>
  <c r="G20" i="5"/>
  <c r="G17" i="5"/>
  <c r="G18" i="5"/>
  <c r="G16" i="5"/>
  <c r="G4" i="5"/>
  <c r="G5" i="5"/>
  <c r="G6" i="5"/>
  <c r="G7" i="5" s="1"/>
  <c r="G3" i="5"/>
  <c r="G14" i="5"/>
  <c r="G10" i="5"/>
  <c r="G11" i="5"/>
  <c r="G9" i="5"/>
  <c r="G23" i="5"/>
  <c r="G24" i="5"/>
  <c r="G25" i="5"/>
  <c r="G22" i="5"/>
  <c r="G43" i="4" l="1"/>
  <c r="G36" i="4"/>
  <c r="G35" i="4"/>
  <c r="G40" i="4"/>
  <c r="G41" i="4"/>
  <c r="G42" i="4"/>
  <c r="G39" i="4"/>
  <c r="G27" i="4"/>
  <c r="G23" i="4"/>
  <c r="G24" i="4"/>
  <c r="G25" i="4"/>
  <c r="G26" i="4"/>
  <c r="G22" i="4"/>
  <c r="G10" i="4"/>
  <c r="G14" i="4" s="1"/>
  <c r="G11" i="4"/>
  <c r="G9" i="4"/>
  <c r="G38" i="4"/>
  <c r="G34" i="4"/>
  <c r="G32" i="4"/>
  <c r="G30" i="4"/>
  <c r="G29" i="4"/>
  <c r="G20" i="4"/>
  <c r="G17" i="4"/>
  <c r="G16" i="4"/>
  <c r="G7" i="4"/>
  <c r="G3" i="4"/>
  <c r="G45" i="3" l="1"/>
  <c r="G20" i="3"/>
  <c r="G16" i="3"/>
  <c r="G54" i="3"/>
  <c r="G46" i="3"/>
  <c r="G55" i="3" s="1"/>
  <c r="G44" i="3"/>
  <c r="G53" i="3"/>
  <c r="G52" i="3"/>
  <c r="G14" i="3"/>
  <c r="G28" i="3"/>
  <c r="G35" i="3"/>
  <c r="G33" i="3"/>
  <c r="G34" i="3"/>
  <c r="G42" i="3"/>
  <c r="G38" i="3"/>
  <c r="G39" i="3"/>
  <c r="G40" i="3"/>
  <c r="G41" i="3"/>
  <c r="G43" i="3"/>
  <c r="G37" i="3"/>
  <c r="G50" i="3"/>
  <c r="G51" i="3"/>
  <c r="G10" i="3"/>
  <c r="G9" i="3"/>
  <c r="G23" i="3"/>
  <c r="G24" i="3"/>
  <c r="G25" i="3"/>
  <c r="G26" i="3"/>
  <c r="G27" i="3"/>
  <c r="G22" i="3"/>
  <c r="G49" i="3"/>
  <c r="G48" i="3"/>
  <c r="G31" i="3" l="1"/>
  <c r="G32" i="3"/>
  <c r="G30" i="3"/>
  <c r="G48" i="2"/>
  <c r="G47" i="2"/>
  <c r="G31" i="2"/>
  <c r="G30" i="2"/>
  <c r="G29" i="2"/>
  <c r="G24" i="2"/>
  <c r="G41" i="2"/>
  <c r="G39" i="2"/>
  <c r="G40" i="2"/>
  <c r="G38" i="2"/>
  <c r="G43" i="2"/>
  <c r="G36" i="2"/>
  <c r="G34" i="2"/>
  <c r="G33" i="2"/>
  <c r="G22" i="2"/>
  <c r="G14" i="2"/>
  <c r="G10" i="2"/>
  <c r="G11" i="2"/>
  <c r="G12" i="2"/>
  <c r="G9" i="2"/>
  <c r="G7" i="2"/>
  <c r="G4" i="2"/>
  <c r="G25" i="2"/>
  <c r="G26" i="2"/>
  <c r="G27" i="2"/>
  <c r="G28" i="2"/>
  <c r="G3" i="2"/>
  <c r="G17" i="2"/>
  <c r="G18" i="2"/>
  <c r="G19" i="2"/>
  <c r="G20" i="2"/>
  <c r="G16" i="2"/>
  <c r="G32" i="1" l="1"/>
  <c r="G48" i="1"/>
  <c r="G47" i="1"/>
  <c r="G41" i="1"/>
  <c r="G40" i="1"/>
  <c r="G37" i="1"/>
  <c r="G35" i="1"/>
  <c r="G34" i="1"/>
  <c r="G20" i="1"/>
  <c r="G17" i="1"/>
  <c r="G18" i="1"/>
  <c r="G19" i="1"/>
  <c r="G16" i="1"/>
  <c r="G14" i="1"/>
  <c r="G10" i="1"/>
  <c r="G11" i="1"/>
  <c r="G12" i="1"/>
  <c r="G9" i="1"/>
  <c r="G29" i="1"/>
  <c r="G28" i="1"/>
  <c r="G27" i="1"/>
  <c r="G26" i="1"/>
  <c r="G25" i="1"/>
  <c r="G24" i="1"/>
  <c r="G44" i="1" l="1"/>
  <c r="G43" i="1"/>
  <c r="G7" i="1"/>
  <c r="G3" i="1"/>
  <c r="G23" i="1"/>
  <c r="G22" i="1"/>
  <c r="G39" i="1"/>
  <c r="G7" i="3"/>
  <c r="G3" i="3"/>
</calcChain>
</file>

<file path=xl/sharedStrings.xml><?xml version="1.0" encoding="utf-8"?>
<sst xmlns="http://schemas.openxmlformats.org/spreadsheetml/2006/main" count="586" uniqueCount="226">
  <si>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</si>
  <si>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</si>
  <si>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</si>
  <si>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</si>
  <si>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</si>
  <si>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</si>
  <si>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</si>
  <si>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</si>
  <si>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</si>
  <si>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</si>
  <si>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</si>
  <si>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</si>
  <si>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</si>
  <si>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</si>
  <si>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114年      1月   20日      午餐明細表</t>
    <phoneticPr fontId="2" type="noConversion"/>
  </si>
  <si>
    <t>電訊科技中心(安康營區)     114年      1月   21日      午餐明細表</t>
    <phoneticPr fontId="2" type="noConversion"/>
  </si>
  <si>
    <t>電訊科技中心(安康營區)     114年      1月   22日      午餐明細表</t>
    <phoneticPr fontId="2" type="noConversion"/>
  </si>
  <si>
    <t>電訊科技中心(安康營區)     114年      1月   23日      午餐明細表</t>
    <phoneticPr fontId="2" type="noConversion"/>
  </si>
  <si>
    <t>電訊科技中心(安康營區)     114年      1月   24日      午餐明細表</t>
    <phoneticPr fontId="2" type="noConversion"/>
  </si>
  <si>
    <t>起司豬排</t>
    <phoneticPr fontId="2" type="noConversion"/>
  </si>
  <si>
    <t>毛豆炒肉末</t>
    <phoneticPr fontId="2" type="noConversion"/>
  </si>
  <si>
    <t>青椒炒甜條</t>
    <phoneticPr fontId="2" type="noConversion"/>
  </si>
  <si>
    <t>味增貢丸湯</t>
    <phoneticPr fontId="2" type="noConversion"/>
  </si>
  <si>
    <t>味增</t>
    <phoneticPr fontId="2" type="noConversion"/>
  </si>
  <si>
    <t>小貢丸</t>
    <phoneticPr fontId="2" type="noConversion"/>
  </si>
  <si>
    <t>3包</t>
    <phoneticPr fontId="2" type="noConversion"/>
  </si>
  <si>
    <t>1箱</t>
    <phoneticPr fontId="2" type="noConversion"/>
  </si>
  <si>
    <t>250片</t>
    <phoneticPr fontId="2" type="noConversion"/>
  </si>
  <si>
    <t>冷凍毛豆仁</t>
    <phoneticPr fontId="2" type="noConversion"/>
  </si>
  <si>
    <t>絞肉</t>
    <phoneticPr fontId="2" type="noConversion"/>
  </si>
  <si>
    <t>冷凍玉米粒</t>
    <phoneticPr fontId="2" type="noConversion"/>
  </si>
  <si>
    <t>豆乾丁</t>
    <phoneticPr fontId="2" type="noConversion"/>
  </si>
  <si>
    <t>1件</t>
    <phoneticPr fontId="2" type="noConversion"/>
  </si>
  <si>
    <t>15斤</t>
    <phoneticPr fontId="2" type="noConversion"/>
  </si>
  <si>
    <t>5斤</t>
    <phoneticPr fontId="2" type="noConversion"/>
  </si>
  <si>
    <t>青椒絲</t>
    <phoneticPr fontId="2" type="noConversion"/>
  </si>
  <si>
    <t>甜不辣條</t>
    <phoneticPr fontId="2" type="noConversion"/>
  </si>
  <si>
    <t>木耳絲</t>
    <phoneticPr fontId="2" type="noConversion"/>
  </si>
  <si>
    <t>去皮洋蔥</t>
    <phoneticPr fontId="2" type="noConversion"/>
  </si>
  <si>
    <t>25斤</t>
    <phoneticPr fontId="2" type="noConversion"/>
  </si>
  <si>
    <t>10斤</t>
    <phoneticPr fontId="2" type="noConversion"/>
  </si>
  <si>
    <t>4斤</t>
    <phoneticPr fontId="2" type="noConversion"/>
  </si>
  <si>
    <t>醬燒雞丁</t>
    <phoneticPr fontId="2" type="noConversion"/>
  </si>
  <si>
    <t>絲瓜油條</t>
    <phoneticPr fontId="2" type="noConversion"/>
  </si>
  <si>
    <t>馬鈴薯烘蛋</t>
    <phoneticPr fontId="2" type="noConversion"/>
  </si>
  <si>
    <t>冬瓜海結湯</t>
    <phoneticPr fontId="2" type="noConversion"/>
  </si>
  <si>
    <t>去皮冬瓜</t>
    <phoneticPr fontId="2" type="noConversion"/>
  </si>
  <si>
    <t>海帶結</t>
    <phoneticPr fontId="2" type="noConversion"/>
  </si>
  <si>
    <t>20斤</t>
    <phoneticPr fontId="2" type="noConversion"/>
  </si>
  <si>
    <t>骨腿丁</t>
    <phoneticPr fontId="2" type="noConversion"/>
  </si>
  <si>
    <t>70斤</t>
    <phoneticPr fontId="2" type="noConversion"/>
  </si>
  <si>
    <t>10斤</t>
    <phoneticPr fontId="2" type="noConversion"/>
  </si>
  <si>
    <t>去皮絲瓜</t>
    <phoneticPr fontId="2" type="noConversion"/>
  </si>
  <si>
    <t>老油條</t>
    <phoneticPr fontId="2" type="noConversion"/>
  </si>
  <si>
    <t>川耳</t>
    <phoneticPr fontId="2" type="noConversion"/>
  </si>
  <si>
    <t>紅蘿蔔</t>
    <phoneticPr fontId="2" type="noConversion"/>
  </si>
  <si>
    <t>2斤</t>
    <phoneticPr fontId="2" type="noConversion"/>
  </si>
  <si>
    <t>4斤</t>
    <phoneticPr fontId="2" type="noConversion"/>
  </si>
  <si>
    <t>25根</t>
    <phoneticPr fontId="2" type="noConversion"/>
  </si>
  <si>
    <t>50斤</t>
    <phoneticPr fontId="2" type="noConversion"/>
  </si>
  <si>
    <t>冷凍洋芋丁</t>
    <phoneticPr fontId="2" type="noConversion"/>
  </si>
  <si>
    <t>培根碎</t>
    <phoneticPr fontId="2" type="noConversion"/>
  </si>
  <si>
    <t>起司絲</t>
    <phoneticPr fontId="2" type="noConversion"/>
  </si>
  <si>
    <t>牛奶</t>
    <phoneticPr fontId="2" type="noConversion"/>
  </si>
  <si>
    <t>蛋</t>
    <phoneticPr fontId="2" type="noConversion"/>
  </si>
  <si>
    <t>3瓶</t>
    <phoneticPr fontId="2" type="noConversion"/>
  </si>
  <si>
    <t>5包</t>
    <phoneticPr fontId="2" type="noConversion"/>
  </si>
  <si>
    <t>1包</t>
    <phoneticPr fontId="2" type="noConversion"/>
  </si>
  <si>
    <t>美式豬肋排</t>
    <phoneticPr fontId="2" type="noConversion"/>
  </si>
  <si>
    <t>三杯中卷</t>
    <phoneticPr fontId="2" type="noConversion"/>
  </si>
  <si>
    <t>珍珠丸子</t>
    <phoneticPr fontId="2" type="noConversion"/>
  </si>
  <si>
    <t>火鍋</t>
    <phoneticPr fontId="2" type="noConversion"/>
  </si>
  <si>
    <t>奶酪</t>
    <phoneticPr fontId="2" type="noConversion"/>
  </si>
  <si>
    <t>烤雞腿</t>
    <phoneticPr fontId="2" type="noConversion"/>
  </si>
  <si>
    <t>泰式豆包</t>
    <phoneticPr fontId="2" type="noConversion"/>
  </si>
  <si>
    <t>玉米絞肉</t>
    <phoneticPr fontId="2" type="noConversion"/>
  </si>
  <si>
    <t>竹筍排骨湯</t>
    <phoneticPr fontId="2" type="noConversion"/>
  </si>
  <si>
    <t>桶筍片</t>
    <phoneticPr fontId="2" type="noConversion"/>
  </si>
  <si>
    <t>軟骨排</t>
    <phoneticPr fontId="2" type="noConversion"/>
  </si>
  <si>
    <t>棒腿</t>
    <phoneticPr fontId="2" type="noConversion"/>
  </si>
  <si>
    <t>豆包</t>
    <phoneticPr fontId="2" type="noConversion"/>
  </si>
  <si>
    <t>燒雞醬</t>
    <phoneticPr fontId="2" type="noConversion"/>
  </si>
  <si>
    <t>去皮洋蔥</t>
    <phoneticPr fontId="2" type="noConversion"/>
  </si>
  <si>
    <t>冷凍玉米粒</t>
    <phoneticPr fontId="2" type="noConversion"/>
  </si>
  <si>
    <t>絞肉</t>
    <phoneticPr fontId="2" type="noConversion"/>
  </si>
  <si>
    <t>260隻</t>
    <phoneticPr fontId="2" type="noConversion"/>
  </si>
  <si>
    <t>2瓶</t>
    <phoneticPr fontId="2" type="noConversion"/>
  </si>
  <si>
    <t>6斤</t>
    <phoneticPr fontId="2" type="noConversion"/>
  </si>
  <si>
    <t>1件</t>
    <phoneticPr fontId="2" type="noConversion"/>
  </si>
  <si>
    <t>15斤</t>
    <phoneticPr fontId="2" type="noConversion"/>
  </si>
  <si>
    <t>蔥爆肉片</t>
    <phoneticPr fontId="2" type="noConversion"/>
  </si>
  <si>
    <t>油豆腐鳥蛋</t>
    <phoneticPr fontId="2" type="noConversion"/>
  </si>
  <si>
    <t>大黃瓜炒竹輪</t>
    <phoneticPr fontId="2" type="noConversion"/>
  </si>
  <si>
    <t>紅豆湯圓</t>
    <phoneticPr fontId="2" type="noConversion"/>
  </si>
  <si>
    <t>紅豆</t>
    <phoneticPr fontId="2" type="noConversion"/>
  </si>
  <si>
    <t>紅白小湯圓</t>
    <phoneticPr fontId="2" type="noConversion"/>
  </si>
  <si>
    <t>庫存</t>
    <phoneticPr fontId="2" type="noConversion"/>
  </si>
  <si>
    <t>豬肉片</t>
    <phoneticPr fontId="2" type="noConversion"/>
  </si>
  <si>
    <t>五花肉片</t>
    <phoneticPr fontId="2" type="noConversion"/>
  </si>
  <si>
    <t>薑絲</t>
    <phoneticPr fontId="2" type="noConversion"/>
  </si>
  <si>
    <t>1斤</t>
    <phoneticPr fontId="2" type="noConversion"/>
  </si>
  <si>
    <t>25斤</t>
    <phoneticPr fontId="2" type="noConversion"/>
  </si>
  <si>
    <t>油豆腐丁</t>
    <phoneticPr fontId="2" type="noConversion"/>
  </si>
  <si>
    <t>鳥蛋</t>
    <phoneticPr fontId="2" type="noConversion"/>
  </si>
  <si>
    <t>杏鮑菇</t>
    <phoneticPr fontId="2" type="noConversion"/>
  </si>
  <si>
    <t>10斤</t>
    <phoneticPr fontId="2" type="noConversion"/>
  </si>
  <si>
    <t>500顆</t>
    <phoneticPr fontId="2" type="noConversion"/>
  </si>
  <si>
    <t>20斤</t>
    <phoneticPr fontId="2" type="noConversion"/>
  </si>
  <si>
    <t>去皮大黃瓜</t>
    <phoneticPr fontId="2" type="noConversion"/>
  </si>
  <si>
    <t>竹輪</t>
    <phoneticPr fontId="2" type="noConversion"/>
  </si>
  <si>
    <t>川耳</t>
    <phoneticPr fontId="2" type="noConversion"/>
  </si>
  <si>
    <t>3斤</t>
    <phoneticPr fontId="2" type="noConversion"/>
  </si>
  <si>
    <t>8包</t>
    <phoneticPr fontId="2" type="noConversion"/>
  </si>
  <si>
    <t>40斤</t>
    <phoneticPr fontId="2" type="noConversion"/>
  </si>
  <si>
    <t>訂貨數量</t>
    <phoneticPr fontId="2" type="noConversion"/>
  </si>
  <si>
    <t>上排</t>
    <phoneticPr fontId="2" type="noConversion"/>
  </si>
  <si>
    <t>椪柑</t>
    <phoneticPr fontId="2" type="noConversion"/>
  </si>
  <si>
    <t>蒜泥</t>
    <phoneticPr fontId="2" type="noConversion"/>
  </si>
  <si>
    <t>薑泥</t>
    <phoneticPr fontId="2" type="noConversion"/>
  </si>
  <si>
    <t>斤</t>
  </si>
  <si>
    <t>斤</t>
    <phoneticPr fontId="2" type="noConversion"/>
  </si>
  <si>
    <t>件</t>
    <phoneticPr fontId="2" type="noConversion"/>
  </si>
  <si>
    <t>小籠湯包</t>
    <phoneticPr fontId="2" type="noConversion"/>
  </si>
  <si>
    <t>個</t>
    <phoneticPr fontId="2" type="noConversion"/>
  </si>
  <si>
    <t>年糕</t>
    <phoneticPr fontId="2" type="noConversion"/>
  </si>
  <si>
    <t>蒜仁</t>
  </si>
  <si>
    <t>辣椒</t>
  </si>
  <si>
    <t>洗選蛋</t>
  </si>
  <si>
    <t>老薑</t>
  </si>
  <si>
    <t>杏鮑菇</t>
  </si>
  <si>
    <t>青蔥</t>
  </si>
  <si>
    <t>包</t>
    <phoneticPr fontId="2" type="noConversion"/>
  </si>
  <si>
    <t>油菜</t>
    <phoneticPr fontId="2" type="noConversion"/>
  </si>
  <si>
    <t>訂貨數量</t>
    <phoneticPr fontId="2" type="noConversion"/>
  </si>
  <si>
    <t>條</t>
    <phoneticPr fontId="2" type="noConversion"/>
  </si>
  <si>
    <t>包</t>
    <phoneticPr fontId="2" type="noConversion"/>
  </si>
  <si>
    <t>斤</t>
    <phoneticPr fontId="2" type="noConversion"/>
  </si>
  <si>
    <t>瓶</t>
    <phoneticPr fontId="2" type="noConversion"/>
  </si>
  <si>
    <t>火腿片</t>
    <phoneticPr fontId="2" type="noConversion"/>
  </si>
  <si>
    <t>素蹄膀</t>
    <phoneticPr fontId="2" type="noConversion"/>
  </si>
  <si>
    <t>個</t>
    <phoneticPr fontId="2" type="noConversion"/>
  </si>
  <si>
    <t>素燒賣</t>
    <phoneticPr fontId="2" type="noConversion"/>
  </si>
  <si>
    <t>五穀米</t>
    <phoneticPr fontId="2" type="noConversion"/>
  </si>
  <si>
    <t>三好米</t>
    <phoneticPr fontId="2" type="noConversion"/>
  </si>
  <si>
    <t>沙拉油</t>
    <phoneticPr fontId="2" type="noConversion"/>
  </si>
  <si>
    <t>桶</t>
    <phoneticPr fontId="2" type="noConversion"/>
  </si>
  <si>
    <t>三節翅</t>
    <phoneticPr fontId="2" type="noConversion"/>
  </si>
  <si>
    <t>高麗菜</t>
    <phoneticPr fontId="2" type="noConversion"/>
  </si>
  <si>
    <t>柳丁</t>
    <phoneticPr fontId="2" type="noConversion"/>
  </si>
  <si>
    <t>桂冠沙拉</t>
    <phoneticPr fontId="2" type="noConversion"/>
  </si>
  <si>
    <t>起司片</t>
    <phoneticPr fontId="2" type="noConversion"/>
  </si>
  <si>
    <t>吐司</t>
    <phoneticPr fontId="2" type="noConversion"/>
  </si>
  <si>
    <t>盒裝豆腐</t>
    <phoneticPr fontId="2" type="noConversion"/>
  </si>
  <si>
    <t>盤</t>
    <phoneticPr fontId="2" type="noConversion"/>
  </si>
  <si>
    <t>水果、高麗菜</t>
    <phoneticPr fontId="2" type="noConversion"/>
  </si>
  <si>
    <t>金針菇</t>
    <phoneticPr fontId="2" type="noConversion"/>
  </si>
  <si>
    <t>火鍋料燕餃等</t>
    <phoneticPr fontId="2" type="noConversion"/>
  </si>
  <si>
    <t>杏鮑菇</t>
    <phoneticPr fontId="2" type="noConversion"/>
  </si>
  <si>
    <t>合      計</t>
    <phoneticPr fontId="2" type="noConversion"/>
  </si>
  <si>
    <t>菠菜</t>
    <phoneticPr fontId="2" type="noConversion"/>
  </si>
  <si>
    <t>去皮洋蔥</t>
    <phoneticPr fontId="2" type="noConversion"/>
  </si>
  <si>
    <t>斤</t>
    <phoneticPr fontId="2" type="noConversion"/>
  </si>
  <si>
    <t>前腿肉絲</t>
    <phoneticPr fontId="2" type="noConversion"/>
  </si>
  <si>
    <t>金蘭醬油</t>
    <phoneticPr fontId="2" type="noConversion"/>
  </si>
  <si>
    <t>桶</t>
    <phoneticPr fontId="2" type="noConversion"/>
  </si>
  <si>
    <t>素蠔油</t>
    <phoneticPr fontId="2" type="noConversion"/>
  </si>
  <si>
    <t>鹽</t>
    <phoneticPr fontId="2" type="noConversion"/>
  </si>
  <si>
    <t>包</t>
    <phoneticPr fontId="2" type="noConversion"/>
  </si>
  <si>
    <t>米酒</t>
    <phoneticPr fontId="2" type="noConversion"/>
  </si>
  <si>
    <t>瓶</t>
    <phoneticPr fontId="2" type="noConversion"/>
  </si>
  <si>
    <t>沙拉油</t>
    <phoneticPr fontId="2" type="noConversion"/>
  </si>
  <si>
    <t>洗選蛋</t>
    <phoneticPr fontId="2" type="noConversion"/>
  </si>
  <si>
    <t>魷魚圈</t>
    <phoneticPr fontId="2" type="noConversion"/>
  </si>
  <si>
    <t>鮮奶</t>
    <phoneticPr fontId="2" type="noConversion"/>
  </si>
  <si>
    <t>吉利丁</t>
    <phoneticPr fontId="2" type="noConversion"/>
  </si>
  <si>
    <t>罐</t>
    <phoneticPr fontId="2" type="noConversion"/>
  </si>
  <si>
    <t>細砂糖</t>
    <phoneticPr fontId="2" type="noConversion"/>
  </si>
  <si>
    <t>家樂氏玉米片</t>
    <phoneticPr fontId="2" type="noConversion"/>
  </si>
  <si>
    <t>盒</t>
    <phoneticPr fontId="2" type="noConversion"/>
  </si>
  <si>
    <t>巧克力擠醬</t>
    <phoneticPr fontId="2" type="noConversion"/>
  </si>
  <si>
    <t>蘿蔔糕</t>
    <phoneticPr fontId="2" type="noConversion"/>
  </si>
  <si>
    <t>乾海芽</t>
    <phoneticPr fontId="2" type="noConversion"/>
  </si>
  <si>
    <t>巧克力醬</t>
    <phoneticPr fontId="2" type="noConversion"/>
  </si>
  <si>
    <t>茂谷柑</t>
    <phoneticPr fontId="2" type="noConversion"/>
  </si>
  <si>
    <t>絞肉</t>
    <phoneticPr fontId="2" type="noConversion"/>
  </si>
  <si>
    <t>飲料</t>
    <phoneticPr fontId="2" type="noConversion"/>
  </si>
  <si>
    <t>訂貨數量</t>
    <phoneticPr fontId="2" type="noConversion"/>
  </si>
  <si>
    <t>斤</t>
    <phoneticPr fontId="2" type="noConversion"/>
  </si>
  <si>
    <t>包</t>
    <phoneticPr fontId="2" type="noConversion"/>
  </si>
  <si>
    <t>高麗菜</t>
    <phoneticPr fontId="2" type="noConversion"/>
  </si>
  <si>
    <t>裹粉魚排</t>
    <phoneticPr fontId="2" type="noConversion"/>
  </si>
  <si>
    <t>件</t>
    <phoneticPr fontId="2" type="noConversion"/>
  </si>
  <si>
    <t>九層塔</t>
    <phoneticPr fontId="2" type="noConversion"/>
  </si>
  <si>
    <t>蒜仁</t>
    <phoneticPr fontId="2" type="noConversion"/>
  </si>
  <si>
    <t>薑絲</t>
    <phoneticPr fontId="2" type="noConversion"/>
  </si>
  <si>
    <t>老薑</t>
    <phoneticPr fontId="2" type="noConversion"/>
  </si>
  <si>
    <t>辣椒</t>
    <phoneticPr fontId="2" type="noConversion"/>
  </si>
  <si>
    <t>烏龍麵</t>
    <phoneticPr fontId="2" type="noConversion"/>
  </si>
  <si>
    <t>厚片土司</t>
    <phoneticPr fontId="2" type="noConversion"/>
  </si>
  <si>
    <t>瓶</t>
    <phoneticPr fontId="2" type="noConversion"/>
  </si>
  <si>
    <t>條</t>
    <phoneticPr fontId="2" type="noConversion"/>
  </si>
  <si>
    <t>年糕</t>
    <phoneticPr fontId="2" type="noConversion"/>
  </si>
  <si>
    <t>個</t>
    <phoneticPr fontId="2" type="noConversion"/>
  </si>
  <si>
    <t>柳丁</t>
    <phoneticPr fontId="2" type="noConversion"/>
  </si>
  <si>
    <t>訂貨數量</t>
    <phoneticPr fontId="2" type="noConversion"/>
  </si>
  <si>
    <t>斤</t>
    <phoneticPr fontId="2" type="noConversion"/>
  </si>
  <si>
    <t>包</t>
    <phoneticPr fontId="2" type="noConversion"/>
  </si>
  <si>
    <t>鍋貼</t>
    <phoneticPr fontId="2" type="noConversion"/>
  </si>
  <si>
    <t>個</t>
    <phoneticPr fontId="2" type="noConversion"/>
  </si>
  <si>
    <t>厚片土司</t>
    <phoneticPr fontId="2" type="noConversion"/>
  </si>
  <si>
    <t>條</t>
    <phoneticPr fontId="2" type="noConversion"/>
  </si>
  <si>
    <t>麥茶鋁箔包</t>
    <phoneticPr fontId="2" type="noConversion"/>
  </si>
  <si>
    <t>件</t>
    <phoneticPr fontId="2" type="noConversion"/>
  </si>
  <si>
    <t>胡椒粉</t>
    <phoneticPr fontId="2" type="noConversion"/>
  </si>
  <si>
    <t>盒</t>
    <phoneticPr fontId="2" type="noConversion"/>
  </si>
  <si>
    <t>鵝白菜</t>
    <phoneticPr fontId="2" type="noConversion"/>
  </si>
  <si>
    <t>茂谷柑</t>
    <phoneticPr fontId="2" type="noConversion"/>
  </si>
  <si>
    <t>超秦雞排</t>
    <phoneticPr fontId="2" type="noConversion"/>
  </si>
  <si>
    <t>立大絞肉</t>
    <phoneticPr fontId="2" type="noConversion"/>
  </si>
  <si>
    <t>滷蛋</t>
    <phoneticPr fontId="2" type="noConversion"/>
  </si>
  <si>
    <t>海帶捲</t>
    <phoneticPr fontId="2" type="noConversion"/>
  </si>
  <si>
    <t>沙拉油</t>
    <phoneticPr fontId="2" type="noConversion"/>
  </si>
  <si>
    <t>桶</t>
    <phoneticPr fontId="2" type="noConversion"/>
  </si>
  <si>
    <t>金蘭醬油</t>
    <phoneticPr fontId="2" type="noConversion"/>
  </si>
  <si>
    <t>油膏</t>
    <phoneticPr fontId="2" type="noConversion"/>
  </si>
  <si>
    <t>水餃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</si>
</sst>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12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0" fillId="0" borderId="0" xfId="0" applyFont="1">
      <alignment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" fontId="3" fillId="3" borderId="3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topLeftCell="A10" workbookViewId="0">
      <selection activeCell="E2" sqref="E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5" t="s">
        <v>14</v>
      </c>
      <c r="B1" s="46"/>
      <c r="C1" s="46"/>
      <c r="D1" s="46"/>
      <c r="E1" s="46"/>
      <c r="F1" s="46"/>
      <c r="G1" s="46"/>
      <c r="H1" s="4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7" t="s">
        <v>114</v>
      </c>
      <c r="F2" s="7"/>
      <c r="G2" s="1" t="s">
        <v>4</v>
      </c>
      <c r="H2" s="1" t="s">
        <v>5</v>
      </c>
    </row>
    <row r="3" spans="1:8" x14ac:dyDescent="0.25">
      <c r="A3" s="35" t="s">
        <v>19</v>
      </c>
      <c r="B3" s="1" t="s">
        <v>19</v>
      </c>
      <c r="C3" s="1" t="s">
        <v>27</v>
      </c>
      <c r="D3" s="1">
        <v>1250</v>
      </c>
      <c r="E3" s="7">
        <v>4</v>
      </c>
      <c r="F3" s="7" t="s">
        <v>121</v>
      </c>
      <c r="G3" s="1">
        <f>D3*E3</f>
        <v>5000</v>
      </c>
      <c r="H3" s="1"/>
    </row>
    <row r="4" spans="1:8" x14ac:dyDescent="0.25">
      <c r="A4" s="35"/>
      <c r="B4" s="1"/>
      <c r="C4" s="1"/>
      <c r="D4" s="1"/>
      <c r="E4" s="7"/>
      <c r="F4" s="7"/>
      <c r="G4" s="1"/>
      <c r="H4" s="1"/>
    </row>
    <row r="5" spans="1:8" x14ac:dyDescent="0.25">
      <c r="A5" s="35"/>
      <c r="B5" s="1"/>
      <c r="C5" s="1"/>
      <c r="D5" s="1"/>
      <c r="E5" s="7"/>
      <c r="F5" s="7"/>
      <c r="G5" s="1"/>
      <c r="H5" s="1"/>
    </row>
    <row r="6" spans="1:8" x14ac:dyDescent="0.25">
      <c r="A6" s="35"/>
      <c r="B6" s="1"/>
      <c r="C6" s="1"/>
      <c r="D6" s="1"/>
      <c r="E6" s="8"/>
      <c r="F6" s="8"/>
      <c r="G6" s="3"/>
      <c r="H6" s="1"/>
    </row>
    <row r="7" spans="1:8" x14ac:dyDescent="0.25">
      <c r="A7" s="35"/>
      <c r="B7" s="36" t="s">
        <v>6</v>
      </c>
      <c r="C7" s="37"/>
      <c r="D7" s="38"/>
      <c r="E7" s="8"/>
      <c r="F7" s="8"/>
      <c r="G7" s="15">
        <f>SUM(G3:G6)</f>
        <v>5000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7" t="s">
        <v>114</v>
      </c>
      <c r="F8" s="7"/>
      <c r="G8" s="1" t="s">
        <v>4</v>
      </c>
      <c r="H8" s="1" t="s">
        <v>5</v>
      </c>
    </row>
    <row r="9" spans="1:8" x14ac:dyDescent="0.25">
      <c r="A9" s="35" t="s">
        <v>20</v>
      </c>
      <c r="B9" s="1" t="s">
        <v>28</v>
      </c>
      <c r="C9" s="1" t="s">
        <v>32</v>
      </c>
      <c r="D9" s="1">
        <v>140</v>
      </c>
      <c r="E9" s="7">
        <v>15</v>
      </c>
      <c r="F9" s="7" t="s">
        <v>131</v>
      </c>
      <c r="G9" s="1">
        <f>D9*E9</f>
        <v>2100</v>
      </c>
      <c r="H9" s="1"/>
    </row>
    <row r="10" spans="1:8" x14ac:dyDescent="0.25">
      <c r="A10" s="35"/>
      <c r="B10" s="1" t="s">
        <v>29</v>
      </c>
      <c r="C10" s="1" t="s">
        <v>33</v>
      </c>
      <c r="D10" s="1">
        <v>93</v>
      </c>
      <c r="E10" s="7">
        <v>15</v>
      </c>
      <c r="F10" s="7" t="s">
        <v>120</v>
      </c>
      <c r="G10" s="7">
        <f t="shared" ref="G10:G12" si="0">D10*E10</f>
        <v>1395</v>
      </c>
      <c r="H10" s="1"/>
    </row>
    <row r="11" spans="1:8" x14ac:dyDescent="0.25">
      <c r="A11" s="35"/>
      <c r="B11" s="1" t="s">
        <v>30</v>
      </c>
      <c r="C11" s="1" t="s">
        <v>32</v>
      </c>
      <c r="D11" s="1">
        <v>75</v>
      </c>
      <c r="E11" s="7">
        <v>15</v>
      </c>
      <c r="F11" s="7" t="s">
        <v>131</v>
      </c>
      <c r="G11" s="7">
        <f t="shared" si="0"/>
        <v>1125</v>
      </c>
      <c r="H11" s="1"/>
    </row>
    <row r="12" spans="1:8" x14ac:dyDescent="0.25">
      <c r="A12" s="35"/>
      <c r="B12" s="1" t="s">
        <v>31</v>
      </c>
      <c r="C12" s="1" t="s">
        <v>34</v>
      </c>
      <c r="D12" s="1">
        <v>43.8</v>
      </c>
      <c r="E12" s="7">
        <v>5</v>
      </c>
      <c r="F12" s="7" t="s">
        <v>120</v>
      </c>
      <c r="G12" s="7">
        <f t="shared" si="0"/>
        <v>219</v>
      </c>
      <c r="H12" s="1"/>
    </row>
    <row r="13" spans="1:8" x14ac:dyDescent="0.25">
      <c r="A13" s="35"/>
      <c r="B13" s="1"/>
      <c r="C13" s="1"/>
      <c r="D13" s="1"/>
      <c r="E13" s="7"/>
      <c r="F13" s="7"/>
      <c r="G13" s="1"/>
      <c r="H13" s="1"/>
    </row>
    <row r="14" spans="1:8" x14ac:dyDescent="0.25">
      <c r="A14" s="35"/>
      <c r="B14" s="36" t="s">
        <v>6</v>
      </c>
      <c r="C14" s="37"/>
      <c r="D14" s="38"/>
      <c r="E14" s="8"/>
      <c r="F14" s="8"/>
      <c r="G14" s="15">
        <f>SUM(G9:G13)</f>
        <v>4839</v>
      </c>
      <c r="H14" s="1"/>
    </row>
    <row r="15" spans="1:8" x14ac:dyDescent="0.25">
      <c r="A15" s="1" t="s">
        <v>8</v>
      </c>
      <c r="B15" s="1" t="s">
        <v>1</v>
      </c>
      <c r="C15" s="1" t="s">
        <v>2</v>
      </c>
      <c r="D15" s="1" t="s">
        <v>3</v>
      </c>
      <c r="E15" s="7" t="s">
        <v>114</v>
      </c>
      <c r="F15" s="7"/>
      <c r="G15" s="1" t="s">
        <v>4</v>
      </c>
      <c r="H15" s="1" t="s">
        <v>5</v>
      </c>
    </row>
    <row r="16" spans="1:8" x14ac:dyDescent="0.25">
      <c r="A16" s="35" t="s">
        <v>21</v>
      </c>
      <c r="B16" s="1" t="s">
        <v>35</v>
      </c>
      <c r="C16" s="1" t="s">
        <v>39</v>
      </c>
      <c r="D16" s="1">
        <v>41.4</v>
      </c>
      <c r="E16" s="7">
        <v>25</v>
      </c>
      <c r="F16" s="7" t="s">
        <v>120</v>
      </c>
      <c r="G16" s="1">
        <f>D16*E16</f>
        <v>1035</v>
      </c>
      <c r="H16" s="1"/>
    </row>
    <row r="17" spans="1:8" x14ac:dyDescent="0.25">
      <c r="A17" s="35"/>
      <c r="B17" s="1" t="s">
        <v>36</v>
      </c>
      <c r="C17" s="1" t="s">
        <v>40</v>
      </c>
      <c r="D17" s="1">
        <v>48</v>
      </c>
      <c r="E17" s="7">
        <v>10</v>
      </c>
      <c r="F17" s="7" t="s">
        <v>120</v>
      </c>
      <c r="G17" s="7">
        <f t="shared" ref="G17:G19" si="1">D17*E17</f>
        <v>480</v>
      </c>
      <c r="H17" s="1"/>
    </row>
    <row r="18" spans="1:8" x14ac:dyDescent="0.25">
      <c r="A18" s="35"/>
      <c r="B18" s="1" t="s">
        <v>37</v>
      </c>
      <c r="C18" s="1" t="s">
        <v>41</v>
      </c>
      <c r="D18" s="1">
        <v>45</v>
      </c>
      <c r="E18" s="7">
        <v>4</v>
      </c>
      <c r="F18" s="7" t="s">
        <v>120</v>
      </c>
      <c r="G18" s="7">
        <f t="shared" si="1"/>
        <v>180</v>
      </c>
      <c r="H18" s="1"/>
    </row>
    <row r="19" spans="1:8" x14ac:dyDescent="0.25">
      <c r="A19" s="35"/>
      <c r="B19" s="1" t="s">
        <v>38</v>
      </c>
      <c r="C19" s="1" t="s">
        <v>34</v>
      </c>
      <c r="D19" s="1">
        <v>30.6</v>
      </c>
      <c r="E19" s="8">
        <v>5</v>
      </c>
      <c r="F19" s="8" t="s">
        <v>120</v>
      </c>
      <c r="G19" s="7">
        <f t="shared" si="1"/>
        <v>153</v>
      </c>
      <c r="H19" s="1"/>
    </row>
    <row r="20" spans="1:8" x14ac:dyDescent="0.25">
      <c r="A20" s="35"/>
      <c r="B20" s="36" t="s">
        <v>6</v>
      </c>
      <c r="C20" s="37"/>
      <c r="D20" s="38"/>
      <c r="E20" s="8"/>
      <c r="F20" s="8"/>
      <c r="G20" s="15">
        <f>SUM(G16:G19)</f>
        <v>1848</v>
      </c>
      <c r="H20" s="1"/>
    </row>
    <row r="21" spans="1:8" x14ac:dyDescent="0.25">
      <c r="A21" s="4" t="s">
        <v>9</v>
      </c>
      <c r="B21" s="1" t="s">
        <v>1</v>
      </c>
      <c r="C21" s="1" t="s">
        <v>2</v>
      </c>
      <c r="D21" s="1" t="s">
        <v>3</v>
      </c>
      <c r="E21" s="7" t="s">
        <v>114</v>
      </c>
      <c r="F21" s="7"/>
      <c r="G21" s="1" t="s">
        <v>4</v>
      </c>
      <c r="H21" s="1" t="s">
        <v>5</v>
      </c>
    </row>
    <row r="22" spans="1:8" x14ac:dyDescent="0.25">
      <c r="A22" s="35"/>
      <c r="B22" s="1" t="s">
        <v>117</v>
      </c>
      <c r="C22" s="1"/>
      <c r="D22" s="1">
        <v>193.8</v>
      </c>
      <c r="E22" s="7">
        <v>1</v>
      </c>
      <c r="F22" s="7" t="s">
        <v>120</v>
      </c>
      <c r="G22" s="14">
        <f>D22*E22</f>
        <v>193.8</v>
      </c>
      <c r="H22" s="1"/>
    </row>
    <row r="23" spans="1:8" x14ac:dyDescent="0.25">
      <c r="A23" s="35"/>
      <c r="B23" s="1" t="s">
        <v>118</v>
      </c>
      <c r="C23" s="1"/>
      <c r="D23" s="1">
        <v>85.5</v>
      </c>
      <c r="E23" s="7">
        <v>1</v>
      </c>
      <c r="F23" s="7" t="s">
        <v>120</v>
      </c>
      <c r="G23" s="14">
        <f>D23*E23</f>
        <v>85.5</v>
      </c>
      <c r="H23" s="1"/>
    </row>
    <row r="24" spans="1:8" x14ac:dyDescent="0.25">
      <c r="A24" s="35"/>
      <c r="B24" s="7" t="s">
        <v>125</v>
      </c>
      <c r="C24" s="7"/>
      <c r="D24" s="7">
        <v>173.4</v>
      </c>
      <c r="E24" s="7">
        <v>8</v>
      </c>
      <c r="F24" s="7" t="s">
        <v>119</v>
      </c>
      <c r="G24" s="17">
        <f t="shared" ref="G24:G28" si="2">D24*E24</f>
        <v>1387.2</v>
      </c>
      <c r="H24" s="1"/>
    </row>
    <row r="25" spans="1:8" x14ac:dyDescent="0.25">
      <c r="A25" s="35"/>
      <c r="B25" s="7" t="s">
        <v>126</v>
      </c>
      <c r="C25" s="7"/>
      <c r="D25" s="7">
        <v>150</v>
      </c>
      <c r="E25" s="7">
        <v>2</v>
      </c>
      <c r="F25" s="7" t="s">
        <v>119</v>
      </c>
      <c r="G25" s="17">
        <f t="shared" si="2"/>
        <v>300</v>
      </c>
      <c r="H25" s="1"/>
    </row>
    <row r="26" spans="1:8" x14ac:dyDescent="0.25">
      <c r="A26" s="35"/>
      <c r="B26" s="7" t="s">
        <v>127</v>
      </c>
      <c r="C26" s="7"/>
      <c r="D26" s="7">
        <v>38.4</v>
      </c>
      <c r="E26" s="7">
        <v>20</v>
      </c>
      <c r="F26" s="7" t="s">
        <v>119</v>
      </c>
      <c r="G26" s="17">
        <f t="shared" si="2"/>
        <v>768</v>
      </c>
      <c r="H26" s="7"/>
    </row>
    <row r="27" spans="1:8" x14ac:dyDescent="0.25">
      <c r="A27" s="35"/>
      <c r="B27" s="7" t="s">
        <v>128</v>
      </c>
      <c r="C27" s="7"/>
      <c r="D27" s="7">
        <v>67.5</v>
      </c>
      <c r="E27" s="7">
        <v>0.5</v>
      </c>
      <c r="F27" s="7" t="s">
        <v>119</v>
      </c>
      <c r="G27" s="17">
        <f t="shared" si="2"/>
        <v>33.75</v>
      </c>
      <c r="H27" s="7"/>
    </row>
    <row r="28" spans="1:8" x14ac:dyDescent="0.25">
      <c r="A28" s="35"/>
      <c r="B28" s="7" t="s">
        <v>129</v>
      </c>
      <c r="C28" s="7"/>
      <c r="D28" s="7">
        <v>105</v>
      </c>
      <c r="E28" s="7">
        <v>4</v>
      </c>
      <c r="F28" s="7" t="s">
        <v>119</v>
      </c>
      <c r="G28" s="17">
        <f t="shared" si="2"/>
        <v>420</v>
      </c>
      <c r="H28" s="7"/>
    </row>
    <row r="29" spans="1:8" x14ac:dyDescent="0.25">
      <c r="A29" s="35"/>
      <c r="B29" s="7" t="s">
        <v>130</v>
      </c>
      <c r="C29" s="7"/>
      <c r="D29" s="7">
        <v>63.9</v>
      </c>
      <c r="E29" s="7">
        <v>4</v>
      </c>
      <c r="F29" s="7" t="s">
        <v>119</v>
      </c>
      <c r="G29" s="17">
        <f>D29*E29</f>
        <v>255.6</v>
      </c>
      <c r="H29" s="7"/>
    </row>
    <row r="30" spans="1:8" x14ac:dyDescent="0.25">
      <c r="A30" s="35"/>
      <c r="B30" s="7"/>
      <c r="C30" s="7"/>
      <c r="D30" s="7"/>
      <c r="E30" s="7"/>
      <c r="F30" s="8"/>
      <c r="G30" s="8"/>
      <c r="H30" s="7"/>
    </row>
    <row r="31" spans="1:8" x14ac:dyDescent="0.25">
      <c r="A31" s="35"/>
      <c r="B31" s="7"/>
      <c r="C31" s="7"/>
      <c r="D31" s="7"/>
      <c r="E31" s="7"/>
      <c r="F31" s="8"/>
      <c r="G31" s="8"/>
      <c r="H31" s="7"/>
    </row>
    <row r="32" spans="1:8" x14ac:dyDescent="0.25">
      <c r="A32" s="35"/>
      <c r="B32" s="36" t="s">
        <v>6</v>
      </c>
      <c r="C32" s="37"/>
      <c r="D32" s="38"/>
      <c r="E32" s="8"/>
      <c r="F32" s="8"/>
      <c r="G32" s="16">
        <f>SUM(G22:G31)</f>
        <v>3443.85</v>
      </c>
      <c r="H32" s="1"/>
    </row>
    <row r="33" spans="1:8" x14ac:dyDescent="0.25">
      <c r="A33" s="1" t="s">
        <v>10</v>
      </c>
      <c r="B33" s="1" t="s">
        <v>1</v>
      </c>
      <c r="C33" s="1" t="s">
        <v>2</v>
      </c>
      <c r="D33" s="1" t="s">
        <v>3</v>
      </c>
      <c r="E33" s="7" t="s">
        <v>114</v>
      </c>
      <c r="F33" s="7"/>
      <c r="G33" s="1" t="s">
        <v>4</v>
      </c>
      <c r="H33" s="1" t="s">
        <v>5</v>
      </c>
    </row>
    <row r="34" spans="1:8" x14ac:dyDescent="0.25">
      <c r="A34" s="35" t="s">
        <v>22</v>
      </c>
      <c r="B34" s="1" t="s">
        <v>23</v>
      </c>
      <c r="C34" s="1" t="s">
        <v>26</v>
      </c>
      <c r="D34" s="1">
        <v>175</v>
      </c>
      <c r="E34" s="7">
        <v>1</v>
      </c>
      <c r="F34" s="7" t="s">
        <v>121</v>
      </c>
      <c r="G34" s="1">
        <f>D34*E34</f>
        <v>175</v>
      </c>
      <c r="H34" s="1"/>
    </row>
    <row r="35" spans="1:8" x14ac:dyDescent="0.25">
      <c r="A35" s="35"/>
      <c r="B35" s="1" t="s">
        <v>24</v>
      </c>
      <c r="C35" s="1" t="s">
        <v>25</v>
      </c>
      <c r="D35" s="1">
        <v>98.4</v>
      </c>
      <c r="E35" s="7">
        <v>15</v>
      </c>
      <c r="F35" s="7" t="s">
        <v>120</v>
      </c>
      <c r="G35" s="7">
        <f>D35*E35</f>
        <v>1476</v>
      </c>
      <c r="H35" s="1"/>
    </row>
    <row r="36" spans="1:8" x14ac:dyDescent="0.25">
      <c r="A36" s="35"/>
      <c r="B36" s="1"/>
      <c r="C36" s="1"/>
      <c r="D36" s="1"/>
      <c r="E36" s="7"/>
      <c r="F36" s="7"/>
      <c r="G36" s="1"/>
      <c r="H36" s="1"/>
    </row>
    <row r="37" spans="1:8" x14ac:dyDescent="0.25">
      <c r="A37" s="35"/>
      <c r="B37" s="36"/>
      <c r="C37" s="37"/>
      <c r="D37" s="38"/>
      <c r="E37" s="8"/>
      <c r="F37" s="8"/>
      <c r="G37" s="15">
        <f>SUM(G34:G36)</f>
        <v>1651</v>
      </c>
      <c r="H37" s="1"/>
    </row>
    <row r="38" spans="1:8" x14ac:dyDescent="0.25">
      <c r="A38" s="1" t="s">
        <v>11</v>
      </c>
      <c r="B38" s="1" t="s">
        <v>1</v>
      </c>
      <c r="C38" s="1" t="s">
        <v>2</v>
      </c>
      <c r="D38" s="1" t="s">
        <v>3</v>
      </c>
      <c r="E38" s="8" t="s">
        <v>114</v>
      </c>
      <c r="F38" s="8"/>
      <c r="G38" s="3" t="s">
        <v>4</v>
      </c>
      <c r="H38" s="1" t="s">
        <v>5</v>
      </c>
    </row>
    <row r="39" spans="1:8" x14ac:dyDescent="0.25">
      <c r="A39" s="42"/>
      <c r="B39" s="1" t="s">
        <v>116</v>
      </c>
      <c r="C39" s="1"/>
      <c r="D39" s="1">
        <v>35.520000000000003</v>
      </c>
      <c r="E39" s="7">
        <v>100</v>
      </c>
      <c r="F39" s="7" t="s">
        <v>120</v>
      </c>
      <c r="G39" s="1">
        <f>D39*E39</f>
        <v>3552.0000000000005</v>
      </c>
      <c r="H39" s="1"/>
    </row>
    <row r="40" spans="1:8" x14ac:dyDescent="0.25">
      <c r="A40" s="43"/>
      <c r="B40" s="1" t="s">
        <v>132</v>
      </c>
      <c r="C40" s="1"/>
      <c r="D40" s="1">
        <v>9.9</v>
      </c>
      <c r="E40" s="7">
        <v>65</v>
      </c>
      <c r="F40" s="7" t="s">
        <v>120</v>
      </c>
      <c r="G40" s="7">
        <f>D40*E40</f>
        <v>643.5</v>
      </c>
      <c r="H40" s="1"/>
    </row>
    <row r="41" spans="1:8" x14ac:dyDescent="0.25">
      <c r="A41" s="44"/>
      <c r="B41" s="36" t="s">
        <v>6</v>
      </c>
      <c r="C41" s="37"/>
      <c r="D41" s="38"/>
      <c r="E41" s="8"/>
      <c r="F41" s="8"/>
      <c r="G41" s="16">
        <f>SUM(G39:G40)</f>
        <v>4195.5</v>
      </c>
      <c r="H41" s="5"/>
    </row>
    <row r="42" spans="1:8" x14ac:dyDescent="0.25">
      <c r="A42" s="6" t="s">
        <v>12</v>
      </c>
      <c r="B42" s="1" t="s">
        <v>1</v>
      </c>
      <c r="C42" s="1" t="s">
        <v>2</v>
      </c>
      <c r="D42" s="1" t="s">
        <v>3</v>
      </c>
      <c r="E42" s="7" t="s">
        <v>114</v>
      </c>
      <c r="F42" s="7"/>
      <c r="G42" s="1" t="s">
        <v>4</v>
      </c>
      <c r="H42" s="1"/>
    </row>
    <row r="43" spans="1:8" x14ac:dyDescent="0.25">
      <c r="A43" s="35"/>
      <c r="B43" s="1" t="s">
        <v>122</v>
      </c>
      <c r="C43" s="1"/>
      <c r="D43" s="1">
        <v>4.5</v>
      </c>
      <c r="E43" s="7">
        <v>50</v>
      </c>
      <c r="F43" s="7" t="s">
        <v>123</v>
      </c>
      <c r="G43" s="1">
        <f>D43*E43</f>
        <v>225</v>
      </c>
      <c r="H43" s="1"/>
    </row>
    <row r="44" spans="1:8" x14ac:dyDescent="0.25">
      <c r="A44" s="35"/>
      <c r="B44" s="1" t="s">
        <v>124</v>
      </c>
      <c r="C44" s="1"/>
      <c r="D44" s="1">
        <v>60</v>
      </c>
      <c r="E44" s="7">
        <v>3</v>
      </c>
      <c r="F44" s="7" t="s">
        <v>123</v>
      </c>
      <c r="G44" s="7">
        <f>D44*E44</f>
        <v>180</v>
      </c>
      <c r="H44" s="1"/>
    </row>
    <row r="45" spans="1:8" x14ac:dyDescent="0.25">
      <c r="A45" s="35"/>
      <c r="B45" s="1"/>
      <c r="C45" s="1"/>
      <c r="D45" s="1"/>
      <c r="E45" s="7"/>
      <c r="F45" s="7"/>
      <c r="G45" s="1"/>
      <c r="H45" s="1"/>
    </row>
    <row r="46" spans="1:8" x14ac:dyDescent="0.25">
      <c r="A46" s="35"/>
      <c r="B46" s="1"/>
      <c r="C46" s="1"/>
      <c r="D46" s="1"/>
      <c r="E46" s="7"/>
      <c r="F46" s="7"/>
      <c r="G46" s="1"/>
      <c r="H46" s="1"/>
    </row>
    <row r="47" spans="1:8" x14ac:dyDescent="0.25">
      <c r="A47" s="35"/>
      <c r="B47" s="36" t="s">
        <v>6</v>
      </c>
      <c r="C47" s="37"/>
      <c r="D47" s="38"/>
      <c r="E47" s="8"/>
      <c r="F47" s="8"/>
      <c r="G47" s="15">
        <f>SUM(G43:G46)</f>
        <v>405</v>
      </c>
      <c r="H47" s="1"/>
    </row>
    <row r="48" spans="1:8" x14ac:dyDescent="0.25">
      <c r="A48" s="1"/>
      <c r="B48" s="39" t="s">
        <v>13</v>
      </c>
      <c r="C48" s="40"/>
      <c r="D48" s="41"/>
      <c r="E48" s="9"/>
      <c r="F48" s="9"/>
      <c r="G48" s="18">
        <f>G47+G41+G37+G32+G20+G7+G14</f>
        <v>21382.35</v>
      </c>
      <c r="H48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43:A47"/>
    <mergeCell ref="B47:D47"/>
    <mergeCell ref="B48:D48"/>
    <mergeCell ref="A22:A32"/>
    <mergeCell ref="B32:D32"/>
    <mergeCell ref="A34:A37"/>
    <mergeCell ref="B37:D37"/>
    <mergeCell ref="A39:A41"/>
    <mergeCell ref="B41:D41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topLeftCell="A31" workbookViewId="0">
      <selection activeCell="H48" sqref="H4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5" t="s">
        <v>15</v>
      </c>
      <c r="B1" s="46"/>
      <c r="C1" s="46"/>
      <c r="D1" s="46"/>
      <c r="E1" s="46"/>
      <c r="F1" s="46"/>
      <c r="G1" s="46"/>
      <c r="H1" s="4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0" t="s">
        <v>133</v>
      </c>
      <c r="F2" s="10"/>
      <c r="G2" s="1" t="s">
        <v>4</v>
      </c>
      <c r="H2" s="1" t="s">
        <v>5</v>
      </c>
    </row>
    <row r="3" spans="1:8" x14ac:dyDescent="0.25">
      <c r="A3" s="35" t="s">
        <v>42</v>
      </c>
      <c r="B3" s="1" t="s">
        <v>49</v>
      </c>
      <c r="C3" s="1" t="s">
        <v>50</v>
      </c>
      <c r="D3" s="1">
        <v>75</v>
      </c>
      <c r="E3" s="10">
        <v>70</v>
      </c>
      <c r="F3" s="10" t="s">
        <v>136</v>
      </c>
      <c r="G3" s="1">
        <f>D3*E3</f>
        <v>5250</v>
      </c>
      <c r="H3" s="1"/>
    </row>
    <row r="4" spans="1:8" x14ac:dyDescent="0.25">
      <c r="A4" s="35"/>
      <c r="B4" s="1" t="s">
        <v>38</v>
      </c>
      <c r="C4" s="1" t="s">
        <v>51</v>
      </c>
      <c r="D4" s="1">
        <v>30.6</v>
      </c>
      <c r="E4" s="10">
        <v>10</v>
      </c>
      <c r="F4" s="10" t="s">
        <v>136</v>
      </c>
      <c r="G4" s="10">
        <f>D4*E4</f>
        <v>306</v>
      </c>
      <c r="H4" s="1"/>
    </row>
    <row r="5" spans="1:8" x14ac:dyDescent="0.25">
      <c r="A5" s="35"/>
      <c r="B5" s="1"/>
      <c r="C5" s="1"/>
      <c r="D5" s="1"/>
      <c r="E5" s="10"/>
      <c r="F5" s="10"/>
      <c r="G5" s="1"/>
      <c r="H5" s="1"/>
    </row>
    <row r="6" spans="1:8" x14ac:dyDescent="0.25">
      <c r="A6" s="35"/>
      <c r="B6" s="1"/>
      <c r="C6" s="1"/>
      <c r="D6" s="1"/>
      <c r="E6" s="12"/>
      <c r="F6" s="12"/>
      <c r="G6" s="3"/>
      <c r="H6" s="1"/>
    </row>
    <row r="7" spans="1:8" x14ac:dyDescent="0.25">
      <c r="A7" s="35"/>
      <c r="B7" s="36" t="s">
        <v>6</v>
      </c>
      <c r="C7" s="37"/>
      <c r="D7" s="38"/>
      <c r="E7" s="12"/>
      <c r="F7" s="12"/>
      <c r="G7" s="15">
        <f>SUM(G3:G6)</f>
        <v>5556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10" t="s">
        <v>133</v>
      </c>
      <c r="F8" s="10"/>
      <c r="G8" s="1" t="s">
        <v>4</v>
      </c>
      <c r="H8" s="1" t="s">
        <v>5</v>
      </c>
    </row>
    <row r="9" spans="1:8" x14ac:dyDescent="0.25">
      <c r="A9" s="35" t="s">
        <v>43</v>
      </c>
      <c r="B9" s="1" t="s">
        <v>52</v>
      </c>
      <c r="C9" s="1" t="s">
        <v>59</v>
      </c>
      <c r="D9" s="1">
        <v>60.18</v>
      </c>
      <c r="E9" s="10">
        <v>50</v>
      </c>
      <c r="F9" s="10" t="s">
        <v>136</v>
      </c>
      <c r="G9" s="14">
        <f>D9*E9</f>
        <v>3009</v>
      </c>
      <c r="H9" s="1"/>
    </row>
    <row r="10" spans="1:8" x14ac:dyDescent="0.25">
      <c r="A10" s="35"/>
      <c r="B10" s="1" t="s">
        <v>53</v>
      </c>
      <c r="C10" s="1" t="s">
        <v>58</v>
      </c>
      <c r="D10" s="21"/>
      <c r="E10" s="10">
        <v>25</v>
      </c>
      <c r="F10" s="10" t="s">
        <v>134</v>
      </c>
      <c r="G10" s="14">
        <f t="shared" ref="G10:G12" si="0">D10*E10</f>
        <v>0</v>
      </c>
      <c r="H10" s="1"/>
    </row>
    <row r="11" spans="1:8" x14ac:dyDescent="0.25">
      <c r="A11" s="35"/>
      <c r="B11" s="1" t="s">
        <v>54</v>
      </c>
      <c r="C11" s="1" t="s">
        <v>57</v>
      </c>
      <c r="D11" s="1">
        <v>85</v>
      </c>
      <c r="E11" s="10">
        <v>4</v>
      </c>
      <c r="F11" s="10" t="s">
        <v>136</v>
      </c>
      <c r="G11" s="14">
        <f t="shared" si="0"/>
        <v>340</v>
      </c>
      <c r="H11" s="1"/>
    </row>
    <row r="12" spans="1:8" x14ac:dyDescent="0.25">
      <c r="A12" s="35"/>
      <c r="B12" s="1" t="s">
        <v>55</v>
      </c>
      <c r="C12" s="1" t="s">
        <v>56</v>
      </c>
      <c r="D12" s="1">
        <v>15.3</v>
      </c>
      <c r="E12" s="10">
        <v>2</v>
      </c>
      <c r="F12" s="10" t="s">
        <v>136</v>
      </c>
      <c r="G12" s="14">
        <f t="shared" si="0"/>
        <v>30.6</v>
      </c>
      <c r="H12" s="1"/>
    </row>
    <row r="13" spans="1:8" x14ac:dyDescent="0.25">
      <c r="A13" s="35"/>
      <c r="B13" s="1"/>
      <c r="C13" s="1"/>
      <c r="D13" s="1"/>
      <c r="E13" s="10"/>
      <c r="F13" s="10"/>
      <c r="G13" s="1"/>
      <c r="H13" s="1"/>
    </row>
    <row r="14" spans="1:8" x14ac:dyDescent="0.25">
      <c r="A14" s="35"/>
      <c r="B14" s="36" t="s">
        <v>6</v>
      </c>
      <c r="C14" s="37"/>
      <c r="D14" s="38"/>
      <c r="E14" s="12"/>
      <c r="F14" s="12"/>
      <c r="G14" s="16">
        <f>SUM(G9:G13)</f>
        <v>3379.6</v>
      </c>
      <c r="H14" s="1"/>
    </row>
    <row r="15" spans="1:8" x14ac:dyDescent="0.25">
      <c r="A15" s="1" t="s">
        <v>8</v>
      </c>
      <c r="B15" s="1" t="s">
        <v>1</v>
      </c>
      <c r="C15" s="1" t="s">
        <v>2</v>
      </c>
      <c r="D15" s="1" t="s">
        <v>3</v>
      </c>
      <c r="E15" s="10" t="s">
        <v>133</v>
      </c>
      <c r="F15" s="10"/>
      <c r="G15" s="1" t="s">
        <v>4</v>
      </c>
      <c r="H15" s="1" t="s">
        <v>5</v>
      </c>
    </row>
    <row r="16" spans="1:8" x14ac:dyDescent="0.25">
      <c r="A16" s="35" t="s">
        <v>44</v>
      </c>
      <c r="B16" s="1" t="s">
        <v>60</v>
      </c>
      <c r="C16" s="1" t="s">
        <v>32</v>
      </c>
      <c r="D16" s="1">
        <v>100</v>
      </c>
      <c r="E16" s="10">
        <v>12</v>
      </c>
      <c r="F16" s="10" t="s">
        <v>135</v>
      </c>
      <c r="G16" s="1">
        <f>D16*E16</f>
        <v>1200</v>
      </c>
      <c r="H16" s="1"/>
    </row>
    <row r="17" spans="1:8" x14ac:dyDescent="0.25">
      <c r="A17" s="35"/>
      <c r="B17" s="1" t="s">
        <v>61</v>
      </c>
      <c r="C17" s="1" t="s">
        <v>67</v>
      </c>
      <c r="D17" s="1">
        <v>96</v>
      </c>
      <c r="E17" s="10">
        <v>5</v>
      </c>
      <c r="F17" s="10" t="s">
        <v>136</v>
      </c>
      <c r="G17" s="10">
        <f t="shared" ref="G17:G20" si="1">D17*E17</f>
        <v>480</v>
      </c>
      <c r="H17" s="1"/>
    </row>
    <row r="18" spans="1:8" x14ac:dyDescent="0.25">
      <c r="A18" s="35"/>
      <c r="B18" s="1" t="s">
        <v>62</v>
      </c>
      <c r="C18" s="1" t="s">
        <v>66</v>
      </c>
      <c r="D18" s="1">
        <v>280</v>
      </c>
      <c r="E18" s="10">
        <v>5</v>
      </c>
      <c r="F18" s="10" t="s">
        <v>135</v>
      </c>
      <c r="G18" s="10">
        <f t="shared" si="1"/>
        <v>1400</v>
      </c>
      <c r="H18" s="1"/>
    </row>
    <row r="19" spans="1:8" x14ac:dyDescent="0.25">
      <c r="A19" s="35"/>
      <c r="B19" s="2" t="s">
        <v>63</v>
      </c>
      <c r="C19" s="2" t="s">
        <v>65</v>
      </c>
      <c r="D19" s="2">
        <v>120</v>
      </c>
      <c r="E19" s="12">
        <v>3</v>
      </c>
      <c r="F19" s="12" t="s">
        <v>137</v>
      </c>
      <c r="G19" s="10">
        <f t="shared" si="1"/>
        <v>360</v>
      </c>
      <c r="H19" s="2"/>
    </row>
    <row r="20" spans="1:8" x14ac:dyDescent="0.25">
      <c r="A20" s="35"/>
      <c r="B20" s="2" t="s">
        <v>64</v>
      </c>
      <c r="C20" s="2" t="s">
        <v>32</v>
      </c>
      <c r="D20" s="2">
        <v>38.4</v>
      </c>
      <c r="E20" s="12">
        <v>20</v>
      </c>
      <c r="F20" s="12" t="s">
        <v>136</v>
      </c>
      <c r="G20" s="10">
        <f t="shared" si="1"/>
        <v>768</v>
      </c>
      <c r="H20" s="2"/>
    </row>
    <row r="21" spans="1:8" x14ac:dyDescent="0.25">
      <c r="A21" s="35"/>
      <c r="B21" s="1"/>
      <c r="C21" s="1"/>
      <c r="D21" s="1"/>
      <c r="E21" s="12"/>
      <c r="F21" s="12"/>
      <c r="G21" s="3"/>
      <c r="H21" s="1"/>
    </row>
    <row r="22" spans="1:8" x14ac:dyDescent="0.25">
      <c r="A22" s="35"/>
      <c r="B22" s="36" t="s">
        <v>6</v>
      </c>
      <c r="C22" s="37"/>
      <c r="D22" s="38"/>
      <c r="E22" s="12"/>
      <c r="F22" s="12"/>
      <c r="G22" s="15">
        <f>SUM(G16:G21)</f>
        <v>4208</v>
      </c>
      <c r="H22" s="1"/>
    </row>
    <row r="23" spans="1:8" x14ac:dyDescent="0.25">
      <c r="A23" s="4" t="s">
        <v>9</v>
      </c>
      <c r="B23" s="1" t="s">
        <v>1</v>
      </c>
      <c r="C23" s="1" t="s">
        <v>2</v>
      </c>
      <c r="D23" s="1" t="s">
        <v>3</v>
      </c>
      <c r="E23" s="10" t="s">
        <v>133</v>
      </c>
      <c r="F23" s="10"/>
      <c r="G23" s="1" t="s">
        <v>4</v>
      </c>
      <c r="H23" s="1" t="s">
        <v>5</v>
      </c>
    </row>
    <row r="24" spans="1:8" x14ac:dyDescent="0.25">
      <c r="A24" s="35"/>
      <c r="B24" s="1" t="s">
        <v>149</v>
      </c>
      <c r="C24" s="1"/>
      <c r="D24" s="1">
        <v>75</v>
      </c>
      <c r="E24" s="10">
        <v>1</v>
      </c>
      <c r="F24" s="10" t="s">
        <v>135</v>
      </c>
      <c r="G24" s="10">
        <f t="shared" ref="G24:G30" si="2">D24*E24</f>
        <v>75</v>
      </c>
      <c r="H24" s="1"/>
    </row>
    <row r="25" spans="1:8" x14ac:dyDescent="0.25">
      <c r="A25" s="35"/>
      <c r="B25" s="1" t="s">
        <v>138</v>
      </c>
      <c r="C25" s="1"/>
      <c r="D25" s="1">
        <v>540</v>
      </c>
      <c r="E25" s="10">
        <v>1</v>
      </c>
      <c r="F25" s="10" t="s">
        <v>135</v>
      </c>
      <c r="G25" s="10">
        <f t="shared" si="2"/>
        <v>540</v>
      </c>
      <c r="H25" s="1"/>
    </row>
    <row r="26" spans="1:8" x14ac:dyDescent="0.25">
      <c r="A26" s="35"/>
      <c r="B26" s="10" t="s">
        <v>142</v>
      </c>
      <c r="C26" s="10"/>
      <c r="D26" s="10">
        <v>55</v>
      </c>
      <c r="E26" s="10">
        <v>20</v>
      </c>
      <c r="F26" s="10" t="s">
        <v>136</v>
      </c>
      <c r="G26" s="10">
        <f t="shared" si="2"/>
        <v>1100</v>
      </c>
      <c r="H26" s="1"/>
    </row>
    <row r="27" spans="1:8" x14ac:dyDescent="0.25">
      <c r="A27" s="35"/>
      <c r="B27" s="10" t="s">
        <v>143</v>
      </c>
      <c r="C27" s="10"/>
      <c r="D27" s="10">
        <v>29.38</v>
      </c>
      <c r="E27" s="10">
        <v>100</v>
      </c>
      <c r="F27" s="10" t="s">
        <v>136</v>
      </c>
      <c r="G27" s="10">
        <f t="shared" si="2"/>
        <v>2938</v>
      </c>
      <c r="H27" s="1"/>
    </row>
    <row r="28" spans="1:8" x14ac:dyDescent="0.25">
      <c r="A28" s="35"/>
      <c r="B28" s="10" t="s">
        <v>144</v>
      </c>
      <c r="C28" s="10"/>
      <c r="D28" s="10">
        <v>1188</v>
      </c>
      <c r="E28" s="10">
        <v>2</v>
      </c>
      <c r="F28" s="12" t="s">
        <v>145</v>
      </c>
      <c r="G28" s="10">
        <f t="shared" si="2"/>
        <v>2376</v>
      </c>
      <c r="H28" s="10"/>
    </row>
    <row r="29" spans="1:8" x14ac:dyDescent="0.25">
      <c r="A29" s="35"/>
      <c r="B29" s="10" t="s">
        <v>150</v>
      </c>
      <c r="C29" s="10"/>
      <c r="D29" s="10">
        <v>75</v>
      </c>
      <c r="E29" s="10">
        <v>1</v>
      </c>
      <c r="F29" s="12" t="s">
        <v>135</v>
      </c>
      <c r="G29" s="12">
        <f t="shared" si="2"/>
        <v>75</v>
      </c>
      <c r="H29" s="10"/>
    </row>
    <row r="30" spans="1:8" x14ac:dyDescent="0.25">
      <c r="A30" s="35"/>
      <c r="B30" s="10" t="s">
        <v>151</v>
      </c>
      <c r="C30" s="10"/>
      <c r="D30" s="10">
        <v>50</v>
      </c>
      <c r="E30" s="10">
        <v>1</v>
      </c>
      <c r="F30" s="12" t="s">
        <v>134</v>
      </c>
      <c r="G30" s="12">
        <f t="shared" si="2"/>
        <v>50</v>
      </c>
      <c r="H30" s="10"/>
    </row>
    <row r="31" spans="1:8" x14ac:dyDescent="0.25">
      <c r="A31" s="35"/>
      <c r="B31" s="36" t="s">
        <v>6</v>
      </c>
      <c r="C31" s="37"/>
      <c r="D31" s="38"/>
      <c r="E31" s="12"/>
      <c r="F31" s="12"/>
      <c r="G31" s="15">
        <f>SUM(G24:G30)</f>
        <v>7154</v>
      </c>
      <c r="H31" s="1"/>
    </row>
    <row r="32" spans="1:8" x14ac:dyDescent="0.25">
      <c r="A32" s="1" t="s">
        <v>10</v>
      </c>
      <c r="B32" s="1" t="s">
        <v>1</v>
      </c>
      <c r="C32" s="1" t="s">
        <v>2</v>
      </c>
      <c r="D32" s="1" t="s">
        <v>3</v>
      </c>
      <c r="E32" s="10" t="s">
        <v>133</v>
      </c>
      <c r="F32" s="10"/>
      <c r="G32" s="1" t="s">
        <v>4</v>
      </c>
      <c r="H32" s="1" t="s">
        <v>5</v>
      </c>
    </row>
    <row r="33" spans="1:8" x14ac:dyDescent="0.25">
      <c r="A33" s="35" t="s">
        <v>45</v>
      </c>
      <c r="B33" s="1" t="s">
        <v>46</v>
      </c>
      <c r="C33" s="1" t="s">
        <v>48</v>
      </c>
      <c r="D33" s="1">
        <v>21.42</v>
      </c>
      <c r="E33" s="10">
        <v>20</v>
      </c>
      <c r="F33" s="10" t="s">
        <v>136</v>
      </c>
      <c r="G33" s="14">
        <f>D33*E33</f>
        <v>428.40000000000003</v>
      </c>
      <c r="H33" s="1"/>
    </row>
    <row r="34" spans="1:8" x14ac:dyDescent="0.25">
      <c r="A34" s="35"/>
      <c r="B34" s="1" t="s">
        <v>47</v>
      </c>
      <c r="C34" s="1" t="s">
        <v>34</v>
      </c>
      <c r="D34" s="1">
        <v>63</v>
      </c>
      <c r="E34" s="10">
        <v>5</v>
      </c>
      <c r="F34" s="10" t="s">
        <v>136</v>
      </c>
      <c r="G34" s="14">
        <f>D34*E34</f>
        <v>315</v>
      </c>
      <c r="H34" s="1"/>
    </row>
    <row r="35" spans="1:8" x14ac:dyDescent="0.25">
      <c r="A35" s="35"/>
      <c r="B35" s="1"/>
      <c r="C35" s="1"/>
      <c r="D35" s="1"/>
      <c r="E35" s="10"/>
      <c r="F35" s="10"/>
      <c r="G35" s="1"/>
      <c r="H35" s="1"/>
    </row>
    <row r="36" spans="1:8" x14ac:dyDescent="0.25">
      <c r="A36" s="35"/>
      <c r="B36" s="36"/>
      <c r="C36" s="37"/>
      <c r="D36" s="38"/>
      <c r="E36" s="12"/>
      <c r="F36" s="12"/>
      <c r="G36" s="16">
        <f>SUM(G33:G35)</f>
        <v>743.40000000000009</v>
      </c>
      <c r="H36" s="1"/>
    </row>
    <row r="37" spans="1:8" x14ac:dyDescent="0.25">
      <c r="A37" s="1" t="s">
        <v>11</v>
      </c>
      <c r="B37" s="1" t="s">
        <v>1</v>
      </c>
      <c r="C37" s="1" t="s">
        <v>2</v>
      </c>
      <c r="D37" s="1" t="s">
        <v>3</v>
      </c>
      <c r="E37" s="12" t="s">
        <v>133</v>
      </c>
      <c r="F37" s="12"/>
      <c r="G37" s="3" t="s">
        <v>4</v>
      </c>
      <c r="H37" s="1" t="s">
        <v>5</v>
      </c>
    </row>
    <row r="38" spans="1:8" x14ac:dyDescent="0.25">
      <c r="A38" s="42"/>
      <c r="B38" s="1" t="s">
        <v>147</v>
      </c>
      <c r="C38" s="1"/>
      <c r="D38" s="1">
        <v>16.32</v>
      </c>
      <c r="E38" s="10">
        <v>54</v>
      </c>
      <c r="F38" s="10" t="s">
        <v>136</v>
      </c>
      <c r="G38" s="14">
        <f>D38*E38</f>
        <v>881.28</v>
      </c>
      <c r="H38" s="1"/>
    </row>
    <row r="39" spans="1:8" x14ac:dyDescent="0.25">
      <c r="A39" s="43"/>
      <c r="B39" s="1" t="s">
        <v>147</v>
      </c>
      <c r="C39" s="1"/>
      <c r="D39" s="1">
        <v>17.34</v>
      </c>
      <c r="E39" s="10">
        <v>6</v>
      </c>
      <c r="F39" s="10" t="s">
        <v>136</v>
      </c>
      <c r="G39" s="14">
        <f t="shared" ref="G39:G40" si="3">D39*E39</f>
        <v>104.03999999999999</v>
      </c>
      <c r="H39" s="1"/>
    </row>
    <row r="40" spans="1:8" x14ac:dyDescent="0.25">
      <c r="A40" s="43"/>
      <c r="B40" s="11" t="s">
        <v>148</v>
      </c>
      <c r="C40" s="10"/>
      <c r="D40" s="10">
        <v>37.44</v>
      </c>
      <c r="E40" s="12">
        <v>60</v>
      </c>
      <c r="F40" s="10" t="s">
        <v>136</v>
      </c>
      <c r="G40" s="14">
        <f t="shared" si="3"/>
        <v>2246.3999999999996</v>
      </c>
      <c r="H40" s="10"/>
    </row>
    <row r="41" spans="1:8" x14ac:dyDescent="0.25">
      <c r="A41" s="44"/>
      <c r="B41" s="36" t="s">
        <v>6</v>
      </c>
      <c r="C41" s="37"/>
      <c r="D41" s="38"/>
      <c r="E41" s="12"/>
      <c r="F41" s="12"/>
      <c r="G41" s="16">
        <f>SUM(G38:G40)</f>
        <v>3231.7199999999993</v>
      </c>
      <c r="H41" s="5"/>
    </row>
    <row r="42" spans="1:8" x14ac:dyDescent="0.25">
      <c r="A42" s="6" t="s">
        <v>12</v>
      </c>
      <c r="B42" s="1" t="s">
        <v>1</v>
      </c>
      <c r="C42" s="1" t="s">
        <v>2</v>
      </c>
      <c r="D42" s="1" t="s">
        <v>3</v>
      </c>
      <c r="E42" s="10" t="s">
        <v>133</v>
      </c>
      <c r="F42" s="10"/>
      <c r="G42" s="1" t="s">
        <v>4</v>
      </c>
      <c r="H42" s="1"/>
    </row>
    <row r="43" spans="1:8" x14ac:dyDescent="0.25">
      <c r="A43" s="35"/>
      <c r="B43" s="1" t="s">
        <v>146</v>
      </c>
      <c r="C43" s="1"/>
      <c r="D43" s="1">
        <v>78</v>
      </c>
      <c r="E43" s="10">
        <v>6.3</v>
      </c>
      <c r="F43" s="10" t="s">
        <v>136</v>
      </c>
      <c r="G43" s="14">
        <f>D43*E43</f>
        <v>491.4</v>
      </c>
      <c r="H43" s="1"/>
    </row>
    <row r="44" spans="1:8" x14ac:dyDescent="0.25">
      <c r="A44" s="35"/>
      <c r="B44" s="1"/>
      <c r="C44" s="1"/>
      <c r="D44" s="1"/>
      <c r="E44" s="10"/>
      <c r="F44" s="10"/>
      <c r="G44" s="1"/>
      <c r="H44" s="1"/>
    </row>
    <row r="45" spans="1:8" x14ac:dyDescent="0.25">
      <c r="A45" s="35"/>
      <c r="B45" s="1"/>
      <c r="C45" s="1"/>
      <c r="D45" s="1"/>
      <c r="E45" s="10"/>
      <c r="F45" s="10"/>
      <c r="G45" s="1"/>
      <c r="H45" s="1"/>
    </row>
    <row r="46" spans="1:8" x14ac:dyDescent="0.25">
      <c r="A46" s="35"/>
      <c r="B46" s="1"/>
      <c r="C46" s="1"/>
      <c r="D46" s="1"/>
      <c r="E46" s="10"/>
      <c r="F46" s="10"/>
      <c r="G46" s="1"/>
      <c r="H46" s="1"/>
    </row>
    <row r="47" spans="1:8" x14ac:dyDescent="0.25">
      <c r="A47" s="35"/>
      <c r="B47" s="36" t="s">
        <v>6</v>
      </c>
      <c r="C47" s="37"/>
      <c r="D47" s="38"/>
      <c r="E47" s="12"/>
      <c r="F47" s="12"/>
      <c r="G47" s="16">
        <f>SUM(G43:G46)</f>
        <v>491.4</v>
      </c>
      <c r="H47" s="1"/>
    </row>
    <row r="48" spans="1:8" x14ac:dyDescent="0.25">
      <c r="A48" s="1"/>
      <c r="B48" s="39" t="s">
        <v>13</v>
      </c>
      <c r="C48" s="40"/>
      <c r="D48" s="41"/>
      <c r="E48" s="13"/>
      <c r="F48" s="13"/>
      <c r="G48" s="18">
        <f>G47+G41+G36+G31+G22+G14+G7</f>
        <v>24764.12</v>
      </c>
      <c r="H48" s="1"/>
    </row>
  </sheetData>
  <mergeCells count="16">
    <mergeCell ref="A16:A22"/>
    <mergeCell ref="B22:D22"/>
    <mergeCell ref="A1:H1"/>
    <mergeCell ref="A3:A7"/>
    <mergeCell ref="B7:D7"/>
    <mergeCell ref="A9:A14"/>
    <mergeCell ref="B14:D14"/>
    <mergeCell ref="A43:A47"/>
    <mergeCell ref="B47:D47"/>
    <mergeCell ref="B48:D48"/>
    <mergeCell ref="A24:A31"/>
    <mergeCell ref="B31:D31"/>
    <mergeCell ref="A33:A36"/>
    <mergeCell ref="B36:D36"/>
    <mergeCell ref="A38:A41"/>
    <mergeCell ref="B41:D41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5"/>
  <sheetViews>
    <sheetView workbookViewId="0">
      <selection activeCell="H55" sqref="H5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5" t="s">
        <v>16</v>
      </c>
      <c r="B1" s="46"/>
      <c r="C1" s="46"/>
      <c r="D1" s="46"/>
      <c r="E1" s="46"/>
      <c r="F1" s="46"/>
      <c r="G1" s="46"/>
      <c r="H1" s="4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0" t="s">
        <v>133</v>
      </c>
      <c r="F2" s="10"/>
      <c r="G2" s="1" t="s">
        <v>4</v>
      </c>
      <c r="H2" s="1" t="s">
        <v>5</v>
      </c>
    </row>
    <row r="3" spans="1:8" x14ac:dyDescent="0.25">
      <c r="A3" s="35" t="s">
        <v>68</v>
      </c>
      <c r="B3" s="1" t="s">
        <v>115</v>
      </c>
      <c r="C3" s="1">
        <v>110.33</v>
      </c>
      <c r="D3" s="1">
        <v>225</v>
      </c>
      <c r="E3" s="10"/>
      <c r="F3" s="10"/>
      <c r="G3" s="14">
        <f>C3*D3</f>
        <v>24824.25</v>
      </c>
      <c r="H3" s="1"/>
    </row>
    <row r="4" spans="1:8" x14ac:dyDescent="0.25">
      <c r="A4" s="35"/>
      <c r="B4" s="1"/>
      <c r="C4" s="1"/>
      <c r="D4" s="1"/>
      <c r="E4" s="10"/>
      <c r="F4" s="10"/>
      <c r="G4" s="1"/>
      <c r="H4" s="1"/>
    </row>
    <row r="5" spans="1:8" x14ac:dyDescent="0.25">
      <c r="A5" s="35"/>
      <c r="B5" s="1"/>
      <c r="C5" s="1"/>
      <c r="D5" s="1"/>
      <c r="E5" s="10"/>
      <c r="F5" s="10"/>
      <c r="G5" s="1"/>
      <c r="H5" s="1"/>
    </row>
    <row r="6" spans="1:8" x14ac:dyDescent="0.25">
      <c r="A6" s="35"/>
      <c r="B6" s="1"/>
      <c r="C6" s="1"/>
      <c r="D6" s="1"/>
      <c r="E6" s="12"/>
      <c r="F6" s="12"/>
      <c r="G6" s="3"/>
      <c r="H6" s="1"/>
    </row>
    <row r="7" spans="1:8" x14ac:dyDescent="0.25">
      <c r="A7" s="35"/>
      <c r="B7" s="36" t="s">
        <v>6</v>
      </c>
      <c r="C7" s="37"/>
      <c r="D7" s="38"/>
      <c r="E7" s="12"/>
      <c r="F7" s="12"/>
      <c r="G7" s="16">
        <f>SUM(G3:G6)</f>
        <v>24824.25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10" t="s">
        <v>133</v>
      </c>
      <c r="F8" s="10"/>
      <c r="G8" s="1" t="s">
        <v>4</v>
      </c>
      <c r="H8" s="1" t="s">
        <v>5</v>
      </c>
    </row>
    <row r="9" spans="1:8" x14ac:dyDescent="0.25">
      <c r="A9" s="35" t="s">
        <v>69</v>
      </c>
      <c r="B9" s="1" t="s">
        <v>172</v>
      </c>
      <c r="C9" s="1"/>
      <c r="D9" s="1">
        <v>174</v>
      </c>
      <c r="E9" s="10">
        <v>50</v>
      </c>
      <c r="F9" s="10" t="s">
        <v>161</v>
      </c>
      <c r="G9" s="1">
        <f>D9*E9</f>
        <v>8700</v>
      </c>
      <c r="H9" s="1"/>
    </row>
    <row r="10" spans="1:8" x14ac:dyDescent="0.25">
      <c r="A10" s="35"/>
      <c r="B10" s="25" t="s">
        <v>160</v>
      </c>
      <c r="C10" s="25"/>
      <c r="D10" s="25">
        <v>30.6</v>
      </c>
      <c r="E10" s="25">
        <v>8</v>
      </c>
      <c r="F10" s="25" t="s">
        <v>161</v>
      </c>
      <c r="G10" s="25">
        <f>D10*E10</f>
        <v>244.8</v>
      </c>
      <c r="H10" s="1"/>
    </row>
    <row r="11" spans="1:8" x14ac:dyDescent="0.25">
      <c r="A11" s="35"/>
      <c r="B11" s="1"/>
      <c r="C11" s="1"/>
      <c r="D11" s="1"/>
      <c r="E11" s="10"/>
      <c r="F11" s="10"/>
      <c r="G11" s="1"/>
      <c r="H11" s="1"/>
    </row>
    <row r="12" spans="1:8" x14ac:dyDescent="0.25">
      <c r="A12" s="35"/>
      <c r="B12" s="1"/>
      <c r="C12" s="1"/>
      <c r="D12" s="1"/>
      <c r="E12" s="10"/>
      <c r="F12" s="10"/>
      <c r="G12" s="1"/>
      <c r="H12" s="1"/>
    </row>
    <row r="13" spans="1:8" x14ac:dyDescent="0.25">
      <c r="A13" s="35"/>
      <c r="B13" s="1"/>
      <c r="C13" s="1"/>
      <c r="D13" s="1"/>
      <c r="E13" s="10"/>
      <c r="F13" s="10"/>
      <c r="G13" s="1"/>
      <c r="H13" s="1"/>
    </row>
    <row r="14" spans="1:8" x14ac:dyDescent="0.25">
      <c r="A14" s="35"/>
      <c r="B14" s="36" t="s">
        <v>6</v>
      </c>
      <c r="C14" s="37"/>
      <c r="D14" s="38"/>
      <c r="E14" s="12"/>
      <c r="F14" s="12"/>
      <c r="G14" s="15">
        <f>SUM(G9:G13)</f>
        <v>8944.7999999999993</v>
      </c>
      <c r="H14" s="1"/>
    </row>
    <row r="15" spans="1:8" x14ac:dyDescent="0.25">
      <c r="A15" s="1" t="s">
        <v>8</v>
      </c>
      <c r="B15" s="1" t="s">
        <v>1</v>
      </c>
      <c r="C15" s="1" t="s">
        <v>2</v>
      </c>
      <c r="D15" s="1" t="s">
        <v>3</v>
      </c>
      <c r="E15" s="10" t="s">
        <v>133</v>
      </c>
      <c r="F15" s="10"/>
      <c r="G15" s="1" t="s">
        <v>4</v>
      </c>
      <c r="H15" s="1" t="s">
        <v>5</v>
      </c>
    </row>
    <row r="16" spans="1:8" x14ac:dyDescent="0.25">
      <c r="A16" s="35" t="s">
        <v>70</v>
      </c>
      <c r="B16" s="1" t="s">
        <v>184</v>
      </c>
      <c r="C16" s="1"/>
      <c r="D16" s="1">
        <v>93</v>
      </c>
      <c r="E16" s="10">
        <v>40</v>
      </c>
      <c r="F16" s="10" t="s">
        <v>161</v>
      </c>
      <c r="G16" s="1">
        <f>D16*E16</f>
        <v>3720</v>
      </c>
      <c r="H16" s="1"/>
    </row>
    <row r="17" spans="1:8" x14ac:dyDescent="0.25">
      <c r="A17" s="35"/>
      <c r="B17" s="1"/>
      <c r="C17" s="1"/>
      <c r="D17" s="1"/>
      <c r="E17" s="10"/>
      <c r="F17" s="10"/>
      <c r="G17" s="1"/>
      <c r="H17" s="1"/>
    </row>
    <row r="18" spans="1:8" x14ac:dyDescent="0.25">
      <c r="A18" s="35"/>
      <c r="B18" s="1"/>
      <c r="C18" s="1"/>
      <c r="D18" s="1"/>
      <c r="E18" s="10"/>
      <c r="F18" s="10"/>
      <c r="G18" s="1"/>
      <c r="H18" s="1"/>
    </row>
    <row r="19" spans="1:8" x14ac:dyDescent="0.25">
      <c r="A19" s="35"/>
      <c r="B19" s="1"/>
      <c r="C19" s="1"/>
      <c r="D19" s="1"/>
      <c r="E19" s="12"/>
      <c r="F19" s="12"/>
      <c r="G19" s="3"/>
      <c r="H19" s="1"/>
    </row>
    <row r="20" spans="1:8" x14ac:dyDescent="0.25">
      <c r="A20" s="35"/>
      <c r="B20" s="36" t="s">
        <v>6</v>
      </c>
      <c r="C20" s="37"/>
      <c r="D20" s="38"/>
      <c r="E20" s="12"/>
      <c r="F20" s="12"/>
      <c r="G20" s="15">
        <f>SUM(G16:G19)</f>
        <v>3720</v>
      </c>
      <c r="H20" s="1"/>
    </row>
    <row r="21" spans="1:8" x14ac:dyDescent="0.25">
      <c r="A21" s="4" t="s">
        <v>9</v>
      </c>
      <c r="B21" s="1" t="s">
        <v>1</v>
      </c>
      <c r="C21" s="1" t="s">
        <v>2</v>
      </c>
      <c r="D21" s="1" t="s">
        <v>3</v>
      </c>
      <c r="E21" s="10" t="s">
        <v>133</v>
      </c>
      <c r="F21" s="10"/>
      <c r="G21" s="1" t="s">
        <v>4</v>
      </c>
      <c r="H21" s="1" t="s">
        <v>5</v>
      </c>
    </row>
    <row r="22" spans="1:8" x14ac:dyDescent="0.25">
      <c r="A22" s="35"/>
      <c r="B22" s="1" t="s">
        <v>163</v>
      </c>
      <c r="C22" s="1"/>
      <c r="D22" s="1">
        <v>225</v>
      </c>
      <c r="E22" s="10">
        <v>2</v>
      </c>
      <c r="F22" s="10" t="s">
        <v>164</v>
      </c>
      <c r="G22" s="1">
        <f>D22*E22</f>
        <v>450</v>
      </c>
      <c r="H22" s="1"/>
    </row>
    <row r="23" spans="1:8" x14ac:dyDescent="0.25">
      <c r="A23" s="35"/>
      <c r="B23" s="1" t="s">
        <v>165</v>
      </c>
      <c r="C23" s="1"/>
      <c r="D23" s="1">
        <v>291</v>
      </c>
      <c r="E23" s="10">
        <v>2</v>
      </c>
      <c r="F23" s="10" t="s">
        <v>164</v>
      </c>
      <c r="G23" s="25">
        <f t="shared" ref="G23:G27" si="0">D23*E23</f>
        <v>582</v>
      </c>
      <c r="H23" s="1"/>
    </row>
    <row r="24" spans="1:8" x14ac:dyDescent="0.25">
      <c r="A24" s="35"/>
      <c r="B24" s="1" t="s">
        <v>166</v>
      </c>
      <c r="C24" s="1"/>
      <c r="D24" s="1">
        <v>363</v>
      </c>
      <c r="E24" s="10">
        <v>1</v>
      </c>
      <c r="F24" s="10" t="s">
        <v>167</v>
      </c>
      <c r="G24" s="25">
        <f t="shared" si="0"/>
        <v>363</v>
      </c>
      <c r="H24" s="1"/>
    </row>
    <row r="25" spans="1:8" x14ac:dyDescent="0.25">
      <c r="A25" s="35"/>
      <c r="B25" s="1" t="s">
        <v>168</v>
      </c>
      <c r="C25" s="1"/>
      <c r="D25" s="1">
        <v>37</v>
      </c>
      <c r="E25" s="10">
        <v>20</v>
      </c>
      <c r="F25" s="10" t="s">
        <v>169</v>
      </c>
      <c r="G25" s="25">
        <f t="shared" si="0"/>
        <v>740</v>
      </c>
      <c r="H25" s="1"/>
    </row>
    <row r="26" spans="1:8" x14ac:dyDescent="0.25">
      <c r="A26" s="35"/>
      <c r="B26" s="25" t="s">
        <v>170</v>
      </c>
      <c r="C26" s="25"/>
      <c r="D26" s="25">
        <v>1188</v>
      </c>
      <c r="E26" s="25">
        <v>1</v>
      </c>
      <c r="F26" s="26" t="s">
        <v>164</v>
      </c>
      <c r="G26" s="25">
        <f t="shared" si="0"/>
        <v>1188</v>
      </c>
      <c r="H26" s="25"/>
    </row>
    <row r="27" spans="1:8" x14ac:dyDescent="0.25">
      <c r="A27" s="35"/>
      <c r="B27" s="25" t="s">
        <v>171</v>
      </c>
      <c r="C27" s="25"/>
      <c r="D27" s="25">
        <v>38.4</v>
      </c>
      <c r="E27" s="25">
        <v>20</v>
      </c>
      <c r="F27" s="26" t="s">
        <v>161</v>
      </c>
      <c r="G27" s="25">
        <f t="shared" si="0"/>
        <v>768</v>
      </c>
      <c r="H27" s="25"/>
    </row>
    <row r="28" spans="1:8" x14ac:dyDescent="0.25">
      <c r="A28" s="35"/>
      <c r="B28" s="36" t="s">
        <v>6</v>
      </c>
      <c r="C28" s="37"/>
      <c r="D28" s="38"/>
      <c r="E28" s="12"/>
      <c r="F28" s="12"/>
      <c r="G28" s="15">
        <f>SUM(G22:G27)</f>
        <v>4091</v>
      </c>
      <c r="H28" s="1"/>
    </row>
    <row r="29" spans="1:8" x14ac:dyDescent="0.25">
      <c r="A29" s="1" t="s">
        <v>10</v>
      </c>
      <c r="B29" s="1" t="s">
        <v>1</v>
      </c>
      <c r="C29" s="1" t="s">
        <v>2</v>
      </c>
      <c r="D29" s="1" t="s">
        <v>3</v>
      </c>
      <c r="E29" s="10" t="s">
        <v>133</v>
      </c>
      <c r="F29" s="10"/>
      <c r="G29" s="1" t="s">
        <v>4</v>
      </c>
      <c r="H29" s="1" t="s">
        <v>5</v>
      </c>
    </row>
    <row r="30" spans="1:8" x14ac:dyDescent="0.25">
      <c r="A30" s="42" t="s">
        <v>71</v>
      </c>
      <c r="B30" s="1" t="s">
        <v>152</v>
      </c>
      <c r="C30" s="1"/>
      <c r="D30" s="1">
        <v>150</v>
      </c>
      <c r="E30" s="10">
        <v>3</v>
      </c>
      <c r="F30" s="10" t="s">
        <v>153</v>
      </c>
      <c r="G30" s="1">
        <f>D30*E30</f>
        <v>450</v>
      </c>
      <c r="H30" s="1"/>
    </row>
    <row r="31" spans="1:8" x14ac:dyDescent="0.25">
      <c r="A31" s="43"/>
      <c r="B31" s="1" t="s">
        <v>147</v>
      </c>
      <c r="C31" s="1"/>
      <c r="D31" s="1">
        <v>16.32</v>
      </c>
      <c r="E31" s="10">
        <v>40</v>
      </c>
      <c r="F31" s="10" t="s">
        <v>136</v>
      </c>
      <c r="G31" s="10">
        <f t="shared" ref="G31:G34" si="1">D31*E31</f>
        <v>652.79999999999995</v>
      </c>
      <c r="H31" s="1"/>
    </row>
    <row r="32" spans="1:8" s="23" customFormat="1" x14ac:dyDescent="0.25">
      <c r="A32" s="43"/>
      <c r="B32" s="10" t="s">
        <v>155</v>
      </c>
      <c r="C32" s="10"/>
      <c r="D32" s="10">
        <v>105</v>
      </c>
      <c r="E32" s="10">
        <v>10</v>
      </c>
      <c r="F32" s="10" t="s">
        <v>136</v>
      </c>
      <c r="G32" s="10">
        <f t="shared" si="1"/>
        <v>1050</v>
      </c>
      <c r="H32" s="10"/>
    </row>
    <row r="33" spans="1:8" s="23" customFormat="1" x14ac:dyDescent="0.25">
      <c r="A33" s="43"/>
      <c r="B33" s="10" t="s">
        <v>156</v>
      </c>
      <c r="C33" s="10"/>
      <c r="D33" s="10"/>
      <c r="E33" s="10"/>
      <c r="F33" s="12"/>
      <c r="G33" s="25">
        <f t="shared" si="1"/>
        <v>0</v>
      </c>
      <c r="H33" s="10"/>
    </row>
    <row r="34" spans="1:8" x14ac:dyDescent="0.25">
      <c r="A34" s="43"/>
      <c r="B34" s="11" t="s">
        <v>157</v>
      </c>
      <c r="C34" s="24"/>
      <c r="D34" s="24">
        <v>105</v>
      </c>
      <c r="E34" s="12">
        <v>15</v>
      </c>
      <c r="F34" s="12" t="s">
        <v>136</v>
      </c>
      <c r="G34" s="25">
        <f t="shared" si="1"/>
        <v>1575</v>
      </c>
      <c r="H34" s="1"/>
    </row>
    <row r="35" spans="1:8" x14ac:dyDescent="0.25">
      <c r="A35" s="44"/>
      <c r="B35" s="36" t="s">
        <v>158</v>
      </c>
      <c r="C35" s="37"/>
      <c r="D35" s="38"/>
      <c r="E35" s="20"/>
      <c r="F35" s="20"/>
      <c r="G35" s="15">
        <f>SUM(G30:G34)</f>
        <v>3727.8</v>
      </c>
      <c r="H35" s="19"/>
    </row>
    <row r="36" spans="1:8" x14ac:dyDescent="0.25">
      <c r="A36" s="1" t="s">
        <v>11</v>
      </c>
      <c r="B36" s="1" t="s">
        <v>1</v>
      </c>
      <c r="C36" s="1" t="s">
        <v>2</v>
      </c>
      <c r="D36" s="1" t="s">
        <v>3</v>
      </c>
      <c r="E36" s="12" t="s">
        <v>133</v>
      </c>
      <c r="F36" s="12"/>
      <c r="G36" s="3" t="s">
        <v>4</v>
      </c>
      <c r="H36" s="1" t="s">
        <v>5</v>
      </c>
    </row>
    <row r="37" spans="1:8" x14ac:dyDescent="0.25">
      <c r="A37" s="42" t="s">
        <v>72</v>
      </c>
      <c r="B37" s="10" t="s">
        <v>173</v>
      </c>
      <c r="C37" s="10"/>
      <c r="D37" s="10">
        <v>120</v>
      </c>
      <c r="E37" s="10">
        <v>25</v>
      </c>
      <c r="F37" s="10" t="s">
        <v>169</v>
      </c>
      <c r="G37" s="1">
        <f>D37*E37</f>
        <v>3000</v>
      </c>
      <c r="H37" s="1"/>
    </row>
    <row r="38" spans="1:8" x14ac:dyDescent="0.25">
      <c r="A38" s="43"/>
      <c r="B38" s="10" t="s">
        <v>174</v>
      </c>
      <c r="C38" s="10"/>
      <c r="D38" s="10">
        <v>390</v>
      </c>
      <c r="E38" s="10">
        <v>1</v>
      </c>
      <c r="F38" s="10" t="s">
        <v>175</v>
      </c>
      <c r="G38" s="25">
        <f t="shared" ref="G38:G45" si="2">D38*E38</f>
        <v>390</v>
      </c>
      <c r="H38" s="1"/>
    </row>
    <row r="39" spans="1:8" x14ac:dyDescent="0.25">
      <c r="A39" s="43"/>
      <c r="B39" s="25" t="s">
        <v>176</v>
      </c>
      <c r="C39" s="25"/>
      <c r="D39" s="25">
        <v>80</v>
      </c>
      <c r="E39" s="25">
        <v>1</v>
      </c>
      <c r="F39" s="26" t="s">
        <v>167</v>
      </c>
      <c r="G39" s="25">
        <f t="shared" si="2"/>
        <v>80</v>
      </c>
      <c r="H39" s="25"/>
    </row>
    <row r="40" spans="1:8" x14ac:dyDescent="0.25">
      <c r="A40" s="43"/>
      <c r="B40" s="25" t="s">
        <v>179</v>
      </c>
      <c r="C40" s="25"/>
      <c r="D40" s="25">
        <v>120</v>
      </c>
      <c r="E40" s="25">
        <v>2</v>
      </c>
      <c r="F40" s="26" t="s">
        <v>175</v>
      </c>
      <c r="G40" s="25">
        <f t="shared" si="2"/>
        <v>240</v>
      </c>
      <c r="H40" s="25"/>
    </row>
    <row r="41" spans="1:8" x14ac:dyDescent="0.25">
      <c r="A41" s="43"/>
      <c r="B41" s="25" t="s">
        <v>177</v>
      </c>
      <c r="C41" s="25"/>
      <c r="D41" s="25">
        <v>170</v>
      </c>
      <c r="E41" s="25">
        <v>2</v>
      </c>
      <c r="F41" s="26" t="s">
        <v>178</v>
      </c>
      <c r="G41" s="25">
        <f t="shared" si="2"/>
        <v>340</v>
      </c>
      <c r="H41" s="25"/>
    </row>
    <row r="42" spans="1:8" x14ac:dyDescent="0.25">
      <c r="A42" s="44"/>
      <c r="B42" s="36" t="s">
        <v>6</v>
      </c>
      <c r="C42" s="37"/>
      <c r="D42" s="38"/>
      <c r="E42" s="25"/>
      <c r="F42" s="26"/>
      <c r="G42" s="21">
        <f>SUM(G37:G41)</f>
        <v>4050</v>
      </c>
      <c r="H42" s="25"/>
    </row>
    <row r="43" spans="1:8" x14ac:dyDescent="0.25">
      <c r="A43" s="35" t="s">
        <v>154</v>
      </c>
      <c r="B43" s="10" t="s">
        <v>159</v>
      </c>
      <c r="C43" s="10"/>
      <c r="D43" s="10">
        <v>18.899999999999999</v>
      </c>
      <c r="E43" s="10">
        <v>70</v>
      </c>
      <c r="F43" s="12" t="s">
        <v>161</v>
      </c>
      <c r="G43" s="25">
        <f t="shared" si="2"/>
        <v>1323</v>
      </c>
      <c r="H43" s="10"/>
    </row>
    <row r="44" spans="1:8" x14ac:dyDescent="0.25">
      <c r="A44" s="35"/>
      <c r="B44" s="10" t="s">
        <v>183</v>
      </c>
      <c r="C44" s="10"/>
      <c r="D44" s="10">
        <v>45.12</v>
      </c>
      <c r="E44" s="10">
        <v>90</v>
      </c>
      <c r="F44" s="12" t="s">
        <v>161</v>
      </c>
      <c r="G44" s="25">
        <f t="shared" si="2"/>
        <v>4060.7999999999997</v>
      </c>
      <c r="H44" s="10"/>
    </row>
    <row r="45" spans="1:8" x14ac:dyDescent="0.25">
      <c r="A45" s="35"/>
      <c r="B45" s="10" t="s">
        <v>185</v>
      </c>
      <c r="C45" s="10"/>
      <c r="D45" s="10">
        <v>43</v>
      </c>
      <c r="E45" s="10">
        <v>36</v>
      </c>
      <c r="F45" s="12" t="s">
        <v>169</v>
      </c>
      <c r="G45" s="12">
        <f t="shared" si="2"/>
        <v>1548</v>
      </c>
      <c r="H45" s="10"/>
    </row>
    <row r="46" spans="1:8" x14ac:dyDescent="0.25">
      <c r="A46" s="22"/>
      <c r="B46" s="36" t="s">
        <v>6</v>
      </c>
      <c r="C46" s="37"/>
      <c r="D46" s="38"/>
      <c r="E46" s="12"/>
      <c r="F46" s="12"/>
      <c r="G46" s="15">
        <f>SUM(G43:G45)</f>
        <v>6931.7999999999993</v>
      </c>
      <c r="H46" s="5"/>
    </row>
    <row r="47" spans="1:8" x14ac:dyDescent="0.25">
      <c r="A47" s="6" t="s">
        <v>12</v>
      </c>
      <c r="B47" s="1" t="s">
        <v>1</v>
      </c>
      <c r="C47" s="1" t="s">
        <v>2</v>
      </c>
      <c r="D47" s="1" t="s">
        <v>3</v>
      </c>
      <c r="E47" s="10" t="s">
        <v>133</v>
      </c>
      <c r="F47" s="10"/>
      <c r="G47" s="1" t="s">
        <v>4</v>
      </c>
      <c r="H47" s="1"/>
    </row>
    <row r="48" spans="1:8" x14ac:dyDescent="0.25">
      <c r="A48" s="35"/>
      <c r="B48" s="10" t="s">
        <v>139</v>
      </c>
      <c r="C48" s="10"/>
      <c r="D48" s="10">
        <v>185</v>
      </c>
      <c r="E48" s="10">
        <v>3</v>
      </c>
      <c r="F48" s="10" t="s">
        <v>140</v>
      </c>
      <c r="G48" s="1">
        <f>D48*E48</f>
        <v>555</v>
      </c>
      <c r="H48" s="1"/>
    </row>
    <row r="49" spans="1:8" x14ac:dyDescent="0.25">
      <c r="A49" s="35"/>
      <c r="B49" s="10" t="s">
        <v>141</v>
      </c>
      <c r="C49" s="10"/>
      <c r="D49" s="10">
        <v>170</v>
      </c>
      <c r="E49" s="10">
        <v>1</v>
      </c>
      <c r="F49" s="10" t="s">
        <v>135</v>
      </c>
      <c r="G49" s="25">
        <f t="shared" ref="G49:G53" si="3">D49*E49</f>
        <v>170</v>
      </c>
      <c r="H49" s="1"/>
    </row>
    <row r="50" spans="1:8" x14ac:dyDescent="0.25">
      <c r="A50" s="35"/>
      <c r="B50" s="1" t="s">
        <v>162</v>
      </c>
      <c r="C50" s="1"/>
      <c r="D50" s="1">
        <v>99</v>
      </c>
      <c r="E50" s="10">
        <v>3</v>
      </c>
      <c r="F50" s="10" t="s">
        <v>161</v>
      </c>
      <c r="G50" s="25">
        <f t="shared" si="3"/>
        <v>297</v>
      </c>
      <c r="H50" s="1"/>
    </row>
    <row r="51" spans="1:8" x14ac:dyDescent="0.25">
      <c r="A51" s="35"/>
      <c r="B51" s="25" t="s">
        <v>180</v>
      </c>
      <c r="C51" s="30"/>
      <c r="D51" s="25">
        <v>265</v>
      </c>
      <c r="E51" s="25">
        <v>1</v>
      </c>
      <c r="F51" s="25" t="s">
        <v>167</v>
      </c>
      <c r="G51" s="25">
        <f t="shared" si="3"/>
        <v>265</v>
      </c>
      <c r="H51" s="1"/>
    </row>
    <row r="52" spans="1:8" x14ac:dyDescent="0.25">
      <c r="A52" s="35"/>
      <c r="B52" s="25" t="s">
        <v>181</v>
      </c>
      <c r="C52" s="30"/>
      <c r="D52" s="25">
        <v>265</v>
      </c>
      <c r="E52" s="25">
        <v>1</v>
      </c>
      <c r="F52" s="26" t="s">
        <v>161</v>
      </c>
      <c r="G52" s="26">
        <f t="shared" si="3"/>
        <v>265</v>
      </c>
      <c r="H52" s="25"/>
    </row>
    <row r="53" spans="1:8" x14ac:dyDescent="0.25">
      <c r="A53" s="35"/>
      <c r="B53" s="25" t="s">
        <v>182</v>
      </c>
      <c r="C53" s="30"/>
      <c r="D53" s="25">
        <v>250</v>
      </c>
      <c r="E53" s="25">
        <v>1</v>
      </c>
      <c r="F53" s="26" t="s">
        <v>175</v>
      </c>
      <c r="G53" s="26">
        <f t="shared" si="3"/>
        <v>250</v>
      </c>
      <c r="H53" s="25"/>
    </row>
    <row r="54" spans="1:8" x14ac:dyDescent="0.25">
      <c r="A54" s="35"/>
      <c r="B54" s="36" t="s">
        <v>6</v>
      </c>
      <c r="C54" s="37"/>
      <c r="D54" s="38"/>
      <c r="E54" s="12"/>
      <c r="F54" s="12"/>
      <c r="G54" s="15">
        <f>SUM(G48:G53)</f>
        <v>1802</v>
      </c>
      <c r="H54" s="1"/>
    </row>
    <row r="55" spans="1:8" x14ac:dyDescent="0.25">
      <c r="A55" s="1"/>
      <c r="B55" s="39" t="s">
        <v>13</v>
      </c>
      <c r="C55" s="40"/>
      <c r="D55" s="41"/>
      <c r="E55" s="13"/>
      <c r="F55" s="13"/>
      <c r="G55" s="18">
        <f>G54+G46+G42+G35+G28+G14+G7+G20</f>
        <v>58091.649999999994</v>
      </c>
      <c r="H55" s="1"/>
    </row>
  </sheetData>
  <mergeCells count="18">
    <mergeCell ref="A16:A20"/>
    <mergeCell ref="B20:D20"/>
    <mergeCell ref="A1:H1"/>
    <mergeCell ref="A3:A7"/>
    <mergeCell ref="B7:D7"/>
    <mergeCell ref="A9:A14"/>
    <mergeCell ref="B14:D14"/>
    <mergeCell ref="A48:A54"/>
    <mergeCell ref="B54:D54"/>
    <mergeCell ref="B55:D55"/>
    <mergeCell ref="A22:A28"/>
    <mergeCell ref="B28:D28"/>
    <mergeCell ref="B46:D46"/>
    <mergeCell ref="A43:A45"/>
    <mergeCell ref="A30:A35"/>
    <mergeCell ref="B35:D35"/>
    <mergeCell ref="B42:D42"/>
    <mergeCell ref="A37:A42"/>
  </mergeCells>
  <phoneticPr fontId="2" type="noConversion"/>
  <pageMargins left="0.7" right="0.7" top="0.75" bottom="0.75" header="0.3" footer="0.3"/>
  <pageSetup paperSize="9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topLeftCell="A26" workbookViewId="0">
      <selection activeCell="K38" sqref="K3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5" t="s">
        <v>17</v>
      </c>
      <c r="B1" s="46"/>
      <c r="C1" s="46"/>
      <c r="D1" s="46"/>
      <c r="E1" s="46"/>
      <c r="F1" s="46"/>
      <c r="G1" s="46"/>
      <c r="H1" s="4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7" t="s">
        <v>186</v>
      </c>
      <c r="F2" s="27"/>
      <c r="G2" s="1" t="s">
        <v>4</v>
      </c>
      <c r="H2" s="1" t="s">
        <v>5</v>
      </c>
    </row>
    <row r="3" spans="1:8" x14ac:dyDescent="0.25">
      <c r="A3" s="35" t="s">
        <v>73</v>
      </c>
      <c r="B3" s="1" t="s">
        <v>79</v>
      </c>
      <c r="C3" s="1" t="s">
        <v>85</v>
      </c>
      <c r="D3" s="1">
        <v>99</v>
      </c>
      <c r="E3" s="27">
        <v>64.599999999999994</v>
      </c>
      <c r="F3" s="27" t="s">
        <v>187</v>
      </c>
      <c r="G3" s="14">
        <f>D3*E3</f>
        <v>6395.4</v>
      </c>
      <c r="H3" s="1"/>
    </row>
    <row r="4" spans="1:8" x14ac:dyDescent="0.25">
      <c r="A4" s="35"/>
      <c r="B4" s="1"/>
      <c r="C4" s="1"/>
      <c r="D4" s="1"/>
      <c r="E4" s="27"/>
      <c r="F4" s="27"/>
      <c r="G4" s="1"/>
      <c r="H4" s="1"/>
    </row>
    <row r="5" spans="1:8" x14ac:dyDescent="0.25">
      <c r="A5" s="35"/>
      <c r="B5" s="1"/>
      <c r="C5" s="1"/>
      <c r="D5" s="1"/>
      <c r="E5" s="27"/>
      <c r="F5" s="27"/>
      <c r="G5" s="1"/>
      <c r="H5" s="1"/>
    </row>
    <row r="6" spans="1:8" x14ac:dyDescent="0.25">
      <c r="A6" s="35"/>
      <c r="B6" s="1"/>
      <c r="C6" s="1"/>
      <c r="D6" s="1"/>
      <c r="E6" s="28"/>
      <c r="F6" s="28"/>
      <c r="G6" s="3"/>
      <c r="H6" s="1"/>
    </row>
    <row r="7" spans="1:8" x14ac:dyDescent="0.25">
      <c r="A7" s="35"/>
      <c r="B7" s="36" t="s">
        <v>6</v>
      </c>
      <c r="C7" s="37"/>
      <c r="D7" s="38"/>
      <c r="E7" s="28"/>
      <c r="F7" s="28"/>
      <c r="G7" s="16">
        <f>SUM(G3:G6)</f>
        <v>6395.4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27" t="s">
        <v>186</v>
      </c>
      <c r="F8" s="27"/>
      <c r="G8" s="1" t="s">
        <v>4</v>
      </c>
      <c r="H8" s="1" t="s">
        <v>5</v>
      </c>
    </row>
    <row r="9" spans="1:8" x14ac:dyDescent="0.25">
      <c r="A9" s="35" t="s">
        <v>74</v>
      </c>
      <c r="B9" s="1" t="s">
        <v>80</v>
      </c>
      <c r="C9" s="1" t="s">
        <v>27</v>
      </c>
      <c r="D9" s="1">
        <v>150</v>
      </c>
      <c r="E9" s="34"/>
      <c r="F9" s="27" t="s">
        <v>187</v>
      </c>
      <c r="G9" s="1">
        <f>D9*E9</f>
        <v>0</v>
      </c>
      <c r="H9" s="1"/>
    </row>
    <row r="10" spans="1:8" x14ac:dyDescent="0.25">
      <c r="A10" s="35"/>
      <c r="B10" s="1" t="s">
        <v>81</v>
      </c>
      <c r="C10" s="1" t="s">
        <v>86</v>
      </c>
      <c r="D10" s="1">
        <v>110</v>
      </c>
      <c r="E10" s="27">
        <v>2</v>
      </c>
      <c r="F10" s="27" t="s">
        <v>199</v>
      </c>
      <c r="G10" s="27">
        <f t="shared" ref="G10:G11" si="0">D10*E10</f>
        <v>220</v>
      </c>
      <c r="H10" s="1"/>
    </row>
    <row r="11" spans="1:8" x14ac:dyDescent="0.25">
      <c r="A11" s="35"/>
      <c r="B11" s="1" t="s">
        <v>82</v>
      </c>
      <c r="C11" s="1" t="s">
        <v>87</v>
      </c>
      <c r="D11" s="1">
        <v>30.6</v>
      </c>
      <c r="E11" s="27">
        <v>6</v>
      </c>
      <c r="F11" s="27" t="s">
        <v>187</v>
      </c>
      <c r="G11" s="27">
        <f t="shared" si="0"/>
        <v>183.60000000000002</v>
      </c>
      <c r="H11" s="1"/>
    </row>
    <row r="12" spans="1:8" x14ac:dyDescent="0.25">
      <c r="A12" s="35"/>
      <c r="B12" s="1"/>
      <c r="C12" s="1"/>
      <c r="D12" s="1"/>
      <c r="E12" s="27"/>
      <c r="F12" s="27"/>
      <c r="G12" s="1"/>
      <c r="H12" s="1"/>
    </row>
    <row r="13" spans="1:8" x14ac:dyDescent="0.25">
      <c r="A13" s="35"/>
      <c r="B13" s="1"/>
      <c r="C13" s="1"/>
      <c r="D13" s="1"/>
      <c r="E13" s="27"/>
      <c r="F13" s="27"/>
      <c r="G13" s="1"/>
      <c r="H13" s="1"/>
    </row>
    <row r="14" spans="1:8" x14ac:dyDescent="0.25">
      <c r="A14" s="35"/>
      <c r="B14" s="36" t="s">
        <v>6</v>
      </c>
      <c r="C14" s="37"/>
      <c r="D14" s="38"/>
      <c r="E14" s="28"/>
      <c r="F14" s="28"/>
      <c r="G14" s="15">
        <f>SUM(G9:G13)</f>
        <v>403.6</v>
      </c>
      <c r="H14" s="1"/>
    </row>
    <row r="15" spans="1:8" x14ac:dyDescent="0.25">
      <c r="A15" s="1" t="s">
        <v>8</v>
      </c>
      <c r="B15" s="1" t="s">
        <v>1</v>
      </c>
      <c r="C15" s="1" t="s">
        <v>2</v>
      </c>
      <c r="D15" s="1" t="s">
        <v>3</v>
      </c>
      <c r="E15" s="27" t="s">
        <v>186</v>
      </c>
      <c r="F15" s="27"/>
      <c r="G15" s="1" t="s">
        <v>4</v>
      </c>
      <c r="H15" s="1" t="s">
        <v>5</v>
      </c>
    </row>
    <row r="16" spans="1:8" x14ac:dyDescent="0.25">
      <c r="A16" s="35" t="s">
        <v>75</v>
      </c>
      <c r="B16" s="1" t="s">
        <v>83</v>
      </c>
      <c r="C16" s="1" t="s">
        <v>88</v>
      </c>
      <c r="D16" s="1">
        <v>75</v>
      </c>
      <c r="E16" s="27">
        <v>15</v>
      </c>
      <c r="F16" s="27" t="s">
        <v>188</v>
      </c>
      <c r="G16" s="1">
        <f>D16*E16</f>
        <v>1125</v>
      </c>
      <c r="H16" s="1"/>
    </row>
    <row r="17" spans="1:8" x14ac:dyDescent="0.25">
      <c r="A17" s="35"/>
      <c r="B17" s="1" t="s">
        <v>84</v>
      </c>
      <c r="C17" s="1" t="s">
        <v>48</v>
      </c>
      <c r="D17" s="1">
        <v>93</v>
      </c>
      <c r="E17" s="27">
        <v>20</v>
      </c>
      <c r="F17" s="27" t="s">
        <v>187</v>
      </c>
      <c r="G17" s="27">
        <f>D17*E17</f>
        <v>1860</v>
      </c>
      <c r="H17" s="1"/>
    </row>
    <row r="18" spans="1:8" x14ac:dyDescent="0.25">
      <c r="A18" s="35"/>
      <c r="B18" s="1"/>
      <c r="C18" s="1"/>
      <c r="D18" s="1"/>
      <c r="E18" s="27"/>
      <c r="F18" s="27"/>
      <c r="G18" s="1"/>
      <c r="H18" s="1"/>
    </row>
    <row r="19" spans="1:8" x14ac:dyDescent="0.25">
      <c r="A19" s="35"/>
      <c r="B19" s="1"/>
      <c r="C19" s="1"/>
      <c r="D19" s="1"/>
      <c r="E19" s="28"/>
      <c r="F19" s="28"/>
      <c r="G19" s="3"/>
      <c r="H19" s="1"/>
    </row>
    <row r="20" spans="1:8" x14ac:dyDescent="0.25">
      <c r="A20" s="35"/>
      <c r="B20" s="36" t="s">
        <v>6</v>
      </c>
      <c r="C20" s="37"/>
      <c r="D20" s="38"/>
      <c r="E20" s="28"/>
      <c r="F20" s="28"/>
      <c r="G20" s="15">
        <f>SUM(G16:G19)</f>
        <v>2985</v>
      </c>
      <c r="H20" s="1"/>
    </row>
    <row r="21" spans="1:8" x14ac:dyDescent="0.25">
      <c r="A21" s="4" t="s">
        <v>9</v>
      </c>
      <c r="B21" s="1" t="s">
        <v>1</v>
      </c>
      <c r="C21" s="1" t="s">
        <v>2</v>
      </c>
      <c r="D21" s="1" t="s">
        <v>3</v>
      </c>
      <c r="E21" s="27" t="s">
        <v>186</v>
      </c>
      <c r="F21" s="27"/>
      <c r="G21" s="1" t="s">
        <v>4</v>
      </c>
      <c r="H21" s="1" t="s">
        <v>5</v>
      </c>
    </row>
    <row r="22" spans="1:8" x14ac:dyDescent="0.25">
      <c r="A22" s="35"/>
      <c r="B22" s="1" t="s">
        <v>192</v>
      </c>
      <c r="C22" s="1"/>
      <c r="D22" s="1">
        <v>81.599999999999994</v>
      </c>
      <c r="E22" s="27">
        <v>1</v>
      </c>
      <c r="F22" s="27" t="s">
        <v>187</v>
      </c>
      <c r="G22" s="14">
        <f>D22*E22</f>
        <v>81.599999999999994</v>
      </c>
      <c r="H22" s="1"/>
    </row>
    <row r="23" spans="1:8" x14ac:dyDescent="0.25">
      <c r="A23" s="35"/>
      <c r="B23" s="1" t="s">
        <v>193</v>
      </c>
      <c r="C23" s="1"/>
      <c r="D23" s="1">
        <v>173.4</v>
      </c>
      <c r="E23" s="27">
        <v>4</v>
      </c>
      <c r="F23" s="27" t="s">
        <v>187</v>
      </c>
      <c r="G23" s="14">
        <f t="shared" ref="G23:G26" si="1">D23*E23</f>
        <v>693.6</v>
      </c>
      <c r="H23" s="1"/>
    </row>
    <row r="24" spans="1:8" x14ac:dyDescent="0.25">
      <c r="A24" s="35"/>
      <c r="B24" s="1" t="s">
        <v>194</v>
      </c>
      <c r="C24" s="1"/>
      <c r="D24" s="1">
        <v>63.9</v>
      </c>
      <c r="E24" s="27">
        <v>4</v>
      </c>
      <c r="F24" s="27" t="s">
        <v>187</v>
      </c>
      <c r="G24" s="14">
        <f t="shared" si="1"/>
        <v>255.6</v>
      </c>
      <c r="H24" s="1"/>
    </row>
    <row r="25" spans="1:8" x14ac:dyDescent="0.25">
      <c r="A25" s="35"/>
      <c r="B25" s="1" t="s">
        <v>195</v>
      </c>
      <c r="C25" s="1"/>
      <c r="D25" s="1">
        <v>67.5</v>
      </c>
      <c r="E25" s="27">
        <v>2</v>
      </c>
      <c r="F25" s="27" t="s">
        <v>187</v>
      </c>
      <c r="G25" s="14">
        <f t="shared" si="1"/>
        <v>135</v>
      </c>
      <c r="H25" s="1"/>
    </row>
    <row r="26" spans="1:8" x14ac:dyDescent="0.25">
      <c r="A26" s="35"/>
      <c r="B26" s="27" t="s">
        <v>196</v>
      </c>
      <c r="C26" s="27"/>
      <c r="D26" s="27">
        <v>150</v>
      </c>
      <c r="E26" s="27">
        <v>2</v>
      </c>
      <c r="F26" s="27" t="s">
        <v>187</v>
      </c>
      <c r="G26" s="14">
        <f t="shared" si="1"/>
        <v>300</v>
      </c>
      <c r="H26" s="27"/>
    </row>
    <row r="27" spans="1:8" x14ac:dyDescent="0.25">
      <c r="A27" s="35"/>
      <c r="B27" s="36" t="s">
        <v>6</v>
      </c>
      <c r="C27" s="37"/>
      <c r="D27" s="38"/>
      <c r="E27" s="28"/>
      <c r="F27" s="28"/>
      <c r="G27" s="16">
        <f>SUM(G22:G26)</f>
        <v>1465.8</v>
      </c>
      <c r="H27" s="1"/>
    </row>
    <row r="28" spans="1:8" x14ac:dyDescent="0.25">
      <c r="A28" s="1" t="s">
        <v>10</v>
      </c>
      <c r="B28" s="1" t="s">
        <v>1</v>
      </c>
      <c r="C28" s="1" t="s">
        <v>2</v>
      </c>
      <c r="D28" s="1" t="s">
        <v>3</v>
      </c>
      <c r="E28" s="27" t="s">
        <v>186</v>
      </c>
      <c r="F28" s="27"/>
      <c r="G28" s="1" t="s">
        <v>4</v>
      </c>
      <c r="H28" s="1" t="s">
        <v>5</v>
      </c>
    </row>
    <row r="29" spans="1:8" x14ac:dyDescent="0.25">
      <c r="A29" s="35" t="s">
        <v>76</v>
      </c>
      <c r="B29" s="1" t="s">
        <v>77</v>
      </c>
      <c r="C29" s="1" t="s">
        <v>89</v>
      </c>
      <c r="D29" s="1">
        <v>27</v>
      </c>
      <c r="E29" s="27">
        <v>15</v>
      </c>
      <c r="F29" s="27" t="s">
        <v>187</v>
      </c>
      <c r="G29" s="1">
        <f>D29*E29</f>
        <v>405</v>
      </c>
      <c r="H29" s="1"/>
    </row>
    <row r="30" spans="1:8" x14ac:dyDescent="0.25">
      <c r="A30" s="35"/>
      <c r="B30" s="1" t="s">
        <v>78</v>
      </c>
      <c r="C30" s="1" t="s">
        <v>89</v>
      </c>
      <c r="D30" s="1">
        <v>150</v>
      </c>
      <c r="E30" s="27">
        <v>15</v>
      </c>
      <c r="F30" s="27" t="s">
        <v>187</v>
      </c>
      <c r="G30" s="27">
        <f>D30*E30</f>
        <v>2250</v>
      </c>
      <c r="H30" s="1"/>
    </row>
    <row r="31" spans="1:8" x14ac:dyDescent="0.25">
      <c r="A31" s="35"/>
      <c r="B31" s="1"/>
      <c r="C31" s="1"/>
      <c r="D31" s="1"/>
      <c r="E31" s="27"/>
      <c r="F31" s="27"/>
      <c r="G31" s="1"/>
      <c r="H31" s="1"/>
    </row>
    <row r="32" spans="1:8" x14ac:dyDescent="0.25">
      <c r="A32" s="35"/>
      <c r="B32" s="36"/>
      <c r="C32" s="37"/>
      <c r="D32" s="38"/>
      <c r="E32" s="28"/>
      <c r="F32" s="28"/>
      <c r="G32" s="15">
        <f>SUM(G29:G31)</f>
        <v>2655</v>
      </c>
      <c r="H32" s="1"/>
    </row>
    <row r="33" spans="1:8" x14ac:dyDescent="0.25">
      <c r="A33" s="1" t="s">
        <v>11</v>
      </c>
      <c r="B33" s="1" t="s">
        <v>1</v>
      </c>
      <c r="C33" s="1" t="s">
        <v>2</v>
      </c>
      <c r="D33" s="1" t="s">
        <v>3</v>
      </c>
      <c r="E33" s="28" t="s">
        <v>186</v>
      </c>
      <c r="F33" s="28"/>
      <c r="G33" s="3" t="s">
        <v>4</v>
      </c>
      <c r="H33" s="1" t="s">
        <v>5</v>
      </c>
    </row>
    <row r="34" spans="1:8" x14ac:dyDescent="0.25">
      <c r="A34" s="42"/>
      <c r="B34" s="1" t="s">
        <v>189</v>
      </c>
      <c r="C34" s="1"/>
      <c r="D34" s="1">
        <v>14.28</v>
      </c>
      <c r="E34" s="27">
        <v>65</v>
      </c>
      <c r="F34" s="27" t="s">
        <v>187</v>
      </c>
      <c r="G34" s="1">
        <f>D34*E34</f>
        <v>928.19999999999993</v>
      </c>
      <c r="H34" s="1"/>
    </row>
    <row r="35" spans="1:8" x14ac:dyDescent="0.25">
      <c r="A35" s="43"/>
      <c r="B35" s="1" t="s">
        <v>203</v>
      </c>
      <c r="C35" s="1"/>
      <c r="D35" s="1">
        <v>33.6</v>
      </c>
      <c r="E35" s="27">
        <v>60</v>
      </c>
      <c r="F35" s="27" t="s">
        <v>187</v>
      </c>
      <c r="G35" s="27">
        <f>D35*E35</f>
        <v>2016</v>
      </c>
      <c r="H35" s="1"/>
    </row>
    <row r="36" spans="1:8" x14ac:dyDescent="0.25">
      <c r="A36" s="44"/>
      <c r="B36" s="36" t="s">
        <v>6</v>
      </c>
      <c r="C36" s="37"/>
      <c r="D36" s="38"/>
      <c r="E36" s="28"/>
      <c r="F36" s="28"/>
      <c r="G36" s="15">
        <f>SUM(G34:G35)</f>
        <v>2944.2</v>
      </c>
      <c r="H36" s="5"/>
    </row>
    <row r="37" spans="1:8" x14ac:dyDescent="0.25">
      <c r="A37" s="6" t="s">
        <v>12</v>
      </c>
      <c r="B37" s="1" t="s">
        <v>1</v>
      </c>
      <c r="C37" s="1" t="s">
        <v>2</v>
      </c>
      <c r="D37" s="1" t="s">
        <v>3</v>
      </c>
      <c r="E37" s="27" t="s">
        <v>186</v>
      </c>
      <c r="F37" s="27"/>
      <c r="G37" s="1" t="s">
        <v>4</v>
      </c>
      <c r="H37" s="1"/>
    </row>
    <row r="38" spans="1:8" x14ac:dyDescent="0.25">
      <c r="A38" s="35"/>
      <c r="B38" s="1" t="s">
        <v>190</v>
      </c>
      <c r="C38" s="1"/>
      <c r="D38" s="1">
        <v>900</v>
      </c>
      <c r="E38" s="27">
        <v>1</v>
      </c>
      <c r="F38" s="27" t="s">
        <v>191</v>
      </c>
      <c r="G38" s="1">
        <f>D38*E38</f>
        <v>900</v>
      </c>
      <c r="H38" s="1"/>
    </row>
    <row r="39" spans="1:8" x14ac:dyDescent="0.25">
      <c r="A39" s="35"/>
      <c r="B39" s="1" t="s">
        <v>197</v>
      </c>
      <c r="C39" s="1"/>
      <c r="D39" s="1">
        <v>21</v>
      </c>
      <c r="E39" s="27">
        <v>8</v>
      </c>
      <c r="F39" s="27" t="s">
        <v>187</v>
      </c>
      <c r="G39" s="1">
        <f>D39*E39</f>
        <v>168</v>
      </c>
      <c r="H39" s="1"/>
    </row>
    <row r="40" spans="1:8" x14ac:dyDescent="0.25">
      <c r="A40" s="35"/>
      <c r="B40" s="1" t="s">
        <v>198</v>
      </c>
      <c r="C40" s="1"/>
      <c r="D40" s="1">
        <v>60</v>
      </c>
      <c r="E40" s="27">
        <v>1</v>
      </c>
      <c r="F40" s="27" t="s">
        <v>200</v>
      </c>
      <c r="G40" s="27">
        <f t="shared" ref="G40:G41" si="2">D40*E40</f>
        <v>60</v>
      </c>
      <c r="H40" s="1"/>
    </row>
    <row r="41" spans="1:8" x14ac:dyDescent="0.25">
      <c r="A41" s="35"/>
      <c r="B41" s="1" t="s">
        <v>201</v>
      </c>
      <c r="C41" s="1"/>
      <c r="D41" s="1">
        <v>60</v>
      </c>
      <c r="E41" s="27">
        <v>10</v>
      </c>
      <c r="F41" s="27" t="s">
        <v>202</v>
      </c>
      <c r="G41" s="27">
        <f t="shared" si="2"/>
        <v>600</v>
      </c>
      <c r="H41" s="1"/>
    </row>
    <row r="42" spans="1:8" x14ac:dyDescent="0.25">
      <c r="A42" s="35"/>
      <c r="B42" s="36" t="s">
        <v>6</v>
      </c>
      <c r="C42" s="37"/>
      <c r="D42" s="38"/>
      <c r="E42" s="28"/>
      <c r="F42" s="28"/>
      <c r="G42" s="15">
        <f>SUM(G38:G41)</f>
        <v>1728</v>
      </c>
      <c r="H42" s="1"/>
    </row>
    <row r="43" spans="1:8" x14ac:dyDescent="0.25">
      <c r="A43" s="1"/>
      <c r="B43" s="39" t="s">
        <v>13</v>
      </c>
      <c r="C43" s="40"/>
      <c r="D43" s="41"/>
      <c r="E43" s="29"/>
      <c r="F43" s="29"/>
      <c r="G43" s="18">
        <f>G42+G36+G32+G27+G20+G14+G7</f>
        <v>18577</v>
      </c>
      <c r="H43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8:A42"/>
    <mergeCell ref="B42:D42"/>
    <mergeCell ref="B43:D43"/>
    <mergeCell ref="A22:A27"/>
    <mergeCell ref="B27:D27"/>
    <mergeCell ref="A29:A32"/>
    <mergeCell ref="B32:D32"/>
    <mergeCell ref="A34:A36"/>
    <mergeCell ref="B36:D36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abSelected="1" topLeftCell="A29" workbookViewId="0">
      <selection activeCell="H46" sqref="A1:H4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5" t="s">
        <v>18</v>
      </c>
      <c r="B1" s="46"/>
      <c r="C1" s="46"/>
      <c r="D1" s="46"/>
      <c r="E1" s="46"/>
      <c r="F1" s="46"/>
      <c r="G1" s="46"/>
      <c r="H1" s="4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31" t="s">
        <v>204</v>
      </c>
      <c r="F2" s="31"/>
      <c r="G2" s="1" t="s">
        <v>4</v>
      </c>
      <c r="H2" s="1" t="s">
        <v>5</v>
      </c>
    </row>
    <row r="3" spans="1:8" x14ac:dyDescent="0.25">
      <c r="A3" s="35" t="s">
        <v>90</v>
      </c>
      <c r="B3" s="1" t="s">
        <v>97</v>
      </c>
      <c r="C3" s="1" t="s">
        <v>101</v>
      </c>
      <c r="D3" s="1">
        <v>99</v>
      </c>
      <c r="E3" s="31">
        <v>25</v>
      </c>
      <c r="F3" s="31" t="s">
        <v>205</v>
      </c>
      <c r="G3" s="1">
        <f>D3*E3</f>
        <v>2475</v>
      </c>
      <c r="H3" s="1"/>
    </row>
    <row r="4" spans="1:8" x14ac:dyDescent="0.25">
      <c r="A4" s="35"/>
      <c r="B4" s="1" t="s">
        <v>98</v>
      </c>
      <c r="C4" s="1" t="s">
        <v>33</v>
      </c>
      <c r="D4" s="1">
        <v>168</v>
      </c>
      <c r="E4" s="31">
        <v>15</v>
      </c>
      <c r="F4" s="31" t="s">
        <v>205</v>
      </c>
      <c r="G4" s="31">
        <f t="shared" ref="G4:G6" si="0">D4*E4</f>
        <v>2520</v>
      </c>
      <c r="H4" s="1"/>
    </row>
    <row r="5" spans="1:8" x14ac:dyDescent="0.25">
      <c r="A5" s="35"/>
      <c r="B5" s="1" t="s">
        <v>38</v>
      </c>
      <c r="C5" s="1" t="s">
        <v>51</v>
      </c>
      <c r="D5" s="1">
        <v>30.6</v>
      </c>
      <c r="E5" s="31">
        <v>10</v>
      </c>
      <c r="F5" s="31" t="s">
        <v>205</v>
      </c>
      <c r="G5" s="31">
        <f t="shared" si="0"/>
        <v>306</v>
      </c>
      <c r="H5" s="1"/>
    </row>
    <row r="6" spans="1:8" x14ac:dyDescent="0.25">
      <c r="A6" s="35"/>
      <c r="B6" s="1" t="s">
        <v>99</v>
      </c>
      <c r="C6" s="1" t="s">
        <v>100</v>
      </c>
      <c r="D6" s="1">
        <v>79.8</v>
      </c>
      <c r="E6" s="32">
        <v>1</v>
      </c>
      <c r="F6" s="32" t="s">
        <v>205</v>
      </c>
      <c r="G6" s="31">
        <f t="shared" si="0"/>
        <v>79.8</v>
      </c>
      <c r="H6" s="1"/>
    </row>
    <row r="7" spans="1:8" x14ac:dyDescent="0.25">
      <c r="A7" s="35"/>
      <c r="B7" s="36" t="s">
        <v>6</v>
      </c>
      <c r="C7" s="37"/>
      <c r="D7" s="38"/>
      <c r="E7" s="32"/>
      <c r="F7" s="32"/>
      <c r="G7" s="16">
        <f>SUM(G3:G6)</f>
        <v>5380.8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31" t="s">
        <v>204</v>
      </c>
      <c r="F8" s="31"/>
      <c r="G8" s="1" t="s">
        <v>4</v>
      </c>
      <c r="H8" s="1" t="s">
        <v>5</v>
      </c>
    </row>
    <row r="9" spans="1:8" x14ac:dyDescent="0.25">
      <c r="A9" s="35" t="s">
        <v>91</v>
      </c>
      <c r="B9" s="1" t="s">
        <v>102</v>
      </c>
      <c r="C9" s="1" t="s">
        <v>107</v>
      </c>
      <c r="D9" s="1">
        <v>60</v>
      </c>
      <c r="E9" s="31">
        <v>20</v>
      </c>
      <c r="F9" s="31" t="s">
        <v>205</v>
      </c>
      <c r="G9" s="1">
        <f>D9*E9</f>
        <v>1200</v>
      </c>
      <c r="H9" s="1"/>
    </row>
    <row r="10" spans="1:8" x14ac:dyDescent="0.25">
      <c r="A10" s="35"/>
      <c r="B10" s="1" t="s">
        <v>103</v>
      </c>
      <c r="C10" s="1" t="s">
        <v>106</v>
      </c>
      <c r="D10" s="1">
        <v>108</v>
      </c>
      <c r="E10" s="34"/>
      <c r="F10" s="31"/>
      <c r="G10" s="34">
        <f t="shared" ref="G10:G11" si="1">D10*E10</f>
        <v>0</v>
      </c>
      <c r="H10" s="1"/>
    </row>
    <row r="11" spans="1:8" x14ac:dyDescent="0.25">
      <c r="A11" s="35"/>
      <c r="B11" s="1" t="s">
        <v>104</v>
      </c>
      <c r="C11" s="1" t="s">
        <v>105</v>
      </c>
      <c r="D11" s="1">
        <v>105</v>
      </c>
      <c r="E11" s="31">
        <v>10</v>
      </c>
      <c r="F11" s="31" t="s">
        <v>205</v>
      </c>
      <c r="G11" s="31">
        <f t="shared" si="1"/>
        <v>1050</v>
      </c>
      <c r="H11" s="1"/>
    </row>
    <row r="12" spans="1:8" x14ac:dyDescent="0.25">
      <c r="A12" s="35"/>
      <c r="B12" s="1"/>
      <c r="C12" s="1"/>
      <c r="D12" s="1"/>
      <c r="E12" s="31"/>
      <c r="F12" s="31"/>
      <c r="G12" s="1"/>
      <c r="H12" s="1"/>
    </row>
    <row r="13" spans="1:8" x14ac:dyDescent="0.25">
      <c r="A13" s="35"/>
      <c r="B13" s="1"/>
      <c r="C13" s="1"/>
      <c r="D13" s="1"/>
      <c r="E13" s="31"/>
      <c r="F13" s="31"/>
      <c r="G13" s="1"/>
      <c r="H13" s="1"/>
    </row>
    <row r="14" spans="1:8" x14ac:dyDescent="0.25">
      <c r="A14" s="35"/>
      <c r="B14" s="36" t="s">
        <v>6</v>
      </c>
      <c r="C14" s="37"/>
      <c r="D14" s="38"/>
      <c r="E14" s="32"/>
      <c r="F14" s="32"/>
      <c r="G14" s="15">
        <f>SUM(G9:G13)</f>
        <v>2250</v>
      </c>
      <c r="H14" s="1"/>
    </row>
    <row r="15" spans="1:8" x14ac:dyDescent="0.25">
      <c r="A15" s="1" t="s">
        <v>8</v>
      </c>
      <c r="B15" s="1" t="s">
        <v>1</v>
      </c>
      <c r="C15" s="1" t="s">
        <v>2</v>
      </c>
      <c r="D15" s="1" t="s">
        <v>3</v>
      </c>
      <c r="E15" s="31" t="s">
        <v>204</v>
      </c>
      <c r="F15" s="31"/>
      <c r="G15" s="1" t="s">
        <v>4</v>
      </c>
      <c r="H15" s="1" t="s">
        <v>5</v>
      </c>
    </row>
    <row r="16" spans="1:8" x14ac:dyDescent="0.25">
      <c r="A16" s="35" t="s">
        <v>92</v>
      </c>
      <c r="B16" s="1" t="s">
        <v>108</v>
      </c>
      <c r="C16" s="1" t="s">
        <v>113</v>
      </c>
      <c r="D16" s="1">
        <v>27.54</v>
      </c>
      <c r="E16" s="31">
        <v>40</v>
      </c>
      <c r="F16" s="31" t="s">
        <v>205</v>
      </c>
      <c r="G16" s="1">
        <f>D16*E16</f>
        <v>1101.5999999999999</v>
      </c>
      <c r="H16" s="1"/>
    </row>
    <row r="17" spans="1:8" x14ac:dyDescent="0.25">
      <c r="A17" s="35"/>
      <c r="B17" s="1" t="s">
        <v>109</v>
      </c>
      <c r="C17" s="1" t="s">
        <v>112</v>
      </c>
      <c r="D17" s="1">
        <v>105</v>
      </c>
      <c r="E17" s="31">
        <v>8</v>
      </c>
      <c r="F17" s="31" t="s">
        <v>206</v>
      </c>
      <c r="G17" s="31">
        <f t="shared" ref="G17:G18" si="2">D17*E17</f>
        <v>840</v>
      </c>
      <c r="H17" s="1"/>
    </row>
    <row r="18" spans="1:8" x14ac:dyDescent="0.25">
      <c r="A18" s="35"/>
      <c r="B18" s="1" t="s">
        <v>110</v>
      </c>
      <c r="C18" s="1" t="s">
        <v>111</v>
      </c>
      <c r="D18" s="1">
        <v>85</v>
      </c>
      <c r="E18" s="31">
        <v>3</v>
      </c>
      <c r="F18" s="31" t="s">
        <v>205</v>
      </c>
      <c r="G18" s="31">
        <f t="shared" si="2"/>
        <v>255</v>
      </c>
      <c r="H18" s="1"/>
    </row>
    <row r="19" spans="1:8" x14ac:dyDescent="0.25">
      <c r="A19" s="35"/>
      <c r="B19" s="1"/>
      <c r="C19" s="1"/>
      <c r="D19" s="1"/>
      <c r="E19" s="32"/>
      <c r="F19" s="32"/>
      <c r="G19" s="3"/>
      <c r="H19" s="1"/>
    </row>
    <row r="20" spans="1:8" x14ac:dyDescent="0.25">
      <c r="A20" s="35"/>
      <c r="B20" s="36" t="s">
        <v>6</v>
      </c>
      <c r="C20" s="37"/>
      <c r="D20" s="38"/>
      <c r="E20" s="32"/>
      <c r="F20" s="32"/>
      <c r="G20" s="16">
        <f>SUM(G16:G19)</f>
        <v>2196.6</v>
      </c>
      <c r="H20" s="1"/>
    </row>
    <row r="21" spans="1:8" x14ac:dyDescent="0.25">
      <c r="A21" s="4" t="s">
        <v>9</v>
      </c>
      <c r="B21" s="1" t="s">
        <v>1</v>
      </c>
      <c r="C21" s="1" t="s">
        <v>2</v>
      </c>
      <c r="D21" s="1" t="s">
        <v>3</v>
      </c>
      <c r="E21" s="31" t="s">
        <v>204</v>
      </c>
      <c r="F21" s="31"/>
      <c r="G21" s="1" t="s">
        <v>4</v>
      </c>
      <c r="H21" s="1" t="s">
        <v>5</v>
      </c>
    </row>
    <row r="22" spans="1:8" x14ac:dyDescent="0.25">
      <c r="A22" s="35"/>
      <c r="B22" s="1" t="s">
        <v>207</v>
      </c>
      <c r="C22" s="1"/>
      <c r="D22" s="1">
        <v>4.5</v>
      </c>
      <c r="E22" s="31">
        <v>50</v>
      </c>
      <c r="F22" s="31" t="s">
        <v>208</v>
      </c>
      <c r="G22" s="1">
        <f>D22*E22</f>
        <v>225</v>
      </c>
      <c r="H22" s="1"/>
    </row>
    <row r="23" spans="1:8" x14ac:dyDescent="0.25">
      <c r="A23" s="35"/>
      <c r="B23" s="1" t="s">
        <v>209</v>
      </c>
      <c r="C23" s="1"/>
      <c r="D23" s="1">
        <v>60</v>
      </c>
      <c r="E23" s="31">
        <v>1</v>
      </c>
      <c r="F23" s="31" t="s">
        <v>210</v>
      </c>
      <c r="G23" s="31">
        <f t="shared" ref="G23:G29" si="3">D23*E23</f>
        <v>60</v>
      </c>
      <c r="H23" s="1"/>
    </row>
    <row r="24" spans="1:8" x14ac:dyDescent="0.25">
      <c r="A24" s="35"/>
      <c r="B24" s="1" t="s">
        <v>211</v>
      </c>
      <c r="C24" s="1"/>
      <c r="D24" s="1">
        <v>240</v>
      </c>
      <c r="E24" s="31">
        <v>1</v>
      </c>
      <c r="F24" s="31" t="s">
        <v>212</v>
      </c>
      <c r="G24" s="31">
        <f t="shared" si="3"/>
        <v>240</v>
      </c>
      <c r="H24" s="1"/>
    </row>
    <row r="25" spans="1:8" x14ac:dyDescent="0.25">
      <c r="A25" s="35"/>
      <c r="B25" s="1" t="s">
        <v>213</v>
      </c>
      <c r="C25" s="1"/>
      <c r="D25" s="1">
        <v>110</v>
      </c>
      <c r="E25" s="31">
        <v>1</v>
      </c>
      <c r="F25" s="31" t="s">
        <v>214</v>
      </c>
      <c r="G25" s="31">
        <f t="shared" si="3"/>
        <v>110</v>
      </c>
      <c r="H25" s="1"/>
    </row>
    <row r="26" spans="1:8" x14ac:dyDescent="0.25">
      <c r="A26" s="35"/>
      <c r="B26" s="31" t="s">
        <v>221</v>
      </c>
      <c r="C26" s="31"/>
      <c r="D26" s="31">
        <v>1188</v>
      </c>
      <c r="E26" s="31">
        <v>1</v>
      </c>
      <c r="F26" s="31" t="s">
        <v>222</v>
      </c>
      <c r="G26" s="32">
        <f t="shared" si="3"/>
        <v>1188</v>
      </c>
      <c r="H26" s="31"/>
    </row>
    <row r="27" spans="1:8" x14ac:dyDescent="0.25">
      <c r="A27" s="35"/>
      <c r="B27" s="31" t="s">
        <v>223</v>
      </c>
      <c r="C27" s="31"/>
      <c r="D27" s="31">
        <v>225</v>
      </c>
      <c r="E27" s="31">
        <v>1</v>
      </c>
      <c r="F27" s="31" t="s">
        <v>222</v>
      </c>
      <c r="G27" s="32">
        <f t="shared" si="3"/>
        <v>225</v>
      </c>
      <c r="H27" s="31"/>
    </row>
    <row r="28" spans="1:8" x14ac:dyDescent="0.25">
      <c r="A28" s="35"/>
      <c r="B28" s="31" t="s">
        <v>224</v>
      </c>
      <c r="C28" s="31"/>
      <c r="D28" s="31">
        <v>235</v>
      </c>
      <c r="E28" s="31">
        <v>1</v>
      </c>
      <c r="F28" s="31" t="s">
        <v>222</v>
      </c>
      <c r="G28" s="32">
        <f t="shared" si="3"/>
        <v>235</v>
      </c>
      <c r="H28" s="31"/>
    </row>
    <row r="29" spans="1:8" x14ac:dyDescent="0.25">
      <c r="A29" s="35"/>
      <c r="B29" s="31" t="s">
        <v>225</v>
      </c>
      <c r="C29" s="31"/>
      <c r="D29" s="31">
        <v>125</v>
      </c>
      <c r="E29" s="31">
        <v>12</v>
      </c>
      <c r="F29" s="31" t="s">
        <v>206</v>
      </c>
      <c r="G29" s="32">
        <f t="shared" si="3"/>
        <v>1500</v>
      </c>
      <c r="H29" s="31"/>
    </row>
    <row r="30" spans="1:8" x14ac:dyDescent="0.25">
      <c r="A30" s="35"/>
      <c r="B30" s="36" t="s">
        <v>6</v>
      </c>
      <c r="C30" s="37"/>
      <c r="D30" s="38"/>
      <c r="E30" s="32"/>
      <c r="F30" s="32"/>
      <c r="G30" s="15">
        <f>SUM(G22:G29)</f>
        <v>3783</v>
      </c>
      <c r="H30" s="1"/>
    </row>
    <row r="31" spans="1:8" x14ac:dyDescent="0.25">
      <c r="A31" s="1" t="s">
        <v>10</v>
      </c>
      <c r="B31" s="1" t="s">
        <v>1</v>
      </c>
      <c r="C31" s="1" t="s">
        <v>2</v>
      </c>
      <c r="D31" s="1" t="s">
        <v>3</v>
      </c>
      <c r="E31" s="31" t="s">
        <v>204</v>
      </c>
      <c r="F31" s="31"/>
      <c r="G31" s="1" t="s">
        <v>4</v>
      </c>
      <c r="H31" s="1" t="s">
        <v>5</v>
      </c>
    </row>
    <row r="32" spans="1:8" x14ac:dyDescent="0.25">
      <c r="A32" s="35" t="s">
        <v>93</v>
      </c>
      <c r="B32" s="1" t="s">
        <v>94</v>
      </c>
      <c r="C32" s="1"/>
      <c r="D32" s="1"/>
      <c r="E32" s="31"/>
      <c r="F32" s="31"/>
      <c r="G32" s="1"/>
      <c r="H32" s="1" t="s">
        <v>96</v>
      </c>
    </row>
    <row r="33" spans="1:8" x14ac:dyDescent="0.25">
      <c r="A33" s="35"/>
      <c r="B33" s="1" t="s">
        <v>95</v>
      </c>
      <c r="C33" s="1" t="s">
        <v>33</v>
      </c>
      <c r="D33" s="1">
        <v>53</v>
      </c>
      <c r="E33" s="31">
        <v>15</v>
      </c>
      <c r="F33" s="31" t="s">
        <v>205</v>
      </c>
      <c r="G33" s="1">
        <f>D33*E33</f>
        <v>795</v>
      </c>
      <c r="H33" s="1"/>
    </row>
    <row r="34" spans="1:8" x14ac:dyDescent="0.25">
      <c r="A34" s="35"/>
      <c r="B34" s="1"/>
      <c r="C34" s="1"/>
      <c r="D34" s="1"/>
      <c r="E34" s="31"/>
      <c r="F34" s="31"/>
      <c r="G34" s="1"/>
      <c r="H34" s="1"/>
    </row>
    <row r="35" spans="1:8" x14ac:dyDescent="0.25">
      <c r="A35" s="35"/>
      <c r="B35" s="36"/>
      <c r="C35" s="37"/>
      <c r="D35" s="38"/>
      <c r="E35" s="32"/>
      <c r="F35" s="32"/>
      <c r="G35" s="15">
        <f>SUM(G33:G34)</f>
        <v>795</v>
      </c>
      <c r="H35" s="1"/>
    </row>
    <row r="36" spans="1:8" x14ac:dyDescent="0.25">
      <c r="A36" s="1" t="s">
        <v>11</v>
      </c>
      <c r="B36" s="1" t="s">
        <v>1</v>
      </c>
      <c r="C36" s="1" t="s">
        <v>2</v>
      </c>
      <c r="D36" s="1" t="s">
        <v>3</v>
      </c>
      <c r="E36" s="32" t="s">
        <v>204</v>
      </c>
      <c r="F36" s="32"/>
      <c r="G36" s="3" t="s">
        <v>4</v>
      </c>
      <c r="H36" s="1" t="s">
        <v>5</v>
      </c>
    </row>
    <row r="37" spans="1:8" x14ac:dyDescent="0.25">
      <c r="A37" s="42"/>
      <c r="B37" s="1" t="s">
        <v>215</v>
      </c>
      <c r="C37" s="1"/>
      <c r="D37" s="1">
        <v>8.1</v>
      </c>
      <c r="E37" s="31">
        <v>65</v>
      </c>
      <c r="F37" s="31" t="s">
        <v>205</v>
      </c>
      <c r="G37" s="14">
        <f>D37*E37</f>
        <v>526.5</v>
      </c>
      <c r="H37" s="1"/>
    </row>
    <row r="38" spans="1:8" x14ac:dyDescent="0.25">
      <c r="A38" s="43"/>
      <c r="B38" s="1" t="s">
        <v>216</v>
      </c>
      <c r="C38" s="1"/>
      <c r="D38" s="1">
        <v>44.16</v>
      </c>
      <c r="E38" s="31">
        <v>76.67</v>
      </c>
      <c r="F38" s="31" t="s">
        <v>205</v>
      </c>
      <c r="G38" s="14">
        <f>D38*E38</f>
        <v>3385.7471999999998</v>
      </c>
      <c r="H38" s="1"/>
    </row>
    <row r="39" spans="1:8" x14ac:dyDescent="0.25">
      <c r="A39" s="44"/>
      <c r="B39" s="36" t="s">
        <v>6</v>
      </c>
      <c r="C39" s="37"/>
      <c r="D39" s="38"/>
      <c r="E39" s="32"/>
      <c r="F39" s="32"/>
      <c r="G39" s="16">
        <f>SUM(G37:G38)</f>
        <v>3912.2471999999998</v>
      </c>
      <c r="H39" s="5"/>
    </row>
    <row r="40" spans="1:8" x14ac:dyDescent="0.25">
      <c r="A40" s="6" t="s">
        <v>12</v>
      </c>
      <c r="B40" s="1" t="s">
        <v>1</v>
      </c>
      <c r="C40" s="1" t="s">
        <v>2</v>
      </c>
      <c r="D40" s="1" t="s">
        <v>3</v>
      </c>
      <c r="E40" s="31" t="s">
        <v>204</v>
      </c>
      <c r="F40" s="31"/>
      <c r="G40" s="1" t="s">
        <v>4</v>
      </c>
      <c r="H40" s="1"/>
    </row>
    <row r="41" spans="1:8" x14ac:dyDescent="0.25">
      <c r="A41" s="35"/>
      <c r="B41" s="1" t="s">
        <v>217</v>
      </c>
      <c r="C41" s="1"/>
      <c r="D41" s="1">
        <v>66</v>
      </c>
      <c r="E41" s="31">
        <v>7.73</v>
      </c>
      <c r="F41" s="31" t="s">
        <v>205</v>
      </c>
      <c r="G41" s="14">
        <f>D41*E41</f>
        <v>510.18</v>
      </c>
      <c r="H41" s="1"/>
    </row>
    <row r="42" spans="1:8" x14ac:dyDescent="0.25">
      <c r="A42" s="35"/>
      <c r="B42" s="1" t="s">
        <v>218</v>
      </c>
      <c r="C42" s="1"/>
      <c r="D42" s="1">
        <v>93</v>
      </c>
      <c r="E42" s="31">
        <v>5</v>
      </c>
      <c r="F42" s="31" t="s">
        <v>205</v>
      </c>
      <c r="G42" s="14">
        <f t="shared" ref="G42:G44" si="4">D42*E42</f>
        <v>465</v>
      </c>
      <c r="H42" s="1"/>
    </row>
    <row r="43" spans="1:8" x14ac:dyDescent="0.25">
      <c r="A43" s="35"/>
      <c r="B43" s="1" t="s">
        <v>219</v>
      </c>
      <c r="C43" s="1"/>
      <c r="D43" s="1">
        <v>10</v>
      </c>
      <c r="E43" s="31">
        <v>25</v>
      </c>
      <c r="F43" s="31" t="s">
        <v>208</v>
      </c>
      <c r="G43" s="14">
        <f t="shared" si="4"/>
        <v>250</v>
      </c>
      <c r="H43" s="1"/>
    </row>
    <row r="44" spans="1:8" x14ac:dyDescent="0.25">
      <c r="A44" s="35"/>
      <c r="B44" s="1" t="s">
        <v>220</v>
      </c>
      <c r="C44" s="1"/>
      <c r="D44" s="1">
        <v>69</v>
      </c>
      <c r="E44" s="34"/>
      <c r="F44" s="31" t="s">
        <v>205</v>
      </c>
      <c r="G44" s="48">
        <f t="shared" si="4"/>
        <v>0</v>
      </c>
      <c r="H44" s="1"/>
    </row>
    <row r="45" spans="1:8" x14ac:dyDescent="0.25">
      <c r="A45" s="35"/>
      <c r="B45" s="36" t="s">
        <v>6</v>
      </c>
      <c r="C45" s="37"/>
      <c r="D45" s="38"/>
      <c r="E45" s="32"/>
      <c r="F45" s="32"/>
      <c r="G45" s="16">
        <f>SUM(G41:G44)</f>
        <v>1225.18</v>
      </c>
      <c r="H45" s="1"/>
    </row>
    <row r="46" spans="1:8" x14ac:dyDescent="0.25">
      <c r="A46" s="1"/>
      <c r="B46" s="39" t="s">
        <v>13</v>
      </c>
      <c r="C46" s="40"/>
      <c r="D46" s="41"/>
      <c r="E46" s="33"/>
      <c r="F46" s="33"/>
      <c r="G46" s="18">
        <f>G45+G39+G35+G30+G20+G14+G7</f>
        <v>19542.8272</v>
      </c>
      <c r="H46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41:A45"/>
    <mergeCell ref="B45:D45"/>
    <mergeCell ref="B46:D46"/>
    <mergeCell ref="A22:A30"/>
    <mergeCell ref="B30:D30"/>
    <mergeCell ref="A32:A35"/>
    <mergeCell ref="B35:D35"/>
    <mergeCell ref="A37:A39"/>
    <mergeCell ref="B39:D39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0120</vt:lpstr>
      <vt:lpstr>0121</vt:lpstr>
      <vt:lpstr>0122</vt:lpstr>
      <vt:lpstr>0123</vt:lpstr>
      <vt:lpstr>0124</vt:lpstr>
      <vt:lpstr>'0120'!Print_Area</vt:lpstr>
      <vt:lpstr>'0121'!Print_Area</vt:lpstr>
      <vt:lpstr>'0122'!Print_Area</vt:lpstr>
      <vt:lpstr>'0123'!Print_Area</vt:lpstr>
      <vt:lpstr>'0124'!Print_Area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2025-01-24T01:46:11Z</cp:lastPrinted>
  <dcterms:created xsi:type="dcterms:W3CDTF">2025-01-07T07:36:48Z</dcterms:created>
  <dcterms:modified xsi:type="dcterms:W3CDTF">2025-01-24T01:46:13Z</dcterms:modified>
</cp:coreProperties>
</file>