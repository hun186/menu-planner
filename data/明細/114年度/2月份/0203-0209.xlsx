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2月份\"/>
    </mc:Choice>
  </mc:AlternateContent>
  <bookViews>
    <workbookView xWindow="0" yWindow="0" windowWidth="15360" windowHeight="7575" activeTab="5"/>
  </bookViews>
  <sheets>
    <sheet name="0203" sheetId="1" r:id="rId1"/>
    <sheet name="0204" sheetId="2" r:id="rId2"/>
    <sheet name="0205" sheetId="3" r:id="rId3"/>
    <sheet name="0206" sheetId="4" r:id="rId4"/>
    <sheet name="0207" sheetId="5" r:id="rId5"/>
    <sheet name="0208" sheetId="6" r:id="rId6"/>
  </sheets>
  <definedNames>
    <definedName name="_xlnm.Print_Area" localSheetId="0">'0203'!$A$1:$H$47</definedName>
    <definedName name="_xlnm.Print_Area" localSheetId="1">'0204'!$A$1:$H$46</definedName>
    <definedName name="_xlnm.Print_Area" localSheetId="2">'0205'!$A$1:$H$47</definedName>
    <definedName name="_xlnm.Print_Area" localSheetId="3">'0206'!$A$1:$H$42</definedName>
    <definedName name="_xlnm.Print_Area" localSheetId="4">'0207'!$A$1:$H$54</definedName>
    <definedName name="_xlnm.Print_Area" localSheetId="5">'0208'!$A$1:$H$45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6" l="1"/>
  <c r="G4" i="6" l="1"/>
  <c r="G38" i="6"/>
  <c r="G44" i="6"/>
  <c r="G42" i="6"/>
  <c r="G41" i="6"/>
  <c r="G40" i="6"/>
  <c r="G36" i="6"/>
  <c r="G17" i="6"/>
  <c r="G18" i="6"/>
  <c r="G23" i="6" s="1"/>
  <c r="G19" i="6"/>
  <c r="G20" i="6"/>
  <c r="G21" i="6"/>
  <c r="G16" i="6"/>
  <c r="G34" i="6"/>
  <c r="G32" i="6"/>
  <c r="G33" i="6"/>
  <c r="G31" i="6"/>
  <c r="G14" i="6"/>
  <c r="G10" i="6"/>
  <c r="G9" i="6"/>
  <c r="G7" i="6"/>
  <c r="G3" i="6"/>
  <c r="G45" i="6" l="1"/>
  <c r="G49" i="5"/>
  <c r="G50" i="5"/>
  <c r="G53" i="5" s="1"/>
  <c r="G51" i="5"/>
  <c r="G52" i="5"/>
  <c r="G46" i="5"/>
  <c r="G37" i="5"/>
  <c r="G48" i="5"/>
  <c r="G36" i="5"/>
  <c r="G35" i="5"/>
  <c r="G34" i="5"/>
  <c r="G33" i="5"/>
  <c r="G32" i="5"/>
  <c r="G31" i="5"/>
  <c r="G30" i="5"/>
  <c r="G29" i="5"/>
  <c r="G28" i="5"/>
  <c r="G20" i="5"/>
  <c r="G17" i="5"/>
  <c r="G18" i="5"/>
  <c r="G16" i="5"/>
  <c r="G27" i="5"/>
  <c r="G26" i="5"/>
  <c r="G23" i="5"/>
  <c r="G24" i="5"/>
  <c r="G25" i="5"/>
  <c r="G22" i="5"/>
  <c r="G45" i="5"/>
  <c r="G14" i="5"/>
  <c r="G10" i="5"/>
  <c r="G11" i="5"/>
  <c r="G9" i="5"/>
  <c r="G7" i="5"/>
  <c r="G3" i="5"/>
  <c r="G44" i="5"/>
  <c r="G54" i="5" l="1"/>
  <c r="G42" i="4"/>
  <c r="G35" i="4"/>
  <c r="G34" i="4"/>
  <c r="G33" i="4"/>
  <c r="G41" i="4"/>
  <c r="G38" i="4"/>
  <c r="G39" i="4"/>
  <c r="G24" i="4"/>
  <c r="G26" i="4" s="1"/>
  <c r="G25" i="4"/>
  <c r="G31" i="4"/>
  <c r="G28" i="4"/>
  <c r="G3" i="4"/>
  <c r="G7" i="4"/>
  <c r="G10" i="4"/>
  <c r="G11" i="4"/>
  <c r="G9" i="4"/>
  <c r="G14" i="4"/>
  <c r="G20" i="4"/>
  <c r="G23" i="4"/>
  <c r="G22" i="4"/>
  <c r="G37" i="4"/>
  <c r="G17" i="4"/>
  <c r="G16" i="4"/>
  <c r="G3" i="3" l="1"/>
  <c r="G28" i="3"/>
  <c r="G29" i="3"/>
  <c r="G27" i="3"/>
  <c r="G26" i="3"/>
  <c r="G46" i="3"/>
  <c r="G35" i="3"/>
  <c r="G7" i="3"/>
  <c r="G39" i="3"/>
  <c r="G38" i="3"/>
  <c r="G14" i="3"/>
  <c r="G25" i="3"/>
  <c r="G20" i="3"/>
  <c r="G17" i="3"/>
  <c r="G18" i="3"/>
  <c r="G19" i="3"/>
  <c r="G23" i="3"/>
  <c r="G24" i="3"/>
  <c r="G42" i="3"/>
  <c r="G43" i="3"/>
  <c r="G44" i="3"/>
  <c r="G45" i="3"/>
  <c r="G10" i="3"/>
  <c r="G11" i="3"/>
  <c r="G12" i="3"/>
  <c r="G9" i="3"/>
  <c r="G22" i="3"/>
  <c r="G32" i="3"/>
  <c r="G33" i="3"/>
  <c r="G34" i="3"/>
  <c r="G31" i="3"/>
  <c r="G16" i="3"/>
  <c r="G41" i="3"/>
  <c r="G37" i="3"/>
  <c r="G47" i="3" l="1"/>
  <c r="G46" i="2"/>
  <c r="G30" i="2"/>
  <c r="G28" i="2"/>
  <c r="G45" i="2"/>
  <c r="G42" i="2"/>
  <c r="G43" i="2"/>
  <c r="G44" i="2"/>
  <c r="G41" i="2"/>
  <c r="G35" i="2"/>
  <c r="G33" i="2"/>
  <c r="G20" i="2"/>
  <c r="G21" i="2" s="1"/>
  <c r="G24" i="2"/>
  <c r="G25" i="2"/>
  <c r="G26" i="2"/>
  <c r="G27" i="2"/>
  <c r="G17" i="2" l="1"/>
  <c r="G18" i="2"/>
  <c r="G19" i="2"/>
  <c r="G16" i="2"/>
  <c r="G14" i="2"/>
  <c r="G10" i="2"/>
  <c r="G11" i="2"/>
  <c r="G9" i="2"/>
  <c r="G39" i="2"/>
  <c r="G38" i="2"/>
  <c r="G7" i="2"/>
  <c r="G4" i="2"/>
  <c r="G5" i="2"/>
  <c r="G6" i="2"/>
  <c r="G3" i="2"/>
  <c r="G23" i="2"/>
  <c r="G37" i="2" l="1"/>
  <c r="G46" i="1" l="1"/>
  <c r="G34" i="1"/>
  <c r="G36" i="1" s="1"/>
  <c r="G33" i="1"/>
  <c r="G40" i="1"/>
  <c r="G39" i="1"/>
  <c r="G31" i="1"/>
  <c r="G21" i="1"/>
  <c r="G18" i="1"/>
  <c r="G19" i="1"/>
  <c r="G20" i="1"/>
  <c r="G17" i="1"/>
  <c r="G15" i="1"/>
  <c r="G24" i="1"/>
  <c r="G25" i="1"/>
  <c r="G26" i="1"/>
  <c r="G27" i="1"/>
  <c r="G28" i="1"/>
  <c r="G23" i="1"/>
  <c r="G10" i="1" l="1"/>
  <c r="G11" i="1"/>
  <c r="G12" i="1"/>
  <c r="G13" i="1"/>
  <c r="G14" i="1"/>
  <c r="G9" i="1"/>
  <c r="G42" i="1"/>
  <c r="G4" i="1"/>
  <c r="G3" i="1"/>
  <c r="G7" i="1" s="1"/>
  <c r="G47" i="1" s="1"/>
  <c r="G38" i="1"/>
</calcChain>
</file>

<file path=xl/sharedStrings.xml><?xml version="1.0" encoding="utf-8"?>
<sst xmlns="http://schemas.openxmlformats.org/spreadsheetml/2006/main" count="711" uniqueCount="246">
  <si>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</si>
  <si>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</si>
  <si>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</si>
  <si>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</si>
  <si>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</si>
  <si>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</si>
  <si>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</si>
  <si>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</si>
  <si>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250片</t>
    <phoneticPr fontId="2" type="noConversion"/>
  </si>
  <si>
    <t>去皮洋蔥</t>
    <phoneticPr fontId="2" type="noConversion"/>
  </si>
  <si>
    <t>6斤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</si>
  <si>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</si>
  <si>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冷凍玉米粒</t>
    <phoneticPr fontId="2" type="noConversion"/>
  </si>
  <si>
    <t>1件</t>
    <phoneticPr fontId="2" type="noConversion"/>
  </si>
  <si>
    <t>絞肉</t>
    <phoneticPr fontId="2" type="noConversion"/>
  </si>
  <si>
    <t>20斤</t>
    <phoneticPr fontId="2" type="noConversion"/>
  </si>
  <si>
    <t>雜貨</t>
    <phoneticPr fontId="2" type="noConversion"/>
  </si>
  <si>
    <t>湯品</t>
    <phoneticPr fontId="2" type="noConversion"/>
  </si>
  <si>
    <t>桶筍片</t>
    <phoneticPr fontId="2" type="noConversion"/>
  </si>
  <si>
    <t>15斤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</si>
  <si>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</si>
  <si>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</si>
  <si>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</si>
  <si>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2月   3日      午餐明細表</t>
    <phoneticPr fontId="2" type="noConversion"/>
  </si>
  <si>
    <t>電訊科技中心(安康營區)     114年      2月   4日      午餐明細表</t>
    <phoneticPr fontId="2" type="noConversion"/>
  </si>
  <si>
    <t>電訊科技中心(安康營區)     114年      2月   5日      午餐明細表</t>
    <phoneticPr fontId="2" type="noConversion"/>
  </si>
  <si>
    <t>電訊科技中心(安康營區)     114年      2月   6日      午餐明細表</t>
    <phoneticPr fontId="2" type="noConversion"/>
  </si>
  <si>
    <t>電訊科技中心(安康營區)     114年      2月   7日      午餐明細表</t>
    <phoneticPr fontId="2" type="noConversion"/>
  </si>
  <si>
    <t>電訊科技中心(安康營區)     114年      2月   8日      午餐明細表</t>
    <phoneticPr fontId="2" type="noConversion"/>
  </si>
  <si>
    <t>豆酥鯛魚</t>
    <phoneticPr fontId="2" type="noConversion"/>
  </si>
  <si>
    <t>關東煮</t>
    <phoneticPr fontId="2" type="noConversion"/>
  </si>
  <si>
    <t>螞蟻上樹</t>
    <phoneticPr fontId="2" type="noConversion"/>
  </si>
  <si>
    <t>榨菜筍片湯</t>
    <phoneticPr fontId="2" type="noConversion"/>
  </si>
  <si>
    <t>榨菜絲</t>
    <phoneticPr fontId="2" type="noConversion"/>
  </si>
  <si>
    <t>腐乳肉片</t>
    <phoneticPr fontId="2" type="noConversion"/>
  </si>
  <si>
    <t>薑燒南瓜</t>
    <phoneticPr fontId="2" type="noConversion"/>
  </si>
  <si>
    <t>芹香雞捲</t>
    <phoneticPr fontId="2" type="noConversion"/>
  </si>
  <si>
    <t>味增貢丸湯</t>
    <phoneticPr fontId="2" type="noConversion"/>
  </si>
  <si>
    <t>烤雞翅</t>
    <phoneticPr fontId="2" type="noConversion"/>
  </si>
  <si>
    <t>雙色青花菜</t>
    <phoneticPr fontId="2" type="noConversion"/>
  </si>
  <si>
    <t>馬鈴薯濃湯</t>
    <phoneticPr fontId="2" type="noConversion"/>
  </si>
  <si>
    <t>番茄肉醬麵(乾)</t>
    <phoneticPr fontId="2" type="noConversion"/>
  </si>
  <si>
    <t>鐵路豬排</t>
    <phoneticPr fontId="2" type="noConversion"/>
  </si>
  <si>
    <t>小黃瓜炒魚丸</t>
    <phoneticPr fontId="2" type="noConversion"/>
  </si>
  <si>
    <t>菜圃蛋</t>
    <phoneticPr fontId="2" type="noConversion"/>
  </si>
  <si>
    <t>海帶芽蛋花湯</t>
    <phoneticPr fontId="2" type="noConversion"/>
  </si>
  <si>
    <t>烤腿排</t>
    <phoneticPr fontId="2" type="noConversion"/>
  </si>
  <si>
    <t>絲瓜肉片</t>
    <phoneticPr fontId="2" type="noConversion"/>
  </si>
  <si>
    <t>醬燒麵腸</t>
    <phoneticPr fontId="2" type="noConversion"/>
  </si>
  <si>
    <t>紅豆湯</t>
    <phoneticPr fontId="2" type="noConversion"/>
  </si>
  <si>
    <t>紅燒豬腳</t>
    <phoneticPr fontId="2" type="noConversion"/>
  </si>
  <si>
    <t>蒜泥豆腐</t>
    <phoneticPr fontId="2" type="noConversion"/>
  </si>
  <si>
    <t>白菜滷</t>
    <phoneticPr fontId="2" type="noConversion"/>
  </si>
  <si>
    <t>金針肉絲湯</t>
    <phoneticPr fontId="2" type="noConversion"/>
  </si>
  <si>
    <t>乾金針</t>
    <phoneticPr fontId="2" type="noConversion"/>
  </si>
  <si>
    <t>豬肉絲</t>
    <phoneticPr fontId="2" type="noConversion"/>
  </si>
  <si>
    <t>薑絲</t>
    <phoneticPr fontId="2" type="noConversion"/>
  </si>
  <si>
    <t>半斤</t>
    <phoneticPr fontId="2" type="noConversion"/>
  </si>
  <si>
    <t>1斤</t>
    <phoneticPr fontId="2" type="noConversion"/>
  </si>
  <si>
    <t>豬腳丁</t>
    <phoneticPr fontId="2" type="noConversion"/>
  </si>
  <si>
    <t>白蘿蔔</t>
    <phoneticPr fontId="2" type="noConversion"/>
  </si>
  <si>
    <t>65斤</t>
    <phoneticPr fontId="2" type="noConversion"/>
  </si>
  <si>
    <t>8斤</t>
    <phoneticPr fontId="2" type="noConversion"/>
  </si>
  <si>
    <t>4.3豆腐</t>
    <phoneticPr fontId="2" type="noConversion"/>
  </si>
  <si>
    <t>蒜泥</t>
    <phoneticPr fontId="2" type="noConversion"/>
  </si>
  <si>
    <t>6板</t>
    <phoneticPr fontId="2" type="noConversion"/>
  </si>
  <si>
    <t>大白菜</t>
    <phoneticPr fontId="2" type="noConversion"/>
  </si>
  <si>
    <t>木耳絲</t>
    <phoneticPr fontId="2" type="noConversion"/>
  </si>
  <si>
    <t>紅蘿蔔絲</t>
    <phoneticPr fontId="2" type="noConversion"/>
  </si>
  <si>
    <t>乾香菇絲</t>
    <phoneticPr fontId="2" type="noConversion"/>
  </si>
  <si>
    <t>開陽</t>
    <phoneticPr fontId="2" type="noConversion"/>
  </si>
  <si>
    <t>炸豆皮</t>
    <phoneticPr fontId="2" type="noConversion"/>
  </si>
  <si>
    <t>5斤</t>
    <phoneticPr fontId="2" type="noConversion"/>
  </si>
  <si>
    <t>50斤</t>
    <phoneticPr fontId="2" type="noConversion"/>
  </si>
  <si>
    <t>2斤</t>
    <phoneticPr fontId="2" type="noConversion"/>
  </si>
  <si>
    <t>10斤</t>
    <phoneticPr fontId="2" type="noConversion"/>
  </si>
  <si>
    <t>紅豆</t>
    <phoneticPr fontId="2" type="noConversion"/>
  </si>
  <si>
    <t>庫存</t>
    <phoneticPr fontId="2" type="noConversion"/>
  </si>
  <si>
    <t>麵腸切片</t>
    <phoneticPr fontId="2" type="noConversion"/>
  </si>
  <si>
    <t>杏鮑菇</t>
    <phoneticPr fontId="2" type="noConversion"/>
  </si>
  <si>
    <t>25斤</t>
    <phoneticPr fontId="2" type="noConversion"/>
  </si>
  <si>
    <t>腿排</t>
    <phoneticPr fontId="2" type="noConversion"/>
  </si>
  <si>
    <t>260個</t>
    <phoneticPr fontId="2" type="noConversion"/>
  </si>
  <si>
    <t>去皮絲瓜</t>
    <phoneticPr fontId="2" type="noConversion"/>
  </si>
  <si>
    <t>豬肉片</t>
    <phoneticPr fontId="2" type="noConversion"/>
  </si>
  <si>
    <t>紅蘿蔔</t>
    <phoneticPr fontId="2" type="noConversion"/>
  </si>
  <si>
    <t>60斤</t>
    <phoneticPr fontId="2" type="noConversion"/>
  </si>
  <si>
    <t>4件</t>
    <phoneticPr fontId="2" type="noConversion"/>
  </si>
  <si>
    <t>小黃瓜</t>
    <phoneticPr fontId="2" type="noConversion"/>
  </si>
  <si>
    <t>鱈魚丸</t>
    <phoneticPr fontId="2" type="noConversion"/>
  </si>
  <si>
    <t>川耳</t>
    <phoneticPr fontId="2" type="noConversion"/>
  </si>
  <si>
    <t>30斤</t>
    <phoneticPr fontId="2" type="noConversion"/>
  </si>
  <si>
    <t>3包</t>
    <phoneticPr fontId="2" type="noConversion"/>
  </si>
  <si>
    <t>4斤</t>
    <phoneticPr fontId="2" type="noConversion"/>
  </si>
  <si>
    <t>菜圃碎</t>
    <phoneticPr fontId="2" type="noConversion"/>
  </si>
  <si>
    <t>蛋</t>
    <phoneticPr fontId="2" type="noConversion"/>
  </si>
  <si>
    <t>乾海帶芽</t>
    <phoneticPr fontId="2" type="noConversion"/>
  </si>
  <si>
    <t>番茄糊(大)</t>
    <phoneticPr fontId="2" type="noConversion"/>
  </si>
  <si>
    <t>牛番茄</t>
    <phoneticPr fontId="2" type="noConversion"/>
  </si>
  <si>
    <t>1罐</t>
    <phoneticPr fontId="2" type="noConversion"/>
  </si>
  <si>
    <t>鮮奶油</t>
    <phoneticPr fontId="2" type="noConversion"/>
  </si>
  <si>
    <t>冷凍洋芋丁</t>
    <phoneticPr fontId="2" type="noConversion"/>
  </si>
  <si>
    <t>玉米濃湯粉</t>
    <phoneticPr fontId="2" type="noConversion"/>
  </si>
  <si>
    <t>4瓶</t>
    <phoneticPr fontId="2" type="noConversion"/>
  </si>
  <si>
    <t>1包</t>
    <phoneticPr fontId="2" type="noConversion"/>
  </si>
  <si>
    <t>6包</t>
    <phoneticPr fontId="2" type="noConversion"/>
  </si>
  <si>
    <t>冷凍青花菜</t>
    <phoneticPr fontId="2" type="noConversion"/>
  </si>
  <si>
    <t>紅椒</t>
    <phoneticPr fontId="2" type="noConversion"/>
  </si>
  <si>
    <t>黃椒</t>
    <phoneticPr fontId="2" type="noConversion"/>
  </si>
  <si>
    <t>雞翅</t>
    <phoneticPr fontId="2" type="noConversion"/>
  </si>
  <si>
    <t>300支</t>
    <phoneticPr fontId="2" type="noConversion"/>
  </si>
  <si>
    <t>腐乳醬(大)</t>
    <phoneticPr fontId="2" type="noConversion"/>
  </si>
  <si>
    <t>五花肉片</t>
    <phoneticPr fontId="2" type="noConversion"/>
  </si>
  <si>
    <t>薑</t>
    <phoneticPr fontId="2" type="noConversion"/>
  </si>
  <si>
    <t>南瓜塊3X3</t>
    <phoneticPr fontId="2" type="noConversion"/>
  </si>
  <si>
    <t>45斤</t>
    <phoneticPr fontId="2" type="noConversion"/>
  </si>
  <si>
    <t>去葉中芹</t>
    <phoneticPr fontId="2" type="noConversion"/>
  </si>
  <si>
    <t>雞捲</t>
    <phoneticPr fontId="2" type="noConversion"/>
  </si>
  <si>
    <t>味增</t>
    <phoneticPr fontId="2" type="noConversion"/>
  </si>
  <si>
    <t>小貢丸</t>
    <phoneticPr fontId="2" type="noConversion"/>
  </si>
  <si>
    <t>12斤</t>
    <phoneticPr fontId="2" type="noConversion"/>
  </si>
  <si>
    <t>鯛魚片</t>
    <phoneticPr fontId="2" type="noConversion"/>
  </si>
  <si>
    <t>豆酥</t>
    <phoneticPr fontId="2" type="noConversion"/>
  </si>
  <si>
    <t>大三角油豆腐</t>
    <phoneticPr fontId="2" type="noConversion"/>
  </si>
  <si>
    <t>米血丁</t>
    <phoneticPr fontId="2" type="noConversion"/>
  </si>
  <si>
    <t>甜不辣條</t>
    <phoneticPr fontId="2" type="noConversion"/>
  </si>
  <si>
    <t>竹輪</t>
    <phoneticPr fontId="2" type="noConversion"/>
  </si>
  <si>
    <t>海山醬</t>
    <phoneticPr fontId="2" type="noConversion"/>
  </si>
  <si>
    <t>1桶</t>
    <phoneticPr fontId="2" type="noConversion"/>
  </si>
  <si>
    <t>8包</t>
    <phoneticPr fontId="2" type="noConversion"/>
  </si>
  <si>
    <t>250個</t>
    <phoneticPr fontId="2" type="noConversion"/>
  </si>
  <si>
    <t>冬粉</t>
    <phoneticPr fontId="2" type="noConversion"/>
  </si>
  <si>
    <t>訂貨數量</t>
    <phoneticPr fontId="2" type="noConversion"/>
  </si>
  <si>
    <t>柳丁</t>
    <phoneticPr fontId="2" type="noConversion"/>
  </si>
  <si>
    <t>個</t>
    <phoneticPr fontId="2" type="noConversion"/>
  </si>
  <si>
    <t>斤</t>
  </si>
  <si>
    <t>斤</t>
    <phoneticPr fontId="2" type="noConversion"/>
  </si>
  <si>
    <t>包</t>
    <phoneticPr fontId="2" type="noConversion"/>
  </si>
  <si>
    <t>桶</t>
    <phoneticPr fontId="2" type="noConversion"/>
  </si>
  <si>
    <t>小籠湯包</t>
    <phoneticPr fontId="2" type="noConversion"/>
  </si>
  <si>
    <t>蒜仁</t>
  </si>
  <si>
    <t>辣椒</t>
  </si>
  <si>
    <t>洗選蛋</t>
  </si>
  <si>
    <t>老薑</t>
  </si>
  <si>
    <t>杏鮑菇</t>
  </si>
  <si>
    <t>青蔥</t>
  </si>
  <si>
    <t>高麗菜</t>
    <phoneticPr fontId="2" type="noConversion"/>
  </si>
  <si>
    <t>柳丁</t>
    <phoneticPr fontId="2" type="noConversion"/>
  </si>
  <si>
    <t>訂貨數量</t>
    <phoneticPr fontId="2" type="noConversion"/>
  </si>
  <si>
    <t>斤</t>
    <phoneticPr fontId="2" type="noConversion"/>
  </si>
  <si>
    <t>桶</t>
    <phoneticPr fontId="2" type="noConversion"/>
  </si>
  <si>
    <t>桂冠沙拉</t>
    <phoneticPr fontId="2" type="noConversion"/>
  </si>
  <si>
    <t>包</t>
    <phoneticPr fontId="2" type="noConversion"/>
  </si>
  <si>
    <t>吐司火腿片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</si>
  <si>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</si>
  <si>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</si>
  <si>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</si>
  <si>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鵝白菜</t>
    <phoneticPr fontId="2" type="noConversion"/>
  </si>
  <si>
    <t>去皮洋蔥</t>
    <phoneticPr fontId="2" type="noConversion"/>
  </si>
  <si>
    <t>合      計</t>
    <phoneticPr fontId="2" type="noConversion"/>
  </si>
  <si>
    <t>前腿肉絲</t>
    <phoneticPr fontId="2" type="noConversion"/>
  </si>
  <si>
    <t>油麵</t>
    <phoneticPr fontId="2" type="noConversion"/>
  </si>
  <si>
    <t>濕木耳絲</t>
    <phoneticPr fontId="2" type="noConversion"/>
  </si>
  <si>
    <t>花枝排</t>
    <phoneticPr fontId="2" type="noConversion"/>
  </si>
  <si>
    <t>件</t>
    <phoneticPr fontId="2" type="noConversion"/>
  </si>
  <si>
    <t>吐司</t>
    <phoneticPr fontId="2" type="noConversion"/>
  </si>
  <si>
    <t>條</t>
    <phoneticPr fontId="2" type="noConversion"/>
  </si>
  <si>
    <t>訂貨數量</t>
    <phoneticPr fontId="2" type="noConversion"/>
  </si>
  <si>
    <t>茂谷柑</t>
    <phoneticPr fontId="2" type="noConversion"/>
  </si>
  <si>
    <t>斤</t>
    <phoneticPr fontId="2" type="noConversion"/>
  </si>
  <si>
    <t>桶</t>
    <phoneticPr fontId="2" type="noConversion"/>
  </si>
  <si>
    <t>件</t>
    <phoneticPr fontId="2" type="noConversion"/>
  </si>
  <si>
    <t>包</t>
    <phoneticPr fontId="2" type="noConversion"/>
  </si>
  <si>
    <t>瓶</t>
    <phoneticPr fontId="2" type="noConversion"/>
  </si>
  <si>
    <t>港式蘿蔔糕</t>
    <phoneticPr fontId="2" type="noConversion"/>
  </si>
  <si>
    <t>蛋塔</t>
    <phoneticPr fontId="2" type="noConversion"/>
  </si>
  <si>
    <t>蛋塔皮</t>
    <phoneticPr fontId="2" type="noConversion"/>
  </si>
  <si>
    <t>3件</t>
    <phoneticPr fontId="2" type="noConversion"/>
  </si>
  <si>
    <t>鮮奶油</t>
    <phoneticPr fontId="2" type="noConversion"/>
  </si>
  <si>
    <t>鮮奶</t>
    <phoneticPr fontId="2" type="noConversion"/>
  </si>
  <si>
    <t>砂糖</t>
    <phoneticPr fontId="2" type="noConversion"/>
  </si>
  <si>
    <t>螺旋麵</t>
    <phoneticPr fontId="2" type="noConversion"/>
  </si>
  <si>
    <t>胡椒粉</t>
    <phoneticPr fontId="2" type="noConversion"/>
  </si>
  <si>
    <t>盒</t>
    <phoneticPr fontId="2" type="noConversion"/>
  </si>
  <si>
    <t>味素</t>
    <phoneticPr fontId="2" type="noConversion"/>
  </si>
  <si>
    <t>高麗菜</t>
    <phoneticPr fontId="2" type="noConversion"/>
  </si>
  <si>
    <t>洗選蛋</t>
    <phoneticPr fontId="2" type="noConversion"/>
  </si>
  <si>
    <t>素蠔油</t>
    <phoneticPr fontId="2" type="noConversion"/>
  </si>
  <si>
    <t>香油</t>
    <phoneticPr fontId="2" type="noConversion"/>
  </si>
  <si>
    <t>二砂</t>
    <phoneticPr fontId="2" type="noConversion"/>
  </si>
  <si>
    <t>訂貨數量</t>
    <phoneticPr fontId="2" type="noConversion"/>
  </si>
  <si>
    <t>斤</t>
    <phoneticPr fontId="2" type="noConversion"/>
  </si>
  <si>
    <t>鵝白菜</t>
    <phoneticPr fontId="2" type="noConversion"/>
  </si>
  <si>
    <t>水餃</t>
    <phoneticPr fontId="2" type="noConversion"/>
  </si>
  <si>
    <t>包</t>
    <phoneticPr fontId="2" type="noConversion"/>
  </si>
  <si>
    <t>薑絲</t>
    <phoneticPr fontId="2" type="noConversion"/>
  </si>
  <si>
    <t>蒜泥</t>
    <phoneticPr fontId="2" type="noConversion"/>
  </si>
  <si>
    <t>立大前腿肉片</t>
    <phoneticPr fontId="2" type="noConversion"/>
  </si>
  <si>
    <t>件</t>
    <phoneticPr fontId="2" type="noConversion"/>
  </si>
  <si>
    <t>五花肉片</t>
    <phoneticPr fontId="2" type="noConversion"/>
  </si>
  <si>
    <t>厚片土司</t>
    <phoneticPr fontId="2" type="noConversion"/>
  </si>
  <si>
    <t>鹼片</t>
    <phoneticPr fontId="2" type="noConversion"/>
  </si>
  <si>
    <t>條</t>
    <phoneticPr fontId="2" type="noConversion"/>
  </si>
  <si>
    <t>養樂多</t>
    <phoneticPr fontId="2" type="noConversion"/>
  </si>
  <si>
    <t>瓶</t>
    <phoneticPr fontId="2" type="noConversion"/>
  </si>
  <si>
    <t>訂貨數量</t>
    <phoneticPr fontId="2" type="noConversion"/>
  </si>
  <si>
    <t>柳丁</t>
    <phoneticPr fontId="2" type="noConversion"/>
  </si>
  <si>
    <t>斤</t>
    <phoneticPr fontId="2" type="noConversion"/>
  </si>
  <si>
    <t>高麗菜</t>
    <phoneticPr fontId="2" type="noConversion"/>
  </si>
  <si>
    <t>油麵</t>
    <phoneticPr fontId="2" type="noConversion"/>
  </si>
  <si>
    <t>濕木耳絲</t>
    <phoneticPr fontId="2" type="noConversion"/>
  </si>
  <si>
    <t>皮蛋</t>
    <phoneticPr fontId="2" type="noConversion"/>
  </si>
  <si>
    <t>個</t>
    <phoneticPr fontId="2" type="noConversion"/>
  </si>
  <si>
    <t>絞肉</t>
    <phoneticPr fontId="2" type="noConversion"/>
  </si>
  <si>
    <t>調理米酒</t>
    <phoneticPr fontId="2" type="noConversion"/>
  </si>
  <si>
    <t>瓶</t>
    <phoneticPr fontId="2" type="noConversion"/>
  </si>
  <si>
    <t>味霖</t>
    <phoneticPr fontId="2" type="noConversion"/>
  </si>
  <si>
    <t>桶</t>
    <phoneticPr fontId="2" type="noConversion"/>
  </si>
  <si>
    <t>番茄醬</t>
    <phoneticPr fontId="2" type="noConversion"/>
  </si>
  <si>
    <t>沙茶醬</t>
    <phoneticPr fontId="2" type="noConversion"/>
  </si>
  <si>
    <t>蒜仁</t>
    <phoneticPr fontId="2" type="noConversion"/>
  </si>
  <si>
    <t>青蔥</t>
    <phoneticPr fontId="2" type="noConversion"/>
  </si>
  <si>
    <t>起司豬排</t>
    <phoneticPr fontId="2" type="noConversion"/>
  </si>
  <si>
    <t>件</t>
    <phoneticPr fontId="2" type="noConversion"/>
  </si>
  <si>
    <t>鍋貼</t>
    <phoneticPr fontId="2" type="noConversion"/>
  </si>
  <si>
    <t>紅茶鋁箔包</t>
    <phoneticPr fontId="2" type="noConversion"/>
  </si>
  <si>
    <t>義大利香料</t>
    <phoneticPr fontId="2" type="noConversion"/>
  </si>
  <si>
    <t>罐</t>
    <phoneticPr fontId="2" type="noConversion"/>
  </si>
  <si>
    <t>花椒油</t>
    <phoneticPr fontId="2" type="noConversion"/>
  </si>
  <si>
    <t>高鮮味素</t>
    <phoneticPr fontId="2" type="noConversion"/>
  </si>
  <si>
    <t>盒</t>
    <phoneticPr fontId="2" type="noConversion"/>
  </si>
  <si>
    <t>花椒粒</t>
    <phoneticPr fontId="2" type="noConversion"/>
  </si>
  <si>
    <t>包</t>
    <phoneticPr fontId="2" type="noConversion"/>
  </si>
  <si>
    <t>烤肉醬</t>
    <phoneticPr fontId="2" type="noConversion"/>
  </si>
  <si>
    <t>黑胡椒粒</t>
    <phoneticPr fontId="2" type="noConversion"/>
  </si>
  <si>
    <t>紅蘿蔔</t>
    <phoneticPr fontId="2" type="noConversion"/>
  </si>
  <si>
    <t>斤</t>
    <phoneticPr fontId="2" type="noConversion"/>
  </si>
  <si>
    <t>訂貨數量</t>
    <phoneticPr fontId="2" type="noConversion"/>
  </si>
  <si>
    <t>盤</t>
    <phoneticPr fontId="2" type="noConversion"/>
  </si>
  <si>
    <t>油菜</t>
    <phoneticPr fontId="2" type="noConversion"/>
  </si>
  <si>
    <t>滷蛋</t>
    <phoneticPr fontId="2" type="noConversion"/>
  </si>
  <si>
    <t>海帶捲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</si>
  <si>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</si>
  <si>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</si>
  <si>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</si>
  <si>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茂谷柑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</si>
</sst>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M7" sqref="M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23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132</v>
      </c>
      <c r="F2" s="2"/>
      <c r="G2" s="1" t="s">
        <v>4</v>
      </c>
      <c r="H2" s="1" t="s">
        <v>5</v>
      </c>
    </row>
    <row r="3" spans="1:8" x14ac:dyDescent="0.25">
      <c r="A3" s="32" t="s">
        <v>29</v>
      </c>
      <c r="B3" s="1" t="s">
        <v>121</v>
      </c>
      <c r="C3" s="1" t="s">
        <v>8</v>
      </c>
      <c r="D3" s="1">
        <v>195</v>
      </c>
      <c r="E3" s="23">
        <v>50</v>
      </c>
      <c r="F3" s="2" t="s">
        <v>137</v>
      </c>
      <c r="G3" s="23">
        <f>D3*E3</f>
        <v>9750</v>
      </c>
      <c r="H3" s="16"/>
    </row>
    <row r="4" spans="1:8" x14ac:dyDescent="0.25">
      <c r="A4" s="32"/>
      <c r="B4" s="1" t="s">
        <v>122</v>
      </c>
      <c r="C4" s="1" t="s">
        <v>15</v>
      </c>
      <c r="D4" s="1">
        <v>145</v>
      </c>
      <c r="E4" s="2">
        <v>10</v>
      </c>
      <c r="F4" s="2" t="s">
        <v>136</v>
      </c>
      <c r="G4" s="2">
        <f>D4*E4</f>
        <v>1450</v>
      </c>
      <c r="H4" s="1"/>
    </row>
    <row r="5" spans="1:8" x14ac:dyDescent="0.25">
      <c r="A5" s="32"/>
      <c r="B5" s="1"/>
      <c r="C5" s="1"/>
      <c r="D5" s="1"/>
      <c r="E5" s="2"/>
      <c r="F5" s="2"/>
      <c r="G5" s="1"/>
      <c r="H5" s="1"/>
    </row>
    <row r="6" spans="1:8" x14ac:dyDescent="0.25">
      <c r="A6" s="32"/>
      <c r="B6" s="1"/>
      <c r="C6" s="1"/>
      <c r="D6" s="1"/>
      <c r="E6" s="4"/>
      <c r="F6" s="4"/>
      <c r="G6" s="3"/>
      <c r="H6" s="1"/>
    </row>
    <row r="7" spans="1:8" x14ac:dyDescent="0.25">
      <c r="A7" s="32"/>
      <c r="B7" s="33" t="s">
        <v>6</v>
      </c>
      <c r="C7" s="34"/>
      <c r="D7" s="35"/>
      <c r="E7" s="4"/>
      <c r="F7" s="4"/>
      <c r="G7" s="13">
        <f>SUM(G3:G6)</f>
        <v>11200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132</v>
      </c>
      <c r="F8" s="2"/>
      <c r="G8" s="1" t="s">
        <v>4</v>
      </c>
      <c r="H8" s="1" t="s">
        <v>5</v>
      </c>
    </row>
    <row r="9" spans="1:8" x14ac:dyDescent="0.25">
      <c r="A9" s="32" t="s">
        <v>30</v>
      </c>
      <c r="B9" s="1" t="s">
        <v>123</v>
      </c>
      <c r="C9" s="1" t="s">
        <v>130</v>
      </c>
      <c r="D9" s="1">
        <v>60</v>
      </c>
      <c r="E9" s="2">
        <v>22.17</v>
      </c>
      <c r="F9" s="2" t="s">
        <v>136</v>
      </c>
      <c r="G9" s="12">
        <f>D9*E9</f>
        <v>1330.2</v>
      </c>
      <c r="H9" s="1"/>
    </row>
    <row r="10" spans="1:8" x14ac:dyDescent="0.25">
      <c r="A10" s="32"/>
      <c r="B10" s="1" t="s">
        <v>124</v>
      </c>
      <c r="C10" s="1" t="s">
        <v>75</v>
      </c>
      <c r="D10" s="1">
        <v>42</v>
      </c>
      <c r="E10" s="2">
        <v>10</v>
      </c>
      <c r="F10" s="2" t="s">
        <v>136</v>
      </c>
      <c r="G10" s="2">
        <f t="shared" ref="G10:G14" si="0">D10*E10</f>
        <v>420</v>
      </c>
      <c r="H10" s="1"/>
    </row>
    <row r="11" spans="1:8" x14ac:dyDescent="0.25">
      <c r="A11" s="32"/>
      <c r="B11" s="1" t="s">
        <v>60</v>
      </c>
      <c r="C11" s="1" t="s">
        <v>62</v>
      </c>
      <c r="D11" s="1">
        <v>10.8</v>
      </c>
      <c r="E11" s="2">
        <v>10</v>
      </c>
      <c r="F11" s="2" t="s">
        <v>136</v>
      </c>
      <c r="G11" s="2">
        <f t="shared" si="0"/>
        <v>108</v>
      </c>
      <c r="H11" s="1"/>
    </row>
    <row r="12" spans="1:8" x14ac:dyDescent="0.25">
      <c r="A12" s="32"/>
      <c r="B12" s="1" t="s">
        <v>125</v>
      </c>
      <c r="C12" s="1" t="s">
        <v>75</v>
      </c>
      <c r="D12" s="1">
        <v>48</v>
      </c>
      <c r="E12" s="2">
        <v>10</v>
      </c>
      <c r="F12" s="2" t="s">
        <v>136</v>
      </c>
      <c r="G12" s="2">
        <f t="shared" si="0"/>
        <v>480</v>
      </c>
      <c r="H12" s="1"/>
    </row>
    <row r="13" spans="1:8" x14ac:dyDescent="0.25">
      <c r="A13" s="32"/>
      <c r="B13" s="1" t="s">
        <v>126</v>
      </c>
      <c r="C13" s="1" t="s">
        <v>129</v>
      </c>
      <c r="D13" s="1">
        <v>105</v>
      </c>
      <c r="E13" s="2">
        <v>8</v>
      </c>
      <c r="F13" s="2" t="s">
        <v>137</v>
      </c>
      <c r="G13" s="2">
        <f t="shared" si="0"/>
        <v>840</v>
      </c>
      <c r="H13" s="1"/>
    </row>
    <row r="14" spans="1:8" x14ac:dyDescent="0.25">
      <c r="A14" s="32"/>
      <c r="B14" s="1" t="s">
        <v>127</v>
      </c>
      <c r="C14" s="1" t="s">
        <v>128</v>
      </c>
      <c r="D14" s="1">
        <v>215</v>
      </c>
      <c r="E14" s="2">
        <v>1</v>
      </c>
      <c r="F14" s="2" t="s">
        <v>138</v>
      </c>
      <c r="G14" s="2">
        <f t="shared" si="0"/>
        <v>215</v>
      </c>
      <c r="H14" s="1"/>
    </row>
    <row r="15" spans="1:8" x14ac:dyDescent="0.25">
      <c r="A15" s="32"/>
      <c r="B15" s="33" t="s">
        <v>6</v>
      </c>
      <c r="C15" s="34"/>
      <c r="D15" s="35"/>
      <c r="E15" s="4"/>
      <c r="F15" s="4"/>
      <c r="G15" s="14">
        <f>SUM(G9:G14)</f>
        <v>3393.2</v>
      </c>
      <c r="H15" s="1"/>
    </row>
    <row r="16" spans="1:8" x14ac:dyDescent="0.25">
      <c r="A16" s="1" t="s">
        <v>11</v>
      </c>
      <c r="B16" s="1" t="s">
        <v>1</v>
      </c>
      <c r="C16" s="1" t="s">
        <v>2</v>
      </c>
      <c r="D16" s="1" t="s">
        <v>3</v>
      </c>
      <c r="E16" s="2" t="s">
        <v>132</v>
      </c>
      <c r="F16" s="2"/>
      <c r="G16" s="1" t="s">
        <v>4</v>
      </c>
      <c r="H16" s="1" t="s">
        <v>5</v>
      </c>
    </row>
    <row r="17" spans="1:8" x14ac:dyDescent="0.25">
      <c r="A17" s="32" t="s">
        <v>31</v>
      </c>
      <c r="B17" s="1" t="s">
        <v>131</v>
      </c>
      <c r="C17" s="1" t="s">
        <v>75</v>
      </c>
      <c r="D17" s="1">
        <v>93</v>
      </c>
      <c r="E17" s="2">
        <v>10</v>
      </c>
      <c r="F17" s="2" t="s">
        <v>136</v>
      </c>
      <c r="G17" s="1">
        <f>D17*E17</f>
        <v>930</v>
      </c>
      <c r="H17" s="1"/>
    </row>
    <row r="18" spans="1:8" x14ac:dyDescent="0.25">
      <c r="A18" s="32"/>
      <c r="B18" s="1" t="s">
        <v>14</v>
      </c>
      <c r="C18" s="1" t="s">
        <v>75</v>
      </c>
      <c r="D18" s="1">
        <v>93</v>
      </c>
      <c r="E18" s="2">
        <v>10</v>
      </c>
      <c r="F18" s="2" t="s">
        <v>136</v>
      </c>
      <c r="G18" s="2">
        <f t="shared" ref="G18:G20" si="1">D18*E18</f>
        <v>930</v>
      </c>
      <c r="H18" s="1"/>
    </row>
    <row r="19" spans="1:8" x14ac:dyDescent="0.25">
      <c r="A19" s="32"/>
      <c r="B19" s="1" t="s">
        <v>67</v>
      </c>
      <c r="C19" s="1" t="s">
        <v>93</v>
      </c>
      <c r="D19" s="1">
        <v>45</v>
      </c>
      <c r="E19" s="2">
        <v>4</v>
      </c>
      <c r="F19" s="2" t="s">
        <v>136</v>
      </c>
      <c r="G19" s="2">
        <f t="shared" si="1"/>
        <v>180</v>
      </c>
      <c r="H19" s="1"/>
    </row>
    <row r="20" spans="1:8" x14ac:dyDescent="0.25">
      <c r="A20" s="32"/>
      <c r="B20" s="1" t="s">
        <v>68</v>
      </c>
      <c r="C20" s="1" t="s">
        <v>74</v>
      </c>
      <c r="D20" s="1">
        <v>18.239999999999998</v>
      </c>
      <c r="E20" s="4">
        <v>2</v>
      </c>
      <c r="F20" s="4" t="s">
        <v>136</v>
      </c>
      <c r="G20" s="2">
        <f t="shared" si="1"/>
        <v>36.479999999999997</v>
      </c>
      <c r="H20" s="1"/>
    </row>
    <row r="21" spans="1:8" x14ac:dyDescent="0.25">
      <c r="A21" s="32"/>
      <c r="B21" s="33" t="s">
        <v>6</v>
      </c>
      <c r="C21" s="34"/>
      <c r="D21" s="35"/>
      <c r="E21" s="4"/>
      <c r="F21" s="4"/>
      <c r="G21" s="14">
        <f>SUM(G17:G20)</f>
        <v>2076.48</v>
      </c>
      <c r="H21" s="1"/>
    </row>
    <row r="22" spans="1:8" x14ac:dyDescent="0.25">
      <c r="A22" s="5" t="s">
        <v>16</v>
      </c>
      <c r="B22" s="1" t="s">
        <v>1</v>
      </c>
      <c r="C22" s="1" t="s">
        <v>2</v>
      </c>
      <c r="D22" s="1" t="s">
        <v>3</v>
      </c>
      <c r="E22" s="2" t="s">
        <v>132</v>
      </c>
      <c r="F22" s="2"/>
      <c r="G22" s="1" t="s">
        <v>4</v>
      </c>
      <c r="H22" s="1" t="s">
        <v>5</v>
      </c>
    </row>
    <row r="23" spans="1:8" x14ac:dyDescent="0.25">
      <c r="A23" s="32"/>
      <c r="B23" s="2" t="s">
        <v>140</v>
      </c>
      <c r="C23" s="2"/>
      <c r="D23" s="2">
        <v>173.4</v>
      </c>
      <c r="E23" s="2">
        <v>8</v>
      </c>
      <c r="F23" s="2" t="s">
        <v>135</v>
      </c>
      <c r="G23" s="12">
        <f>D23*E23</f>
        <v>1387.2</v>
      </c>
      <c r="H23" s="1"/>
    </row>
    <row r="24" spans="1:8" x14ac:dyDescent="0.25">
      <c r="A24" s="32"/>
      <c r="B24" s="2" t="s">
        <v>141</v>
      </c>
      <c r="C24" s="2"/>
      <c r="D24" s="2">
        <v>207</v>
      </c>
      <c r="E24" s="2">
        <v>2</v>
      </c>
      <c r="F24" s="2" t="s">
        <v>135</v>
      </c>
      <c r="G24" s="12">
        <f t="shared" ref="G24:G28" si="2">D24*E24</f>
        <v>414</v>
      </c>
      <c r="H24" s="1"/>
    </row>
    <row r="25" spans="1:8" x14ac:dyDescent="0.25">
      <c r="A25" s="32"/>
      <c r="B25" s="2" t="s">
        <v>142</v>
      </c>
      <c r="C25" s="2"/>
      <c r="D25" s="2">
        <v>38.4</v>
      </c>
      <c r="E25" s="2">
        <v>20</v>
      </c>
      <c r="F25" s="2" t="s">
        <v>135</v>
      </c>
      <c r="G25" s="12">
        <f t="shared" si="2"/>
        <v>768</v>
      </c>
      <c r="H25" s="1"/>
    </row>
    <row r="26" spans="1:8" x14ac:dyDescent="0.25">
      <c r="A26" s="32"/>
      <c r="B26" s="2" t="s">
        <v>143</v>
      </c>
      <c r="C26" s="2"/>
      <c r="D26" s="2">
        <v>58.5</v>
      </c>
      <c r="E26" s="2">
        <v>0.5</v>
      </c>
      <c r="F26" s="2" t="s">
        <v>135</v>
      </c>
      <c r="G26" s="12">
        <f t="shared" si="2"/>
        <v>29.25</v>
      </c>
      <c r="H26" s="1"/>
    </row>
    <row r="27" spans="1:8" x14ac:dyDescent="0.25">
      <c r="A27" s="32"/>
      <c r="B27" s="2" t="s">
        <v>144</v>
      </c>
      <c r="C27" s="2"/>
      <c r="D27" s="2">
        <v>105</v>
      </c>
      <c r="E27" s="2">
        <v>4</v>
      </c>
      <c r="F27" s="4" t="s">
        <v>135</v>
      </c>
      <c r="G27" s="12">
        <f t="shared" si="2"/>
        <v>420</v>
      </c>
      <c r="H27" s="2"/>
    </row>
    <row r="28" spans="1:8" x14ac:dyDescent="0.25">
      <c r="A28" s="32"/>
      <c r="B28" s="2" t="s">
        <v>145</v>
      </c>
      <c r="C28" s="2"/>
      <c r="D28" s="2">
        <v>70.2</v>
      </c>
      <c r="E28" s="2">
        <v>4</v>
      </c>
      <c r="F28" s="4" t="s">
        <v>135</v>
      </c>
      <c r="G28" s="12">
        <f t="shared" si="2"/>
        <v>280.8</v>
      </c>
      <c r="H28" s="2"/>
    </row>
    <row r="29" spans="1:8" x14ac:dyDescent="0.25">
      <c r="A29" s="32"/>
      <c r="B29" s="2"/>
      <c r="C29" s="2"/>
      <c r="D29" s="2"/>
      <c r="E29" s="2"/>
      <c r="F29" s="4"/>
      <c r="G29" s="4"/>
      <c r="H29" s="2"/>
    </row>
    <row r="30" spans="1:8" x14ac:dyDescent="0.25">
      <c r="A30" s="32"/>
      <c r="B30" s="2"/>
      <c r="C30" s="2"/>
      <c r="D30" s="2"/>
      <c r="E30" s="2"/>
      <c r="F30" s="4"/>
      <c r="G30" s="4"/>
      <c r="H30" s="2"/>
    </row>
    <row r="31" spans="1:8" x14ac:dyDescent="0.25">
      <c r="A31" s="32"/>
      <c r="B31" s="33" t="s">
        <v>6</v>
      </c>
      <c r="C31" s="34"/>
      <c r="D31" s="35"/>
      <c r="E31" s="4"/>
      <c r="F31" s="4"/>
      <c r="G31" s="14">
        <f>SUM(G23:G30)</f>
        <v>3299.25</v>
      </c>
      <c r="H31" s="1"/>
    </row>
    <row r="32" spans="1:8" x14ac:dyDescent="0.25">
      <c r="A32" s="1" t="s">
        <v>17</v>
      </c>
      <c r="B32" s="1" t="s">
        <v>1</v>
      </c>
      <c r="C32" s="1" t="s">
        <v>2</v>
      </c>
      <c r="D32" s="1" t="s">
        <v>3</v>
      </c>
      <c r="E32" s="2" t="s">
        <v>132</v>
      </c>
      <c r="F32" s="2"/>
      <c r="G32" s="1" t="s">
        <v>4</v>
      </c>
      <c r="H32" s="1" t="s">
        <v>5</v>
      </c>
    </row>
    <row r="33" spans="1:8" x14ac:dyDescent="0.25">
      <c r="A33" s="32" t="s">
        <v>32</v>
      </c>
      <c r="B33" s="1" t="s">
        <v>33</v>
      </c>
      <c r="C33" s="1" t="s">
        <v>72</v>
      </c>
      <c r="D33" s="1">
        <v>21</v>
      </c>
      <c r="E33" s="2">
        <v>5</v>
      </c>
      <c r="F33" s="2" t="s">
        <v>136</v>
      </c>
      <c r="G33" s="1">
        <f>D33*E33</f>
        <v>105</v>
      </c>
      <c r="H33" s="1"/>
    </row>
    <row r="34" spans="1:8" x14ac:dyDescent="0.25">
      <c r="A34" s="32"/>
      <c r="B34" s="1" t="s">
        <v>18</v>
      </c>
      <c r="C34" s="1" t="s">
        <v>120</v>
      </c>
      <c r="D34" s="1">
        <v>27</v>
      </c>
      <c r="E34" s="2">
        <v>12</v>
      </c>
      <c r="F34" s="2" t="s">
        <v>136</v>
      </c>
      <c r="G34" s="2">
        <f>D34*E34</f>
        <v>324</v>
      </c>
      <c r="H34" s="1"/>
    </row>
    <row r="35" spans="1:8" x14ac:dyDescent="0.25">
      <c r="A35" s="32"/>
      <c r="B35" s="1"/>
      <c r="C35" s="1"/>
      <c r="D35" s="1"/>
      <c r="E35" s="2"/>
      <c r="F35" s="2"/>
      <c r="G35" s="1"/>
      <c r="H35" s="1"/>
    </row>
    <row r="36" spans="1:8" x14ac:dyDescent="0.25">
      <c r="A36" s="32"/>
      <c r="B36" s="33"/>
      <c r="C36" s="34"/>
      <c r="D36" s="35"/>
      <c r="E36" s="4"/>
      <c r="F36" s="4"/>
      <c r="G36" s="13">
        <f>SUM(G33:G35)</f>
        <v>429</v>
      </c>
      <c r="H36" s="1"/>
    </row>
    <row r="37" spans="1:8" x14ac:dyDescent="0.25">
      <c r="A37" s="1" t="s">
        <v>20</v>
      </c>
      <c r="B37" s="1" t="s">
        <v>1</v>
      </c>
      <c r="C37" s="1" t="s">
        <v>2</v>
      </c>
      <c r="D37" s="1" t="s">
        <v>3</v>
      </c>
      <c r="E37" s="4" t="s">
        <v>132</v>
      </c>
      <c r="F37" s="4"/>
      <c r="G37" s="3" t="s">
        <v>4</v>
      </c>
      <c r="H37" s="1" t="s">
        <v>5</v>
      </c>
    </row>
    <row r="38" spans="1:8" x14ac:dyDescent="0.25">
      <c r="A38" s="39"/>
      <c r="B38" s="1" t="s">
        <v>133</v>
      </c>
      <c r="C38" s="1"/>
      <c r="D38" s="1">
        <v>33.6</v>
      </c>
      <c r="E38" s="2">
        <v>60</v>
      </c>
      <c r="F38" s="2" t="s">
        <v>136</v>
      </c>
      <c r="G38" s="1">
        <f>D38*E38</f>
        <v>2016</v>
      </c>
      <c r="H38" s="1"/>
    </row>
    <row r="39" spans="1:8" x14ac:dyDescent="0.25">
      <c r="A39" s="40"/>
      <c r="B39" s="1" t="s">
        <v>146</v>
      </c>
      <c r="C39" s="1"/>
      <c r="D39" s="1">
        <v>9.18</v>
      </c>
      <c r="E39" s="2">
        <v>65</v>
      </c>
      <c r="F39" s="2" t="s">
        <v>136</v>
      </c>
      <c r="G39" s="2">
        <f>D39*E39</f>
        <v>596.69999999999993</v>
      </c>
      <c r="H39" s="1"/>
    </row>
    <row r="40" spans="1:8" x14ac:dyDescent="0.25">
      <c r="A40" s="41"/>
      <c r="B40" s="33" t="s">
        <v>6</v>
      </c>
      <c r="C40" s="34"/>
      <c r="D40" s="35"/>
      <c r="E40" s="4"/>
      <c r="F40" s="4"/>
      <c r="G40" s="14">
        <f>SUM(G38:G39)</f>
        <v>2612.6999999999998</v>
      </c>
      <c r="H40" s="6"/>
    </row>
    <row r="41" spans="1:8" x14ac:dyDescent="0.25">
      <c r="A41" s="7" t="s">
        <v>21</v>
      </c>
      <c r="B41" s="1" t="s">
        <v>1</v>
      </c>
      <c r="C41" s="1" t="s">
        <v>2</v>
      </c>
      <c r="D41" s="1" t="s">
        <v>3</v>
      </c>
      <c r="E41" s="2" t="s">
        <v>132</v>
      </c>
      <c r="F41" s="2"/>
      <c r="G41" s="1" t="s">
        <v>4</v>
      </c>
      <c r="H41" s="1"/>
    </row>
    <row r="42" spans="1:8" x14ac:dyDescent="0.25">
      <c r="A42" s="32"/>
      <c r="B42" s="1" t="s">
        <v>139</v>
      </c>
      <c r="C42" s="1"/>
      <c r="D42" s="1">
        <v>4.5</v>
      </c>
      <c r="E42" s="2">
        <v>50</v>
      </c>
      <c r="F42" s="2" t="s">
        <v>134</v>
      </c>
      <c r="G42" s="1">
        <f>D42*E42</f>
        <v>225</v>
      </c>
      <c r="H42" s="1"/>
    </row>
    <row r="43" spans="1:8" x14ac:dyDescent="0.25">
      <c r="A43" s="32"/>
      <c r="B43" s="1"/>
      <c r="C43" s="1"/>
      <c r="D43" s="2"/>
      <c r="E43" s="2"/>
      <c r="F43" s="2"/>
      <c r="G43" s="2"/>
      <c r="H43" s="1"/>
    </row>
    <row r="44" spans="1:8" x14ac:dyDescent="0.25">
      <c r="A44" s="32"/>
      <c r="B44" s="1"/>
      <c r="C44" s="1"/>
      <c r="D44" s="1"/>
      <c r="E44" s="2"/>
      <c r="F44" s="2"/>
      <c r="G44" s="2"/>
      <c r="H44" s="1"/>
    </row>
    <row r="45" spans="1:8" x14ac:dyDescent="0.25">
      <c r="A45" s="32"/>
      <c r="B45" s="1"/>
      <c r="C45" s="1"/>
      <c r="D45" s="1"/>
      <c r="E45" s="2"/>
      <c r="F45" s="2"/>
      <c r="G45" s="1"/>
      <c r="H45" s="1"/>
    </row>
    <row r="46" spans="1:8" x14ac:dyDescent="0.25">
      <c r="A46" s="32"/>
      <c r="B46" s="33" t="s">
        <v>6</v>
      </c>
      <c r="C46" s="34"/>
      <c r="D46" s="35"/>
      <c r="E46" s="4"/>
      <c r="F46" s="4"/>
      <c r="G46" s="13">
        <f>SUM(G42:G45)</f>
        <v>225</v>
      </c>
      <c r="H46" s="1"/>
    </row>
    <row r="47" spans="1:8" x14ac:dyDescent="0.25">
      <c r="A47" s="1"/>
      <c r="B47" s="36" t="s">
        <v>22</v>
      </c>
      <c r="C47" s="37"/>
      <c r="D47" s="38"/>
      <c r="E47" s="8"/>
      <c r="F47" s="8"/>
      <c r="G47" s="15">
        <f>G46+G40+G36+G31+G21+G15+G7</f>
        <v>23235.63</v>
      </c>
      <c r="H47" s="1"/>
    </row>
  </sheetData>
  <mergeCells count="16">
    <mergeCell ref="A17:A21"/>
    <mergeCell ref="B21:D21"/>
    <mergeCell ref="A1:H1"/>
    <mergeCell ref="A3:A7"/>
    <mergeCell ref="B7:D7"/>
    <mergeCell ref="A9:A15"/>
    <mergeCell ref="B15:D15"/>
    <mergeCell ref="A42:A46"/>
    <mergeCell ref="B46:D46"/>
    <mergeCell ref="B47:D47"/>
    <mergeCell ref="A23:A31"/>
    <mergeCell ref="B31:D31"/>
    <mergeCell ref="A33:A36"/>
    <mergeCell ref="B36:D36"/>
    <mergeCell ref="A38:A40"/>
    <mergeCell ref="B40:D40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M38" sqref="M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24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148</v>
      </c>
      <c r="F2" s="9"/>
      <c r="G2" s="1" t="s">
        <v>4</v>
      </c>
      <c r="H2" s="1" t="s">
        <v>5</v>
      </c>
    </row>
    <row r="3" spans="1:8" x14ac:dyDescent="0.25">
      <c r="A3" s="32" t="s">
        <v>34</v>
      </c>
      <c r="B3" s="1" t="s">
        <v>111</v>
      </c>
      <c r="C3" s="1" t="s">
        <v>99</v>
      </c>
      <c r="D3" s="1">
        <v>400</v>
      </c>
      <c r="E3" s="9">
        <v>1</v>
      </c>
      <c r="F3" s="9" t="s">
        <v>150</v>
      </c>
      <c r="G3" s="1">
        <f>D3*E3</f>
        <v>400</v>
      </c>
      <c r="H3" s="1"/>
    </row>
    <row r="4" spans="1:8" x14ac:dyDescent="0.25">
      <c r="A4" s="32"/>
      <c r="B4" s="1" t="s">
        <v>9</v>
      </c>
      <c r="C4" s="1" t="s">
        <v>62</v>
      </c>
      <c r="D4" s="1">
        <v>30.6</v>
      </c>
      <c r="E4" s="9">
        <v>8</v>
      </c>
      <c r="F4" s="9" t="s">
        <v>149</v>
      </c>
      <c r="G4" s="9">
        <f t="shared" ref="G4:G6" si="0">D4*E4</f>
        <v>244.8</v>
      </c>
      <c r="H4" s="1"/>
    </row>
    <row r="5" spans="1:8" x14ac:dyDescent="0.25">
      <c r="A5" s="32"/>
      <c r="B5" s="1" t="s">
        <v>84</v>
      </c>
      <c r="C5" s="1" t="s">
        <v>91</v>
      </c>
      <c r="D5" s="1">
        <v>99</v>
      </c>
      <c r="E5" s="9">
        <v>30</v>
      </c>
      <c r="F5" s="9" t="s">
        <v>149</v>
      </c>
      <c r="G5" s="9">
        <f t="shared" si="0"/>
        <v>2970</v>
      </c>
      <c r="H5" s="1"/>
    </row>
    <row r="6" spans="1:8" x14ac:dyDescent="0.25">
      <c r="A6" s="32"/>
      <c r="B6" s="1" t="s">
        <v>112</v>
      </c>
      <c r="C6" s="1" t="s">
        <v>19</v>
      </c>
      <c r="D6" s="1">
        <v>168</v>
      </c>
      <c r="E6" s="10">
        <v>15</v>
      </c>
      <c r="F6" s="10" t="s">
        <v>149</v>
      </c>
      <c r="G6" s="9">
        <f t="shared" si="0"/>
        <v>2520</v>
      </c>
      <c r="H6" s="1"/>
    </row>
    <row r="7" spans="1:8" x14ac:dyDescent="0.25">
      <c r="A7" s="32"/>
      <c r="B7" s="33" t="s">
        <v>6</v>
      </c>
      <c r="C7" s="34"/>
      <c r="D7" s="35"/>
      <c r="E7" s="10"/>
      <c r="F7" s="10"/>
      <c r="G7" s="14">
        <f>SUM(G3:G6)</f>
        <v>6134.8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148</v>
      </c>
      <c r="F8" s="9"/>
      <c r="G8" s="1" t="s">
        <v>4</v>
      </c>
      <c r="H8" s="1" t="s">
        <v>5</v>
      </c>
    </row>
    <row r="9" spans="1:8" x14ac:dyDescent="0.25">
      <c r="A9" s="32" t="s">
        <v>35</v>
      </c>
      <c r="B9" s="1" t="s">
        <v>56</v>
      </c>
      <c r="C9" s="1" t="s">
        <v>74</v>
      </c>
      <c r="D9" s="1">
        <v>74.099999999999994</v>
      </c>
      <c r="E9" s="9">
        <v>2</v>
      </c>
      <c r="F9" s="9" t="s">
        <v>149</v>
      </c>
      <c r="G9" s="1">
        <f>D9*E9</f>
        <v>148.19999999999999</v>
      </c>
      <c r="H9" s="1"/>
    </row>
    <row r="10" spans="1:8" x14ac:dyDescent="0.25">
      <c r="A10" s="32"/>
      <c r="B10" s="1" t="s">
        <v>113</v>
      </c>
      <c r="C10" s="1" t="s">
        <v>58</v>
      </c>
      <c r="D10" s="1">
        <v>58.5</v>
      </c>
      <c r="E10" s="9">
        <v>1</v>
      </c>
      <c r="F10" s="9" t="s">
        <v>149</v>
      </c>
      <c r="G10" s="9">
        <f t="shared" ref="G10:G11" si="1">D10*E10</f>
        <v>58.5</v>
      </c>
      <c r="H10" s="1"/>
    </row>
    <row r="11" spans="1:8" x14ac:dyDescent="0.25">
      <c r="A11" s="32"/>
      <c r="B11" s="1" t="s">
        <v>114</v>
      </c>
      <c r="C11" s="1" t="s">
        <v>115</v>
      </c>
      <c r="D11" s="1">
        <v>38.76</v>
      </c>
      <c r="E11" s="9">
        <v>45</v>
      </c>
      <c r="F11" s="9" t="s">
        <v>149</v>
      </c>
      <c r="G11" s="9">
        <f t="shared" si="1"/>
        <v>1744.1999999999998</v>
      </c>
      <c r="H11" s="1"/>
    </row>
    <row r="12" spans="1:8" x14ac:dyDescent="0.25">
      <c r="A12" s="32"/>
      <c r="B12" s="1"/>
      <c r="C12" s="1"/>
      <c r="D12" s="1"/>
      <c r="E12" s="9"/>
      <c r="F12" s="9"/>
      <c r="G12" s="1"/>
      <c r="H12" s="1"/>
    </row>
    <row r="13" spans="1:8" x14ac:dyDescent="0.25">
      <c r="A13" s="32"/>
      <c r="B13" s="1"/>
      <c r="C13" s="1"/>
      <c r="D13" s="1"/>
      <c r="E13" s="9"/>
      <c r="F13" s="9"/>
      <c r="G13" s="1"/>
      <c r="H13" s="1"/>
    </row>
    <row r="14" spans="1:8" x14ac:dyDescent="0.25">
      <c r="A14" s="32"/>
      <c r="B14" s="33" t="s">
        <v>6</v>
      </c>
      <c r="C14" s="34"/>
      <c r="D14" s="35"/>
      <c r="E14" s="10"/>
      <c r="F14" s="10"/>
      <c r="G14" s="14">
        <f>SUM(G9:G13)</f>
        <v>1950.8999999999999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9" t="s">
        <v>148</v>
      </c>
      <c r="F15" s="9"/>
      <c r="G15" s="1" t="s">
        <v>4</v>
      </c>
      <c r="H15" s="1" t="s">
        <v>5</v>
      </c>
    </row>
    <row r="16" spans="1:8" x14ac:dyDescent="0.25">
      <c r="A16" s="32" t="s">
        <v>36</v>
      </c>
      <c r="B16" s="1" t="s">
        <v>116</v>
      </c>
      <c r="C16" s="1" t="s">
        <v>62</v>
      </c>
      <c r="D16" s="1">
        <v>35.700000000000003</v>
      </c>
      <c r="E16" s="9">
        <v>8</v>
      </c>
      <c r="F16" s="9" t="s">
        <v>149</v>
      </c>
      <c r="G16" s="1">
        <f>D16*E16</f>
        <v>285.60000000000002</v>
      </c>
      <c r="H16" s="1"/>
    </row>
    <row r="17" spans="1:8" x14ac:dyDescent="0.25">
      <c r="A17" s="32"/>
      <c r="B17" s="1" t="s">
        <v>117</v>
      </c>
      <c r="C17" s="1" t="s">
        <v>91</v>
      </c>
      <c r="D17" s="1">
        <v>50</v>
      </c>
      <c r="E17" s="9">
        <v>30</v>
      </c>
      <c r="F17" s="9" t="s">
        <v>149</v>
      </c>
      <c r="G17" s="9">
        <f t="shared" ref="G17:G20" si="2">D17*E17</f>
        <v>1500</v>
      </c>
      <c r="H17" s="1"/>
    </row>
    <row r="18" spans="1:8" x14ac:dyDescent="0.25">
      <c r="A18" s="32"/>
      <c r="B18" s="1" t="s">
        <v>90</v>
      </c>
      <c r="C18" s="1" t="s">
        <v>93</v>
      </c>
      <c r="D18" s="1">
        <v>85</v>
      </c>
      <c r="E18" s="9">
        <v>4</v>
      </c>
      <c r="F18" s="9" t="s">
        <v>149</v>
      </c>
      <c r="G18" s="9">
        <f t="shared" si="2"/>
        <v>340</v>
      </c>
      <c r="H18" s="1"/>
    </row>
    <row r="19" spans="1:8" x14ac:dyDescent="0.25">
      <c r="A19" s="32"/>
      <c r="B19" s="1" t="s">
        <v>85</v>
      </c>
      <c r="C19" s="1" t="s">
        <v>74</v>
      </c>
      <c r="D19" s="1">
        <v>14.4</v>
      </c>
      <c r="E19" s="10">
        <v>2</v>
      </c>
      <c r="F19" s="9" t="s">
        <v>149</v>
      </c>
      <c r="G19" s="9">
        <f t="shared" si="2"/>
        <v>28.8</v>
      </c>
      <c r="H19" s="1"/>
    </row>
    <row r="20" spans="1:8" x14ac:dyDescent="0.25">
      <c r="A20" s="32"/>
      <c r="B20" s="9" t="s">
        <v>158</v>
      </c>
      <c r="C20" s="9"/>
      <c r="D20" s="9">
        <v>30.6</v>
      </c>
      <c r="E20" s="9">
        <v>7</v>
      </c>
      <c r="F20" s="10" t="s">
        <v>149</v>
      </c>
      <c r="G20" s="10">
        <f t="shared" si="2"/>
        <v>214.20000000000002</v>
      </c>
      <c r="H20" s="9"/>
    </row>
    <row r="21" spans="1:8" x14ac:dyDescent="0.25">
      <c r="A21" s="32"/>
      <c r="B21" s="33" t="s">
        <v>6</v>
      </c>
      <c r="C21" s="34"/>
      <c r="D21" s="35"/>
      <c r="E21" s="10"/>
      <c r="F21" s="10"/>
      <c r="G21" s="14">
        <f>SUM(G16:G20)</f>
        <v>2368.6</v>
      </c>
      <c r="H21" s="1"/>
    </row>
    <row r="22" spans="1:8" x14ac:dyDescent="0.25">
      <c r="A22" s="5" t="s">
        <v>16</v>
      </c>
      <c r="B22" s="1" t="s">
        <v>1</v>
      </c>
      <c r="C22" s="1" t="s">
        <v>2</v>
      </c>
      <c r="D22" s="1" t="s">
        <v>3</v>
      </c>
      <c r="E22" s="9" t="s">
        <v>148</v>
      </c>
      <c r="F22" s="9"/>
      <c r="G22" s="1" t="s">
        <v>4</v>
      </c>
      <c r="H22" s="1" t="s">
        <v>5</v>
      </c>
    </row>
    <row r="23" spans="1:8" x14ac:dyDescent="0.25">
      <c r="A23" s="32"/>
      <c r="B23" s="1" t="s">
        <v>151</v>
      </c>
      <c r="C23" s="1"/>
      <c r="D23" s="1">
        <v>75</v>
      </c>
      <c r="E23" s="9">
        <v>1</v>
      </c>
      <c r="F23" s="9" t="s">
        <v>152</v>
      </c>
      <c r="G23" s="1">
        <f>D23*E23</f>
        <v>75</v>
      </c>
      <c r="H23" s="1"/>
    </row>
    <row r="24" spans="1:8" x14ac:dyDescent="0.25">
      <c r="A24" s="32"/>
      <c r="B24" s="1" t="s">
        <v>153</v>
      </c>
      <c r="C24" s="1"/>
      <c r="D24" s="1">
        <v>540</v>
      </c>
      <c r="E24" s="9">
        <v>1</v>
      </c>
      <c r="F24" s="9" t="s">
        <v>152</v>
      </c>
      <c r="G24" s="9">
        <f t="shared" ref="G24:G28" si="3">D24*E24</f>
        <v>540</v>
      </c>
      <c r="H24" s="1"/>
    </row>
    <row r="25" spans="1:8" x14ac:dyDescent="0.25">
      <c r="A25" s="32"/>
      <c r="B25" s="1" t="s">
        <v>154</v>
      </c>
      <c r="C25" s="1"/>
      <c r="D25" s="1">
        <v>55</v>
      </c>
      <c r="E25" s="9">
        <v>20</v>
      </c>
      <c r="F25" s="9" t="s">
        <v>149</v>
      </c>
      <c r="G25" s="9">
        <f t="shared" si="3"/>
        <v>1100</v>
      </c>
      <c r="H25" s="1"/>
    </row>
    <row r="26" spans="1:8" x14ac:dyDescent="0.25">
      <c r="A26" s="32"/>
      <c r="B26" s="9" t="s">
        <v>155</v>
      </c>
      <c r="C26" s="9"/>
      <c r="D26" s="9">
        <v>29.38</v>
      </c>
      <c r="E26" s="9">
        <v>100</v>
      </c>
      <c r="F26" s="9" t="s">
        <v>149</v>
      </c>
      <c r="G26" s="9">
        <f t="shared" si="3"/>
        <v>2938</v>
      </c>
      <c r="H26" s="1"/>
    </row>
    <row r="27" spans="1:8" x14ac:dyDescent="0.25">
      <c r="A27" s="32"/>
      <c r="B27" s="9" t="s">
        <v>156</v>
      </c>
      <c r="C27" s="9"/>
      <c r="D27" s="9">
        <v>1188</v>
      </c>
      <c r="E27" s="9">
        <v>2</v>
      </c>
      <c r="F27" s="10" t="s">
        <v>150</v>
      </c>
      <c r="G27" s="9">
        <f t="shared" si="3"/>
        <v>2376</v>
      </c>
      <c r="H27" s="9"/>
    </row>
    <row r="28" spans="1:8" x14ac:dyDescent="0.25">
      <c r="A28" s="32"/>
      <c r="B28" s="9" t="s">
        <v>165</v>
      </c>
      <c r="C28" s="9"/>
      <c r="D28" s="9">
        <v>50</v>
      </c>
      <c r="E28" s="9">
        <v>1</v>
      </c>
      <c r="F28" s="10" t="s">
        <v>166</v>
      </c>
      <c r="G28" s="10">
        <f t="shared" si="3"/>
        <v>50</v>
      </c>
      <c r="H28" s="9"/>
    </row>
    <row r="29" spans="1:8" x14ac:dyDescent="0.25">
      <c r="A29" s="32"/>
      <c r="B29" s="9"/>
      <c r="C29" s="9"/>
      <c r="D29" s="9"/>
      <c r="E29" s="9"/>
      <c r="F29" s="10"/>
      <c r="G29" s="10"/>
      <c r="H29" s="9"/>
    </row>
    <row r="30" spans="1:8" x14ac:dyDescent="0.25">
      <c r="A30" s="32"/>
      <c r="B30" s="33" t="s">
        <v>6</v>
      </c>
      <c r="C30" s="34"/>
      <c r="D30" s="35"/>
      <c r="E30" s="10"/>
      <c r="F30" s="10"/>
      <c r="G30" s="13">
        <f>SUM(G23:G29)</f>
        <v>7079</v>
      </c>
      <c r="H30" s="1"/>
    </row>
    <row r="31" spans="1:8" x14ac:dyDescent="0.25">
      <c r="A31" s="1" t="s">
        <v>17</v>
      </c>
      <c r="B31" s="1" t="s">
        <v>1</v>
      </c>
      <c r="C31" s="1" t="s">
        <v>2</v>
      </c>
      <c r="D31" s="1" t="s">
        <v>3</v>
      </c>
      <c r="E31" s="9" t="s">
        <v>148</v>
      </c>
      <c r="F31" s="9"/>
      <c r="G31" s="1" t="s">
        <v>4</v>
      </c>
      <c r="H31" s="1" t="s">
        <v>5</v>
      </c>
    </row>
    <row r="32" spans="1:8" x14ac:dyDescent="0.25">
      <c r="A32" s="32" t="s">
        <v>37</v>
      </c>
      <c r="B32" s="1" t="s">
        <v>118</v>
      </c>
      <c r="C32" s="1"/>
      <c r="D32" s="1"/>
      <c r="E32" s="9"/>
      <c r="F32" s="9"/>
      <c r="G32" s="1"/>
      <c r="H32" s="1" t="s">
        <v>77</v>
      </c>
    </row>
    <row r="33" spans="1:8" x14ac:dyDescent="0.25">
      <c r="A33" s="32"/>
      <c r="B33" s="1" t="s">
        <v>119</v>
      </c>
      <c r="C33" s="1" t="s">
        <v>92</v>
      </c>
      <c r="D33" s="1">
        <v>98.4</v>
      </c>
      <c r="E33" s="9">
        <v>15</v>
      </c>
      <c r="F33" s="9" t="s">
        <v>149</v>
      </c>
      <c r="G33" s="1">
        <f>D33*E33</f>
        <v>1476</v>
      </c>
      <c r="H33" s="1"/>
    </row>
    <row r="34" spans="1:8" x14ac:dyDescent="0.25">
      <c r="A34" s="32"/>
      <c r="B34" s="1"/>
      <c r="C34" s="1"/>
      <c r="D34" s="1"/>
      <c r="E34" s="9"/>
      <c r="F34" s="9"/>
      <c r="G34" s="1"/>
      <c r="H34" s="1"/>
    </row>
    <row r="35" spans="1:8" x14ac:dyDescent="0.25">
      <c r="A35" s="32"/>
      <c r="B35" s="33" t="s">
        <v>159</v>
      </c>
      <c r="C35" s="34"/>
      <c r="D35" s="35"/>
      <c r="E35" s="10"/>
      <c r="F35" s="10"/>
      <c r="G35" s="13">
        <f>SUM(G33:G34)</f>
        <v>1476</v>
      </c>
      <c r="H35" s="1"/>
    </row>
    <row r="36" spans="1:8" x14ac:dyDescent="0.25">
      <c r="A36" s="1" t="s">
        <v>20</v>
      </c>
      <c r="B36" s="1" t="s">
        <v>1</v>
      </c>
      <c r="C36" s="1" t="s">
        <v>2</v>
      </c>
      <c r="D36" s="1" t="s">
        <v>3</v>
      </c>
      <c r="E36" s="10" t="s">
        <v>148</v>
      </c>
      <c r="F36" s="10"/>
      <c r="G36" s="3" t="s">
        <v>4</v>
      </c>
      <c r="H36" s="1" t="s">
        <v>5</v>
      </c>
    </row>
    <row r="37" spans="1:8" x14ac:dyDescent="0.25">
      <c r="A37" s="39"/>
      <c r="B37" s="1" t="s">
        <v>147</v>
      </c>
      <c r="C37" s="1"/>
      <c r="D37" s="1">
        <v>43.2</v>
      </c>
      <c r="E37" s="9">
        <v>68.34</v>
      </c>
      <c r="F37" s="9" t="s">
        <v>149</v>
      </c>
      <c r="G37" s="12">
        <f>D37*E37</f>
        <v>2952.2880000000005</v>
      </c>
      <c r="H37" s="1"/>
    </row>
    <row r="38" spans="1:8" x14ac:dyDescent="0.25">
      <c r="A38" s="40"/>
      <c r="B38" s="1" t="s">
        <v>157</v>
      </c>
      <c r="C38" s="1"/>
      <c r="D38" s="1">
        <v>8.1</v>
      </c>
      <c r="E38" s="9">
        <v>65</v>
      </c>
      <c r="F38" s="9" t="s">
        <v>149</v>
      </c>
      <c r="G38" s="12">
        <f>D38*E38</f>
        <v>526.5</v>
      </c>
      <c r="H38" s="1"/>
    </row>
    <row r="39" spans="1:8" x14ac:dyDescent="0.25">
      <c r="A39" s="41"/>
      <c r="B39" s="33" t="s">
        <v>6</v>
      </c>
      <c r="C39" s="34"/>
      <c r="D39" s="35"/>
      <c r="E39" s="10"/>
      <c r="F39" s="10"/>
      <c r="G39" s="14">
        <f>SUM(G37:G38)</f>
        <v>3478.7880000000005</v>
      </c>
      <c r="H39" s="6"/>
    </row>
    <row r="40" spans="1:8" x14ac:dyDescent="0.25">
      <c r="A40" s="7" t="s">
        <v>21</v>
      </c>
      <c r="B40" s="1" t="s">
        <v>1</v>
      </c>
      <c r="C40" s="1" t="s">
        <v>2</v>
      </c>
      <c r="D40" s="1" t="s">
        <v>3</v>
      </c>
      <c r="E40" s="9" t="s">
        <v>148</v>
      </c>
      <c r="F40" s="9"/>
      <c r="G40" s="1" t="s">
        <v>4</v>
      </c>
      <c r="H40" s="1"/>
    </row>
    <row r="41" spans="1:8" x14ac:dyDescent="0.25">
      <c r="A41" s="32"/>
      <c r="B41" s="1" t="s">
        <v>160</v>
      </c>
      <c r="C41" s="1"/>
      <c r="D41" s="1">
        <v>99</v>
      </c>
      <c r="E41" s="9">
        <v>3</v>
      </c>
      <c r="F41" s="9" t="s">
        <v>149</v>
      </c>
      <c r="G41" s="1">
        <f>D41*E41</f>
        <v>297</v>
      </c>
      <c r="H41" s="1"/>
    </row>
    <row r="42" spans="1:8" x14ac:dyDescent="0.25">
      <c r="A42" s="32"/>
      <c r="B42" s="1" t="s">
        <v>161</v>
      </c>
      <c r="C42" s="1"/>
      <c r="D42" s="1">
        <v>19.8</v>
      </c>
      <c r="E42" s="9">
        <v>8</v>
      </c>
      <c r="F42" s="9" t="s">
        <v>149</v>
      </c>
      <c r="G42" s="9">
        <f t="shared" ref="G42:G44" si="4">D42*E42</f>
        <v>158.4</v>
      </c>
      <c r="H42" s="1"/>
    </row>
    <row r="43" spans="1:8" x14ac:dyDescent="0.25">
      <c r="A43" s="32"/>
      <c r="B43" s="1" t="s">
        <v>162</v>
      </c>
      <c r="C43" s="1"/>
      <c r="D43" s="1">
        <v>45</v>
      </c>
      <c r="E43" s="9">
        <v>1</v>
      </c>
      <c r="F43" s="9" t="s">
        <v>149</v>
      </c>
      <c r="G43" s="9">
        <f t="shared" si="4"/>
        <v>45</v>
      </c>
      <c r="H43" s="1"/>
    </row>
    <row r="44" spans="1:8" x14ac:dyDescent="0.25">
      <c r="A44" s="32"/>
      <c r="B44" s="1" t="s">
        <v>163</v>
      </c>
      <c r="C44" s="1"/>
      <c r="D44" s="1">
        <v>750</v>
      </c>
      <c r="E44" s="9">
        <v>1</v>
      </c>
      <c r="F44" s="9" t="s">
        <v>164</v>
      </c>
      <c r="G44" s="9">
        <f t="shared" si="4"/>
        <v>750</v>
      </c>
      <c r="H44" s="1"/>
    </row>
    <row r="45" spans="1:8" x14ac:dyDescent="0.25">
      <c r="A45" s="32"/>
      <c r="B45" s="33" t="s">
        <v>6</v>
      </c>
      <c r="C45" s="34"/>
      <c r="D45" s="35"/>
      <c r="E45" s="10"/>
      <c r="F45" s="10"/>
      <c r="G45" s="13">
        <f>SUM(G41:G44)</f>
        <v>1250.4000000000001</v>
      </c>
      <c r="H45" s="1"/>
    </row>
    <row r="46" spans="1:8" x14ac:dyDescent="0.25">
      <c r="A46" s="1"/>
      <c r="B46" s="36" t="s">
        <v>22</v>
      </c>
      <c r="C46" s="37"/>
      <c r="D46" s="38"/>
      <c r="E46" s="11"/>
      <c r="F46" s="11"/>
      <c r="G46" s="15">
        <f>G45+G39+G35+G21+G14+G7+G30</f>
        <v>23738.488000000001</v>
      </c>
      <c r="H46" s="1"/>
    </row>
  </sheetData>
  <mergeCells count="16">
    <mergeCell ref="A16:A21"/>
    <mergeCell ref="B21:D21"/>
    <mergeCell ref="A1:H1"/>
    <mergeCell ref="A3:A7"/>
    <mergeCell ref="B7:D7"/>
    <mergeCell ref="A9:A14"/>
    <mergeCell ref="B14:D14"/>
    <mergeCell ref="A41:A45"/>
    <mergeCell ref="B45:D45"/>
    <mergeCell ref="B46:D46"/>
    <mergeCell ref="A23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H47" sqref="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25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7" t="s">
        <v>167</v>
      </c>
      <c r="F2" s="17"/>
      <c r="G2" s="1" t="s">
        <v>4</v>
      </c>
      <c r="H2" s="1" t="s">
        <v>5</v>
      </c>
    </row>
    <row r="3" spans="1:8" x14ac:dyDescent="0.25">
      <c r="A3" s="32" t="s">
        <v>38</v>
      </c>
      <c r="B3" s="1" t="s">
        <v>109</v>
      </c>
      <c r="C3" s="1" t="s">
        <v>110</v>
      </c>
      <c r="D3" s="1">
        <v>78</v>
      </c>
      <c r="E3" s="17">
        <v>58.87</v>
      </c>
      <c r="F3" s="17" t="s">
        <v>169</v>
      </c>
      <c r="G3" s="12">
        <f>D3*E3</f>
        <v>4591.8599999999997</v>
      </c>
      <c r="H3" s="1"/>
    </row>
    <row r="4" spans="1:8" x14ac:dyDescent="0.25">
      <c r="A4" s="32"/>
      <c r="B4" s="1"/>
      <c r="C4" s="1"/>
      <c r="D4" s="1"/>
      <c r="E4" s="17"/>
      <c r="F4" s="17"/>
      <c r="G4" s="1"/>
      <c r="H4" s="1"/>
    </row>
    <row r="5" spans="1:8" x14ac:dyDescent="0.25">
      <c r="A5" s="32"/>
      <c r="B5" s="1"/>
      <c r="C5" s="1"/>
      <c r="D5" s="1"/>
      <c r="E5" s="17"/>
      <c r="F5" s="17"/>
      <c r="G5" s="1"/>
      <c r="H5" s="1"/>
    </row>
    <row r="6" spans="1:8" x14ac:dyDescent="0.25">
      <c r="A6" s="32"/>
      <c r="B6" s="1"/>
      <c r="C6" s="1"/>
      <c r="D6" s="1"/>
      <c r="E6" s="18"/>
      <c r="F6" s="18"/>
      <c r="G6" s="3"/>
      <c r="H6" s="1"/>
    </row>
    <row r="7" spans="1:8" x14ac:dyDescent="0.25">
      <c r="A7" s="32"/>
      <c r="B7" s="33" t="s">
        <v>6</v>
      </c>
      <c r="C7" s="34"/>
      <c r="D7" s="35"/>
      <c r="E7" s="18"/>
      <c r="F7" s="18"/>
      <c r="G7" s="14">
        <f>SUM(G3:G6)</f>
        <v>4591.8599999999997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7" t="s">
        <v>167</v>
      </c>
      <c r="F8" s="17"/>
      <c r="G8" s="1" t="s">
        <v>4</v>
      </c>
      <c r="H8" s="1" t="s">
        <v>5</v>
      </c>
    </row>
    <row r="9" spans="1:8" x14ac:dyDescent="0.25">
      <c r="A9" s="32" t="s">
        <v>175</v>
      </c>
      <c r="B9" s="1" t="s">
        <v>176</v>
      </c>
      <c r="C9" s="1" t="s">
        <v>177</v>
      </c>
      <c r="D9" s="1">
        <v>1380</v>
      </c>
      <c r="E9" s="17">
        <v>3</v>
      </c>
      <c r="F9" s="17" t="s">
        <v>171</v>
      </c>
      <c r="G9" s="1">
        <f>D9*E9</f>
        <v>4140</v>
      </c>
      <c r="H9" s="1"/>
    </row>
    <row r="10" spans="1:8" x14ac:dyDescent="0.25">
      <c r="A10" s="32"/>
      <c r="B10" s="1" t="s">
        <v>178</v>
      </c>
      <c r="C10" s="1"/>
      <c r="D10" s="1">
        <v>270</v>
      </c>
      <c r="E10" s="17">
        <v>8</v>
      </c>
      <c r="F10" s="17" t="s">
        <v>173</v>
      </c>
      <c r="G10" s="17">
        <f t="shared" ref="G10:G12" si="0">D10*E10</f>
        <v>2160</v>
      </c>
      <c r="H10" s="1"/>
    </row>
    <row r="11" spans="1:8" x14ac:dyDescent="0.25">
      <c r="A11" s="32"/>
      <c r="B11" s="1" t="s">
        <v>179</v>
      </c>
      <c r="C11" s="1"/>
      <c r="D11" s="1">
        <v>120</v>
      </c>
      <c r="E11" s="17">
        <v>7</v>
      </c>
      <c r="F11" s="17" t="s">
        <v>173</v>
      </c>
      <c r="G11" s="17">
        <f t="shared" si="0"/>
        <v>840</v>
      </c>
      <c r="H11" s="1"/>
    </row>
    <row r="12" spans="1:8" x14ac:dyDescent="0.25">
      <c r="A12" s="32"/>
      <c r="B12" s="1" t="s">
        <v>180</v>
      </c>
      <c r="C12" s="1"/>
      <c r="D12" s="1">
        <v>80</v>
      </c>
      <c r="E12" s="17">
        <v>1</v>
      </c>
      <c r="F12" s="17" t="s">
        <v>172</v>
      </c>
      <c r="G12" s="17">
        <f t="shared" si="0"/>
        <v>80</v>
      </c>
      <c r="H12" s="1"/>
    </row>
    <row r="13" spans="1:8" x14ac:dyDescent="0.25">
      <c r="A13" s="32"/>
      <c r="B13" s="1"/>
      <c r="C13" s="1"/>
      <c r="D13" s="1"/>
      <c r="E13" s="17"/>
      <c r="F13" s="17"/>
      <c r="G13" s="1"/>
      <c r="H13" s="1"/>
    </row>
    <row r="14" spans="1:8" x14ac:dyDescent="0.25">
      <c r="A14" s="32"/>
      <c r="B14" s="33" t="s">
        <v>6</v>
      </c>
      <c r="C14" s="34"/>
      <c r="D14" s="35"/>
      <c r="E14" s="18"/>
      <c r="F14" s="18"/>
      <c r="G14" s="13">
        <f>SUM(G9:G13)</f>
        <v>7220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17" t="s">
        <v>167</v>
      </c>
      <c r="F15" s="17"/>
      <c r="G15" s="1" t="s">
        <v>4</v>
      </c>
      <c r="H15" s="1" t="s">
        <v>5</v>
      </c>
    </row>
    <row r="16" spans="1:8" x14ac:dyDescent="0.25">
      <c r="A16" s="32" t="s">
        <v>39</v>
      </c>
      <c r="B16" s="1" t="s">
        <v>106</v>
      </c>
      <c r="C16" s="1" t="s">
        <v>87</v>
      </c>
      <c r="D16" s="1">
        <v>70</v>
      </c>
      <c r="E16" s="17">
        <v>40</v>
      </c>
      <c r="F16" s="17" t="s">
        <v>172</v>
      </c>
      <c r="G16" s="12">
        <f>D16*E16</f>
        <v>2800</v>
      </c>
      <c r="H16" s="1"/>
    </row>
    <row r="17" spans="1:8" x14ac:dyDescent="0.25">
      <c r="A17" s="32"/>
      <c r="B17" s="1" t="s">
        <v>107</v>
      </c>
      <c r="C17" s="1" t="s">
        <v>72</v>
      </c>
      <c r="D17" s="1">
        <v>58.5</v>
      </c>
      <c r="E17" s="17">
        <v>5</v>
      </c>
      <c r="F17" s="17" t="s">
        <v>169</v>
      </c>
      <c r="G17" s="12">
        <f t="shared" ref="G17:G19" si="1">D17*E17</f>
        <v>292.5</v>
      </c>
      <c r="H17" s="1"/>
    </row>
    <row r="18" spans="1:8" x14ac:dyDescent="0.25">
      <c r="A18" s="32"/>
      <c r="B18" s="1" t="s">
        <v>108</v>
      </c>
      <c r="C18" s="1" t="s">
        <v>72</v>
      </c>
      <c r="D18" s="17">
        <v>58.5</v>
      </c>
      <c r="E18" s="17">
        <v>5</v>
      </c>
      <c r="F18" s="17" t="s">
        <v>169</v>
      </c>
      <c r="G18" s="12">
        <f t="shared" si="1"/>
        <v>292.5</v>
      </c>
      <c r="H18" s="1"/>
    </row>
    <row r="19" spans="1:8" x14ac:dyDescent="0.25">
      <c r="A19" s="32"/>
      <c r="B19" s="1" t="s">
        <v>90</v>
      </c>
      <c r="C19" s="1" t="s">
        <v>93</v>
      </c>
      <c r="D19" s="1">
        <v>85</v>
      </c>
      <c r="E19" s="18">
        <v>4</v>
      </c>
      <c r="F19" s="18" t="s">
        <v>169</v>
      </c>
      <c r="G19" s="12">
        <f t="shared" si="1"/>
        <v>340</v>
      </c>
      <c r="H19" s="1"/>
    </row>
    <row r="20" spans="1:8" x14ac:dyDescent="0.25">
      <c r="A20" s="32"/>
      <c r="B20" s="33" t="s">
        <v>6</v>
      </c>
      <c r="C20" s="34"/>
      <c r="D20" s="35"/>
      <c r="E20" s="18"/>
      <c r="F20" s="18"/>
      <c r="G20" s="13">
        <f>SUM(G16:G19)</f>
        <v>3725</v>
      </c>
      <c r="H20" s="1"/>
    </row>
    <row r="21" spans="1:8" x14ac:dyDescent="0.25">
      <c r="A21" s="5" t="s">
        <v>16</v>
      </c>
      <c r="B21" s="1" t="s">
        <v>1</v>
      </c>
      <c r="C21" s="1" t="s">
        <v>2</v>
      </c>
      <c r="D21" s="1" t="s">
        <v>3</v>
      </c>
      <c r="E21" s="17" t="s">
        <v>167</v>
      </c>
      <c r="F21" s="17"/>
      <c r="G21" s="1" t="s">
        <v>4</v>
      </c>
      <c r="H21" s="1" t="s">
        <v>5</v>
      </c>
    </row>
    <row r="22" spans="1:8" x14ac:dyDescent="0.25">
      <c r="A22" s="32"/>
      <c r="B22" s="1" t="s">
        <v>174</v>
      </c>
      <c r="C22" s="1"/>
      <c r="D22" s="1">
        <v>210</v>
      </c>
      <c r="E22" s="17">
        <v>1</v>
      </c>
      <c r="F22" s="17" t="s">
        <v>172</v>
      </c>
      <c r="G22" s="1">
        <f>D22*E22</f>
        <v>210</v>
      </c>
      <c r="H22" s="1"/>
    </row>
    <row r="23" spans="1:8" x14ac:dyDescent="0.25">
      <c r="A23" s="32"/>
      <c r="B23" s="1" t="s">
        <v>182</v>
      </c>
      <c r="C23" s="1"/>
      <c r="D23" s="1">
        <v>110</v>
      </c>
      <c r="E23" s="17">
        <v>1</v>
      </c>
      <c r="F23" s="17" t="s">
        <v>183</v>
      </c>
      <c r="G23" s="17">
        <f t="shared" ref="G23:G28" si="2">D23*E23</f>
        <v>110</v>
      </c>
      <c r="H23" s="1"/>
    </row>
    <row r="24" spans="1:8" x14ac:dyDescent="0.25">
      <c r="A24" s="32"/>
      <c r="B24" s="1" t="s">
        <v>184</v>
      </c>
      <c r="C24" s="1"/>
      <c r="D24" s="1">
        <v>235</v>
      </c>
      <c r="E24" s="17">
        <v>3</v>
      </c>
      <c r="F24" s="17" t="s">
        <v>183</v>
      </c>
      <c r="G24" s="17">
        <f t="shared" si="2"/>
        <v>705</v>
      </c>
      <c r="H24" s="1"/>
    </row>
    <row r="25" spans="1:8" x14ac:dyDescent="0.25">
      <c r="A25" s="32"/>
      <c r="B25" s="1" t="s">
        <v>186</v>
      </c>
      <c r="C25" s="1"/>
      <c r="D25" s="1">
        <v>38.4</v>
      </c>
      <c r="E25" s="17">
        <v>20</v>
      </c>
      <c r="F25" s="17" t="s">
        <v>169</v>
      </c>
      <c r="G25" s="17">
        <f t="shared" si="2"/>
        <v>768</v>
      </c>
      <c r="H25" s="1"/>
    </row>
    <row r="26" spans="1:8" x14ac:dyDescent="0.25">
      <c r="A26" s="32"/>
      <c r="B26" s="17" t="s">
        <v>187</v>
      </c>
      <c r="C26" s="17"/>
      <c r="D26" s="17">
        <v>291</v>
      </c>
      <c r="E26" s="17">
        <v>2</v>
      </c>
      <c r="F26" s="18" t="s">
        <v>170</v>
      </c>
      <c r="G26" s="18">
        <f t="shared" si="2"/>
        <v>582</v>
      </c>
      <c r="H26" s="17"/>
    </row>
    <row r="27" spans="1:8" x14ac:dyDescent="0.25">
      <c r="A27" s="32"/>
      <c r="B27" s="17" t="s">
        <v>188</v>
      </c>
      <c r="C27" s="17"/>
      <c r="D27" s="17">
        <v>339</v>
      </c>
      <c r="E27" s="17">
        <v>2</v>
      </c>
      <c r="F27" s="18" t="s">
        <v>170</v>
      </c>
      <c r="G27" s="18">
        <f t="shared" si="2"/>
        <v>678</v>
      </c>
      <c r="H27" s="17"/>
    </row>
    <row r="28" spans="1:8" x14ac:dyDescent="0.25">
      <c r="A28" s="32"/>
      <c r="B28" s="17" t="s">
        <v>189</v>
      </c>
      <c r="C28" s="17"/>
      <c r="D28" s="17">
        <v>844</v>
      </c>
      <c r="E28" s="17">
        <v>1</v>
      </c>
      <c r="F28" s="18" t="s">
        <v>172</v>
      </c>
      <c r="G28" s="18">
        <f t="shared" si="2"/>
        <v>844</v>
      </c>
      <c r="H28" s="17"/>
    </row>
    <row r="29" spans="1:8" x14ac:dyDescent="0.25">
      <c r="A29" s="32"/>
      <c r="B29" s="33" t="s">
        <v>6</v>
      </c>
      <c r="C29" s="34"/>
      <c r="D29" s="35"/>
      <c r="E29" s="18"/>
      <c r="F29" s="18"/>
      <c r="G29" s="13">
        <f>SUM(G22:G28)</f>
        <v>3897</v>
      </c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17" t="s">
        <v>167</v>
      </c>
      <c r="F30" s="17"/>
      <c r="G30" s="1" t="s">
        <v>4</v>
      </c>
      <c r="H30" s="1" t="s">
        <v>5</v>
      </c>
    </row>
    <row r="31" spans="1:8" x14ac:dyDescent="0.25">
      <c r="A31" s="32" t="s">
        <v>40</v>
      </c>
      <c r="B31" s="1" t="s">
        <v>100</v>
      </c>
      <c r="C31" s="1" t="s">
        <v>103</v>
      </c>
      <c r="D31" s="1">
        <v>270</v>
      </c>
      <c r="E31" s="17">
        <v>4</v>
      </c>
      <c r="F31" s="17" t="s">
        <v>173</v>
      </c>
      <c r="G31" s="1">
        <f>D31*E31</f>
        <v>1080</v>
      </c>
      <c r="H31" s="1"/>
    </row>
    <row r="32" spans="1:8" x14ac:dyDescent="0.25">
      <c r="A32" s="32"/>
      <c r="B32" s="1" t="s">
        <v>101</v>
      </c>
      <c r="C32" s="1" t="s">
        <v>13</v>
      </c>
      <c r="D32" s="1">
        <v>100</v>
      </c>
      <c r="E32" s="17">
        <v>12</v>
      </c>
      <c r="F32" s="17" t="s">
        <v>172</v>
      </c>
      <c r="G32" s="17">
        <f t="shared" ref="G32:G34" si="3">D32*E32</f>
        <v>1200</v>
      </c>
      <c r="H32" s="1"/>
    </row>
    <row r="33" spans="1:8" x14ac:dyDescent="0.25">
      <c r="A33" s="32"/>
      <c r="B33" s="1" t="s">
        <v>102</v>
      </c>
      <c r="C33" s="1" t="s">
        <v>104</v>
      </c>
      <c r="D33" s="1">
        <v>176</v>
      </c>
      <c r="E33" s="17">
        <v>1</v>
      </c>
      <c r="F33" s="17" t="s">
        <v>172</v>
      </c>
      <c r="G33" s="17">
        <f t="shared" si="3"/>
        <v>176</v>
      </c>
      <c r="H33" s="1"/>
    </row>
    <row r="34" spans="1:8" x14ac:dyDescent="0.25">
      <c r="A34" s="32"/>
      <c r="B34" s="1" t="s">
        <v>12</v>
      </c>
      <c r="C34" s="1" t="s">
        <v>105</v>
      </c>
      <c r="D34" s="1">
        <v>75</v>
      </c>
      <c r="E34" s="17">
        <v>6</v>
      </c>
      <c r="F34" s="17" t="s">
        <v>172</v>
      </c>
      <c r="G34" s="17">
        <f t="shared" si="3"/>
        <v>450</v>
      </c>
      <c r="H34" s="1"/>
    </row>
    <row r="35" spans="1:8" x14ac:dyDescent="0.25">
      <c r="A35" s="32"/>
      <c r="B35" s="33"/>
      <c r="C35" s="34"/>
      <c r="D35" s="35"/>
      <c r="E35" s="18"/>
      <c r="F35" s="18"/>
      <c r="G35" s="13">
        <f>SUM(G31:G34)</f>
        <v>2906</v>
      </c>
      <c r="H35" s="1"/>
    </row>
    <row r="36" spans="1:8" x14ac:dyDescent="0.25">
      <c r="A36" s="1" t="s">
        <v>20</v>
      </c>
      <c r="B36" s="1" t="s">
        <v>1</v>
      </c>
      <c r="C36" s="1" t="s">
        <v>2</v>
      </c>
      <c r="D36" s="1" t="s">
        <v>3</v>
      </c>
      <c r="E36" s="18" t="s">
        <v>167</v>
      </c>
      <c r="F36" s="18"/>
      <c r="G36" s="3" t="s">
        <v>4</v>
      </c>
      <c r="H36" s="1" t="s">
        <v>5</v>
      </c>
    </row>
    <row r="37" spans="1:8" x14ac:dyDescent="0.25">
      <c r="A37" s="39"/>
      <c r="B37" s="1" t="s">
        <v>168</v>
      </c>
      <c r="C37" s="1"/>
      <c r="D37" s="1">
        <v>46.08</v>
      </c>
      <c r="E37" s="17">
        <v>63.33</v>
      </c>
      <c r="F37" s="17" t="s">
        <v>169</v>
      </c>
      <c r="G37" s="12">
        <f>D37*E37</f>
        <v>2918.2464</v>
      </c>
      <c r="H37" s="1"/>
    </row>
    <row r="38" spans="1:8" x14ac:dyDescent="0.25">
      <c r="A38" s="40"/>
      <c r="B38" s="1" t="s">
        <v>185</v>
      </c>
      <c r="C38" s="1"/>
      <c r="D38" s="1">
        <v>9.18</v>
      </c>
      <c r="E38" s="17">
        <v>65</v>
      </c>
      <c r="F38" s="17" t="s">
        <v>169</v>
      </c>
      <c r="G38" s="12">
        <f>D38*E38</f>
        <v>596.69999999999993</v>
      </c>
      <c r="H38" s="1"/>
    </row>
    <row r="39" spans="1:8" x14ac:dyDescent="0.25">
      <c r="A39" s="41"/>
      <c r="B39" s="33" t="s">
        <v>6</v>
      </c>
      <c r="C39" s="34"/>
      <c r="D39" s="35"/>
      <c r="E39" s="18"/>
      <c r="F39" s="18"/>
      <c r="G39" s="14">
        <f>SUM(G37:G38)</f>
        <v>3514.9463999999998</v>
      </c>
      <c r="H39" s="6"/>
    </row>
    <row r="40" spans="1:8" x14ac:dyDescent="0.25">
      <c r="A40" s="7" t="s">
        <v>21</v>
      </c>
      <c r="B40" s="1" t="s">
        <v>1</v>
      </c>
      <c r="C40" s="1" t="s">
        <v>2</v>
      </c>
      <c r="D40" s="1" t="s">
        <v>3</v>
      </c>
      <c r="E40" s="17" t="s">
        <v>167</v>
      </c>
      <c r="F40" s="17"/>
      <c r="G40" s="1" t="s">
        <v>4</v>
      </c>
      <c r="H40" s="1"/>
    </row>
    <row r="41" spans="1:8" x14ac:dyDescent="0.25">
      <c r="A41" s="32" t="s">
        <v>41</v>
      </c>
      <c r="B41" s="1" t="s">
        <v>97</v>
      </c>
      <c r="C41" s="1" t="s">
        <v>99</v>
      </c>
      <c r="D41" s="1">
        <v>420</v>
      </c>
      <c r="E41" s="17">
        <v>1</v>
      </c>
      <c r="F41" s="17" t="s">
        <v>170</v>
      </c>
      <c r="G41" s="1">
        <f>D41*E41</f>
        <v>420</v>
      </c>
      <c r="H41" s="1"/>
    </row>
    <row r="42" spans="1:8" x14ac:dyDescent="0.25">
      <c r="A42" s="32"/>
      <c r="B42" s="1" t="s">
        <v>98</v>
      </c>
      <c r="C42" s="1" t="s">
        <v>75</v>
      </c>
      <c r="D42" s="1">
        <v>58.5</v>
      </c>
      <c r="E42" s="17">
        <v>10</v>
      </c>
      <c r="F42" s="17" t="s">
        <v>169</v>
      </c>
      <c r="G42" s="17">
        <f t="shared" ref="G42:G45" si="4">D42*E42</f>
        <v>585</v>
      </c>
      <c r="H42" s="1"/>
    </row>
    <row r="43" spans="1:8" x14ac:dyDescent="0.25">
      <c r="A43" s="32"/>
      <c r="B43" s="1" t="s">
        <v>14</v>
      </c>
      <c r="C43" s="1" t="s">
        <v>91</v>
      </c>
      <c r="D43" s="1">
        <v>93</v>
      </c>
      <c r="E43" s="17">
        <v>30</v>
      </c>
      <c r="F43" s="17" t="s">
        <v>169</v>
      </c>
      <c r="G43" s="17">
        <f t="shared" si="4"/>
        <v>2790</v>
      </c>
      <c r="H43" s="1"/>
    </row>
    <row r="44" spans="1:8" x14ac:dyDescent="0.25">
      <c r="A44" s="32"/>
      <c r="B44" s="1" t="s">
        <v>9</v>
      </c>
      <c r="C44" s="1" t="s">
        <v>75</v>
      </c>
      <c r="D44" s="1">
        <v>30.6</v>
      </c>
      <c r="E44" s="17">
        <v>10</v>
      </c>
      <c r="F44" s="17" t="s">
        <v>169</v>
      </c>
      <c r="G44" s="17">
        <f t="shared" si="4"/>
        <v>306</v>
      </c>
      <c r="H44" s="1"/>
    </row>
    <row r="45" spans="1:8" x14ac:dyDescent="0.25">
      <c r="A45" s="32"/>
      <c r="B45" s="17" t="s">
        <v>181</v>
      </c>
      <c r="C45" s="17"/>
      <c r="D45" s="17">
        <v>45</v>
      </c>
      <c r="E45" s="18">
        <v>10</v>
      </c>
      <c r="F45" s="18" t="s">
        <v>172</v>
      </c>
      <c r="G45" s="17">
        <f t="shared" si="4"/>
        <v>450</v>
      </c>
      <c r="H45" s="17"/>
    </row>
    <row r="46" spans="1:8" x14ac:dyDescent="0.25">
      <c r="A46" s="32"/>
      <c r="B46" s="33" t="s">
        <v>6</v>
      </c>
      <c r="C46" s="34"/>
      <c r="D46" s="35"/>
      <c r="E46" s="18"/>
      <c r="F46" s="18"/>
      <c r="G46" s="13">
        <f>SUM(G41:G45)</f>
        <v>4551</v>
      </c>
      <c r="H46" s="1"/>
    </row>
    <row r="47" spans="1:8" x14ac:dyDescent="0.25">
      <c r="A47" s="1"/>
      <c r="B47" s="36" t="s">
        <v>22</v>
      </c>
      <c r="C47" s="37"/>
      <c r="D47" s="38"/>
      <c r="E47" s="19"/>
      <c r="F47" s="19"/>
      <c r="G47" s="15">
        <f>G46+G39+G35+G29+G20+G14+G7</f>
        <v>30405.806400000001</v>
      </c>
      <c r="H47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6"/>
    <mergeCell ref="B46:D46"/>
    <mergeCell ref="B47:D47"/>
    <mergeCell ref="A22:A29"/>
    <mergeCell ref="B29:D29"/>
    <mergeCell ref="A31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32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26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0" t="s">
        <v>190</v>
      </c>
      <c r="F2" s="20"/>
      <c r="G2" s="1" t="s">
        <v>4</v>
      </c>
      <c r="H2" s="1" t="s">
        <v>5</v>
      </c>
    </row>
    <row r="3" spans="1:8" x14ac:dyDescent="0.25">
      <c r="A3" s="32" t="s">
        <v>42</v>
      </c>
      <c r="B3" s="1" t="s">
        <v>42</v>
      </c>
      <c r="C3" s="1" t="s">
        <v>87</v>
      </c>
      <c r="D3" s="1">
        <v>1350</v>
      </c>
      <c r="E3" s="20">
        <v>4</v>
      </c>
      <c r="F3" s="20" t="s">
        <v>198</v>
      </c>
      <c r="G3" s="1">
        <f>D3*E3</f>
        <v>5400</v>
      </c>
      <c r="H3" s="1"/>
    </row>
    <row r="4" spans="1:8" x14ac:dyDescent="0.25">
      <c r="A4" s="32"/>
      <c r="B4" s="1"/>
      <c r="C4" s="1"/>
      <c r="D4" s="1"/>
      <c r="E4" s="20"/>
      <c r="F4" s="20"/>
      <c r="G4" s="1"/>
      <c r="H4" s="1"/>
    </row>
    <row r="5" spans="1:8" x14ac:dyDescent="0.25">
      <c r="A5" s="32"/>
      <c r="B5" s="1"/>
      <c r="C5" s="1"/>
      <c r="D5" s="1"/>
      <c r="E5" s="20"/>
      <c r="F5" s="20"/>
      <c r="G5" s="1"/>
      <c r="H5" s="1"/>
    </row>
    <row r="6" spans="1:8" x14ac:dyDescent="0.25">
      <c r="A6" s="32"/>
      <c r="B6" s="1"/>
      <c r="C6" s="1"/>
      <c r="D6" s="1"/>
      <c r="E6" s="21"/>
      <c r="F6" s="21"/>
      <c r="G6" s="3"/>
      <c r="H6" s="1"/>
    </row>
    <row r="7" spans="1:8" x14ac:dyDescent="0.25">
      <c r="A7" s="32"/>
      <c r="B7" s="33" t="s">
        <v>6</v>
      </c>
      <c r="C7" s="34"/>
      <c r="D7" s="35"/>
      <c r="E7" s="21"/>
      <c r="F7" s="21"/>
      <c r="G7" s="13">
        <f>SUM(G3:G6)</f>
        <v>5400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0" t="s">
        <v>190</v>
      </c>
      <c r="F8" s="20"/>
      <c r="G8" s="1" t="s">
        <v>4</v>
      </c>
      <c r="H8" s="1" t="s">
        <v>5</v>
      </c>
    </row>
    <row r="9" spans="1:8" x14ac:dyDescent="0.25">
      <c r="A9" s="32" t="s">
        <v>43</v>
      </c>
      <c r="B9" s="1" t="s">
        <v>88</v>
      </c>
      <c r="C9" s="1" t="s">
        <v>91</v>
      </c>
      <c r="D9" s="1">
        <v>14.4</v>
      </c>
      <c r="E9" s="20">
        <v>30</v>
      </c>
      <c r="F9" s="20" t="s">
        <v>191</v>
      </c>
      <c r="G9" s="1">
        <f>D9*E9</f>
        <v>432</v>
      </c>
      <c r="H9" s="1"/>
    </row>
    <row r="10" spans="1:8" x14ac:dyDescent="0.25">
      <c r="A10" s="32"/>
      <c r="B10" s="1" t="s">
        <v>89</v>
      </c>
      <c r="C10" s="1" t="s">
        <v>92</v>
      </c>
      <c r="D10" s="1">
        <v>79.599999999999994</v>
      </c>
      <c r="E10" s="20">
        <v>15</v>
      </c>
      <c r="F10" s="20" t="s">
        <v>191</v>
      </c>
      <c r="G10" s="20">
        <f t="shared" ref="G10:G11" si="0">D10*E10</f>
        <v>1194</v>
      </c>
      <c r="H10" s="1"/>
    </row>
    <row r="11" spans="1:8" x14ac:dyDescent="0.25">
      <c r="A11" s="32"/>
      <c r="B11" s="1" t="s">
        <v>90</v>
      </c>
      <c r="C11" s="1" t="s">
        <v>93</v>
      </c>
      <c r="D11" s="1">
        <v>85</v>
      </c>
      <c r="E11" s="20">
        <v>4</v>
      </c>
      <c r="F11" s="20" t="s">
        <v>191</v>
      </c>
      <c r="G11" s="20">
        <f t="shared" si="0"/>
        <v>340</v>
      </c>
      <c r="H11" s="1"/>
    </row>
    <row r="12" spans="1:8" x14ac:dyDescent="0.25">
      <c r="A12" s="32"/>
      <c r="B12" s="1"/>
      <c r="C12" s="1"/>
      <c r="D12" s="1"/>
      <c r="E12" s="20"/>
      <c r="F12" s="20"/>
      <c r="G12" s="1"/>
      <c r="H12" s="1"/>
    </row>
    <row r="13" spans="1:8" x14ac:dyDescent="0.25">
      <c r="A13" s="32"/>
      <c r="B13" s="1"/>
      <c r="C13" s="1"/>
      <c r="D13" s="1"/>
      <c r="E13" s="20"/>
      <c r="F13" s="20"/>
      <c r="G13" s="1"/>
      <c r="H13" s="1"/>
    </row>
    <row r="14" spans="1:8" x14ac:dyDescent="0.25">
      <c r="A14" s="32"/>
      <c r="B14" s="33" t="s">
        <v>6</v>
      </c>
      <c r="C14" s="34"/>
      <c r="D14" s="35"/>
      <c r="E14" s="21"/>
      <c r="F14" s="21"/>
      <c r="G14" s="13">
        <f>SUM(G9:G13)</f>
        <v>1966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20" t="s">
        <v>190</v>
      </c>
      <c r="F15" s="20"/>
      <c r="G15" s="1" t="s">
        <v>4</v>
      </c>
      <c r="H15" s="1" t="s">
        <v>5</v>
      </c>
    </row>
    <row r="16" spans="1:8" x14ac:dyDescent="0.25">
      <c r="A16" s="32" t="s">
        <v>44</v>
      </c>
      <c r="B16" s="1" t="s">
        <v>94</v>
      </c>
      <c r="C16" s="1" t="s">
        <v>15</v>
      </c>
      <c r="D16" s="1">
        <v>25</v>
      </c>
      <c r="E16" s="20">
        <v>20</v>
      </c>
      <c r="F16" s="20" t="s">
        <v>191</v>
      </c>
      <c r="G16" s="1">
        <f>D16*E16</f>
        <v>500</v>
      </c>
      <c r="H16" s="1"/>
    </row>
    <row r="17" spans="1:8" x14ac:dyDescent="0.25">
      <c r="A17" s="32"/>
      <c r="B17" s="1" t="s">
        <v>95</v>
      </c>
      <c r="C17" s="1" t="s">
        <v>13</v>
      </c>
      <c r="D17" s="1">
        <v>38.4</v>
      </c>
      <c r="E17" s="20">
        <v>20</v>
      </c>
      <c r="F17" s="20" t="s">
        <v>191</v>
      </c>
      <c r="G17" s="20">
        <f>D17*E17</f>
        <v>768</v>
      </c>
      <c r="H17" s="1"/>
    </row>
    <row r="18" spans="1:8" x14ac:dyDescent="0.25">
      <c r="A18" s="32"/>
      <c r="B18" s="1"/>
      <c r="C18" s="1"/>
      <c r="D18" s="1"/>
      <c r="E18" s="20"/>
      <c r="F18" s="20"/>
      <c r="G18" s="1"/>
      <c r="H18" s="1"/>
    </row>
    <row r="19" spans="1:8" x14ac:dyDescent="0.25">
      <c r="A19" s="32"/>
      <c r="B19" s="1"/>
      <c r="C19" s="1"/>
      <c r="D19" s="1"/>
      <c r="E19" s="21"/>
      <c r="F19" s="21"/>
      <c r="G19" s="3"/>
      <c r="H19" s="1"/>
    </row>
    <row r="20" spans="1:8" x14ac:dyDescent="0.25">
      <c r="A20" s="32"/>
      <c r="B20" s="33" t="s">
        <v>6</v>
      </c>
      <c r="C20" s="34"/>
      <c r="D20" s="35"/>
      <c r="E20" s="21"/>
      <c r="F20" s="21"/>
      <c r="G20" s="13">
        <f>SUM(G16:G19)</f>
        <v>1268</v>
      </c>
      <c r="H20" s="1"/>
    </row>
    <row r="21" spans="1:8" x14ac:dyDescent="0.25">
      <c r="A21" s="5" t="s">
        <v>16</v>
      </c>
      <c r="B21" s="1" t="s">
        <v>1</v>
      </c>
      <c r="C21" s="1" t="s">
        <v>2</v>
      </c>
      <c r="D21" s="1" t="s">
        <v>3</v>
      </c>
      <c r="E21" s="20" t="s">
        <v>190</v>
      </c>
      <c r="F21" s="20"/>
      <c r="G21" s="1" t="s">
        <v>4</v>
      </c>
      <c r="H21" s="1" t="s">
        <v>5</v>
      </c>
    </row>
    <row r="22" spans="1:8" x14ac:dyDescent="0.25">
      <c r="A22" s="32"/>
      <c r="B22" s="1" t="s">
        <v>195</v>
      </c>
      <c r="C22" s="1"/>
      <c r="D22" s="1">
        <v>74.099999999999994</v>
      </c>
      <c r="E22" s="20">
        <v>0.5</v>
      </c>
      <c r="F22" s="20" t="s">
        <v>191</v>
      </c>
      <c r="G22" s="12">
        <f>D22*E22</f>
        <v>37.049999999999997</v>
      </c>
      <c r="H22" s="1"/>
    </row>
    <row r="23" spans="1:8" x14ac:dyDescent="0.25">
      <c r="A23" s="32"/>
      <c r="B23" s="1" t="s">
        <v>196</v>
      </c>
      <c r="C23" s="1"/>
      <c r="D23" s="1">
        <v>193.8</v>
      </c>
      <c r="E23" s="20">
        <v>0.5</v>
      </c>
      <c r="F23" s="20" t="s">
        <v>191</v>
      </c>
      <c r="G23" s="12">
        <f>D23*E23</f>
        <v>96.9</v>
      </c>
      <c r="H23" s="1"/>
    </row>
    <row r="24" spans="1:8" x14ac:dyDescent="0.25">
      <c r="A24" s="32"/>
      <c r="B24" s="1" t="s">
        <v>197</v>
      </c>
      <c r="C24" s="1"/>
      <c r="D24" s="1">
        <v>99</v>
      </c>
      <c r="E24" s="20">
        <v>4</v>
      </c>
      <c r="F24" s="20" t="s">
        <v>191</v>
      </c>
      <c r="G24" s="12">
        <f t="shared" ref="G24:G25" si="1">D24*E24</f>
        <v>396</v>
      </c>
      <c r="H24" s="1"/>
    </row>
    <row r="25" spans="1:8" x14ac:dyDescent="0.25">
      <c r="A25" s="32"/>
      <c r="B25" s="1" t="s">
        <v>201</v>
      </c>
      <c r="C25" s="1"/>
      <c r="D25" s="1">
        <v>1480</v>
      </c>
      <c r="E25" s="20">
        <v>1</v>
      </c>
      <c r="F25" s="20" t="s">
        <v>198</v>
      </c>
      <c r="G25" s="12">
        <f t="shared" si="1"/>
        <v>1480</v>
      </c>
      <c r="H25" s="1"/>
    </row>
    <row r="26" spans="1:8" x14ac:dyDescent="0.25">
      <c r="A26" s="32"/>
      <c r="B26" s="33" t="s">
        <v>6</v>
      </c>
      <c r="C26" s="34"/>
      <c r="D26" s="35"/>
      <c r="E26" s="21"/>
      <c r="F26" s="21"/>
      <c r="G26" s="14">
        <f>SUM(G22:G25)</f>
        <v>2009.95</v>
      </c>
      <c r="H26" s="1"/>
    </row>
    <row r="27" spans="1:8" x14ac:dyDescent="0.25">
      <c r="A27" s="1" t="s">
        <v>17</v>
      </c>
      <c r="B27" s="1" t="s">
        <v>1</v>
      </c>
      <c r="C27" s="1" t="s">
        <v>2</v>
      </c>
      <c r="D27" s="1" t="s">
        <v>3</v>
      </c>
      <c r="E27" s="20" t="s">
        <v>190</v>
      </c>
      <c r="F27" s="20"/>
      <c r="G27" s="1" t="s">
        <v>4</v>
      </c>
      <c r="H27" s="1" t="s">
        <v>5</v>
      </c>
    </row>
    <row r="28" spans="1:8" x14ac:dyDescent="0.25">
      <c r="A28" s="32" t="s">
        <v>45</v>
      </c>
      <c r="B28" s="1" t="s">
        <v>96</v>
      </c>
      <c r="C28" s="1" t="s">
        <v>57</v>
      </c>
      <c r="D28" s="1">
        <v>265</v>
      </c>
      <c r="E28" s="20">
        <v>0.5</v>
      </c>
      <c r="F28" s="20" t="s">
        <v>191</v>
      </c>
      <c r="G28" s="1">
        <f>D28*E28</f>
        <v>132.5</v>
      </c>
      <c r="H28" s="1"/>
    </row>
    <row r="29" spans="1:8" x14ac:dyDescent="0.25">
      <c r="A29" s="32"/>
      <c r="B29" s="1" t="s">
        <v>95</v>
      </c>
      <c r="C29" s="1"/>
      <c r="D29" s="1"/>
      <c r="E29" s="20"/>
      <c r="F29" s="20"/>
      <c r="G29" s="1"/>
      <c r="H29" s="1" t="s">
        <v>77</v>
      </c>
    </row>
    <row r="30" spans="1:8" x14ac:dyDescent="0.25">
      <c r="A30" s="32"/>
      <c r="B30" s="1"/>
      <c r="C30" s="1"/>
      <c r="D30" s="1"/>
      <c r="E30" s="20"/>
      <c r="F30" s="20"/>
      <c r="G30" s="1"/>
      <c r="H30" s="1"/>
    </row>
    <row r="31" spans="1:8" x14ac:dyDescent="0.25">
      <c r="A31" s="32"/>
      <c r="B31" s="33"/>
      <c r="C31" s="34"/>
      <c r="D31" s="35"/>
      <c r="E31" s="21"/>
      <c r="F31" s="21"/>
      <c r="G31" s="14">
        <f>SUM(G28:G30)</f>
        <v>132.5</v>
      </c>
      <c r="H31" s="1"/>
    </row>
    <row r="32" spans="1:8" x14ac:dyDescent="0.25">
      <c r="A32" s="1" t="s">
        <v>20</v>
      </c>
      <c r="B32" s="1" t="s">
        <v>1</v>
      </c>
      <c r="C32" s="1" t="s">
        <v>2</v>
      </c>
      <c r="D32" s="1" t="s">
        <v>3</v>
      </c>
      <c r="E32" s="21" t="s">
        <v>190</v>
      </c>
      <c r="F32" s="21"/>
      <c r="G32" s="3" t="s">
        <v>4</v>
      </c>
      <c r="H32" s="1" t="s">
        <v>5</v>
      </c>
    </row>
    <row r="33" spans="1:8" x14ac:dyDescent="0.25">
      <c r="A33" s="39"/>
      <c r="B33" s="1" t="s">
        <v>192</v>
      </c>
      <c r="C33" s="1"/>
      <c r="D33" s="1">
        <v>6.3</v>
      </c>
      <c r="E33" s="20">
        <v>65</v>
      </c>
      <c r="F33" s="20" t="s">
        <v>191</v>
      </c>
      <c r="G33" s="1">
        <f>D33*E33</f>
        <v>409.5</v>
      </c>
      <c r="H33" s="1"/>
    </row>
    <row r="34" spans="1:8" x14ac:dyDescent="0.25">
      <c r="A34" s="40"/>
      <c r="B34" s="1" t="s">
        <v>203</v>
      </c>
      <c r="C34" s="1"/>
      <c r="D34" s="1">
        <v>6</v>
      </c>
      <c r="E34" s="20">
        <v>310</v>
      </c>
      <c r="F34" s="20" t="s">
        <v>204</v>
      </c>
      <c r="G34" s="20">
        <f>D34*E34</f>
        <v>1860</v>
      </c>
      <c r="H34" s="1"/>
    </row>
    <row r="35" spans="1:8" x14ac:dyDescent="0.25">
      <c r="A35" s="41"/>
      <c r="B35" s="33" t="s">
        <v>6</v>
      </c>
      <c r="C35" s="34"/>
      <c r="D35" s="35"/>
      <c r="E35" s="21"/>
      <c r="F35" s="21"/>
      <c r="G35" s="13">
        <f>SUM(G33:G34)</f>
        <v>2269.5</v>
      </c>
      <c r="H35" s="6"/>
    </row>
    <row r="36" spans="1:8" x14ac:dyDescent="0.25">
      <c r="A36" s="7" t="s">
        <v>21</v>
      </c>
      <c r="B36" s="1" t="s">
        <v>1</v>
      </c>
      <c r="C36" s="1" t="s">
        <v>2</v>
      </c>
      <c r="D36" s="1" t="s">
        <v>3</v>
      </c>
      <c r="E36" s="20" t="s">
        <v>190</v>
      </c>
      <c r="F36" s="20"/>
      <c r="G36" s="1" t="s">
        <v>4</v>
      </c>
      <c r="H36" s="1"/>
    </row>
    <row r="37" spans="1:8" x14ac:dyDescent="0.25">
      <c r="A37" s="32"/>
      <c r="B37" s="1" t="s">
        <v>193</v>
      </c>
      <c r="C37" s="1"/>
      <c r="D37" s="1">
        <v>125</v>
      </c>
      <c r="E37" s="20">
        <v>12</v>
      </c>
      <c r="F37" s="20" t="s">
        <v>194</v>
      </c>
      <c r="G37" s="1">
        <f>D37*E37</f>
        <v>1500</v>
      </c>
      <c r="H37" s="1"/>
    </row>
    <row r="38" spans="1:8" x14ac:dyDescent="0.25">
      <c r="A38" s="32"/>
      <c r="B38" s="1" t="s">
        <v>199</v>
      </c>
      <c r="C38" s="1"/>
      <c r="D38" s="1">
        <v>168</v>
      </c>
      <c r="E38" s="20">
        <v>3</v>
      </c>
      <c r="F38" s="20" t="s">
        <v>191</v>
      </c>
      <c r="G38" s="20">
        <f t="shared" ref="G38:G39" si="2">D38*E38</f>
        <v>504</v>
      </c>
      <c r="H38" s="1"/>
    </row>
    <row r="39" spans="1:8" x14ac:dyDescent="0.25">
      <c r="A39" s="32"/>
      <c r="B39" s="1" t="s">
        <v>200</v>
      </c>
      <c r="C39" s="1"/>
      <c r="D39" s="1">
        <v>60</v>
      </c>
      <c r="E39" s="20">
        <v>1</v>
      </c>
      <c r="F39" s="20" t="s">
        <v>202</v>
      </c>
      <c r="G39" s="20">
        <f t="shared" si="2"/>
        <v>60</v>
      </c>
      <c r="H39" s="1"/>
    </row>
    <row r="40" spans="1:8" x14ac:dyDescent="0.25">
      <c r="A40" s="32"/>
      <c r="B40" s="1"/>
      <c r="C40" s="1"/>
      <c r="D40" s="1"/>
      <c r="E40" s="20"/>
      <c r="F40" s="20"/>
      <c r="G40" s="1"/>
      <c r="H40" s="1"/>
    </row>
    <row r="41" spans="1:8" x14ac:dyDescent="0.25">
      <c r="A41" s="32"/>
      <c r="B41" s="33" t="s">
        <v>6</v>
      </c>
      <c r="C41" s="34"/>
      <c r="D41" s="35"/>
      <c r="E41" s="21"/>
      <c r="F41" s="21"/>
      <c r="G41" s="13">
        <f>SUM(G37:G40)</f>
        <v>2064</v>
      </c>
      <c r="H41" s="1"/>
    </row>
    <row r="42" spans="1:8" x14ac:dyDescent="0.25">
      <c r="A42" s="1"/>
      <c r="B42" s="36" t="s">
        <v>22</v>
      </c>
      <c r="C42" s="37"/>
      <c r="D42" s="38"/>
      <c r="E42" s="22"/>
      <c r="F42" s="22"/>
      <c r="G42" s="15">
        <f>G41+G31+G35+G26+G20+G14+G7</f>
        <v>15109.95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workbookViewId="0">
      <selection activeCell="H54" sqref="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27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4" t="s">
        <v>205</v>
      </c>
      <c r="F2" s="24"/>
      <c r="G2" s="1" t="s">
        <v>4</v>
      </c>
      <c r="H2" s="1" t="s">
        <v>5</v>
      </c>
    </row>
    <row r="3" spans="1:8" x14ac:dyDescent="0.25">
      <c r="A3" s="32" t="s">
        <v>46</v>
      </c>
      <c r="B3" s="1" t="s">
        <v>81</v>
      </c>
      <c r="C3" s="1" t="s">
        <v>82</v>
      </c>
      <c r="D3" s="1">
        <v>66</v>
      </c>
      <c r="E3" s="24">
        <v>66.12</v>
      </c>
      <c r="F3" s="24" t="s">
        <v>207</v>
      </c>
      <c r="G3" s="12">
        <f>D3*E3</f>
        <v>4363.92</v>
      </c>
      <c r="H3" s="1"/>
    </row>
    <row r="4" spans="1:8" x14ac:dyDescent="0.25">
      <c r="A4" s="32"/>
      <c r="B4" s="1"/>
      <c r="C4" s="1"/>
      <c r="D4" s="1"/>
      <c r="E4" s="24"/>
      <c r="F4" s="24"/>
      <c r="G4" s="1"/>
      <c r="H4" s="1"/>
    </row>
    <row r="5" spans="1:8" x14ac:dyDescent="0.25">
      <c r="A5" s="32"/>
      <c r="B5" s="1"/>
      <c r="C5" s="1"/>
      <c r="D5" s="1"/>
      <c r="E5" s="24"/>
      <c r="F5" s="24"/>
      <c r="G5" s="1"/>
      <c r="H5" s="1"/>
    </row>
    <row r="6" spans="1:8" x14ac:dyDescent="0.25">
      <c r="A6" s="32"/>
      <c r="B6" s="1"/>
      <c r="C6" s="1"/>
      <c r="D6" s="1"/>
      <c r="E6" s="25"/>
      <c r="F6" s="25"/>
      <c r="G6" s="3"/>
      <c r="H6" s="1"/>
    </row>
    <row r="7" spans="1:8" x14ac:dyDescent="0.25">
      <c r="A7" s="32"/>
      <c r="B7" s="33" t="s">
        <v>6</v>
      </c>
      <c r="C7" s="34"/>
      <c r="D7" s="35"/>
      <c r="E7" s="25"/>
      <c r="F7" s="25"/>
      <c r="G7" s="14">
        <f>SUM(G3:G6)</f>
        <v>4363.92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4" t="s">
        <v>205</v>
      </c>
      <c r="F8" s="24"/>
      <c r="G8" s="1" t="s">
        <v>4</v>
      </c>
      <c r="H8" s="1" t="s">
        <v>5</v>
      </c>
    </row>
    <row r="9" spans="1:8" x14ac:dyDescent="0.25">
      <c r="A9" s="32" t="s">
        <v>47</v>
      </c>
      <c r="B9" s="1" t="s">
        <v>83</v>
      </c>
      <c r="C9" s="1" t="s">
        <v>86</v>
      </c>
      <c r="D9" s="1">
        <v>31.62</v>
      </c>
      <c r="E9" s="24">
        <v>60</v>
      </c>
      <c r="F9" s="24" t="s">
        <v>207</v>
      </c>
      <c r="G9" s="12">
        <f>D9*E9</f>
        <v>1897.2</v>
      </c>
      <c r="H9" s="1"/>
    </row>
    <row r="10" spans="1:8" x14ac:dyDescent="0.25">
      <c r="A10" s="32"/>
      <c r="B10" s="1" t="s">
        <v>84</v>
      </c>
      <c r="C10" s="1" t="s">
        <v>19</v>
      </c>
      <c r="D10" s="1">
        <v>99</v>
      </c>
      <c r="E10" s="24">
        <v>15</v>
      </c>
      <c r="F10" s="24" t="s">
        <v>207</v>
      </c>
      <c r="G10" s="24">
        <f t="shared" ref="G10:G11" si="0">D10*E10</f>
        <v>1485</v>
      </c>
      <c r="H10" s="1"/>
    </row>
    <row r="11" spans="1:8" x14ac:dyDescent="0.25">
      <c r="A11" s="32"/>
      <c r="B11" s="1" t="s">
        <v>85</v>
      </c>
      <c r="C11" s="1" t="s">
        <v>74</v>
      </c>
      <c r="D11" s="1">
        <v>16.2</v>
      </c>
      <c r="E11" s="24">
        <v>2</v>
      </c>
      <c r="F11" s="24" t="s">
        <v>207</v>
      </c>
      <c r="G11" s="12">
        <f t="shared" si="0"/>
        <v>32.4</v>
      </c>
      <c r="H11" s="1"/>
    </row>
    <row r="12" spans="1:8" x14ac:dyDescent="0.25">
      <c r="A12" s="32"/>
      <c r="B12" s="1"/>
      <c r="C12" s="1"/>
      <c r="D12" s="1"/>
      <c r="E12" s="24"/>
      <c r="F12" s="24"/>
      <c r="G12" s="1"/>
      <c r="H12" s="1"/>
    </row>
    <row r="13" spans="1:8" x14ac:dyDescent="0.25">
      <c r="A13" s="32"/>
      <c r="B13" s="1"/>
      <c r="C13" s="1"/>
      <c r="D13" s="1"/>
      <c r="E13" s="24"/>
      <c r="F13" s="24"/>
      <c r="G13" s="1"/>
      <c r="H13" s="1"/>
    </row>
    <row r="14" spans="1:8" x14ac:dyDescent="0.25">
      <c r="A14" s="32"/>
      <c r="B14" s="33" t="s">
        <v>6</v>
      </c>
      <c r="C14" s="34"/>
      <c r="D14" s="35"/>
      <c r="E14" s="25"/>
      <c r="F14" s="25"/>
      <c r="G14" s="14">
        <f>SUM(G9:G13)</f>
        <v>3414.6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24" t="s">
        <v>205</v>
      </c>
      <c r="F15" s="24"/>
      <c r="G15" s="1" t="s">
        <v>4</v>
      </c>
      <c r="H15" s="1" t="s">
        <v>5</v>
      </c>
    </row>
    <row r="16" spans="1:8" x14ac:dyDescent="0.25">
      <c r="A16" s="32" t="s">
        <v>48</v>
      </c>
      <c r="B16" s="1" t="s">
        <v>78</v>
      </c>
      <c r="C16" s="1" t="s">
        <v>80</v>
      </c>
      <c r="D16" s="1">
        <v>54</v>
      </c>
      <c r="E16" s="24">
        <v>25</v>
      </c>
      <c r="F16" s="24" t="s">
        <v>207</v>
      </c>
      <c r="G16" s="1">
        <f>D16*E16</f>
        <v>1350</v>
      </c>
      <c r="H16" s="1"/>
    </row>
    <row r="17" spans="1:8" x14ac:dyDescent="0.25">
      <c r="A17" s="32"/>
      <c r="B17" s="1" t="s">
        <v>79</v>
      </c>
      <c r="C17" s="1" t="s">
        <v>15</v>
      </c>
      <c r="D17" s="1">
        <v>105</v>
      </c>
      <c r="E17" s="24">
        <v>20</v>
      </c>
      <c r="F17" s="24" t="s">
        <v>207</v>
      </c>
      <c r="G17" s="24">
        <f t="shared" ref="G17:G18" si="1">D17*E17</f>
        <v>2100</v>
      </c>
      <c r="H17" s="1"/>
    </row>
    <row r="18" spans="1:8" x14ac:dyDescent="0.25">
      <c r="A18" s="32"/>
      <c r="B18" s="1" t="s">
        <v>9</v>
      </c>
      <c r="C18" s="1" t="s">
        <v>10</v>
      </c>
      <c r="D18" s="1">
        <v>30.6</v>
      </c>
      <c r="E18" s="24">
        <v>6</v>
      </c>
      <c r="F18" s="24" t="s">
        <v>207</v>
      </c>
      <c r="G18" s="12">
        <f t="shared" si="1"/>
        <v>183.60000000000002</v>
      </c>
      <c r="H18" s="1"/>
    </row>
    <row r="19" spans="1:8" x14ac:dyDescent="0.25">
      <c r="A19" s="32"/>
      <c r="B19" s="1"/>
      <c r="C19" s="1"/>
      <c r="D19" s="1"/>
      <c r="E19" s="25"/>
      <c r="F19" s="25"/>
      <c r="G19" s="3"/>
      <c r="H19" s="1"/>
    </row>
    <row r="20" spans="1:8" x14ac:dyDescent="0.25">
      <c r="A20" s="32"/>
      <c r="B20" s="33" t="s">
        <v>6</v>
      </c>
      <c r="C20" s="34"/>
      <c r="D20" s="35"/>
      <c r="E20" s="25"/>
      <c r="F20" s="25"/>
      <c r="G20" s="13">
        <f>SUM(G16:G19)</f>
        <v>3633.6</v>
      </c>
      <c r="H20" s="1"/>
    </row>
    <row r="21" spans="1:8" x14ac:dyDescent="0.25">
      <c r="A21" s="5" t="s">
        <v>16</v>
      </c>
      <c r="B21" s="1" t="s">
        <v>1</v>
      </c>
      <c r="C21" s="1" t="s">
        <v>2</v>
      </c>
      <c r="D21" s="1" t="s">
        <v>3</v>
      </c>
      <c r="E21" s="24" t="s">
        <v>205</v>
      </c>
      <c r="F21" s="24"/>
      <c r="G21" s="1" t="s">
        <v>4</v>
      </c>
      <c r="H21" s="1" t="s">
        <v>5</v>
      </c>
    </row>
    <row r="22" spans="1:8" x14ac:dyDescent="0.25">
      <c r="A22" s="32"/>
      <c r="B22" s="1" t="s">
        <v>214</v>
      </c>
      <c r="C22" s="1"/>
      <c r="D22" s="1">
        <v>37</v>
      </c>
      <c r="E22" s="24">
        <v>20</v>
      </c>
      <c r="F22" s="24" t="s">
        <v>215</v>
      </c>
      <c r="G22" s="1">
        <f>D22*E22</f>
        <v>740</v>
      </c>
      <c r="H22" s="1"/>
    </row>
    <row r="23" spans="1:8" x14ac:dyDescent="0.25">
      <c r="A23" s="32"/>
      <c r="B23" s="1" t="s">
        <v>216</v>
      </c>
      <c r="C23" s="1"/>
      <c r="D23" s="1">
        <v>181</v>
      </c>
      <c r="E23" s="24">
        <v>1</v>
      </c>
      <c r="F23" s="24" t="s">
        <v>217</v>
      </c>
      <c r="G23" s="24">
        <f t="shared" ref="G23:G36" si="2">D23*E23</f>
        <v>181</v>
      </c>
      <c r="H23" s="1"/>
    </row>
    <row r="24" spans="1:8" x14ac:dyDescent="0.25">
      <c r="A24" s="32"/>
      <c r="B24" s="1" t="s">
        <v>218</v>
      </c>
      <c r="C24" s="1"/>
      <c r="D24" s="1">
        <v>219</v>
      </c>
      <c r="E24" s="24">
        <v>2</v>
      </c>
      <c r="F24" s="24" t="s">
        <v>217</v>
      </c>
      <c r="G24" s="24">
        <f t="shared" si="2"/>
        <v>438</v>
      </c>
      <c r="H24" s="1"/>
    </row>
    <row r="25" spans="1:8" x14ac:dyDescent="0.25">
      <c r="A25" s="32"/>
      <c r="B25" s="1" t="s">
        <v>219</v>
      </c>
      <c r="C25" s="1"/>
      <c r="D25" s="1">
        <v>613</v>
      </c>
      <c r="E25" s="24">
        <v>1</v>
      </c>
      <c r="F25" s="24" t="s">
        <v>217</v>
      </c>
      <c r="G25" s="24">
        <f t="shared" si="2"/>
        <v>613</v>
      </c>
      <c r="H25" s="1"/>
    </row>
    <row r="26" spans="1:8" x14ac:dyDescent="0.25">
      <c r="A26" s="32"/>
      <c r="B26" s="24" t="s">
        <v>220</v>
      </c>
      <c r="C26" s="24"/>
      <c r="D26" s="24">
        <v>173.4</v>
      </c>
      <c r="E26" s="24">
        <v>3</v>
      </c>
      <c r="F26" s="25" t="s">
        <v>207</v>
      </c>
      <c r="G26" s="25">
        <f t="shared" si="2"/>
        <v>520.20000000000005</v>
      </c>
      <c r="H26" s="24"/>
    </row>
    <row r="27" spans="1:8" x14ac:dyDescent="0.25">
      <c r="A27" s="32"/>
      <c r="B27" s="24" t="s">
        <v>221</v>
      </c>
      <c r="C27" s="24"/>
      <c r="D27" s="24">
        <v>67.5</v>
      </c>
      <c r="E27" s="24">
        <v>3</v>
      </c>
      <c r="F27" s="25" t="s">
        <v>207</v>
      </c>
      <c r="G27" s="30">
        <f t="shared" si="2"/>
        <v>202.5</v>
      </c>
      <c r="H27" s="24"/>
    </row>
    <row r="28" spans="1:8" x14ac:dyDescent="0.25">
      <c r="A28" s="32"/>
      <c r="B28" s="24" t="s">
        <v>222</v>
      </c>
      <c r="C28" s="24"/>
      <c r="D28" s="24">
        <v>1250</v>
      </c>
      <c r="E28" s="24">
        <v>1</v>
      </c>
      <c r="F28" s="24" t="s">
        <v>223</v>
      </c>
      <c r="G28" s="25">
        <f t="shared" si="2"/>
        <v>1250</v>
      </c>
      <c r="H28" s="24"/>
    </row>
    <row r="29" spans="1:8" x14ac:dyDescent="0.25">
      <c r="A29" s="32"/>
      <c r="B29" s="24" t="s">
        <v>224</v>
      </c>
      <c r="C29" s="24"/>
      <c r="D29" s="24">
        <v>4.5</v>
      </c>
      <c r="E29" s="24">
        <v>50</v>
      </c>
      <c r="F29" s="24" t="s">
        <v>212</v>
      </c>
      <c r="G29" s="25">
        <f t="shared" si="2"/>
        <v>225</v>
      </c>
      <c r="H29" s="24"/>
    </row>
    <row r="30" spans="1:8" x14ac:dyDescent="0.25">
      <c r="A30" s="32"/>
      <c r="B30" s="24" t="s">
        <v>225</v>
      </c>
      <c r="C30" s="24"/>
      <c r="D30" s="24">
        <v>240</v>
      </c>
      <c r="E30" s="24">
        <v>1</v>
      </c>
      <c r="F30" s="24" t="s">
        <v>223</v>
      </c>
      <c r="G30" s="25">
        <f t="shared" si="2"/>
        <v>240</v>
      </c>
      <c r="H30" s="24"/>
    </row>
    <row r="31" spans="1:8" x14ac:dyDescent="0.25">
      <c r="A31" s="32"/>
      <c r="B31" s="24" t="s">
        <v>226</v>
      </c>
      <c r="C31" s="24"/>
      <c r="D31" s="24">
        <v>138</v>
      </c>
      <c r="E31" s="24">
        <v>1</v>
      </c>
      <c r="F31" s="24" t="s">
        <v>227</v>
      </c>
      <c r="G31" s="25">
        <f t="shared" si="2"/>
        <v>138</v>
      </c>
      <c r="H31" s="24"/>
    </row>
    <row r="32" spans="1:8" x14ac:dyDescent="0.25">
      <c r="A32" s="32"/>
      <c r="B32" s="24" t="s">
        <v>228</v>
      </c>
      <c r="C32" s="24"/>
      <c r="D32" s="24">
        <v>325</v>
      </c>
      <c r="E32" s="24">
        <v>1</v>
      </c>
      <c r="F32" s="24" t="s">
        <v>227</v>
      </c>
      <c r="G32" s="25">
        <f t="shared" si="2"/>
        <v>325</v>
      </c>
      <c r="H32" s="24"/>
    </row>
    <row r="33" spans="1:8" x14ac:dyDescent="0.25">
      <c r="A33" s="32"/>
      <c r="B33" s="24" t="s">
        <v>229</v>
      </c>
      <c r="C33" s="24"/>
      <c r="D33" s="24">
        <v>235</v>
      </c>
      <c r="E33" s="24">
        <v>2</v>
      </c>
      <c r="F33" s="24" t="s">
        <v>230</v>
      </c>
      <c r="G33" s="25">
        <f t="shared" si="2"/>
        <v>470</v>
      </c>
      <c r="H33" s="24"/>
    </row>
    <row r="34" spans="1:8" x14ac:dyDescent="0.25">
      <c r="A34" s="32"/>
      <c r="B34" s="24" t="s">
        <v>231</v>
      </c>
      <c r="C34" s="24"/>
      <c r="D34" s="24">
        <v>262.8</v>
      </c>
      <c r="E34" s="25">
        <v>1</v>
      </c>
      <c r="F34" s="25" t="s">
        <v>232</v>
      </c>
      <c r="G34" s="30">
        <f t="shared" si="2"/>
        <v>262.8</v>
      </c>
      <c r="H34" s="24"/>
    </row>
    <row r="35" spans="1:8" x14ac:dyDescent="0.25">
      <c r="A35" s="32"/>
      <c r="B35" s="24" t="s">
        <v>233</v>
      </c>
      <c r="C35" s="24"/>
      <c r="D35" s="24">
        <v>480</v>
      </c>
      <c r="E35" s="25">
        <v>1</v>
      </c>
      <c r="F35" s="25" t="s">
        <v>217</v>
      </c>
      <c r="G35" s="25">
        <f t="shared" si="2"/>
        <v>480</v>
      </c>
      <c r="H35" s="24"/>
    </row>
    <row r="36" spans="1:8" x14ac:dyDescent="0.25">
      <c r="A36" s="32"/>
      <c r="B36" s="24" t="s">
        <v>234</v>
      </c>
      <c r="C36" s="24"/>
      <c r="D36" s="24">
        <v>200</v>
      </c>
      <c r="E36" s="25">
        <v>1</v>
      </c>
      <c r="F36" s="25" t="s">
        <v>232</v>
      </c>
      <c r="G36" s="25">
        <f t="shared" si="2"/>
        <v>200</v>
      </c>
      <c r="H36" s="24"/>
    </row>
    <row r="37" spans="1:8" x14ac:dyDescent="0.25">
      <c r="A37" s="32"/>
      <c r="B37" s="33" t="s">
        <v>6</v>
      </c>
      <c r="C37" s="34"/>
      <c r="D37" s="35"/>
      <c r="E37" s="25"/>
      <c r="F37" s="25"/>
      <c r="G37" s="14">
        <f>SUM(G22:G36)</f>
        <v>6285.5</v>
      </c>
      <c r="H37" s="1"/>
    </row>
    <row r="38" spans="1:8" x14ac:dyDescent="0.25">
      <c r="A38" s="1" t="s">
        <v>17</v>
      </c>
      <c r="B38" s="1" t="s">
        <v>1</v>
      </c>
      <c r="C38" s="1" t="s">
        <v>2</v>
      </c>
      <c r="D38" s="1" t="s">
        <v>3</v>
      </c>
      <c r="E38" s="24" t="s">
        <v>205</v>
      </c>
      <c r="F38" s="24"/>
      <c r="G38" s="1" t="s">
        <v>4</v>
      </c>
      <c r="H38" s="1" t="s">
        <v>5</v>
      </c>
    </row>
    <row r="39" spans="1:8" x14ac:dyDescent="0.25">
      <c r="A39" s="32" t="s">
        <v>49</v>
      </c>
      <c r="B39" s="1" t="s">
        <v>76</v>
      </c>
      <c r="C39" s="1"/>
      <c r="D39" s="1"/>
      <c r="E39" s="24"/>
      <c r="F39" s="24"/>
      <c r="G39" s="1"/>
      <c r="H39" s="1" t="s">
        <v>77</v>
      </c>
    </row>
    <row r="40" spans="1:8" x14ac:dyDescent="0.25">
      <c r="A40" s="32"/>
      <c r="B40" s="1"/>
      <c r="C40" s="1"/>
      <c r="D40" s="1"/>
      <c r="E40" s="24"/>
      <c r="F40" s="24"/>
      <c r="G40" s="1"/>
      <c r="H40" s="1"/>
    </row>
    <row r="41" spans="1:8" x14ac:dyDescent="0.25">
      <c r="A41" s="32"/>
      <c r="B41" s="1"/>
      <c r="C41" s="1"/>
      <c r="D41" s="1"/>
      <c r="E41" s="24"/>
      <c r="F41" s="24"/>
      <c r="G41" s="1"/>
      <c r="H41" s="1"/>
    </row>
    <row r="42" spans="1:8" x14ac:dyDescent="0.25">
      <c r="A42" s="32"/>
      <c r="B42" s="33"/>
      <c r="C42" s="34"/>
      <c r="D42" s="35"/>
      <c r="E42" s="25"/>
      <c r="F42" s="25"/>
      <c r="G42" s="3"/>
      <c r="H42" s="1"/>
    </row>
    <row r="43" spans="1:8" x14ac:dyDescent="0.25">
      <c r="A43" s="1" t="s">
        <v>20</v>
      </c>
      <c r="B43" s="1" t="s">
        <v>1</v>
      </c>
      <c r="C43" s="1" t="s">
        <v>2</v>
      </c>
      <c r="D43" s="1" t="s">
        <v>3</v>
      </c>
      <c r="E43" s="25" t="s">
        <v>205</v>
      </c>
      <c r="F43" s="25"/>
      <c r="G43" s="3" t="s">
        <v>4</v>
      </c>
      <c r="H43" s="1" t="s">
        <v>5</v>
      </c>
    </row>
    <row r="44" spans="1:8" x14ac:dyDescent="0.25">
      <c r="A44" s="39"/>
      <c r="B44" s="1" t="s">
        <v>206</v>
      </c>
      <c r="C44" s="1"/>
      <c r="D44" s="1">
        <v>44.16</v>
      </c>
      <c r="E44" s="24">
        <v>72.84</v>
      </c>
      <c r="F44" s="24" t="s">
        <v>207</v>
      </c>
      <c r="G44" s="12">
        <f>D44*E44</f>
        <v>3216.6143999999999</v>
      </c>
      <c r="H44" s="1"/>
    </row>
    <row r="45" spans="1:8" x14ac:dyDescent="0.25">
      <c r="A45" s="40"/>
      <c r="B45" s="1" t="s">
        <v>208</v>
      </c>
      <c r="C45" s="1"/>
      <c r="D45" s="1">
        <v>11.22</v>
      </c>
      <c r="E45" s="24">
        <v>65</v>
      </c>
      <c r="F45" s="24" t="s">
        <v>207</v>
      </c>
      <c r="G45" s="12">
        <f>D45*E45</f>
        <v>729.30000000000007</v>
      </c>
      <c r="H45" s="1"/>
    </row>
    <row r="46" spans="1:8" x14ac:dyDescent="0.25">
      <c r="A46" s="41"/>
      <c r="B46" s="33" t="s">
        <v>6</v>
      </c>
      <c r="C46" s="34"/>
      <c r="D46" s="35"/>
      <c r="E46" s="25"/>
      <c r="F46" s="25"/>
      <c r="G46" s="14">
        <f>SUM(G44:G45)</f>
        <v>3945.9144000000001</v>
      </c>
      <c r="H46" s="6"/>
    </row>
    <row r="47" spans="1:8" x14ac:dyDescent="0.25">
      <c r="A47" s="7" t="s">
        <v>21</v>
      </c>
      <c r="B47" s="1" t="s">
        <v>1</v>
      </c>
      <c r="C47" s="1" t="s">
        <v>2</v>
      </c>
      <c r="D47" s="1" t="s">
        <v>3</v>
      </c>
      <c r="E47" s="24" t="s">
        <v>205</v>
      </c>
      <c r="F47" s="24"/>
      <c r="G47" s="1" t="s">
        <v>4</v>
      </c>
      <c r="H47" s="1"/>
    </row>
    <row r="48" spans="1:8" x14ac:dyDescent="0.25">
      <c r="A48" s="32"/>
      <c r="B48" s="1" t="s">
        <v>209</v>
      </c>
      <c r="C48" s="1"/>
      <c r="D48" s="1">
        <v>19.8</v>
      </c>
      <c r="E48" s="24">
        <v>8</v>
      </c>
      <c r="F48" s="24" t="s">
        <v>207</v>
      </c>
      <c r="G48" s="12">
        <f>D48*E48</f>
        <v>158.4</v>
      </c>
      <c r="H48" s="1"/>
    </row>
    <row r="49" spans="1:8" x14ac:dyDescent="0.25">
      <c r="A49" s="32"/>
      <c r="B49" s="1" t="s">
        <v>210</v>
      </c>
      <c r="C49" s="1"/>
      <c r="D49" s="1">
        <v>45</v>
      </c>
      <c r="E49" s="24">
        <v>1</v>
      </c>
      <c r="F49" s="24" t="s">
        <v>207</v>
      </c>
      <c r="G49" s="12">
        <f t="shared" ref="G49:G52" si="3">D49*E49</f>
        <v>45</v>
      </c>
      <c r="H49" s="1"/>
    </row>
    <row r="50" spans="1:8" x14ac:dyDescent="0.25">
      <c r="A50" s="32"/>
      <c r="B50" s="24" t="s">
        <v>235</v>
      </c>
      <c r="C50" s="24"/>
      <c r="D50" s="24">
        <v>16.2</v>
      </c>
      <c r="E50" s="24">
        <v>1</v>
      </c>
      <c r="F50" s="24" t="s">
        <v>207</v>
      </c>
      <c r="G50" s="12">
        <f t="shared" si="3"/>
        <v>16.2</v>
      </c>
      <c r="H50" s="24"/>
    </row>
    <row r="51" spans="1:8" x14ac:dyDescent="0.25">
      <c r="A51" s="32"/>
      <c r="B51" s="1" t="s">
        <v>211</v>
      </c>
      <c r="C51" s="1"/>
      <c r="D51" s="1">
        <v>12</v>
      </c>
      <c r="E51" s="24">
        <v>10</v>
      </c>
      <c r="F51" s="24" t="s">
        <v>212</v>
      </c>
      <c r="G51" s="12">
        <f t="shared" si="3"/>
        <v>120</v>
      </c>
      <c r="H51" s="1"/>
    </row>
    <row r="52" spans="1:8" x14ac:dyDescent="0.25">
      <c r="A52" s="32"/>
      <c r="B52" s="1" t="s">
        <v>213</v>
      </c>
      <c r="C52" s="1"/>
      <c r="D52" s="1">
        <v>93</v>
      </c>
      <c r="E52" s="24">
        <v>3</v>
      </c>
      <c r="F52" s="24" t="s">
        <v>207</v>
      </c>
      <c r="G52" s="12">
        <f t="shared" si="3"/>
        <v>279</v>
      </c>
      <c r="H52" s="1"/>
    </row>
    <row r="53" spans="1:8" x14ac:dyDescent="0.25">
      <c r="A53" s="32"/>
      <c r="B53" s="33" t="s">
        <v>6</v>
      </c>
      <c r="C53" s="34"/>
      <c r="D53" s="35"/>
      <c r="E53" s="25"/>
      <c r="F53" s="25"/>
      <c r="G53" s="13">
        <f>SUM(G48:G52)</f>
        <v>618.6</v>
      </c>
      <c r="H53" s="1"/>
    </row>
    <row r="54" spans="1:8" x14ac:dyDescent="0.25">
      <c r="A54" s="1"/>
      <c r="B54" s="36" t="s">
        <v>22</v>
      </c>
      <c r="C54" s="37"/>
      <c r="D54" s="38"/>
      <c r="E54" s="26"/>
      <c r="F54" s="26"/>
      <c r="G54" s="15">
        <f>G53+G46+G37+G20+G14+G7</f>
        <v>22262.134400000003</v>
      </c>
      <c r="H5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8:A53"/>
    <mergeCell ref="B53:D53"/>
    <mergeCell ref="B54:D54"/>
    <mergeCell ref="A22:A37"/>
    <mergeCell ref="B37:D37"/>
    <mergeCell ref="A39:A42"/>
    <mergeCell ref="B42:D42"/>
    <mergeCell ref="A44:A46"/>
    <mergeCell ref="B46:D46"/>
  </mergeCells>
  <phoneticPr fontId="2" type="noConversion"/>
  <pageMargins left="0.7" right="0.7" top="0.75" bottom="0.75" header="0.3" footer="0.3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abSelected="1" topLeftCell="A35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28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7" t="s">
        <v>237</v>
      </c>
      <c r="F2" s="27"/>
      <c r="G2" s="1" t="s">
        <v>4</v>
      </c>
      <c r="H2" s="1" t="s">
        <v>5</v>
      </c>
    </row>
    <row r="3" spans="1:8" x14ac:dyDescent="0.25">
      <c r="A3" s="32" t="s">
        <v>50</v>
      </c>
      <c r="B3" s="1" t="s">
        <v>59</v>
      </c>
      <c r="C3" s="1" t="s">
        <v>61</v>
      </c>
      <c r="D3" s="1">
        <v>87</v>
      </c>
      <c r="E3" s="27">
        <v>65</v>
      </c>
      <c r="F3" s="27" t="s">
        <v>236</v>
      </c>
      <c r="G3" s="1">
        <f>D3*E3</f>
        <v>5655</v>
      </c>
      <c r="H3" s="1"/>
    </row>
    <row r="4" spans="1:8" x14ac:dyDescent="0.25">
      <c r="A4" s="32"/>
      <c r="B4" s="1" t="s">
        <v>60</v>
      </c>
      <c r="C4" s="1" t="s">
        <v>62</v>
      </c>
      <c r="D4" s="1">
        <v>9.9</v>
      </c>
      <c r="E4" s="27">
        <v>8.34</v>
      </c>
      <c r="F4" s="27" t="s">
        <v>236</v>
      </c>
      <c r="G4" s="12">
        <f>D4*E4</f>
        <v>82.566000000000003</v>
      </c>
      <c r="H4" s="1"/>
    </row>
    <row r="5" spans="1:8" x14ac:dyDescent="0.25">
      <c r="A5" s="32"/>
      <c r="B5" s="1"/>
      <c r="C5" s="1"/>
      <c r="D5" s="1"/>
      <c r="E5" s="27"/>
      <c r="F5" s="27"/>
      <c r="G5" s="1"/>
      <c r="H5" s="1"/>
    </row>
    <row r="6" spans="1:8" x14ac:dyDescent="0.25">
      <c r="A6" s="32"/>
      <c r="B6" s="1"/>
      <c r="C6" s="1"/>
      <c r="D6" s="1"/>
      <c r="E6" s="28"/>
      <c r="F6" s="28"/>
      <c r="G6" s="3"/>
      <c r="H6" s="1"/>
    </row>
    <row r="7" spans="1:8" x14ac:dyDescent="0.25">
      <c r="A7" s="32"/>
      <c r="B7" s="33" t="s">
        <v>6</v>
      </c>
      <c r="C7" s="34"/>
      <c r="D7" s="35"/>
      <c r="E7" s="28"/>
      <c r="F7" s="28"/>
      <c r="G7" s="14">
        <f>SUM(G3:G6)</f>
        <v>5737.5659999999998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7" t="s">
        <v>237</v>
      </c>
      <c r="F8" s="27"/>
      <c r="G8" s="1" t="s">
        <v>4</v>
      </c>
      <c r="H8" s="1" t="s">
        <v>5</v>
      </c>
    </row>
    <row r="9" spans="1:8" x14ac:dyDescent="0.25">
      <c r="A9" s="32" t="s">
        <v>51</v>
      </c>
      <c r="B9" s="1" t="s">
        <v>63</v>
      </c>
      <c r="C9" s="1" t="s">
        <v>65</v>
      </c>
      <c r="D9" s="1">
        <v>150</v>
      </c>
      <c r="E9" s="27">
        <v>6</v>
      </c>
      <c r="F9" s="27" t="s">
        <v>238</v>
      </c>
      <c r="G9" s="1">
        <f>D9*E9</f>
        <v>900</v>
      </c>
      <c r="H9" s="1"/>
    </row>
    <row r="10" spans="1:8" x14ac:dyDescent="0.25">
      <c r="A10" s="32"/>
      <c r="B10" s="1" t="s">
        <v>64</v>
      </c>
      <c r="C10" s="1" t="s">
        <v>58</v>
      </c>
      <c r="D10" s="1">
        <v>193.8</v>
      </c>
      <c r="E10" s="27">
        <v>1</v>
      </c>
      <c r="F10" s="27" t="s">
        <v>236</v>
      </c>
      <c r="G10" s="27">
        <f>D10*E10</f>
        <v>193.8</v>
      </c>
      <c r="H10" s="1"/>
    </row>
    <row r="11" spans="1:8" x14ac:dyDescent="0.25">
      <c r="A11" s="32"/>
      <c r="B11" s="1"/>
      <c r="C11" s="1"/>
      <c r="D11" s="1"/>
      <c r="E11" s="27"/>
      <c r="F11" s="27"/>
      <c r="G11" s="1"/>
      <c r="H11" s="1"/>
    </row>
    <row r="12" spans="1:8" x14ac:dyDescent="0.25">
      <c r="A12" s="32"/>
      <c r="B12" s="1"/>
      <c r="C12" s="1"/>
      <c r="D12" s="1"/>
      <c r="E12" s="27"/>
      <c r="F12" s="27"/>
      <c r="G12" s="1"/>
      <c r="H12" s="1"/>
    </row>
    <row r="13" spans="1:8" x14ac:dyDescent="0.25">
      <c r="A13" s="32"/>
      <c r="B13" s="1"/>
      <c r="C13" s="1"/>
      <c r="D13" s="1"/>
      <c r="E13" s="27"/>
      <c r="F13" s="27"/>
      <c r="G13" s="1"/>
      <c r="H13" s="1"/>
    </row>
    <row r="14" spans="1:8" x14ac:dyDescent="0.25">
      <c r="A14" s="32"/>
      <c r="B14" s="33" t="s">
        <v>6</v>
      </c>
      <c r="C14" s="34"/>
      <c r="D14" s="35"/>
      <c r="E14" s="28"/>
      <c r="F14" s="28"/>
      <c r="G14" s="14">
        <f>SUM(G9:G13)</f>
        <v>1093.8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27" t="s">
        <v>237</v>
      </c>
      <c r="F15" s="27"/>
      <c r="G15" s="1" t="s">
        <v>4</v>
      </c>
      <c r="H15" s="1" t="s">
        <v>5</v>
      </c>
    </row>
    <row r="16" spans="1:8" x14ac:dyDescent="0.25">
      <c r="A16" s="32" t="s">
        <v>52</v>
      </c>
      <c r="B16" s="1" t="s">
        <v>66</v>
      </c>
      <c r="C16" s="1" t="s">
        <v>73</v>
      </c>
      <c r="D16" s="1">
        <v>18.36</v>
      </c>
      <c r="E16" s="27">
        <v>50</v>
      </c>
      <c r="F16" s="27" t="s">
        <v>236</v>
      </c>
      <c r="G16" s="1">
        <f t="shared" ref="G16:G21" si="0">D16*E16</f>
        <v>918</v>
      </c>
      <c r="H16" s="1"/>
    </row>
    <row r="17" spans="1:8" x14ac:dyDescent="0.25">
      <c r="A17" s="32"/>
      <c r="B17" s="1" t="s">
        <v>68</v>
      </c>
      <c r="C17" s="1" t="s">
        <v>74</v>
      </c>
      <c r="D17" s="1">
        <v>20.52</v>
      </c>
      <c r="E17" s="27">
        <v>2</v>
      </c>
      <c r="F17" s="27" t="s">
        <v>236</v>
      </c>
      <c r="G17" s="27">
        <f t="shared" si="0"/>
        <v>41.04</v>
      </c>
      <c r="H17" s="1"/>
    </row>
    <row r="18" spans="1:8" x14ac:dyDescent="0.25">
      <c r="A18" s="32"/>
      <c r="B18" s="1" t="s">
        <v>55</v>
      </c>
      <c r="C18" s="1" t="s">
        <v>75</v>
      </c>
      <c r="D18" s="1">
        <v>99</v>
      </c>
      <c r="E18" s="27">
        <v>10</v>
      </c>
      <c r="F18" s="27" t="s">
        <v>236</v>
      </c>
      <c r="G18" s="27">
        <f t="shared" si="0"/>
        <v>990</v>
      </c>
      <c r="H18" s="1"/>
    </row>
    <row r="19" spans="1:8" x14ac:dyDescent="0.25">
      <c r="A19" s="32"/>
      <c r="B19" s="1" t="s">
        <v>69</v>
      </c>
      <c r="C19" s="1" t="s">
        <v>57</v>
      </c>
      <c r="D19" s="1">
        <v>660</v>
      </c>
      <c r="E19" s="27">
        <v>0.5</v>
      </c>
      <c r="F19" s="27" t="s">
        <v>236</v>
      </c>
      <c r="G19" s="27">
        <f t="shared" si="0"/>
        <v>330</v>
      </c>
      <c r="H19" s="1"/>
    </row>
    <row r="20" spans="1:8" x14ac:dyDescent="0.25">
      <c r="A20" s="32"/>
      <c r="B20" s="1" t="s">
        <v>70</v>
      </c>
      <c r="C20" s="1" t="s">
        <v>57</v>
      </c>
      <c r="D20" s="1">
        <v>309</v>
      </c>
      <c r="E20" s="27">
        <v>0.5</v>
      </c>
      <c r="F20" s="27" t="s">
        <v>236</v>
      </c>
      <c r="G20" s="27">
        <f t="shared" si="0"/>
        <v>154.5</v>
      </c>
      <c r="H20" s="1"/>
    </row>
    <row r="21" spans="1:8" x14ac:dyDescent="0.25">
      <c r="A21" s="32"/>
      <c r="B21" s="1" t="s">
        <v>71</v>
      </c>
      <c r="C21" s="1" t="s">
        <v>72</v>
      </c>
      <c r="D21" s="1">
        <v>150</v>
      </c>
      <c r="E21" s="28">
        <v>5</v>
      </c>
      <c r="F21" s="27" t="s">
        <v>236</v>
      </c>
      <c r="G21" s="27">
        <f t="shared" si="0"/>
        <v>750</v>
      </c>
      <c r="H21" s="1"/>
    </row>
    <row r="22" spans="1:8" x14ac:dyDescent="0.25">
      <c r="A22" s="32"/>
      <c r="B22" s="31"/>
      <c r="C22" s="31"/>
      <c r="D22" s="31"/>
      <c r="E22" s="31"/>
      <c r="F22" s="31"/>
      <c r="G22" s="31"/>
      <c r="H22" s="1"/>
    </row>
    <row r="23" spans="1:8" x14ac:dyDescent="0.25">
      <c r="A23" s="32"/>
      <c r="B23" s="33" t="s">
        <v>6</v>
      </c>
      <c r="C23" s="34"/>
      <c r="D23" s="35"/>
      <c r="E23" s="28"/>
      <c r="F23" s="28"/>
      <c r="G23" s="14">
        <f>SUM(G16:G21)</f>
        <v>3183.54</v>
      </c>
      <c r="H23" s="1"/>
    </row>
    <row r="24" spans="1:8" x14ac:dyDescent="0.25">
      <c r="A24" s="5" t="s">
        <v>16</v>
      </c>
      <c r="B24" s="1" t="s">
        <v>1</v>
      </c>
      <c r="C24" s="1" t="s">
        <v>2</v>
      </c>
      <c r="D24" s="1" t="s">
        <v>3</v>
      </c>
      <c r="E24" s="27" t="s">
        <v>237</v>
      </c>
      <c r="F24" s="27"/>
      <c r="G24" s="1" t="s">
        <v>4</v>
      </c>
      <c r="H24" s="1" t="s">
        <v>5</v>
      </c>
    </row>
    <row r="25" spans="1:8" x14ac:dyDescent="0.25">
      <c r="A25" s="32"/>
      <c r="B25" s="1"/>
      <c r="C25" s="1"/>
      <c r="D25" s="1"/>
      <c r="E25" s="27"/>
      <c r="F25" s="27"/>
      <c r="G25" s="1"/>
      <c r="H25" s="1"/>
    </row>
    <row r="26" spans="1:8" x14ac:dyDescent="0.25">
      <c r="A26" s="32"/>
      <c r="B26" s="1"/>
      <c r="C26" s="1"/>
      <c r="D26" s="1"/>
      <c r="E26" s="27"/>
      <c r="F26" s="27"/>
      <c r="G26" s="1"/>
      <c r="H26" s="1"/>
    </row>
    <row r="27" spans="1:8" x14ac:dyDescent="0.25">
      <c r="A27" s="32"/>
      <c r="B27" s="1"/>
      <c r="C27" s="1"/>
      <c r="D27" s="1"/>
      <c r="E27" s="27"/>
      <c r="F27" s="27"/>
      <c r="G27" s="1"/>
      <c r="H27" s="1"/>
    </row>
    <row r="28" spans="1:8" x14ac:dyDescent="0.25">
      <c r="A28" s="32"/>
      <c r="B28" s="1"/>
      <c r="C28" s="1"/>
      <c r="D28" s="1"/>
      <c r="E28" s="27"/>
      <c r="F28" s="27"/>
      <c r="G28" s="1"/>
      <c r="H28" s="1"/>
    </row>
    <row r="29" spans="1:8" x14ac:dyDescent="0.25">
      <c r="A29" s="32"/>
      <c r="B29" s="33" t="s">
        <v>6</v>
      </c>
      <c r="C29" s="34"/>
      <c r="D29" s="35"/>
      <c r="E29" s="28"/>
      <c r="F29" s="28"/>
      <c r="G29" s="3"/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27" t="s">
        <v>237</v>
      </c>
      <c r="F30" s="27"/>
      <c r="G30" s="1" t="s">
        <v>4</v>
      </c>
      <c r="H30" s="1" t="s">
        <v>5</v>
      </c>
    </row>
    <row r="31" spans="1:8" x14ac:dyDescent="0.25">
      <c r="A31" s="32" t="s">
        <v>53</v>
      </c>
      <c r="B31" s="1" t="s">
        <v>54</v>
      </c>
      <c r="C31" s="1" t="s">
        <v>58</v>
      </c>
      <c r="D31" s="1">
        <v>637.79999999999995</v>
      </c>
      <c r="E31" s="27">
        <v>1</v>
      </c>
      <c r="F31" s="27" t="s">
        <v>236</v>
      </c>
      <c r="G31" s="1">
        <f>D31*E31</f>
        <v>637.79999999999995</v>
      </c>
      <c r="H31" s="1"/>
    </row>
    <row r="32" spans="1:8" x14ac:dyDescent="0.25">
      <c r="A32" s="32"/>
      <c r="B32" s="1" t="s">
        <v>55</v>
      </c>
      <c r="C32" s="1" t="s">
        <v>19</v>
      </c>
      <c r="D32" s="1">
        <v>99</v>
      </c>
      <c r="E32" s="27">
        <v>15</v>
      </c>
      <c r="F32" s="27" t="s">
        <v>236</v>
      </c>
      <c r="G32" s="27">
        <f t="shared" ref="G32:G33" si="1">D32*E32</f>
        <v>1485</v>
      </c>
      <c r="H32" s="1"/>
    </row>
    <row r="33" spans="1:8" x14ac:dyDescent="0.25">
      <c r="A33" s="32"/>
      <c r="B33" s="1" t="s">
        <v>56</v>
      </c>
      <c r="C33" s="1" t="s">
        <v>57</v>
      </c>
      <c r="D33" s="1">
        <v>74.099999999999994</v>
      </c>
      <c r="E33" s="27">
        <v>0.5</v>
      </c>
      <c r="F33" s="27" t="s">
        <v>236</v>
      </c>
      <c r="G33" s="27">
        <f t="shared" si="1"/>
        <v>37.049999999999997</v>
      </c>
      <c r="H33" s="1"/>
    </row>
    <row r="34" spans="1:8" x14ac:dyDescent="0.25">
      <c r="A34" s="32"/>
      <c r="B34" s="33"/>
      <c r="C34" s="34"/>
      <c r="D34" s="35"/>
      <c r="E34" s="28"/>
      <c r="F34" s="28"/>
      <c r="G34" s="14">
        <f>SUM(G31:G33)</f>
        <v>2159.8500000000004</v>
      </c>
      <c r="H34" s="1"/>
    </row>
    <row r="35" spans="1:8" x14ac:dyDescent="0.25">
      <c r="A35" s="1" t="s">
        <v>20</v>
      </c>
      <c r="B35" s="1" t="s">
        <v>1</v>
      </c>
      <c r="C35" s="1" t="s">
        <v>2</v>
      </c>
      <c r="D35" s="1" t="s">
        <v>3</v>
      </c>
      <c r="E35" s="28" t="s">
        <v>237</v>
      </c>
      <c r="F35" s="28"/>
      <c r="G35" s="3" t="s">
        <v>4</v>
      </c>
      <c r="H35" s="1" t="s">
        <v>5</v>
      </c>
    </row>
    <row r="36" spans="1:8" x14ac:dyDescent="0.25">
      <c r="A36" s="39"/>
      <c r="B36" s="1" t="s">
        <v>239</v>
      </c>
      <c r="C36" s="1"/>
      <c r="D36" s="1">
        <v>22.5</v>
      </c>
      <c r="E36" s="27">
        <v>65</v>
      </c>
      <c r="F36" s="27" t="s">
        <v>236</v>
      </c>
      <c r="G36" s="12">
        <f>D36*E36</f>
        <v>1462.5</v>
      </c>
      <c r="H36" s="1"/>
    </row>
    <row r="37" spans="1:8" x14ac:dyDescent="0.25">
      <c r="A37" s="40"/>
      <c r="B37" s="1" t="s">
        <v>245</v>
      </c>
      <c r="C37" s="1"/>
      <c r="D37" s="1">
        <v>41.28</v>
      </c>
      <c r="E37" s="23">
        <v>80</v>
      </c>
      <c r="F37" s="23" t="s">
        <v>236</v>
      </c>
      <c r="G37" s="12">
        <f>D37*E37</f>
        <v>3302.4</v>
      </c>
      <c r="H37" s="1"/>
    </row>
    <row r="38" spans="1:8" x14ac:dyDescent="0.25">
      <c r="A38" s="41"/>
      <c r="B38" s="33" t="s">
        <v>6</v>
      </c>
      <c r="C38" s="34"/>
      <c r="D38" s="35"/>
      <c r="E38" s="28"/>
      <c r="F38" s="28"/>
      <c r="G38" s="14">
        <f>SUM(G36:G37)</f>
        <v>4764.8999999999996</v>
      </c>
      <c r="H38" s="6"/>
    </row>
    <row r="39" spans="1:8" x14ac:dyDescent="0.25">
      <c r="A39" s="7" t="s">
        <v>21</v>
      </c>
      <c r="B39" s="1" t="s">
        <v>1</v>
      </c>
      <c r="C39" s="1" t="s">
        <v>2</v>
      </c>
      <c r="D39" s="1" t="s">
        <v>3</v>
      </c>
      <c r="E39" s="27" t="s">
        <v>237</v>
      </c>
      <c r="F39" s="27"/>
      <c r="G39" s="1" t="s">
        <v>4</v>
      </c>
      <c r="H39" s="1"/>
    </row>
    <row r="40" spans="1:8" x14ac:dyDescent="0.25">
      <c r="A40" s="32"/>
      <c r="B40" s="1" t="s">
        <v>240</v>
      </c>
      <c r="C40" s="1"/>
      <c r="D40" s="1">
        <v>10</v>
      </c>
      <c r="E40" s="27">
        <v>25</v>
      </c>
      <c r="F40" s="27" t="s">
        <v>242</v>
      </c>
      <c r="G40" s="1">
        <f>E40*D40</f>
        <v>250</v>
      </c>
      <c r="H40" s="1"/>
    </row>
    <row r="41" spans="1:8" x14ac:dyDescent="0.25">
      <c r="A41" s="32"/>
      <c r="B41" s="1" t="s">
        <v>241</v>
      </c>
      <c r="C41" s="1"/>
      <c r="D41" s="1">
        <v>69</v>
      </c>
      <c r="E41" s="27">
        <v>2</v>
      </c>
      <c r="F41" s="27" t="s">
        <v>236</v>
      </c>
      <c r="G41" s="27">
        <f>E41*D41</f>
        <v>138</v>
      </c>
      <c r="H41" s="1"/>
    </row>
    <row r="42" spans="1:8" x14ac:dyDescent="0.25">
      <c r="A42" s="32"/>
      <c r="B42" s="1" t="s">
        <v>243</v>
      </c>
      <c r="C42" s="1"/>
      <c r="D42" s="1">
        <v>60</v>
      </c>
      <c r="E42" s="27">
        <v>1</v>
      </c>
      <c r="F42" s="27" t="s">
        <v>244</v>
      </c>
      <c r="G42" s="27">
        <f>E42*D42</f>
        <v>60</v>
      </c>
      <c r="H42" s="1"/>
    </row>
    <row r="43" spans="1:8" x14ac:dyDescent="0.25">
      <c r="A43" s="32"/>
      <c r="B43" s="1"/>
      <c r="C43" s="1"/>
      <c r="D43" s="1"/>
      <c r="E43" s="27"/>
      <c r="F43" s="27"/>
      <c r="G43" s="1"/>
      <c r="H43" s="1"/>
    </row>
    <row r="44" spans="1:8" x14ac:dyDescent="0.25">
      <c r="A44" s="32"/>
      <c r="B44" s="33" t="s">
        <v>6</v>
      </c>
      <c r="C44" s="34"/>
      <c r="D44" s="35"/>
      <c r="E44" s="28"/>
      <c r="F44" s="28"/>
      <c r="G44" s="13">
        <f>SUM(G40:G43)</f>
        <v>448</v>
      </c>
      <c r="H44" s="1"/>
    </row>
    <row r="45" spans="1:8" x14ac:dyDescent="0.25">
      <c r="A45" s="1"/>
      <c r="B45" s="36" t="s">
        <v>22</v>
      </c>
      <c r="C45" s="37"/>
      <c r="D45" s="38"/>
      <c r="E45" s="29"/>
      <c r="F45" s="29"/>
      <c r="G45" s="15">
        <f>G44+G38+G34+G23+G14+G7</f>
        <v>17387.655999999999</v>
      </c>
      <c r="H45" s="1"/>
    </row>
  </sheetData>
  <mergeCells count="16">
    <mergeCell ref="A16:A23"/>
    <mergeCell ref="B23:D23"/>
    <mergeCell ref="A1:H1"/>
    <mergeCell ref="A3:A7"/>
    <mergeCell ref="B7:D7"/>
    <mergeCell ref="A9:A14"/>
    <mergeCell ref="B14:D14"/>
    <mergeCell ref="A40:A44"/>
    <mergeCell ref="B44:D44"/>
    <mergeCell ref="B45:D45"/>
    <mergeCell ref="A25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6</vt:i4>
      </vt:variant>
    </vt:vector>
  </HeadingPairs>
  <TitlesOfParts>
    <vt:vector size="12" baseType="lpstr">
      <vt:lpstr>0203</vt:lpstr>
      <vt:lpstr>0204</vt:lpstr>
      <vt:lpstr>0205</vt:lpstr>
      <vt:lpstr>0206</vt:lpstr>
      <vt:lpstr>0207</vt:lpstr>
      <vt:lpstr>0208</vt:lpstr>
      <vt:lpstr>'0203'!Print_Area</vt:lpstr>
      <vt:lpstr>'0204'!Print_Area</vt:lpstr>
      <vt:lpstr>'0205'!Print_Area</vt:lpstr>
      <vt:lpstr>'0206'!Print_Area</vt:lpstr>
      <vt:lpstr>'0207'!Print_Area</vt:lpstr>
      <vt:lpstr>'0208'!Print_Area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2025-02-10T04:08:13Z</cp:lastPrinted>
  <dcterms:created xsi:type="dcterms:W3CDTF">2025-01-16T14:05:30Z</dcterms:created>
  <dcterms:modified xsi:type="dcterms:W3CDTF">2025-02-10T04:08:14Z</dcterms:modified>
</cp:coreProperties>
</file>