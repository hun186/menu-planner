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2月份\"/>
    </mc:Choice>
  </mc:AlternateContent>
  <bookViews>
    <workbookView xWindow="0" yWindow="0" windowWidth="28800" windowHeight="12255" activeTab="4"/>
  </bookViews>
  <sheets>
    <sheet name="0210" sheetId="1" r:id="rId1"/>
    <sheet name="0211" sheetId="2" r:id="rId2"/>
    <sheet name="0212" sheetId="3" r:id="rId3"/>
    <sheet name="0213" sheetId="4" r:id="rId4"/>
    <sheet name="0214" sheetId="5" r:id="rId5"/>
  </sheets>
  <definedNames>
    <definedName name="_xlnm.Print_Area" localSheetId="0">'0210'!$A$1:$H$47</definedName>
    <definedName name="_xlnm.Print_Area" localSheetId="1">'0211'!$A$1:$H$51</definedName>
    <definedName name="_xlnm.Print_Area" localSheetId="2">'0212'!$A$1:$H$47</definedName>
    <definedName name="_xlnm.Print_Area" localSheetId="3">'0213'!$A$1:$H$42</definedName>
    <definedName name="_xlnm.Print_Area" localSheetId="4">'0214'!$A$1:$H$51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5" l="1"/>
  <c r="G33" i="5"/>
  <c r="G31" i="5"/>
  <c r="G30" i="5"/>
  <c r="G29" i="5"/>
  <c r="G28" i="5"/>
  <c r="G45" i="5"/>
  <c r="G46" i="5"/>
  <c r="G47" i="5"/>
  <c r="G48" i="5"/>
  <c r="G44" i="5"/>
  <c r="G50" i="5"/>
  <c r="G42" i="5"/>
  <c r="G23" i="5"/>
  <c r="G24" i="5"/>
  <c r="G25" i="5"/>
  <c r="G26" i="5"/>
  <c r="G27" i="5"/>
  <c r="G22" i="5"/>
  <c r="G40" i="5"/>
  <c r="G7" i="5"/>
  <c r="G3" i="5"/>
  <c r="G20" i="5"/>
  <c r="G17" i="5"/>
  <c r="G18" i="5"/>
  <c r="G16" i="5"/>
  <c r="G10" i="5"/>
  <c r="G11" i="5"/>
  <c r="G12" i="5"/>
  <c r="G9" i="5"/>
  <c r="G14" i="5" s="1"/>
  <c r="G51" i="5" l="1"/>
  <c r="G42" i="4"/>
  <c r="G35" i="4"/>
  <c r="G34" i="4"/>
  <c r="G33" i="4"/>
  <c r="G41" i="4"/>
  <c r="G38" i="4"/>
  <c r="G37" i="4"/>
  <c r="G31" i="4"/>
  <c r="G28" i="4"/>
  <c r="G20" i="4"/>
  <c r="G17" i="4"/>
  <c r="G18" i="4"/>
  <c r="G19" i="4"/>
  <c r="G16" i="4"/>
  <c r="G14" i="4"/>
  <c r="G10" i="4"/>
  <c r="G11" i="4"/>
  <c r="G9" i="4"/>
  <c r="G7" i="4"/>
  <c r="G3" i="4"/>
  <c r="G51" i="2" l="1"/>
  <c r="G8" i="2"/>
  <c r="G4" i="2"/>
  <c r="G5" i="2"/>
  <c r="G6" i="2"/>
  <c r="G7" i="2"/>
  <c r="G3" i="2"/>
  <c r="G34" i="2"/>
  <c r="G35" i="2"/>
  <c r="G33" i="2"/>
  <c r="G50" i="2"/>
  <c r="G47" i="2"/>
  <c r="G48" i="2"/>
  <c r="G46" i="2"/>
  <c r="G31" i="2"/>
  <c r="G24" i="2"/>
  <c r="G25" i="2"/>
  <c r="G26" i="2"/>
  <c r="G27" i="2"/>
  <c r="G28" i="2"/>
  <c r="G29" i="2"/>
  <c r="G30" i="2"/>
  <c r="G32" i="2"/>
  <c r="G23" i="2"/>
  <c r="G44" i="2"/>
  <c r="G43" i="2"/>
  <c r="G18" i="2"/>
  <c r="G19" i="2"/>
  <c r="G21" i="2"/>
  <c r="G17" i="2"/>
  <c r="G12" i="2"/>
  <c r="G11" i="2"/>
  <c r="G10" i="2"/>
  <c r="G15" i="2" s="1"/>
  <c r="G42" i="2"/>
  <c r="G31" i="1" l="1"/>
  <c r="G30" i="1"/>
  <c r="G43" i="1"/>
  <c r="G46" i="1" s="1"/>
  <c r="G44" i="1"/>
  <c r="G45" i="1"/>
  <c r="G40" i="1"/>
  <c r="G42" i="1"/>
  <c r="G17" i="1"/>
  <c r="G18" i="1"/>
  <c r="G19" i="1"/>
  <c r="G20" i="1"/>
  <c r="G16" i="1"/>
  <c r="G21" i="1" s="1"/>
  <c r="G29" i="1"/>
  <c r="G14" i="1"/>
  <c r="G10" i="1"/>
  <c r="G11" i="1"/>
  <c r="G12" i="1"/>
  <c r="G13" i="1"/>
  <c r="G9" i="1"/>
  <c r="G7" i="1"/>
  <c r="G3" i="1"/>
  <c r="G38" i="1"/>
  <c r="G28" i="1"/>
  <c r="G27" i="1"/>
  <c r="G26" i="1"/>
  <c r="G25" i="1"/>
  <c r="G24" i="1"/>
  <c r="G23" i="1"/>
  <c r="G7" i="3" l="1"/>
  <c r="G47" i="3" s="1"/>
  <c r="G4" i="3"/>
  <c r="G3" i="3"/>
  <c r="G21" i="3"/>
  <c r="G18" i="3"/>
  <c r="G19" i="3"/>
  <c r="G17" i="3"/>
  <c r="G40" i="3"/>
  <c r="G38" i="3"/>
  <c r="G28" i="3" l="1"/>
  <c r="G27" i="3"/>
  <c r="G26" i="3"/>
  <c r="G25" i="3"/>
  <c r="G24" i="3"/>
  <c r="G23" i="3"/>
  <c r="G15" i="3" l="1"/>
  <c r="G10" i="3"/>
  <c r="G11" i="3"/>
  <c r="G12" i="3"/>
  <c r="G13" i="3"/>
  <c r="G14" i="3"/>
  <c r="G9" i="3"/>
  <c r="G46" i="3"/>
  <c r="G43" i="3"/>
  <c r="G44" i="3"/>
  <c r="G42" i="3"/>
  <c r="G36" i="3"/>
  <c r="G30" i="3"/>
  <c r="G31" i="3"/>
  <c r="G32" i="3"/>
  <c r="G33" i="3"/>
  <c r="G34" i="3"/>
  <c r="G35" i="3"/>
  <c r="G47" i="1"/>
</calcChain>
</file>

<file path=xl/sharedStrings.xml><?xml version="1.0" encoding="utf-8"?>
<sst xmlns="http://schemas.openxmlformats.org/spreadsheetml/2006/main" count="593" uniqueCount="215">
  <si>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</si>
  <si>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</si>
  <si>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</si>
  <si>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</si>
  <si>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</si>
  <si>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</si>
  <si>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</si>
  <si>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</si>
  <si>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川耳</t>
    <phoneticPr fontId="2" type="noConversion"/>
  </si>
  <si>
    <t>4斤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</si>
  <si>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</si>
  <si>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20斤</t>
    <phoneticPr fontId="2" type="noConversion"/>
  </si>
  <si>
    <t>蛋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</si>
  <si>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</si>
  <si>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</si>
  <si>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</si>
  <si>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</si>
  <si>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</si>
  <si>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</si>
  <si>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114年      2月   10日     午餐明細表</t>
    <phoneticPr fontId="2" type="noConversion"/>
  </si>
  <si>
    <t>電訊科技中心(安康營區)     114年      2月   11日      午餐明細表</t>
    <phoneticPr fontId="2" type="noConversion"/>
  </si>
  <si>
    <t>電訊科技中心(安康營區)     114年      2月  14日      午餐明細表</t>
    <phoneticPr fontId="2" type="noConversion"/>
  </si>
  <si>
    <t>電訊科技中心(安康營區)     114年      2月   13日      午餐明細表</t>
    <phoneticPr fontId="2" type="noConversion"/>
  </si>
  <si>
    <t>電訊科技中心(安康營區)     114年      2月   12日      午餐明細表</t>
    <phoneticPr fontId="2" type="noConversion"/>
  </si>
  <si>
    <t>蔥油雞</t>
    <phoneticPr fontId="2" type="noConversion"/>
  </si>
  <si>
    <t>木耳炒肉絲</t>
    <phoneticPr fontId="2" type="noConversion"/>
  </si>
  <si>
    <t>宮保豆腐</t>
    <phoneticPr fontId="2" type="noConversion"/>
  </si>
  <si>
    <t>紫菜蛋花湯</t>
    <phoneticPr fontId="2" type="noConversion"/>
  </si>
  <si>
    <t>紫菜</t>
    <phoneticPr fontId="2" type="noConversion"/>
  </si>
  <si>
    <t>腿排</t>
    <phoneticPr fontId="2" type="noConversion"/>
  </si>
  <si>
    <t>250個</t>
    <phoneticPr fontId="2" type="noConversion"/>
  </si>
  <si>
    <t>木耳絲</t>
    <phoneticPr fontId="2" type="noConversion"/>
  </si>
  <si>
    <t>豬肉絲</t>
    <phoneticPr fontId="2" type="noConversion"/>
  </si>
  <si>
    <t>紅蘿蔔絲</t>
    <phoneticPr fontId="2" type="noConversion"/>
  </si>
  <si>
    <t>去皮洋蔥</t>
    <phoneticPr fontId="2" type="noConversion"/>
  </si>
  <si>
    <t>薑絲</t>
    <phoneticPr fontId="2" type="noConversion"/>
  </si>
  <si>
    <t>薑</t>
    <phoneticPr fontId="2" type="noConversion"/>
  </si>
  <si>
    <t>油豆腐丁</t>
    <phoneticPr fontId="2" type="noConversion"/>
  </si>
  <si>
    <t>紅蘿蔔</t>
    <phoneticPr fontId="2" type="noConversion"/>
  </si>
  <si>
    <t>杏鮑菇</t>
    <phoneticPr fontId="2" type="noConversion"/>
  </si>
  <si>
    <t>1斤</t>
    <phoneticPr fontId="2" type="noConversion"/>
  </si>
  <si>
    <t>25斤</t>
    <phoneticPr fontId="2" type="noConversion"/>
  </si>
  <si>
    <t>8斤</t>
    <phoneticPr fontId="2" type="noConversion"/>
  </si>
  <si>
    <t>2斤</t>
    <phoneticPr fontId="2" type="noConversion"/>
  </si>
  <si>
    <t>15斤</t>
    <phoneticPr fontId="2" type="noConversion"/>
  </si>
  <si>
    <t>3斤</t>
    <phoneticPr fontId="2" type="noConversion"/>
  </si>
  <si>
    <t>10斤</t>
    <phoneticPr fontId="2" type="noConversion"/>
  </si>
  <si>
    <t>蒜泥白肉</t>
    <phoneticPr fontId="2" type="noConversion"/>
  </si>
  <si>
    <t>米血燴甜條</t>
    <phoneticPr fontId="2" type="noConversion"/>
  </si>
  <si>
    <t>青椒菇菇</t>
    <phoneticPr fontId="2" type="noConversion"/>
  </si>
  <si>
    <t>阿在伯水餃(乾)</t>
    <phoneticPr fontId="2" type="noConversion"/>
  </si>
  <si>
    <t>酸辣湯</t>
    <phoneticPr fontId="2" type="noConversion"/>
  </si>
  <si>
    <t>盒裝豆腐</t>
    <phoneticPr fontId="2" type="noConversion"/>
  </si>
  <si>
    <t>鴨血</t>
    <phoneticPr fontId="2" type="noConversion"/>
  </si>
  <si>
    <t>筍絲</t>
    <phoneticPr fontId="2" type="noConversion"/>
  </si>
  <si>
    <t>胡椒粉</t>
    <phoneticPr fontId="2" type="noConversion"/>
  </si>
  <si>
    <t>1盒</t>
    <phoneticPr fontId="2" type="noConversion"/>
  </si>
  <si>
    <t>10個</t>
    <phoneticPr fontId="2" type="noConversion"/>
  </si>
  <si>
    <t>10盒</t>
    <phoneticPr fontId="2" type="noConversion"/>
  </si>
  <si>
    <t>香菇蒸肉</t>
    <phoneticPr fontId="2" type="noConversion"/>
  </si>
  <si>
    <t>涼拌干絲</t>
    <phoneticPr fontId="2" type="noConversion"/>
  </si>
  <si>
    <t>滷雞腿</t>
    <phoneticPr fontId="2" type="noConversion"/>
  </si>
  <si>
    <t>棒腿</t>
    <phoneticPr fontId="2" type="noConversion"/>
  </si>
  <si>
    <t>蒼蠅頭</t>
    <phoneticPr fontId="2" type="noConversion"/>
  </si>
  <si>
    <t>大黃瓜炒魚丸</t>
    <phoneticPr fontId="2" type="noConversion"/>
  </si>
  <si>
    <t>味增豆腐湯</t>
    <phoneticPr fontId="2" type="noConversion"/>
  </si>
  <si>
    <t>4.3豆腐</t>
    <phoneticPr fontId="2" type="noConversion"/>
  </si>
  <si>
    <t>3板</t>
    <phoneticPr fontId="2" type="noConversion"/>
  </si>
  <si>
    <t>味增</t>
    <phoneticPr fontId="2" type="noConversion"/>
  </si>
  <si>
    <t>酥炸排骨</t>
    <phoneticPr fontId="2" type="noConversion"/>
  </si>
  <si>
    <t>台式咖哩</t>
    <phoneticPr fontId="2" type="noConversion"/>
  </si>
  <si>
    <t>芽菜炒肉絲</t>
    <phoneticPr fontId="2" type="noConversion"/>
  </si>
  <si>
    <t>綠豆湯</t>
    <phoneticPr fontId="2" type="noConversion"/>
  </si>
  <si>
    <t>綠豆</t>
    <phoneticPr fontId="2" type="noConversion"/>
  </si>
  <si>
    <t>蒜泥</t>
    <phoneticPr fontId="2" type="noConversion"/>
  </si>
  <si>
    <t>薑泥</t>
    <phoneticPr fontId="2" type="noConversion"/>
  </si>
  <si>
    <t>薑絲</t>
    <phoneticPr fontId="2" type="noConversion"/>
  </si>
  <si>
    <t>豬肉片</t>
    <phoneticPr fontId="2" type="noConversion"/>
  </si>
  <si>
    <t>五花肉片</t>
    <phoneticPr fontId="2" type="noConversion"/>
  </si>
  <si>
    <t>1斤</t>
    <phoneticPr fontId="2" type="noConversion"/>
  </si>
  <si>
    <t>20斤</t>
    <phoneticPr fontId="2" type="noConversion"/>
  </si>
  <si>
    <t>25斤</t>
    <phoneticPr fontId="2" type="noConversion"/>
  </si>
  <si>
    <t>米血丁</t>
    <phoneticPr fontId="2" type="noConversion"/>
  </si>
  <si>
    <t>甜不辣條</t>
    <phoneticPr fontId="2" type="noConversion"/>
  </si>
  <si>
    <t>去皮洋蔥</t>
    <phoneticPr fontId="2" type="noConversion"/>
  </si>
  <si>
    <t>15斤</t>
    <phoneticPr fontId="2" type="noConversion"/>
  </si>
  <si>
    <t>10斤</t>
    <phoneticPr fontId="2" type="noConversion"/>
  </si>
  <si>
    <t>青椒切絲</t>
    <phoneticPr fontId="2" type="noConversion"/>
  </si>
  <si>
    <t>雪白菇</t>
    <phoneticPr fontId="2" type="noConversion"/>
  </si>
  <si>
    <t>3包</t>
    <phoneticPr fontId="2" type="noConversion"/>
  </si>
  <si>
    <t>絞肉</t>
    <phoneticPr fontId="2" type="noConversion"/>
  </si>
  <si>
    <t>生香菇</t>
    <phoneticPr fontId="2" type="noConversion"/>
  </si>
  <si>
    <t>35斤</t>
    <phoneticPr fontId="2" type="noConversion"/>
  </si>
  <si>
    <t>8斤</t>
    <phoneticPr fontId="2" type="noConversion"/>
  </si>
  <si>
    <t>海帶絲</t>
    <phoneticPr fontId="2" type="noConversion"/>
  </si>
  <si>
    <t>白干絲</t>
    <phoneticPr fontId="2" type="noConversion"/>
  </si>
  <si>
    <t>紅蘿蔔</t>
    <phoneticPr fontId="2" type="noConversion"/>
  </si>
  <si>
    <t>去葉芹菜</t>
    <phoneticPr fontId="2" type="noConversion"/>
  </si>
  <si>
    <t>2斤</t>
    <phoneticPr fontId="2" type="noConversion"/>
  </si>
  <si>
    <t>5斤</t>
    <phoneticPr fontId="2" type="noConversion"/>
  </si>
  <si>
    <t>260支</t>
    <phoneticPr fontId="2" type="noConversion"/>
  </si>
  <si>
    <t>韭菜</t>
    <phoneticPr fontId="2" type="noConversion"/>
  </si>
  <si>
    <t>皮蛋</t>
    <phoneticPr fontId="2" type="noConversion"/>
  </si>
  <si>
    <t>40斤</t>
    <phoneticPr fontId="2" type="noConversion"/>
  </si>
  <si>
    <t>80顆</t>
    <phoneticPr fontId="2" type="noConversion"/>
  </si>
  <si>
    <t>去皮大黃瓜</t>
    <phoneticPr fontId="2" type="noConversion"/>
  </si>
  <si>
    <t>鱈魚丸</t>
    <phoneticPr fontId="2" type="noConversion"/>
  </si>
  <si>
    <t>50斤</t>
    <phoneticPr fontId="2" type="noConversion"/>
  </si>
  <si>
    <t>里肌肉排</t>
    <phoneticPr fontId="2" type="noConversion"/>
  </si>
  <si>
    <t>240片</t>
    <phoneticPr fontId="2" type="noConversion"/>
  </si>
  <si>
    <t>去皮馬鈴薯</t>
    <phoneticPr fontId="2" type="noConversion"/>
  </si>
  <si>
    <t>咖哩塊(大)</t>
    <phoneticPr fontId="2" type="noConversion"/>
  </si>
  <si>
    <t>豆芽菜</t>
    <phoneticPr fontId="2" type="noConversion"/>
  </si>
  <si>
    <t>豬肉絲</t>
    <phoneticPr fontId="2" type="noConversion"/>
  </si>
  <si>
    <t>木耳絲</t>
    <phoneticPr fontId="2" type="noConversion"/>
  </si>
  <si>
    <t>2盒</t>
    <phoneticPr fontId="2" type="noConversion"/>
  </si>
  <si>
    <t>30斤</t>
    <phoneticPr fontId="2" type="noConversion"/>
  </si>
  <si>
    <t>4斤</t>
    <phoneticPr fontId="2" type="noConversion"/>
  </si>
  <si>
    <t>訂貨數量</t>
    <phoneticPr fontId="2" type="noConversion"/>
  </si>
  <si>
    <t>香椿水餃</t>
    <phoneticPr fontId="2" type="noConversion"/>
  </si>
  <si>
    <t>包</t>
    <phoneticPr fontId="2" type="noConversion"/>
  </si>
  <si>
    <t>盒</t>
    <phoneticPr fontId="2" type="noConversion"/>
  </si>
  <si>
    <t>五穀米</t>
    <phoneticPr fontId="2" type="noConversion"/>
  </si>
  <si>
    <t>斤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</si>
  <si>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</si>
  <si>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</si>
  <si>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</si>
  <si>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水餃</t>
    <phoneticPr fontId="2" type="noConversion"/>
  </si>
  <si>
    <t>個</t>
    <phoneticPr fontId="2" type="noConversion"/>
  </si>
  <si>
    <t>素蹄膀</t>
    <phoneticPr fontId="2" type="noConversion"/>
  </si>
  <si>
    <t>三節翅</t>
    <phoneticPr fontId="2" type="noConversion"/>
  </si>
  <si>
    <t>高麗菜</t>
    <phoneticPr fontId="2" type="noConversion"/>
  </si>
  <si>
    <t>吐司</t>
    <phoneticPr fontId="2" type="noConversion"/>
  </si>
  <si>
    <t>條</t>
    <phoneticPr fontId="2" type="noConversion"/>
  </si>
  <si>
    <t>黑胡椒醬</t>
    <phoneticPr fontId="2" type="noConversion"/>
  </si>
  <si>
    <t>前腿肉絲</t>
    <phoneticPr fontId="2" type="noConversion"/>
  </si>
  <si>
    <t>高麗菜</t>
    <phoneticPr fontId="2" type="noConversion"/>
  </si>
  <si>
    <t>斤</t>
    <phoneticPr fontId="2" type="noConversion"/>
  </si>
  <si>
    <t>蒜仁</t>
  </si>
  <si>
    <t>斤</t>
  </si>
  <si>
    <t>辣椒</t>
  </si>
  <si>
    <t>洗選蛋</t>
  </si>
  <si>
    <t>老薑</t>
  </si>
  <si>
    <t>杏鮑菇</t>
  </si>
  <si>
    <t>青蔥</t>
  </si>
  <si>
    <t>斤</t>
    <phoneticPr fontId="2" type="noConversion"/>
  </si>
  <si>
    <t>蒜泥</t>
    <phoneticPr fontId="2" type="noConversion"/>
  </si>
  <si>
    <t>馬鈴薯</t>
    <phoneticPr fontId="2" type="noConversion"/>
  </si>
  <si>
    <t>白蘿蔔</t>
    <phoneticPr fontId="2" type="noConversion"/>
  </si>
  <si>
    <t>濕木耳絲</t>
    <phoneticPr fontId="2" type="noConversion"/>
  </si>
  <si>
    <t>湯包</t>
    <phoneticPr fontId="2" type="noConversion"/>
  </si>
  <si>
    <t>個</t>
    <phoneticPr fontId="2" type="noConversion"/>
  </si>
  <si>
    <t>薑泥</t>
    <phoneticPr fontId="2" type="noConversion"/>
  </si>
  <si>
    <t>訂貨數量</t>
    <phoneticPr fontId="2" type="noConversion"/>
  </si>
  <si>
    <t>養樂多</t>
    <phoneticPr fontId="2" type="noConversion"/>
  </si>
  <si>
    <t>瓶</t>
    <phoneticPr fontId="2" type="noConversion"/>
  </si>
  <si>
    <t>斤</t>
    <phoneticPr fontId="2" type="noConversion"/>
  </si>
  <si>
    <t>木耳絲</t>
    <phoneticPr fontId="2" type="noConversion"/>
  </si>
  <si>
    <t>杏鮑菇</t>
    <phoneticPr fontId="2" type="noConversion"/>
  </si>
  <si>
    <t>鵝白菜</t>
    <phoneticPr fontId="2" type="noConversion"/>
  </si>
  <si>
    <t>烏龍麵</t>
    <phoneticPr fontId="2" type="noConversion"/>
  </si>
  <si>
    <t>無骨香雞排</t>
    <phoneticPr fontId="2" type="noConversion"/>
  </si>
  <si>
    <t>件</t>
    <phoneticPr fontId="2" type="noConversion"/>
  </si>
  <si>
    <t>立大絞肉</t>
    <phoneticPr fontId="2" type="noConversion"/>
  </si>
  <si>
    <t>老薑</t>
    <phoneticPr fontId="2" type="noConversion"/>
  </si>
  <si>
    <t>青蔥</t>
    <phoneticPr fontId="2" type="noConversion"/>
  </si>
  <si>
    <t>香油</t>
    <phoneticPr fontId="2" type="noConversion"/>
  </si>
  <si>
    <t>桶</t>
    <phoneticPr fontId="2" type="noConversion"/>
  </si>
  <si>
    <t>金蘭醬油</t>
    <phoneticPr fontId="2" type="noConversion"/>
  </si>
  <si>
    <t>油膏</t>
    <phoneticPr fontId="2" type="noConversion"/>
  </si>
  <si>
    <t>素蠔油</t>
    <phoneticPr fontId="2" type="noConversion"/>
  </si>
  <si>
    <t>烏醋</t>
    <phoneticPr fontId="2" type="noConversion"/>
  </si>
  <si>
    <t>白醋</t>
    <phoneticPr fontId="2" type="noConversion"/>
  </si>
  <si>
    <t>滷包</t>
    <phoneticPr fontId="2" type="noConversion"/>
  </si>
  <si>
    <t>包</t>
    <phoneticPr fontId="2" type="noConversion"/>
  </si>
  <si>
    <t>蘿蔔糕</t>
    <phoneticPr fontId="2" type="noConversion"/>
  </si>
  <si>
    <t>蜂蜜</t>
    <phoneticPr fontId="2" type="noConversion"/>
  </si>
  <si>
    <t>紅豆湯圓</t>
    <phoneticPr fontId="2" type="noConversion"/>
  </si>
  <si>
    <t>訂貨數量</t>
  </si>
  <si>
    <t>訂貨數量</t>
    <phoneticPr fontId="2" type="noConversion"/>
  </si>
  <si>
    <t>厚片土司</t>
    <phoneticPr fontId="2" type="noConversion"/>
  </si>
  <si>
    <t>條</t>
    <phoneticPr fontId="2" type="noConversion"/>
  </si>
  <si>
    <t>斤</t>
    <phoneticPr fontId="2" type="noConversion"/>
  </si>
  <si>
    <t>個</t>
    <phoneticPr fontId="2" type="noConversion"/>
  </si>
  <si>
    <t>盤</t>
    <phoneticPr fontId="2" type="noConversion"/>
  </si>
  <si>
    <t>高麗菜</t>
    <phoneticPr fontId="2" type="noConversion"/>
  </si>
  <si>
    <t>裹粉魚排</t>
    <phoneticPr fontId="2" type="noConversion"/>
  </si>
  <si>
    <t>件</t>
    <phoneticPr fontId="2" type="noConversion"/>
  </si>
  <si>
    <t>桶柑</t>
    <phoneticPr fontId="2" type="noConversion"/>
  </si>
  <si>
    <t>斤</t>
    <phoneticPr fontId="2" type="noConversion"/>
  </si>
  <si>
    <t>盒</t>
    <phoneticPr fontId="2" type="noConversion"/>
  </si>
  <si>
    <t>鵝白菜</t>
    <phoneticPr fontId="2" type="noConversion"/>
  </si>
  <si>
    <t>雞排</t>
    <phoneticPr fontId="2" type="noConversion"/>
  </si>
  <si>
    <t>絞肉</t>
    <phoneticPr fontId="2" type="noConversion"/>
  </si>
  <si>
    <t>滷蛋</t>
    <phoneticPr fontId="2" type="noConversion"/>
  </si>
  <si>
    <t>個</t>
    <phoneticPr fontId="2" type="noConversion"/>
  </si>
  <si>
    <t>海帶捲</t>
    <phoneticPr fontId="2" type="noConversion"/>
  </si>
  <si>
    <t>吐司</t>
    <phoneticPr fontId="2" type="noConversion"/>
  </si>
  <si>
    <t>條</t>
    <phoneticPr fontId="2" type="noConversion"/>
  </si>
  <si>
    <t>醬油</t>
    <phoneticPr fontId="2" type="noConversion"/>
  </si>
  <si>
    <t>桶</t>
    <phoneticPr fontId="2" type="noConversion"/>
  </si>
  <si>
    <t>蠔油</t>
    <phoneticPr fontId="2" type="noConversion"/>
  </si>
  <si>
    <t>油膏</t>
    <phoneticPr fontId="2" type="noConversion"/>
  </si>
  <si>
    <t>香油</t>
    <phoneticPr fontId="2" type="noConversion"/>
  </si>
  <si>
    <t>味霖</t>
    <phoneticPr fontId="2" type="noConversion"/>
  </si>
  <si>
    <t>沙拉油</t>
    <phoneticPr fontId="2" type="noConversion"/>
  </si>
  <si>
    <t>庫存</t>
    <phoneticPr fontId="2" type="noConversion"/>
  </si>
  <si>
    <t>水果</t>
    <phoneticPr fontId="2" type="noConversion"/>
  </si>
  <si>
    <t>味素</t>
    <phoneticPr fontId="2" type="noConversion"/>
  </si>
  <si>
    <t>鍋貼</t>
    <phoneticPr fontId="2" type="noConversion"/>
  </si>
  <si>
    <t>厚片土司</t>
    <phoneticPr fontId="2" type="noConversion"/>
  </si>
  <si>
    <t>芭芒柳果汁</t>
    <phoneticPr fontId="2" type="noConversion"/>
  </si>
  <si>
    <t>瓶</t>
    <phoneticPr fontId="2" type="noConversion"/>
  </si>
  <si>
    <t>巧克力醬</t>
    <phoneticPr fontId="2" type="noConversion"/>
  </si>
  <si>
    <t>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</si>
</sst>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19" workbookViewId="0">
      <selection activeCell="H47" sqref="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19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7" t="s">
        <v>118</v>
      </c>
      <c r="F2" s="7"/>
      <c r="G2" s="1" t="s">
        <v>4</v>
      </c>
      <c r="H2" s="1" t="s">
        <v>5</v>
      </c>
    </row>
    <row r="3" spans="1:8" x14ac:dyDescent="0.25">
      <c r="A3" s="28" t="s">
        <v>24</v>
      </c>
      <c r="B3" s="1" t="s">
        <v>29</v>
      </c>
      <c r="C3" s="1" t="s">
        <v>30</v>
      </c>
      <c r="D3" s="1">
        <v>66</v>
      </c>
      <c r="E3" s="7">
        <v>62.85</v>
      </c>
      <c r="F3" s="7" t="s">
        <v>145</v>
      </c>
      <c r="G3" s="21">
        <f>D3*E3</f>
        <v>4148.1000000000004</v>
      </c>
      <c r="H3" s="1"/>
    </row>
    <row r="4" spans="1:8" x14ac:dyDescent="0.25">
      <c r="A4" s="28"/>
      <c r="B4" s="1"/>
      <c r="C4" s="1"/>
      <c r="D4" s="1"/>
      <c r="E4" s="7"/>
      <c r="F4" s="7"/>
      <c r="G4" s="1"/>
      <c r="H4" s="1"/>
    </row>
    <row r="5" spans="1:8" x14ac:dyDescent="0.25">
      <c r="A5" s="28"/>
      <c r="B5" s="1"/>
      <c r="C5" s="1"/>
      <c r="D5" s="1"/>
      <c r="E5" s="7"/>
      <c r="F5" s="7"/>
      <c r="G5" s="1"/>
      <c r="H5" s="1"/>
    </row>
    <row r="6" spans="1:8" x14ac:dyDescent="0.25">
      <c r="A6" s="28"/>
      <c r="B6" s="1"/>
      <c r="C6" s="1"/>
      <c r="D6" s="1"/>
      <c r="E6" s="8"/>
      <c r="F6" s="8"/>
      <c r="G6" s="3"/>
      <c r="H6" s="1"/>
    </row>
    <row r="7" spans="1:8" x14ac:dyDescent="0.25">
      <c r="A7" s="28"/>
      <c r="B7" s="29" t="s">
        <v>6</v>
      </c>
      <c r="C7" s="30"/>
      <c r="D7" s="31"/>
      <c r="E7" s="8"/>
      <c r="F7" s="8"/>
      <c r="G7" s="12">
        <f>SUM(G3:G6)</f>
        <v>4148.1000000000004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7" t="s">
        <v>118</v>
      </c>
      <c r="F8" s="7"/>
      <c r="G8" s="1" t="s">
        <v>4</v>
      </c>
      <c r="H8" s="1" t="s">
        <v>5</v>
      </c>
    </row>
    <row r="9" spans="1:8" x14ac:dyDescent="0.25">
      <c r="A9" s="28" t="s">
        <v>25</v>
      </c>
      <c r="B9" s="1" t="s">
        <v>31</v>
      </c>
      <c r="C9" s="1" t="s">
        <v>44</v>
      </c>
      <c r="D9" s="1">
        <v>45</v>
      </c>
      <c r="E9" s="7">
        <v>15</v>
      </c>
      <c r="F9" s="7" t="s">
        <v>145</v>
      </c>
      <c r="G9" s="1">
        <f>D9*E9</f>
        <v>675</v>
      </c>
      <c r="H9" s="1"/>
    </row>
    <row r="10" spans="1:8" x14ac:dyDescent="0.25">
      <c r="A10" s="28"/>
      <c r="B10" s="1" t="s">
        <v>32</v>
      </c>
      <c r="C10" s="1" t="s">
        <v>11</v>
      </c>
      <c r="D10" s="1">
        <v>99</v>
      </c>
      <c r="E10" s="7">
        <v>20</v>
      </c>
      <c r="F10" s="14" t="s">
        <v>145</v>
      </c>
      <c r="G10" s="14">
        <f t="shared" ref="G10:G13" si="0">D10*E10</f>
        <v>1980</v>
      </c>
      <c r="H10" s="1"/>
    </row>
    <row r="11" spans="1:8" x14ac:dyDescent="0.25">
      <c r="A11" s="28"/>
      <c r="B11" s="1" t="s">
        <v>33</v>
      </c>
      <c r="C11" s="1" t="s">
        <v>45</v>
      </c>
      <c r="D11" s="1">
        <v>13.68</v>
      </c>
      <c r="E11" s="7">
        <v>3</v>
      </c>
      <c r="F11" s="14" t="s">
        <v>145</v>
      </c>
      <c r="G11" s="14">
        <f t="shared" si="0"/>
        <v>41.04</v>
      </c>
      <c r="H11" s="1"/>
    </row>
    <row r="12" spans="1:8" x14ac:dyDescent="0.25">
      <c r="A12" s="28"/>
      <c r="B12" s="1" t="s">
        <v>34</v>
      </c>
      <c r="C12" s="1" t="s">
        <v>46</v>
      </c>
      <c r="D12" s="1">
        <v>30.6</v>
      </c>
      <c r="E12" s="7">
        <v>10</v>
      </c>
      <c r="F12" s="14" t="s">
        <v>145</v>
      </c>
      <c r="G12" s="14">
        <f t="shared" si="0"/>
        <v>306</v>
      </c>
      <c r="H12" s="1"/>
    </row>
    <row r="13" spans="1:8" x14ac:dyDescent="0.25">
      <c r="A13" s="28"/>
      <c r="B13" s="1" t="s">
        <v>35</v>
      </c>
      <c r="C13" s="1" t="s">
        <v>40</v>
      </c>
      <c r="D13" s="1">
        <v>74.099999999999994</v>
      </c>
      <c r="E13" s="7">
        <v>1</v>
      </c>
      <c r="F13" s="14" t="s">
        <v>145</v>
      </c>
      <c r="G13" s="14">
        <f t="shared" si="0"/>
        <v>74.099999999999994</v>
      </c>
      <c r="H13" s="1"/>
    </row>
    <row r="14" spans="1:8" x14ac:dyDescent="0.25">
      <c r="A14" s="28"/>
      <c r="B14" s="29" t="s">
        <v>6</v>
      </c>
      <c r="C14" s="30"/>
      <c r="D14" s="31"/>
      <c r="E14" s="8"/>
      <c r="F14" s="8"/>
      <c r="G14" s="12">
        <f>SUM(G9:G13)</f>
        <v>3076.14</v>
      </c>
      <c r="H14" s="1"/>
    </row>
    <row r="15" spans="1:8" x14ac:dyDescent="0.25">
      <c r="A15" s="1" t="s">
        <v>10</v>
      </c>
      <c r="B15" s="1" t="s">
        <v>1</v>
      </c>
      <c r="C15" s="1" t="s">
        <v>2</v>
      </c>
      <c r="D15" s="1" t="s">
        <v>3</v>
      </c>
      <c r="E15" s="7" t="s">
        <v>118</v>
      </c>
      <c r="F15" s="7"/>
      <c r="G15" s="1" t="s">
        <v>4</v>
      </c>
      <c r="H15" s="1" t="s">
        <v>5</v>
      </c>
    </row>
    <row r="16" spans="1:8" x14ac:dyDescent="0.25">
      <c r="A16" s="28" t="s">
        <v>26</v>
      </c>
      <c r="B16" s="1" t="s">
        <v>36</v>
      </c>
      <c r="C16" s="1" t="s">
        <v>40</v>
      </c>
      <c r="D16" s="1">
        <v>58.5</v>
      </c>
      <c r="E16" s="7">
        <v>1</v>
      </c>
      <c r="F16" s="7" t="s">
        <v>145</v>
      </c>
      <c r="G16" s="1">
        <f>D16*E16</f>
        <v>58.5</v>
      </c>
      <c r="H16" s="1"/>
    </row>
    <row r="17" spans="1:8" x14ac:dyDescent="0.25">
      <c r="A17" s="28"/>
      <c r="B17" s="1" t="s">
        <v>37</v>
      </c>
      <c r="C17" s="1" t="s">
        <v>41</v>
      </c>
      <c r="D17" s="14">
        <v>60</v>
      </c>
      <c r="E17" s="14">
        <v>25</v>
      </c>
      <c r="F17" s="14" t="s">
        <v>145</v>
      </c>
      <c r="G17" s="14">
        <f t="shared" ref="G17:G20" si="1">D17*E17</f>
        <v>1500</v>
      </c>
      <c r="H17" s="1"/>
    </row>
    <row r="18" spans="1:8" x14ac:dyDescent="0.25">
      <c r="A18" s="28"/>
      <c r="B18" s="1" t="s">
        <v>8</v>
      </c>
      <c r="C18" s="1" t="s">
        <v>9</v>
      </c>
      <c r="D18" s="1">
        <v>85</v>
      </c>
      <c r="E18" s="7">
        <v>4</v>
      </c>
      <c r="F18" s="7" t="s">
        <v>145</v>
      </c>
      <c r="G18" s="14">
        <f t="shared" si="1"/>
        <v>340</v>
      </c>
      <c r="H18" s="1"/>
    </row>
    <row r="19" spans="1:8" x14ac:dyDescent="0.25">
      <c r="A19" s="28"/>
      <c r="B19" s="1" t="s">
        <v>39</v>
      </c>
      <c r="C19" s="1" t="s">
        <v>42</v>
      </c>
      <c r="D19" s="1">
        <v>105</v>
      </c>
      <c r="E19" s="8">
        <v>8</v>
      </c>
      <c r="F19" s="8" t="s">
        <v>145</v>
      </c>
      <c r="G19" s="14">
        <f t="shared" si="1"/>
        <v>840</v>
      </c>
      <c r="H19" s="1"/>
    </row>
    <row r="20" spans="1:8" x14ac:dyDescent="0.25">
      <c r="A20" s="28"/>
      <c r="B20" s="1" t="s">
        <v>38</v>
      </c>
      <c r="C20" s="1" t="s">
        <v>43</v>
      </c>
      <c r="D20" s="1">
        <v>10.8</v>
      </c>
      <c r="E20" s="8">
        <v>2</v>
      </c>
      <c r="F20" s="8" t="s">
        <v>145</v>
      </c>
      <c r="G20" s="14">
        <f t="shared" si="1"/>
        <v>21.6</v>
      </c>
      <c r="H20" s="1"/>
    </row>
    <row r="21" spans="1:8" x14ac:dyDescent="0.25">
      <c r="A21" s="28"/>
      <c r="B21" s="29" t="s">
        <v>6</v>
      </c>
      <c r="C21" s="30"/>
      <c r="D21" s="31"/>
      <c r="E21" s="8"/>
      <c r="F21" s="8"/>
      <c r="G21" s="11">
        <f>SUM(G16:G20)</f>
        <v>2760.1</v>
      </c>
      <c r="H21" s="1"/>
    </row>
    <row r="22" spans="1:8" x14ac:dyDescent="0.25">
      <c r="A22" s="4" t="s">
        <v>13</v>
      </c>
      <c r="B22" s="1" t="s">
        <v>1</v>
      </c>
      <c r="C22" s="1" t="s">
        <v>2</v>
      </c>
      <c r="D22" s="1" t="s">
        <v>3</v>
      </c>
      <c r="E22" s="7" t="s">
        <v>118</v>
      </c>
      <c r="F22" s="7"/>
      <c r="G22" s="1" t="s">
        <v>4</v>
      </c>
      <c r="H22" s="1" t="s">
        <v>5</v>
      </c>
    </row>
    <row r="23" spans="1:8" x14ac:dyDescent="0.25">
      <c r="A23" s="28"/>
      <c r="B23" s="14" t="s">
        <v>138</v>
      </c>
      <c r="C23" s="14"/>
      <c r="D23" s="14">
        <v>173.4</v>
      </c>
      <c r="E23" s="14">
        <v>8</v>
      </c>
      <c r="F23" s="14" t="s">
        <v>139</v>
      </c>
      <c r="G23" s="17">
        <f>D23*E23</f>
        <v>1387.2</v>
      </c>
      <c r="H23" s="1"/>
    </row>
    <row r="24" spans="1:8" x14ac:dyDescent="0.25">
      <c r="A24" s="28"/>
      <c r="B24" s="14" t="s">
        <v>140</v>
      </c>
      <c r="C24" s="14"/>
      <c r="D24" s="14">
        <v>150</v>
      </c>
      <c r="E24" s="14">
        <v>2</v>
      </c>
      <c r="F24" s="14" t="s">
        <v>139</v>
      </c>
      <c r="G24" s="17">
        <f t="shared" ref="G24:G30" si="2">D24*E24</f>
        <v>300</v>
      </c>
      <c r="H24" s="1"/>
    </row>
    <row r="25" spans="1:8" x14ac:dyDescent="0.25">
      <c r="A25" s="28"/>
      <c r="B25" s="14" t="s">
        <v>141</v>
      </c>
      <c r="C25" s="14"/>
      <c r="D25" s="14">
        <v>38.4</v>
      </c>
      <c r="E25" s="14">
        <v>20</v>
      </c>
      <c r="F25" s="14" t="s">
        <v>139</v>
      </c>
      <c r="G25" s="17">
        <f t="shared" si="2"/>
        <v>768</v>
      </c>
      <c r="H25" s="1"/>
    </row>
    <row r="26" spans="1:8" x14ac:dyDescent="0.25">
      <c r="A26" s="28"/>
      <c r="B26" s="14" t="s">
        <v>142</v>
      </c>
      <c r="C26" s="14"/>
      <c r="D26" s="14">
        <v>58.5</v>
      </c>
      <c r="E26" s="14">
        <v>0.5</v>
      </c>
      <c r="F26" s="14" t="s">
        <v>139</v>
      </c>
      <c r="G26" s="17">
        <f t="shared" si="2"/>
        <v>29.25</v>
      </c>
      <c r="H26" s="1"/>
    </row>
    <row r="27" spans="1:8" x14ac:dyDescent="0.25">
      <c r="A27" s="28"/>
      <c r="B27" s="14" t="s">
        <v>143</v>
      </c>
      <c r="C27" s="14"/>
      <c r="D27" s="14">
        <v>105</v>
      </c>
      <c r="E27" s="14">
        <v>4</v>
      </c>
      <c r="F27" s="15" t="s">
        <v>139</v>
      </c>
      <c r="G27" s="17">
        <f t="shared" si="2"/>
        <v>420</v>
      </c>
      <c r="H27" s="7"/>
    </row>
    <row r="28" spans="1:8" x14ac:dyDescent="0.25">
      <c r="A28" s="28"/>
      <c r="B28" s="14" t="s">
        <v>144</v>
      </c>
      <c r="C28" s="14"/>
      <c r="D28" s="14">
        <v>57.6</v>
      </c>
      <c r="E28" s="14">
        <v>4</v>
      </c>
      <c r="F28" s="15" t="s">
        <v>139</v>
      </c>
      <c r="G28" s="17">
        <f t="shared" si="2"/>
        <v>230.4</v>
      </c>
      <c r="H28" s="7"/>
    </row>
    <row r="29" spans="1:8" x14ac:dyDescent="0.25">
      <c r="A29" s="28"/>
      <c r="B29" s="7" t="s">
        <v>146</v>
      </c>
      <c r="C29" s="7"/>
      <c r="D29" s="7">
        <v>193.8</v>
      </c>
      <c r="E29" s="7">
        <v>1</v>
      </c>
      <c r="F29" s="15" t="s">
        <v>139</v>
      </c>
      <c r="G29" s="7">
        <f t="shared" si="2"/>
        <v>193.8</v>
      </c>
      <c r="H29" s="7"/>
    </row>
    <row r="30" spans="1:8" x14ac:dyDescent="0.25">
      <c r="A30" s="28"/>
      <c r="B30" s="7" t="s">
        <v>152</v>
      </c>
      <c r="C30" s="7"/>
      <c r="D30" s="7">
        <v>74.099999999999994</v>
      </c>
      <c r="E30" s="7">
        <v>1</v>
      </c>
      <c r="F30" s="8" t="s">
        <v>145</v>
      </c>
      <c r="G30" s="7">
        <f t="shared" si="2"/>
        <v>74.099999999999994</v>
      </c>
      <c r="H30" s="7"/>
    </row>
    <row r="31" spans="1:8" x14ac:dyDescent="0.25">
      <c r="A31" s="28"/>
      <c r="B31" s="29" t="s">
        <v>6</v>
      </c>
      <c r="C31" s="30"/>
      <c r="D31" s="31"/>
      <c r="E31" s="8"/>
      <c r="F31" s="8"/>
      <c r="G31" s="12">
        <f>SUM(G23:G30)</f>
        <v>3402.75</v>
      </c>
      <c r="H31" s="1"/>
    </row>
    <row r="32" spans="1:8" x14ac:dyDescent="0.25">
      <c r="A32" s="1" t="s">
        <v>14</v>
      </c>
      <c r="B32" s="1" t="s">
        <v>1</v>
      </c>
      <c r="C32" s="1" t="s">
        <v>2</v>
      </c>
      <c r="D32" s="1" t="s">
        <v>3</v>
      </c>
      <c r="E32" s="7" t="s">
        <v>118</v>
      </c>
      <c r="F32" s="7"/>
      <c r="G32" s="1" t="s">
        <v>4</v>
      </c>
      <c r="H32" s="1" t="s">
        <v>5</v>
      </c>
    </row>
    <row r="33" spans="1:8" x14ac:dyDescent="0.25">
      <c r="A33" s="28" t="s">
        <v>27</v>
      </c>
      <c r="B33" s="1" t="s">
        <v>28</v>
      </c>
      <c r="C33" s="1"/>
      <c r="D33" s="1"/>
      <c r="E33" s="7"/>
      <c r="F33" s="7"/>
      <c r="G33" s="1"/>
      <c r="H33" s="1" t="s">
        <v>15</v>
      </c>
    </row>
    <row r="34" spans="1:8" x14ac:dyDescent="0.25">
      <c r="A34" s="28"/>
      <c r="B34" s="1" t="s">
        <v>12</v>
      </c>
      <c r="C34" s="1"/>
      <c r="D34" s="1"/>
      <c r="E34" s="7"/>
      <c r="F34" s="7"/>
      <c r="G34" s="1"/>
      <c r="H34" s="1" t="s">
        <v>15</v>
      </c>
    </row>
    <row r="35" spans="1:8" x14ac:dyDescent="0.25">
      <c r="A35" s="28"/>
      <c r="B35" s="1"/>
      <c r="C35" s="1"/>
      <c r="D35" s="1"/>
      <c r="E35" s="7"/>
      <c r="F35" s="7"/>
      <c r="G35" s="1"/>
      <c r="H35" s="1"/>
    </row>
    <row r="36" spans="1:8" x14ac:dyDescent="0.25">
      <c r="A36" s="28"/>
      <c r="B36" s="29"/>
      <c r="C36" s="30"/>
      <c r="D36" s="31"/>
      <c r="E36" s="8"/>
      <c r="F36" s="8"/>
      <c r="G36" s="3"/>
      <c r="H36" s="1"/>
    </row>
    <row r="37" spans="1:8" x14ac:dyDescent="0.25">
      <c r="A37" s="1" t="s">
        <v>16</v>
      </c>
      <c r="B37" s="1" t="s">
        <v>1</v>
      </c>
      <c r="C37" s="1" t="s">
        <v>2</v>
      </c>
      <c r="D37" s="1" t="s">
        <v>3</v>
      </c>
      <c r="E37" s="8" t="s">
        <v>118</v>
      </c>
      <c r="F37" s="8"/>
      <c r="G37" s="3" t="s">
        <v>4</v>
      </c>
      <c r="H37" s="1" t="s">
        <v>5</v>
      </c>
    </row>
    <row r="38" spans="1:8" x14ac:dyDescent="0.25">
      <c r="A38" s="38"/>
      <c r="B38" s="1" t="s">
        <v>131</v>
      </c>
      <c r="C38" s="1"/>
      <c r="D38" s="1">
        <v>9.18</v>
      </c>
      <c r="E38" s="7">
        <v>65</v>
      </c>
      <c r="F38" s="7" t="s">
        <v>123</v>
      </c>
      <c r="G38" s="1">
        <f>D38*E38</f>
        <v>596.69999999999993</v>
      </c>
      <c r="H38" s="1"/>
    </row>
    <row r="39" spans="1:8" x14ac:dyDescent="0.25">
      <c r="A39" s="39"/>
      <c r="B39" s="1"/>
      <c r="C39" s="1"/>
      <c r="D39" s="1"/>
      <c r="E39" s="7"/>
      <c r="F39" s="7"/>
      <c r="G39" s="1"/>
      <c r="H39" s="1"/>
    </row>
    <row r="40" spans="1:8" x14ac:dyDescent="0.25">
      <c r="A40" s="40"/>
      <c r="B40" s="29" t="s">
        <v>6</v>
      </c>
      <c r="C40" s="30"/>
      <c r="D40" s="31"/>
      <c r="E40" s="8"/>
      <c r="F40" s="8"/>
      <c r="G40" s="11">
        <f>SUM(G38:G39)</f>
        <v>596.69999999999993</v>
      </c>
      <c r="H40" s="5"/>
    </row>
    <row r="41" spans="1:8" x14ac:dyDescent="0.25">
      <c r="A41" s="6" t="s">
        <v>17</v>
      </c>
      <c r="B41" s="1" t="s">
        <v>1</v>
      </c>
      <c r="C41" s="1" t="s">
        <v>2</v>
      </c>
      <c r="D41" s="1" t="s">
        <v>3</v>
      </c>
      <c r="E41" s="7" t="s">
        <v>118</v>
      </c>
      <c r="F41" s="7"/>
      <c r="G41" s="1" t="s">
        <v>4</v>
      </c>
      <c r="H41" s="1"/>
    </row>
    <row r="42" spans="1:8" x14ac:dyDescent="0.25">
      <c r="A42" s="28"/>
      <c r="B42" s="14" t="s">
        <v>147</v>
      </c>
      <c r="C42" s="14"/>
      <c r="D42" s="14">
        <v>33.299999999999997</v>
      </c>
      <c r="E42" s="14">
        <v>5</v>
      </c>
      <c r="F42" s="14" t="s">
        <v>145</v>
      </c>
      <c r="G42" s="1">
        <f>D42*E42</f>
        <v>166.5</v>
      </c>
      <c r="H42" s="1"/>
    </row>
    <row r="43" spans="1:8" x14ac:dyDescent="0.25">
      <c r="A43" s="28"/>
      <c r="B43" s="14" t="s">
        <v>148</v>
      </c>
      <c r="C43" s="14"/>
      <c r="D43" s="14">
        <v>8.1</v>
      </c>
      <c r="E43" s="14">
        <v>3</v>
      </c>
      <c r="F43" s="14" t="s">
        <v>145</v>
      </c>
      <c r="G43" s="14">
        <f t="shared" ref="G43:G45" si="3">D43*E43</f>
        <v>24.299999999999997</v>
      </c>
      <c r="H43" s="1"/>
    </row>
    <row r="44" spans="1:8" x14ac:dyDescent="0.25">
      <c r="A44" s="28"/>
      <c r="B44" s="14" t="s">
        <v>149</v>
      </c>
      <c r="C44" s="14"/>
      <c r="D44" s="14">
        <v>45</v>
      </c>
      <c r="E44" s="14">
        <v>3</v>
      </c>
      <c r="F44" s="14" t="s">
        <v>145</v>
      </c>
      <c r="G44" s="14">
        <f t="shared" si="3"/>
        <v>135</v>
      </c>
      <c r="H44" s="1"/>
    </row>
    <row r="45" spans="1:8" x14ac:dyDescent="0.25">
      <c r="A45" s="28"/>
      <c r="B45" s="1" t="s">
        <v>150</v>
      </c>
      <c r="C45" s="1"/>
      <c r="D45" s="1">
        <v>4.5</v>
      </c>
      <c r="E45" s="7">
        <v>50</v>
      </c>
      <c r="F45" s="7" t="s">
        <v>151</v>
      </c>
      <c r="G45" s="14">
        <f t="shared" si="3"/>
        <v>225</v>
      </c>
      <c r="H45" s="1"/>
    </row>
    <row r="46" spans="1:8" x14ac:dyDescent="0.25">
      <c r="A46" s="28"/>
      <c r="B46" s="29" t="s">
        <v>6</v>
      </c>
      <c r="C46" s="30"/>
      <c r="D46" s="31"/>
      <c r="E46" s="8"/>
      <c r="F46" s="8"/>
      <c r="G46" s="11">
        <f>SUM(G42:G45)</f>
        <v>550.79999999999995</v>
      </c>
      <c r="H46" s="1"/>
    </row>
    <row r="47" spans="1:8" x14ac:dyDescent="0.25">
      <c r="A47" s="1"/>
      <c r="B47" s="35" t="s">
        <v>18</v>
      </c>
      <c r="C47" s="36"/>
      <c r="D47" s="37"/>
      <c r="E47" s="9"/>
      <c r="F47" s="9"/>
      <c r="G47" s="16">
        <f>G46+G40+G31+G21+G14+G7</f>
        <v>14534.59</v>
      </c>
      <c r="H47" s="1"/>
    </row>
  </sheetData>
  <mergeCells count="16">
    <mergeCell ref="A42:A46"/>
    <mergeCell ref="B46:D46"/>
    <mergeCell ref="B47:D47"/>
    <mergeCell ref="A23:A31"/>
    <mergeCell ref="B31:D31"/>
    <mergeCell ref="A33:A36"/>
    <mergeCell ref="B36:D36"/>
    <mergeCell ref="A38:A40"/>
    <mergeCell ref="B40:D40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28" workbookViewId="0">
      <selection activeCell="H51" sqref="H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20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8" t="s">
        <v>153</v>
      </c>
      <c r="F2" s="18"/>
      <c r="G2" s="1" t="s">
        <v>4</v>
      </c>
      <c r="H2" s="1" t="s">
        <v>5</v>
      </c>
    </row>
    <row r="3" spans="1:8" x14ac:dyDescent="0.25">
      <c r="A3" s="28" t="s">
        <v>47</v>
      </c>
      <c r="B3" s="1" t="s">
        <v>74</v>
      </c>
      <c r="C3" s="1" t="s">
        <v>79</v>
      </c>
      <c r="D3" s="1"/>
      <c r="E3" s="18"/>
      <c r="F3" s="18"/>
      <c r="G3" s="1">
        <f>D3*E3</f>
        <v>0</v>
      </c>
      <c r="H3" s="1"/>
    </row>
    <row r="4" spans="1:8" x14ac:dyDescent="0.25">
      <c r="A4" s="28"/>
      <c r="B4" s="1" t="s">
        <v>75</v>
      </c>
      <c r="C4" s="1" t="s">
        <v>79</v>
      </c>
      <c r="D4" s="1"/>
      <c r="E4" s="18"/>
      <c r="F4" s="18"/>
      <c r="G4" s="18">
        <f t="shared" ref="G4:G7" si="0">D4*E4</f>
        <v>0</v>
      </c>
      <c r="H4" s="1"/>
    </row>
    <row r="5" spans="1:8" x14ac:dyDescent="0.25">
      <c r="A5" s="28"/>
      <c r="B5" s="2" t="s">
        <v>78</v>
      </c>
      <c r="C5" s="2" t="s">
        <v>80</v>
      </c>
      <c r="D5" s="2">
        <v>168</v>
      </c>
      <c r="E5" s="18">
        <v>20</v>
      </c>
      <c r="F5" s="18" t="s">
        <v>156</v>
      </c>
      <c r="G5" s="18">
        <f t="shared" si="0"/>
        <v>3360</v>
      </c>
      <c r="H5" s="2"/>
    </row>
    <row r="6" spans="1:8" x14ac:dyDescent="0.25">
      <c r="A6" s="28"/>
      <c r="B6" s="1" t="s">
        <v>76</v>
      </c>
      <c r="C6" s="1" t="s">
        <v>79</v>
      </c>
      <c r="D6" s="1">
        <v>74.099999999999994</v>
      </c>
      <c r="E6" s="18">
        <v>1</v>
      </c>
      <c r="F6" s="18" t="s">
        <v>156</v>
      </c>
      <c r="G6" s="18">
        <f t="shared" si="0"/>
        <v>74.099999999999994</v>
      </c>
      <c r="H6" s="1"/>
    </row>
    <row r="7" spans="1:8" x14ac:dyDescent="0.25">
      <c r="A7" s="28"/>
      <c r="B7" s="1" t="s">
        <v>77</v>
      </c>
      <c r="C7" s="1" t="s">
        <v>81</v>
      </c>
      <c r="D7" s="1">
        <v>99</v>
      </c>
      <c r="E7" s="19">
        <v>25</v>
      </c>
      <c r="F7" s="19" t="s">
        <v>156</v>
      </c>
      <c r="G7" s="18">
        <f t="shared" si="0"/>
        <v>2475</v>
      </c>
      <c r="H7" s="1"/>
    </row>
    <row r="8" spans="1:8" x14ac:dyDescent="0.25">
      <c r="A8" s="28"/>
      <c r="B8" s="29" t="s">
        <v>6</v>
      </c>
      <c r="C8" s="30"/>
      <c r="D8" s="31"/>
      <c r="E8" s="19"/>
      <c r="F8" s="19"/>
      <c r="G8" s="12">
        <f>SUM(G3:G7)</f>
        <v>5909.1</v>
      </c>
      <c r="H8" s="1"/>
    </row>
    <row r="9" spans="1:8" x14ac:dyDescent="0.25">
      <c r="A9" s="1" t="s">
        <v>7</v>
      </c>
      <c r="B9" s="1" t="s">
        <v>1</v>
      </c>
      <c r="C9" s="1" t="s">
        <v>2</v>
      </c>
      <c r="D9" s="1" t="s">
        <v>3</v>
      </c>
      <c r="E9" s="18" t="s">
        <v>153</v>
      </c>
      <c r="F9" s="18"/>
      <c r="G9" s="1" t="s">
        <v>4</v>
      </c>
      <c r="H9" s="1" t="s">
        <v>5</v>
      </c>
    </row>
    <row r="10" spans="1:8" x14ac:dyDescent="0.25">
      <c r="A10" s="28" t="s">
        <v>48</v>
      </c>
      <c r="B10" s="1" t="s">
        <v>82</v>
      </c>
      <c r="C10" s="1" t="s">
        <v>85</v>
      </c>
      <c r="D10" s="1">
        <v>42</v>
      </c>
      <c r="E10" s="18">
        <v>15</v>
      </c>
      <c r="F10" s="18" t="s">
        <v>156</v>
      </c>
      <c r="G10" s="1">
        <f>D10*E10</f>
        <v>630</v>
      </c>
      <c r="H10" s="1"/>
    </row>
    <row r="11" spans="1:8" x14ac:dyDescent="0.25">
      <c r="A11" s="28"/>
      <c r="B11" s="1" t="s">
        <v>83</v>
      </c>
      <c r="C11" s="1" t="s">
        <v>80</v>
      </c>
      <c r="D11" s="1">
        <v>48</v>
      </c>
      <c r="E11" s="18">
        <v>20</v>
      </c>
      <c r="F11" s="18" t="s">
        <v>156</v>
      </c>
      <c r="G11" s="18">
        <f>D11*E11</f>
        <v>960</v>
      </c>
      <c r="H11" s="1"/>
    </row>
    <row r="12" spans="1:8" x14ac:dyDescent="0.25">
      <c r="A12" s="28"/>
      <c r="B12" s="1" t="s">
        <v>84</v>
      </c>
      <c r="C12" s="1" t="s">
        <v>86</v>
      </c>
      <c r="D12" s="1">
        <v>30.6</v>
      </c>
      <c r="E12" s="18">
        <v>10</v>
      </c>
      <c r="F12" s="18" t="s">
        <v>156</v>
      </c>
      <c r="G12" s="18">
        <f>D12*E12</f>
        <v>306</v>
      </c>
      <c r="H12" s="1"/>
    </row>
    <row r="13" spans="1:8" x14ac:dyDescent="0.25">
      <c r="A13" s="28"/>
      <c r="B13" s="1"/>
      <c r="C13" s="1"/>
      <c r="D13" s="1"/>
      <c r="E13" s="18"/>
      <c r="F13" s="18"/>
      <c r="G13" s="1"/>
      <c r="H13" s="1"/>
    </row>
    <row r="14" spans="1:8" x14ac:dyDescent="0.25">
      <c r="A14" s="28"/>
      <c r="B14" s="1"/>
      <c r="C14" s="1"/>
      <c r="D14" s="1"/>
      <c r="E14" s="18"/>
      <c r="F14" s="18"/>
      <c r="G14" s="1"/>
      <c r="H14" s="1"/>
    </row>
    <row r="15" spans="1:8" x14ac:dyDescent="0.25">
      <c r="A15" s="28"/>
      <c r="B15" s="29" t="s">
        <v>6</v>
      </c>
      <c r="C15" s="30"/>
      <c r="D15" s="31"/>
      <c r="E15" s="19"/>
      <c r="F15" s="19"/>
      <c r="G15" s="11">
        <f>SUM(G10:G14)</f>
        <v>1896</v>
      </c>
      <c r="H15" s="1"/>
    </row>
    <row r="16" spans="1:8" x14ac:dyDescent="0.25">
      <c r="A16" s="1" t="s">
        <v>10</v>
      </c>
      <c r="B16" s="1" t="s">
        <v>1</v>
      </c>
      <c r="C16" s="1" t="s">
        <v>2</v>
      </c>
      <c r="D16" s="1" t="s">
        <v>3</v>
      </c>
      <c r="E16" s="18" t="s">
        <v>153</v>
      </c>
      <c r="F16" s="18"/>
      <c r="G16" s="1" t="s">
        <v>4</v>
      </c>
      <c r="H16" s="1" t="s">
        <v>5</v>
      </c>
    </row>
    <row r="17" spans="1:8" x14ac:dyDescent="0.25">
      <c r="A17" s="28" t="s">
        <v>49</v>
      </c>
      <c r="B17" s="1" t="s">
        <v>87</v>
      </c>
      <c r="C17" s="1" t="s">
        <v>81</v>
      </c>
      <c r="D17" s="1">
        <v>31.92</v>
      </c>
      <c r="E17" s="18">
        <v>25</v>
      </c>
      <c r="F17" s="18" t="s">
        <v>156</v>
      </c>
      <c r="G17" s="1">
        <f>D17*E17</f>
        <v>798</v>
      </c>
      <c r="H17" s="1"/>
    </row>
    <row r="18" spans="1:8" x14ac:dyDescent="0.25">
      <c r="A18" s="28"/>
      <c r="B18" s="1" t="s">
        <v>88</v>
      </c>
      <c r="C18" s="1" t="s">
        <v>86</v>
      </c>
      <c r="D18" s="1">
        <v>180</v>
      </c>
      <c r="E18" s="18">
        <v>10</v>
      </c>
      <c r="F18" s="18" t="s">
        <v>156</v>
      </c>
      <c r="G18" s="18">
        <f t="shared" ref="G18:G19" si="1">D18*E18</f>
        <v>1800</v>
      </c>
      <c r="H18" s="1"/>
    </row>
    <row r="19" spans="1:8" x14ac:dyDescent="0.25">
      <c r="A19" s="28"/>
      <c r="B19" s="1" t="s">
        <v>157</v>
      </c>
      <c r="C19" s="1"/>
      <c r="D19" s="1">
        <v>45</v>
      </c>
      <c r="E19" s="18">
        <v>4</v>
      </c>
      <c r="F19" s="18" t="s">
        <v>156</v>
      </c>
      <c r="G19" s="18">
        <f t="shared" si="1"/>
        <v>180</v>
      </c>
      <c r="H19" s="1"/>
    </row>
    <row r="20" spans="1:8" x14ac:dyDescent="0.25">
      <c r="A20" s="28"/>
      <c r="B20" s="1"/>
      <c r="C20" s="1"/>
      <c r="D20" s="1"/>
      <c r="E20" s="19"/>
      <c r="F20" s="19"/>
      <c r="G20" s="3"/>
      <c r="H20" s="1"/>
    </row>
    <row r="21" spans="1:8" x14ac:dyDescent="0.25">
      <c r="A21" s="28"/>
      <c r="B21" s="29" t="s">
        <v>6</v>
      </c>
      <c r="C21" s="30"/>
      <c r="D21" s="31"/>
      <c r="E21" s="19"/>
      <c r="F21" s="19"/>
      <c r="G21" s="11">
        <f>SUM(G17:G20)</f>
        <v>2778</v>
      </c>
      <c r="H21" s="1"/>
    </row>
    <row r="22" spans="1:8" x14ac:dyDescent="0.25">
      <c r="A22" s="4" t="s">
        <v>13</v>
      </c>
      <c r="B22" s="1" t="s">
        <v>1</v>
      </c>
      <c r="C22" s="1" t="s">
        <v>2</v>
      </c>
      <c r="D22" s="1" t="s">
        <v>3</v>
      </c>
      <c r="E22" s="18" t="s">
        <v>153</v>
      </c>
      <c r="F22" s="18"/>
      <c r="G22" s="1" t="s">
        <v>4</v>
      </c>
      <c r="H22" s="1" t="s">
        <v>5</v>
      </c>
    </row>
    <row r="23" spans="1:8" x14ac:dyDescent="0.25">
      <c r="A23" s="28"/>
      <c r="B23" s="1" t="s">
        <v>158</v>
      </c>
      <c r="C23" s="1"/>
      <c r="D23" s="1">
        <v>105</v>
      </c>
      <c r="E23" s="18">
        <v>10</v>
      </c>
      <c r="F23" s="18" t="s">
        <v>156</v>
      </c>
      <c r="G23" s="1">
        <f>D23*E23</f>
        <v>1050</v>
      </c>
      <c r="H23" s="1"/>
    </row>
    <row r="24" spans="1:8" x14ac:dyDescent="0.25">
      <c r="A24" s="28"/>
      <c r="B24" s="1" t="s">
        <v>164</v>
      </c>
      <c r="C24" s="1"/>
      <c r="D24" s="1">
        <v>58.5</v>
      </c>
      <c r="E24" s="18">
        <v>1</v>
      </c>
      <c r="F24" s="18" t="s">
        <v>156</v>
      </c>
      <c r="G24" s="18">
        <f t="shared" ref="G24:G34" si="2">D24*E24</f>
        <v>58.5</v>
      </c>
      <c r="H24" s="1"/>
    </row>
    <row r="25" spans="1:8" x14ac:dyDescent="0.25">
      <c r="A25" s="28"/>
      <c r="B25" s="1" t="s">
        <v>165</v>
      </c>
      <c r="C25" s="1"/>
      <c r="D25" s="1">
        <v>55.8</v>
      </c>
      <c r="E25" s="18">
        <v>4</v>
      </c>
      <c r="F25" s="18" t="s">
        <v>156</v>
      </c>
      <c r="G25" s="18">
        <f t="shared" si="2"/>
        <v>223.2</v>
      </c>
      <c r="H25" s="1"/>
    </row>
    <row r="26" spans="1:8" x14ac:dyDescent="0.25">
      <c r="A26" s="28"/>
      <c r="B26" s="1" t="s">
        <v>166</v>
      </c>
      <c r="C26" s="1"/>
      <c r="D26" s="1">
        <v>339</v>
      </c>
      <c r="E26" s="18">
        <v>2</v>
      </c>
      <c r="F26" s="18" t="s">
        <v>167</v>
      </c>
      <c r="G26" s="18">
        <f t="shared" si="2"/>
        <v>678</v>
      </c>
      <c r="H26" s="1"/>
    </row>
    <row r="27" spans="1:8" x14ac:dyDescent="0.25">
      <c r="A27" s="28"/>
      <c r="B27" s="18" t="s">
        <v>168</v>
      </c>
      <c r="C27" s="18"/>
      <c r="D27" s="18">
        <v>225</v>
      </c>
      <c r="E27" s="18">
        <v>2</v>
      </c>
      <c r="F27" s="18" t="s">
        <v>167</v>
      </c>
      <c r="G27" s="18">
        <f t="shared" si="2"/>
        <v>450</v>
      </c>
      <c r="H27" s="18"/>
    </row>
    <row r="28" spans="1:8" x14ac:dyDescent="0.25">
      <c r="A28" s="28"/>
      <c r="B28" s="18" t="s">
        <v>169</v>
      </c>
      <c r="C28" s="18"/>
      <c r="D28" s="18">
        <v>235</v>
      </c>
      <c r="E28" s="18">
        <v>1</v>
      </c>
      <c r="F28" s="19" t="s">
        <v>167</v>
      </c>
      <c r="G28" s="18">
        <f t="shared" si="2"/>
        <v>235</v>
      </c>
      <c r="H28" s="18"/>
    </row>
    <row r="29" spans="1:8" x14ac:dyDescent="0.25">
      <c r="A29" s="28"/>
      <c r="B29" s="18" t="s">
        <v>170</v>
      </c>
      <c r="C29" s="18"/>
      <c r="D29" s="18">
        <v>291</v>
      </c>
      <c r="E29" s="18">
        <v>2</v>
      </c>
      <c r="F29" s="19" t="s">
        <v>167</v>
      </c>
      <c r="G29" s="18">
        <f t="shared" si="2"/>
        <v>582</v>
      </c>
      <c r="H29" s="18"/>
    </row>
    <row r="30" spans="1:8" x14ac:dyDescent="0.25">
      <c r="A30" s="28"/>
      <c r="B30" s="18" t="s">
        <v>171</v>
      </c>
      <c r="C30" s="18"/>
      <c r="D30" s="18">
        <v>225</v>
      </c>
      <c r="E30" s="18">
        <v>1</v>
      </c>
      <c r="F30" s="19" t="s">
        <v>167</v>
      </c>
      <c r="G30" s="18">
        <f t="shared" si="2"/>
        <v>225</v>
      </c>
      <c r="H30" s="18"/>
    </row>
    <row r="31" spans="1:8" x14ac:dyDescent="0.25">
      <c r="A31" s="28"/>
      <c r="B31" s="18" t="s">
        <v>173</v>
      </c>
      <c r="C31" s="18"/>
      <c r="D31" s="18">
        <v>138</v>
      </c>
      <c r="E31" s="18">
        <v>1</v>
      </c>
      <c r="F31" s="19" t="s">
        <v>174</v>
      </c>
      <c r="G31" s="18">
        <f t="shared" si="2"/>
        <v>138</v>
      </c>
      <c r="H31" s="18"/>
    </row>
    <row r="32" spans="1:8" x14ac:dyDescent="0.25">
      <c r="A32" s="28"/>
      <c r="B32" s="18" t="s">
        <v>172</v>
      </c>
      <c r="C32" s="18"/>
      <c r="D32" s="18">
        <v>225</v>
      </c>
      <c r="E32" s="18">
        <v>1</v>
      </c>
      <c r="F32" s="19" t="s">
        <v>167</v>
      </c>
      <c r="G32" s="18">
        <f t="shared" si="2"/>
        <v>225</v>
      </c>
      <c r="H32" s="18"/>
    </row>
    <row r="33" spans="1:8" x14ac:dyDescent="0.25">
      <c r="A33" s="28"/>
      <c r="B33" s="18" t="s">
        <v>175</v>
      </c>
      <c r="C33" s="18"/>
      <c r="D33" s="18">
        <v>210</v>
      </c>
      <c r="E33" s="18">
        <v>1</v>
      </c>
      <c r="F33" s="19" t="s">
        <v>174</v>
      </c>
      <c r="G33" s="19">
        <f t="shared" si="2"/>
        <v>210</v>
      </c>
      <c r="H33" s="18"/>
    </row>
    <row r="34" spans="1:8" x14ac:dyDescent="0.25">
      <c r="A34" s="28"/>
      <c r="B34" s="18" t="s">
        <v>176</v>
      </c>
      <c r="C34" s="18"/>
      <c r="D34" s="18">
        <v>480</v>
      </c>
      <c r="E34" s="18">
        <v>1</v>
      </c>
      <c r="F34" s="19" t="s">
        <v>167</v>
      </c>
      <c r="G34" s="19">
        <f t="shared" si="2"/>
        <v>480</v>
      </c>
      <c r="H34" s="18"/>
    </row>
    <row r="35" spans="1:8" x14ac:dyDescent="0.25">
      <c r="A35" s="28"/>
      <c r="B35" s="29" t="s">
        <v>6</v>
      </c>
      <c r="C35" s="30"/>
      <c r="D35" s="31"/>
      <c r="E35" s="19"/>
      <c r="F35" s="19"/>
      <c r="G35" s="12">
        <f>SUM(G23:G34)</f>
        <v>4554.7</v>
      </c>
      <c r="H35" s="1"/>
    </row>
    <row r="36" spans="1:8" x14ac:dyDescent="0.25">
      <c r="A36" s="1" t="s">
        <v>14</v>
      </c>
      <c r="B36" s="1" t="s">
        <v>1</v>
      </c>
      <c r="C36" s="1" t="s">
        <v>2</v>
      </c>
      <c r="D36" s="1" t="s">
        <v>3</v>
      </c>
      <c r="E36" s="18" t="s">
        <v>153</v>
      </c>
      <c r="F36" s="18"/>
      <c r="G36" s="1" t="s">
        <v>4</v>
      </c>
      <c r="H36" s="1" t="s">
        <v>5</v>
      </c>
    </row>
    <row r="37" spans="1:8" x14ac:dyDescent="0.25">
      <c r="A37" s="28" t="s">
        <v>177</v>
      </c>
      <c r="B37" s="1"/>
      <c r="C37" s="1"/>
      <c r="D37" s="1"/>
      <c r="E37" s="18"/>
      <c r="F37" s="18"/>
      <c r="G37" s="1"/>
      <c r="H37" s="1"/>
    </row>
    <row r="38" spans="1:8" x14ac:dyDescent="0.25">
      <c r="A38" s="28"/>
      <c r="B38" s="1"/>
      <c r="C38" s="1"/>
      <c r="D38" s="1"/>
      <c r="E38" s="18"/>
      <c r="F38" s="18"/>
      <c r="G38" s="1"/>
      <c r="H38" s="1"/>
    </row>
    <row r="39" spans="1:8" x14ac:dyDescent="0.25">
      <c r="A39" s="28"/>
      <c r="B39" s="1"/>
      <c r="C39" s="1"/>
      <c r="D39" s="1"/>
      <c r="E39" s="18"/>
      <c r="F39" s="18"/>
      <c r="G39" s="1"/>
      <c r="H39" s="1"/>
    </row>
    <row r="40" spans="1:8" x14ac:dyDescent="0.25">
      <c r="A40" s="28"/>
      <c r="B40" s="29"/>
      <c r="C40" s="30"/>
      <c r="D40" s="31"/>
      <c r="E40" s="19"/>
      <c r="F40" s="19"/>
      <c r="G40" s="3"/>
      <c r="H40" s="1"/>
    </row>
    <row r="41" spans="1:8" x14ac:dyDescent="0.25">
      <c r="A41" s="1" t="s">
        <v>16</v>
      </c>
      <c r="B41" s="1" t="s">
        <v>1</v>
      </c>
      <c r="C41" s="1" t="s">
        <v>2</v>
      </c>
      <c r="D41" s="1" t="s">
        <v>3</v>
      </c>
      <c r="E41" s="19" t="s">
        <v>153</v>
      </c>
      <c r="F41" s="19"/>
      <c r="G41" s="3" t="s">
        <v>4</v>
      </c>
      <c r="H41" s="1" t="s">
        <v>5</v>
      </c>
    </row>
    <row r="42" spans="1:8" x14ac:dyDescent="0.25">
      <c r="A42" s="38"/>
      <c r="B42" s="18" t="s">
        <v>154</v>
      </c>
      <c r="C42" s="18"/>
      <c r="D42" s="18">
        <v>6</v>
      </c>
      <c r="E42" s="18">
        <v>310</v>
      </c>
      <c r="F42" s="18" t="s">
        <v>155</v>
      </c>
      <c r="G42" s="18">
        <f>D42*E42</f>
        <v>1860</v>
      </c>
      <c r="H42" s="1"/>
    </row>
    <row r="43" spans="1:8" x14ac:dyDescent="0.25">
      <c r="A43" s="39"/>
      <c r="B43" s="1" t="s">
        <v>159</v>
      </c>
      <c r="C43" s="1"/>
      <c r="D43" s="1">
        <v>15.3</v>
      </c>
      <c r="E43" s="18">
        <v>65</v>
      </c>
      <c r="F43" s="18" t="s">
        <v>156</v>
      </c>
      <c r="G43" s="18">
        <f>D43*E43</f>
        <v>994.5</v>
      </c>
      <c r="H43" s="1"/>
    </row>
    <row r="44" spans="1:8" x14ac:dyDescent="0.25">
      <c r="A44" s="40"/>
      <c r="B44" s="29" t="s">
        <v>6</v>
      </c>
      <c r="C44" s="30"/>
      <c r="D44" s="31"/>
      <c r="E44" s="19"/>
      <c r="F44" s="19"/>
      <c r="G44" s="11">
        <f>SUM(G42:G43)</f>
        <v>2854.5</v>
      </c>
      <c r="H44" s="5"/>
    </row>
    <row r="45" spans="1:8" x14ac:dyDescent="0.25">
      <c r="A45" s="6" t="s">
        <v>17</v>
      </c>
      <c r="B45" s="1" t="s">
        <v>1</v>
      </c>
      <c r="C45" s="1" t="s">
        <v>2</v>
      </c>
      <c r="D45" s="1" t="s">
        <v>3</v>
      </c>
      <c r="E45" s="18" t="s">
        <v>153</v>
      </c>
      <c r="F45" s="18"/>
      <c r="G45" s="1" t="s">
        <v>4</v>
      </c>
      <c r="H45" s="1"/>
    </row>
    <row r="46" spans="1:8" x14ac:dyDescent="0.25">
      <c r="A46" s="28"/>
      <c r="B46" s="1" t="s">
        <v>160</v>
      </c>
      <c r="C46" s="1"/>
      <c r="D46" s="1">
        <v>21</v>
      </c>
      <c r="E46" s="18">
        <v>8</v>
      </c>
      <c r="F46" s="18" t="s">
        <v>156</v>
      </c>
      <c r="G46" s="1">
        <f>D46*E46</f>
        <v>168</v>
      </c>
      <c r="H46" s="1"/>
    </row>
    <row r="47" spans="1:8" x14ac:dyDescent="0.25">
      <c r="A47" s="28"/>
      <c r="B47" s="1" t="s">
        <v>161</v>
      </c>
      <c r="C47" s="1"/>
      <c r="D47" s="1">
        <v>1164</v>
      </c>
      <c r="E47" s="18">
        <v>1</v>
      </c>
      <c r="F47" s="18" t="s">
        <v>162</v>
      </c>
      <c r="G47" s="18">
        <f t="shared" ref="G47:G48" si="3">D47*E47</f>
        <v>1164</v>
      </c>
      <c r="H47" s="1"/>
    </row>
    <row r="48" spans="1:8" x14ac:dyDescent="0.25">
      <c r="A48" s="28"/>
      <c r="B48" s="1" t="s">
        <v>163</v>
      </c>
      <c r="C48" s="1"/>
      <c r="D48" s="1">
        <v>93</v>
      </c>
      <c r="E48" s="18">
        <v>5</v>
      </c>
      <c r="F48" s="18" t="s">
        <v>156</v>
      </c>
      <c r="G48" s="18">
        <f t="shared" si="3"/>
        <v>465</v>
      </c>
      <c r="H48" s="1"/>
    </row>
    <row r="49" spans="1:8" x14ac:dyDescent="0.25">
      <c r="A49" s="28"/>
      <c r="B49" s="1"/>
      <c r="C49" s="1"/>
      <c r="D49" s="1"/>
      <c r="E49" s="18"/>
      <c r="F49" s="18"/>
      <c r="G49" s="1"/>
      <c r="H49" s="1"/>
    </row>
    <row r="50" spans="1:8" x14ac:dyDescent="0.25">
      <c r="A50" s="28"/>
      <c r="B50" s="29" t="s">
        <v>6</v>
      </c>
      <c r="C50" s="30"/>
      <c r="D50" s="31"/>
      <c r="E50" s="19"/>
      <c r="F50" s="19"/>
      <c r="G50" s="11">
        <f>SUM(G46:G49)</f>
        <v>1797</v>
      </c>
      <c r="H50" s="1"/>
    </row>
    <row r="51" spans="1:8" x14ac:dyDescent="0.25">
      <c r="A51" s="1"/>
      <c r="B51" s="35" t="s">
        <v>18</v>
      </c>
      <c r="C51" s="36"/>
      <c r="D51" s="37"/>
      <c r="E51" s="20"/>
      <c r="F51" s="20"/>
      <c r="G51" s="16">
        <f>G50+G44+G35+G21+G15+G8</f>
        <v>19789.300000000003</v>
      </c>
      <c r="H51" s="1"/>
    </row>
  </sheetData>
  <mergeCells count="16">
    <mergeCell ref="A46:A50"/>
    <mergeCell ref="B50:D50"/>
    <mergeCell ref="B51:D51"/>
    <mergeCell ref="A23:A35"/>
    <mergeCell ref="B35:D35"/>
    <mergeCell ref="A37:A40"/>
    <mergeCell ref="B40:D40"/>
    <mergeCell ref="A42:A44"/>
    <mergeCell ref="B44:D44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selection activeCell="H47" sqref="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23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7" t="s">
        <v>118</v>
      </c>
      <c r="F2" s="7"/>
      <c r="G2" s="1" t="s">
        <v>4</v>
      </c>
      <c r="H2" s="1" t="s">
        <v>5</v>
      </c>
    </row>
    <row r="3" spans="1:8" x14ac:dyDescent="0.25">
      <c r="A3" s="28" t="s">
        <v>59</v>
      </c>
      <c r="B3" s="1" t="s">
        <v>90</v>
      </c>
      <c r="C3" s="1" t="s">
        <v>92</v>
      </c>
      <c r="D3" s="1">
        <v>93</v>
      </c>
      <c r="E3" s="7">
        <v>35</v>
      </c>
      <c r="F3" s="7" t="s">
        <v>137</v>
      </c>
      <c r="G3" s="1">
        <f>D3*E3</f>
        <v>3255</v>
      </c>
      <c r="H3" s="1"/>
    </row>
    <row r="4" spans="1:8" x14ac:dyDescent="0.25">
      <c r="A4" s="28"/>
      <c r="B4" s="1" t="s">
        <v>91</v>
      </c>
      <c r="C4" s="1" t="s">
        <v>93</v>
      </c>
      <c r="D4" s="1">
        <v>165</v>
      </c>
      <c r="E4" s="7">
        <v>8</v>
      </c>
      <c r="F4" s="7" t="s">
        <v>137</v>
      </c>
      <c r="G4" s="10">
        <f>D4*E4</f>
        <v>1320</v>
      </c>
      <c r="H4" s="1"/>
    </row>
    <row r="5" spans="1:8" x14ac:dyDescent="0.25">
      <c r="A5" s="28"/>
      <c r="B5" s="1"/>
      <c r="C5" s="1"/>
      <c r="D5" s="1"/>
      <c r="E5" s="7"/>
      <c r="F5" s="7"/>
      <c r="G5" s="1"/>
      <c r="H5" s="1"/>
    </row>
    <row r="6" spans="1:8" x14ac:dyDescent="0.25">
      <c r="A6" s="28"/>
      <c r="B6" s="1"/>
      <c r="C6" s="1"/>
      <c r="D6" s="1"/>
      <c r="E6" s="8"/>
      <c r="F6" s="8"/>
      <c r="G6" s="3"/>
      <c r="H6" s="1"/>
    </row>
    <row r="7" spans="1:8" x14ac:dyDescent="0.25">
      <c r="A7" s="28"/>
      <c r="B7" s="29" t="s">
        <v>6</v>
      </c>
      <c r="C7" s="30"/>
      <c r="D7" s="31"/>
      <c r="E7" s="8"/>
      <c r="F7" s="8"/>
      <c r="G7" s="11">
        <f>SUM(G3:G6)</f>
        <v>4575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7" t="s">
        <v>118</v>
      </c>
      <c r="F8" s="7"/>
      <c r="G8" s="1" t="s">
        <v>4</v>
      </c>
      <c r="H8" s="1" t="s">
        <v>5</v>
      </c>
    </row>
    <row r="9" spans="1:8" x14ac:dyDescent="0.25">
      <c r="A9" s="28" t="s">
        <v>60</v>
      </c>
      <c r="B9" s="1" t="s">
        <v>94</v>
      </c>
      <c r="C9" s="1" t="s">
        <v>80</v>
      </c>
      <c r="D9" s="1">
        <v>51</v>
      </c>
      <c r="E9" s="7">
        <v>20</v>
      </c>
      <c r="F9" s="7" t="s">
        <v>123</v>
      </c>
      <c r="G9" s="1">
        <f>D9*E9</f>
        <v>1020</v>
      </c>
      <c r="H9" s="1"/>
    </row>
    <row r="10" spans="1:8" x14ac:dyDescent="0.25">
      <c r="A10" s="28"/>
      <c r="B10" s="1" t="s">
        <v>95</v>
      </c>
      <c r="C10" s="1" t="s">
        <v>85</v>
      </c>
      <c r="D10" s="1">
        <v>87.6</v>
      </c>
      <c r="E10" s="7">
        <v>15</v>
      </c>
      <c r="F10" s="7" t="s">
        <v>123</v>
      </c>
      <c r="G10" s="7">
        <f t="shared" ref="G10:G14" si="0">D10*E10</f>
        <v>1314</v>
      </c>
      <c r="H10" s="1"/>
    </row>
    <row r="11" spans="1:8" x14ac:dyDescent="0.25">
      <c r="A11" s="28"/>
      <c r="B11" s="1" t="s">
        <v>96</v>
      </c>
      <c r="C11" s="1" t="s">
        <v>98</v>
      </c>
      <c r="D11" s="1">
        <v>17.100000000000001</v>
      </c>
      <c r="E11" s="7">
        <v>2</v>
      </c>
      <c r="F11" s="7" t="s">
        <v>123</v>
      </c>
      <c r="G11" s="7">
        <f t="shared" si="0"/>
        <v>34.200000000000003</v>
      </c>
      <c r="H11" s="1"/>
    </row>
    <row r="12" spans="1:8" x14ac:dyDescent="0.25">
      <c r="A12" s="28"/>
      <c r="B12" s="1" t="s">
        <v>76</v>
      </c>
      <c r="C12" s="1" t="s">
        <v>79</v>
      </c>
      <c r="D12" s="1">
        <v>74.099999999999994</v>
      </c>
      <c r="E12" s="7">
        <v>1</v>
      </c>
      <c r="F12" s="7" t="s">
        <v>123</v>
      </c>
      <c r="G12" s="7">
        <f t="shared" si="0"/>
        <v>74.099999999999994</v>
      </c>
      <c r="H12" s="1"/>
    </row>
    <row r="13" spans="1:8" x14ac:dyDescent="0.25">
      <c r="A13" s="28"/>
      <c r="B13" s="2" t="s">
        <v>84</v>
      </c>
      <c r="C13" s="2" t="s">
        <v>99</v>
      </c>
      <c r="D13" s="2">
        <v>30.6</v>
      </c>
      <c r="E13" s="7">
        <v>5</v>
      </c>
      <c r="F13" s="7" t="s">
        <v>123</v>
      </c>
      <c r="G13" s="7">
        <f t="shared" si="0"/>
        <v>153</v>
      </c>
      <c r="H13" s="2"/>
    </row>
    <row r="14" spans="1:8" x14ac:dyDescent="0.25">
      <c r="A14" s="28"/>
      <c r="B14" s="1" t="s">
        <v>97</v>
      </c>
      <c r="C14" s="1" t="s">
        <v>99</v>
      </c>
      <c r="D14" s="1">
        <v>31.62</v>
      </c>
      <c r="E14" s="7">
        <v>5</v>
      </c>
      <c r="F14" s="7" t="s">
        <v>123</v>
      </c>
      <c r="G14" s="7">
        <f t="shared" si="0"/>
        <v>158.1</v>
      </c>
      <c r="H14" s="1"/>
    </row>
    <row r="15" spans="1:8" x14ac:dyDescent="0.25">
      <c r="A15" s="28"/>
      <c r="B15" s="29" t="s">
        <v>6</v>
      </c>
      <c r="C15" s="30"/>
      <c r="D15" s="31"/>
      <c r="E15" s="8"/>
      <c r="F15" s="8"/>
      <c r="G15" s="12">
        <f>SUM(G9:G14)</f>
        <v>2753.3999999999996</v>
      </c>
      <c r="H15" s="1"/>
    </row>
    <row r="16" spans="1:8" x14ac:dyDescent="0.25">
      <c r="A16" s="1" t="s">
        <v>10</v>
      </c>
      <c r="B16" s="1" t="s">
        <v>1</v>
      </c>
      <c r="C16" s="1" t="s">
        <v>2</v>
      </c>
      <c r="D16" s="1" t="s">
        <v>3</v>
      </c>
      <c r="E16" s="7" t="s">
        <v>118</v>
      </c>
      <c r="F16" s="7"/>
      <c r="G16" s="1" t="s">
        <v>4</v>
      </c>
      <c r="H16" s="1" t="s">
        <v>5</v>
      </c>
    </row>
    <row r="17" spans="1:8" x14ac:dyDescent="0.25">
      <c r="A17" s="28"/>
      <c r="B17" s="1" t="s">
        <v>130</v>
      </c>
      <c r="C17" s="1"/>
      <c r="D17" s="1">
        <v>78</v>
      </c>
      <c r="E17" s="7">
        <v>5</v>
      </c>
      <c r="F17" s="7" t="s">
        <v>123</v>
      </c>
      <c r="G17" s="1">
        <f>D17*E17</f>
        <v>390</v>
      </c>
      <c r="H17" s="1"/>
    </row>
    <row r="18" spans="1:8" x14ac:dyDescent="0.25">
      <c r="A18" s="28"/>
      <c r="B18" s="1" t="s">
        <v>132</v>
      </c>
      <c r="C18" s="1"/>
      <c r="D18" s="1">
        <v>50</v>
      </c>
      <c r="E18" s="7">
        <v>1</v>
      </c>
      <c r="F18" s="7" t="s">
        <v>133</v>
      </c>
      <c r="G18" s="10">
        <f t="shared" ref="G18:G19" si="1">D18*E18</f>
        <v>50</v>
      </c>
      <c r="H18" s="1"/>
    </row>
    <row r="19" spans="1:8" x14ac:dyDescent="0.25">
      <c r="A19" s="28"/>
      <c r="B19" s="1" t="s">
        <v>135</v>
      </c>
      <c r="C19" s="1"/>
      <c r="D19" s="1">
        <v>99</v>
      </c>
      <c r="E19" s="7">
        <v>4</v>
      </c>
      <c r="F19" s="7" t="s">
        <v>123</v>
      </c>
      <c r="G19" s="10">
        <f t="shared" si="1"/>
        <v>396</v>
      </c>
      <c r="H19" s="1"/>
    </row>
    <row r="20" spans="1:8" x14ac:dyDescent="0.25">
      <c r="A20" s="28"/>
      <c r="B20" s="1"/>
      <c r="C20" s="1"/>
      <c r="D20" s="1"/>
      <c r="E20" s="8"/>
      <c r="F20" s="8"/>
      <c r="G20" s="3"/>
      <c r="H20" s="1"/>
    </row>
    <row r="21" spans="1:8" x14ac:dyDescent="0.25">
      <c r="A21" s="28"/>
      <c r="B21" s="29" t="s">
        <v>6</v>
      </c>
      <c r="C21" s="30"/>
      <c r="D21" s="31"/>
      <c r="E21" s="8"/>
      <c r="F21" s="8"/>
      <c r="G21" s="11">
        <f>SUM(G17:G20)</f>
        <v>836</v>
      </c>
      <c r="H21" s="1"/>
    </row>
    <row r="22" spans="1:8" x14ac:dyDescent="0.25">
      <c r="A22" s="4" t="s">
        <v>13</v>
      </c>
      <c r="B22" s="1" t="s">
        <v>1</v>
      </c>
      <c r="C22" s="1" t="s">
        <v>2</v>
      </c>
      <c r="D22" s="1" t="s">
        <v>3</v>
      </c>
      <c r="E22" s="7" t="s">
        <v>118</v>
      </c>
      <c r="F22" s="7"/>
      <c r="G22" s="1" t="s">
        <v>4</v>
      </c>
      <c r="H22" s="1" t="s">
        <v>5</v>
      </c>
    </row>
    <row r="23" spans="1:8" x14ac:dyDescent="0.25">
      <c r="A23" s="28"/>
      <c r="B23" s="10" t="s">
        <v>52</v>
      </c>
      <c r="C23" s="10" t="s">
        <v>56</v>
      </c>
      <c r="D23" s="10">
        <v>65</v>
      </c>
      <c r="E23" s="10">
        <v>1</v>
      </c>
      <c r="F23" s="10" t="s">
        <v>121</v>
      </c>
      <c r="G23" s="10">
        <f t="shared" ref="G23" si="2">D23*E23</f>
        <v>65</v>
      </c>
      <c r="H23" s="1"/>
    </row>
    <row r="24" spans="1:8" x14ac:dyDescent="0.25">
      <c r="A24" s="28"/>
      <c r="B24" s="1" t="s">
        <v>122</v>
      </c>
      <c r="C24" s="1"/>
      <c r="D24" s="1">
        <v>55</v>
      </c>
      <c r="E24" s="7">
        <v>20</v>
      </c>
      <c r="F24" s="7" t="s">
        <v>123</v>
      </c>
      <c r="G24" s="7">
        <f>D24*E24</f>
        <v>1100</v>
      </c>
      <c r="H24" s="1"/>
    </row>
    <row r="25" spans="1:8" x14ac:dyDescent="0.25">
      <c r="A25" s="28"/>
      <c r="B25" s="1" t="s">
        <v>124</v>
      </c>
      <c r="C25" s="1"/>
      <c r="D25" s="1">
        <v>29.38</v>
      </c>
      <c r="E25" s="7">
        <v>100</v>
      </c>
      <c r="F25" s="7" t="s">
        <v>123</v>
      </c>
      <c r="G25" s="7">
        <f>D25*E25</f>
        <v>2938</v>
      </c>
      <c r="H25" s="1"/>
    </row>
    <row r="26" spans="1:8" x14ac:dyDescent="0.25">
      <c r="A26" s="28"/>
      <c r="B26" s="7" t="s">
        <v>125</v>
      </c>
      <c r="C26" s="7"/>
      <c r="D26" s="7">
        <v>1188</v>
      </c>
      <c r="E26" s="7">
        <v>2</v>
      </c>
      <c r="F26" s="8" t="s">
        <v>126</v>
      </c>
      <c r="G26" s="7">
        <f>D26*E26</f>
        <v>2376</v>
      </c>
      <c r="H26" s="1"/>
    </row>
    <row r="27" spans="1:8" x14ac:dyDescent="0.25">
      <c r="A27" s="28"/>
      <c r="B27" s="7" t="s">
        <v>134</v>
      </c>
      <c r="C27" s="13"/>
      <c r="D27" s="7">
        <v>500</v>
      </c>
      <c r="E27" s="7">
        <v>1</v>
      </c>
      <c r="F27" s="7" t="s">
        <v>126</v>
      </c>
      <c r="G27" s="7">
        <f>D27*E27</f>
        <v>500</v>
      </c>
      <c r="H27" s="10"/>
    </row>
    <row r="28" spans="1:8" x14ac:dyDescent="0.25">
      <c r="A28" s="28"/>
      <c r="B28" s="29" t="s">
        <v>6</v>
      </c>
      <c r="C28" s="30"/>
      <c r="D28" s="31"/>
      <c r="E28" s="8"/>
      <c r="F28" s="8"/>
      <c r="G28" s="11">
        <f>SUM(G23:G27)</f>
        <v>6979</v>
      </c>
      <c r="H28" s="1"/>
    </row>
    <row r="29" spans="1:8" x14ac:dyDescent="0.25">
      <c r="A29" s="1" t="s">
        <v>14</v>
      </c>
      <c r="B29" s="1" t="s">
        <v>1</v>
      </c>
      <c r="C29" s="1" t="s">
        <v>2</v>
      </c>
      <c r="D29" s="1" t="s">
        <v>3</v>
      </c>
      <c r="E29" s="7" t="s">
        <v>118</v>
      </c>
      <c r="F29" s="7"/>
      <c r="G29" s="1" t="s">
        <v>4</v>
      </c>
      <c r="H29" s="1" t="s">
        <v>5</v>
      </c>
    </row>
    <row r="30" spans="1:8" x14ac:dyDescent="0.25">
      <c r="A30" s="28" t="s">
        <v>51</v>
      </c>
      <c r="B30" s="1" t="s">
        <v>52</v>
      </c>
      <c r="C30" s="1" t="s">
        <v>58</v>
      </c>
      <c r="D30" s="1">
        <v>16</v>
      </c>
      <c r="E30" s="7">
        <v>10</v>
      </c>
      <c r="F30" s="7" t="s">
        <v>121</v>
      </c>
      <c r="G30" s="7">
        <f t="shared" ref="G30:G34" si="3">D30*E30</f>
        <v>160</v>
      </c>
      <c r="H30" s="1"/>
    </row>
    <row r="31" spans="1:8" x14ac:dyDescent="0.25">
      <c r="A31" s="28"/>
      <c r="B31" s="1" t="s">
        <v>53</v>
      </c>
      <c r="C31" s="1" t="s">
        <v>57</v>
      </c>
      <c r="D31" s="1">
        <v>11</v>
      </c>
      <c r="E31" s="7">
        <v>10</v>
      </c>
      <c r="F31" s="7" t="s">
        <v>128</v>
      </c>
      <c r="G31" s="7">
        <f t="shared" si="3"/>
        <v>110</v>
      </c>
      <c r="H31" s="1"/>
    </row>
    <row r="32" spans="1:8" x14ac:dyDescent="0.25">
      <c r="A32" s="28"/>
      <c r="B32" s="1" t="s">
        <v>54</v>
      </c>
      <c r="C32" s="1" t="s">
        <v>42</v>
      </c>
      <c r="D32" s="1">
        <v>21.6</v>
      </c>
      <c r="E32" s="7">
        <v>5</v>
      </c>
      <c r="F32" s="7" t="s">
        <v>123</v>
      </c>
      <c r="G32" s="7">
        <f t="shared" si="3"/>
        <v>108</v>
      </c>
      <c r="H32" s="1"/>
    </row>
    <row r="33" spans="1:8" x14ac:dyDescent="0.25">
      <c r="A33" s="28"/>
      <c r="B33" s="1" t="s">
        <v>31</v>
      </c>
      <c r="C33" s="1" t="s">
        <v>9</v>
      </c>
      <c r="D33" s="1">
        <v>45</v>
      </c>
      <c r="E33" s="7">
        <v>4</v>
      </c>
      <c r="F33" s="7" t="s">
        <v>123</v>
      </c>
      <c r="G33" s="7">
        <f t="shared" si="3"/>
        <v>180</v>
      </c>
      <c r="H33" s="1"/>
    </row>
    <row r="34" spans="1:8" x14ac:dyDescent="0.25">
      <c r="A34" s="28"/>
      <c r="B34" s="1" t="s">
        <v>33</v>
      </c>
      <c r="C34" s="1" t="s">
        <v>45</v>
      </c>
      <c r="D34" s="1">
        <v>21.66</v>
      </c>
      <c r="E34" s="7">
        <v>3</v>
      </c>
      <c r="F34" s="7" t="s">
        <v>123</v>
      </c>
      <c r="G34" s="7">
        <f t="shared" si="3"/>
        <v>64.98</v>
      </c>
      <c r="H34" s="1"/>
    </row>
    <row r="35" spans="1:8" x14ac:dyDescent="0.25">
      <c r="A35" s="28"/>
      <c r="B35" s="1" t="s">
        <v>55</v>
      </c>
      <c r="C35" s="1" t="s">
        <v>56</v>
      </c>
      <c r="D35" s="7">
        <v>110</v>
      </c>
      <c r="E35" s="7">
        <v>1</v>
      </c>
      <c r="F35" s="7" t="s">
        <v>121</v>
      </c>
      <c r="G35" s="7">
        <f>D35*E35</f>
        <v>110</v>
      </c>
      <c r="H35" s="1"/>
    </row>
    <row r="36" spans="1:8" x14ac:dyDescent="0.25">
      <c r="A36" s="28"/>
      <c r="B36" s="29"/>
      <c r="C36" s="30"/>
      <c r="D36" s="31"/>
      <c r="E36" s="8"/>
      <c r="F36" s="8"/>
      <c r="G36" s="11">
        <f>SUM(G30:G35)</f>
        <v>732.98</v>
      </c>
      <c r="H36" s="1"/>
    </row>
    <row r="37" spans="1:8" x14ac:dyDescent="0.25">
      <c r="A37" s="1" t="s">
        <v>16</v>
      </c>
      <c r="B37" s="1" t="s">
        <v>1</v>
      </c>
      <c r="C37" s="1" t="s">
        <v>2</v>
      </c>
      <c r="D37" s="1" t="s">
        <v>3</v>
      </c>
      <c r="E37" s="8" t="s">
        <v>118</v>
      </c>
      <c r="F37" s="8"/>
      <c r="G37" s="3" t="s">
        <v>4</v>
      </c>
      <c r="H37" s="1" t="s">
        <v>5</v>
      </c>
    </row>
    <row r="38" spans="1:8" x14ac:dyDescent="0.25">
      <c r="A38" s="38"/>
      <c r="B38" s="1" t="s">
        <v>136</v>
      </c>
      <c r="C38" s="1"/>
      <c r="D38" s="1">
        <v>13.26</v>
      </c>
      <c r="E38" s="7">
        <v>65</v>
      </c>
      <c r="F38" s="7" t="s">
        <v>137</v>
      </c>
      <c r="G38" s="17">
        <f>E38*D38</f>
        <v>861.9</v>
      </c>
      <c r="H38" s="1"/>
    </row>
    <row r="39" spans="1:8" x14ac:dyDescent="0.25">
      <c r="A39" s="39"/>
      <c r="B39" s="1"/>
      <c r="C39" s="1"/>
      <c r="D39" s="1"/>
      <c r="E39" s="7"/>
      <c r="F39" s="7"/>
      <c r="G39" s="1"/>
      <c r="H39" s="1"/>
    </row>
    <row r="40" spans="1:8" x14ac:dyDescent="0.25">
      <c r="A40" s="40"/>
      <c r="B40" s="29" t="s">
        <v>6</v>
      </c>
      <c r="C40" s="30"/>
      <c r="D40" s="31"/>
      <c r="E40" s="8"/>
      <c r="F40" s="8"/>
      <c r="G40" s="12">
        <f>SUM(G38:G39)</f>
        <v>861.9</v>
      </c>
      <c r="H40" s="5"/>
    </row>
    <row r="41" spans="1:8" x14ac:dyDescent="0.25">
      <c r="A41" s="6" t="s">
        <v>17</v>
      </c>
      <c r="B41" s="1" t="s">
        <v>1</v>
      </c>
      <c r="C41" s="1" t="s">
        <v>2</v>
      </c>
      <c r="D41" s="1" t="s">
        <v>3</v>
      </c>
      <c r="E41" s="7" t="s">
        <v>118</v>
      </c>
      <c r="F41" s="7"/>
      <c r="G41" s="1" t="s">
        <v>4</v>
      </c>
      <c r="H41" s="1"/>
    </row>
    <row r="42" spans="1:8" x14ac:dyDescent="0.25">
      <c r="A42" s="28" t="s">
        <v>50</v>
      </c>
      <c r="B42" s="7" t="s">
        <v>119</v>
      </c>
      <c r="C42" s="7"/>
      <c r="D42" s="7">
        <v>120</v>
      </c>
      <c r="E42" s="7">
        <v>3</v>
      </c>
      <c r="F42" s="7" t="s">
        <v>120</v>
      </c>
      <c r="G42" s="1">
        <f>D42*E42</f>
        <v>360</v>
      </c>
      <c r="H42" s="1"/>
    </row>
    <row r="43" spans="1:8" x14ac:dyDescent="0.25">
      <c r="A43" s="28"/>
      <c r="B43" s="7" t="s">
        <v>129</v>
      </c>
      <c r="C43" s="7"/>
      <c r="D43" s="7">
        <v>185</v>
      </c>
      <c r="E43" s="7">
        <v>2</v>
      </c>
      <c r="F43" s="7" t="s">
        <v>120</v>
      </c>
      <c r="G43" s="7">
        <f t="shared" ref="G43:G44" si="4">D43*E43</f>
        <v>370</v>
      </c>
      <c r="H43" s="1"/>
    </row>
    <row r="44" spans="1:8" x14ac:dyDescent="0.25">
      <c r="A44" s="28"/>
      <c r="B44" s="1" t="s">
        <v>127</v>
      </c>
      <c r="C44" s="1"/>
      <c r="D44" s="1">
        <v>125</v>
      </c>
      <c r="E44" s="7">
        <v>72</v>
      </c>
      <c r="F44" s="7" t="s">
        <v>120</v>
      </c>
      <c r="G44" s="7">
        <f t="shared" si="4"/>
        <v>9000</v>
      </c>
      <c r="H44" s="1"/>
    </row>
    <row r="45" spans="1:8" x14ac:dyDescent="0.25">
      <c r="A45" s="28"/>
      <c r="B45" s="1"/>
      <c r="C45" s="1"/>
      <c r="D45" s="1"/>
      <c r="E45" s="7"/>
      <c r="F45" s="7"/>
      <c r="G45" s="1"/>
      <c r="H45" s="1"/>
    </row>
    <row r="46" spans="1:8" x14ac:dyDescent="0.25">
      <c r="A46" s="28"/>
      <c r="B46" s="29" t="s">
        <v>6</v>
      </c>
      <c r="C46" s="30"/>
      <c r="D46" s="31"/>
      <c r="E46" s="8"/>
      <c r="F46" s="8"/>
      <c r="G46" s="11">
        <f>SUM(G42:G45)</f>
        <v>9730</v>
      </c>
      <c r="H46" s="1"/>
    </row>
    <row r="47" spans="1:8" x14ac:dyDescent="0.25">
      <c r="A47" s="1"/>
      <c r="B47" s="35" t="s">
        <v>18</v>
      </c>
      <c r="C47" s="36"/>
      <c r="D47" s="37"/>
      <c r="E47" s="9"/>
      <c r="F47" s="9"/>
      <c r="G47" s="16">
        <f>G46+G40+G36+G28+G15+G7+G21</f>
        <v>26468.28</v>
      </c>
      <c r="H47" s="1"/>
    </row>
  </sheetData>
  <mergeCells count="16">
    <mergeCell ref="A42:A46"/>
    <mergeCell ref="B46:D46"/>
    <mergeCell ref="B47:D47"/>
    <mergeCell ref="A23:A28"/>
    <mergeCell ref="B28:D28"/>
    <mergeCell ref="A30:A36"/>
    <mergeCell ref="B36:D36"/>
    <mergeCell ref="A38:A40"/>
    <mergeCell ref="B40:D40"/>
    <mergeCell ref="A17:A21"/>
    <mergeCell ref="B21:D21"/>
    <mergeCell ref="A1:H1"/>
    <mergeCell ref="A3:A7"/>
    <mergeCell ref="B7:D7"/>
    <mergeCell ref="A9:A15"/>
    <mergeCell ref="B15:D1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A1: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22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2" t="s">
        <v>179</v>
      </c>
      <c r="F2" s="22"/>
      <c r="G2" s="1" t="s">
        <v>4</v>
      </c>
      <c r="H2" s="1" t="s">
        <v>5</v>
      </c>
    </row>
    <row r="3" spans="1:8" x14ac:dyDescent="0.25">
      <c r="A3" s="28" t="s">
        <v>61</v>
      </c>
      <c r="B3" s="1" t="s">
        <v>62</v>
      </c>
      <c r="C3" s="1" t="s">
        <v>100</v>
      </c>
      <c r="D3" s="1">
        <v>99</v>
      </c>
      <c r="E3" s="22">
        <v>63.7</v>
      </c>
      <c r="F3" s="22" t="s">
        <v>182</v>
      </c>
      <c r="G3" s="17">
        <f>D3*E3</f>
        <v>6306.3</v>
      </c>
      <c r="H3" s="1"/>
    </row>
    <row r="4" spans="1:8" x14ac:dyDescent="0.25">
      <c r="A4" s="28"/>
      <c r="B4" s="1"/>
      <c r="C4" s="1"/>
      <c r="D4" s="1"/>
      <c r="E4" s="22"/>
      <c r="F4" s="22"/>
      <c r="G4" s="1"/>
      <c r="H4" s="1"/>
    </row>
    <row r="5" spans="1:8" x14ac:dyDescent="0.25">
      <c r="A5" s="28"/>
      <c r="B5" s="1"/>
      <c r="C5" s="1"/>
      <c r="D5" s="1"/>
      <c r="E5" s="22"/>
      <c r="F5" s="22"/>
      <c r="G5" s="1"/>
      <c r="H5" s="1"/>
    </row>
    <row r="6" spans="1:8" x14ac:dyDescent="0.25">
      <c r="A6" s="28"/>
      <c r="B6" s="1"/>
      <c r="C6" s="1"/>
      <c r="D6" s="1"/>
      <c r="E6" s="23"/>
      <c r="F6" s="23"/>
      <c r="G6" s="3"/>
      <c r="H6" s="1"/>
    </row>
    <row r="7" spans="1:8" x14ac:dyDescent="0.25">
      <c r="A7" s="28"/>
      <c r="B7" s="29" t="s">
        <v>6</v>
      </c>
      <c r="C7" s="30"/>
      <c r="D7" s="31"/>
      <c r="E7" s="23"/>
      <c r="F7" s="23"/>
      <c r="G7" s="12">
        <f>SUM(G3:G6)</f>
        <v>6306.3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2" t="s">
        <v>179</v>
      </c>
      <c r="F8" s="22"/>
      <c r="G8" s="1" t="s">
        <v>4</v>
      </c>
      <c r="H8" s="1" t="s">
        <v>5</v>
      </c>
    </row>
    <row r="9" spans="1:8" x14ac:dyDescent="0.25">
      <c r="A9" s="28" t="s">
        <v>63</v>
      </c>
      <c r="B9" s="1" t="s">
        <v>101</v>
      </c>
      <c r="C9" s="1" t="s">
        <v>99</v>
      </c>
      <c r="D9" s="1">
        <v>94.5</v>
      </c>
      <c r="E9" s="22">
        <v>5</v>
      </c>
      <c r="F9" s="22" t="s">
        <v>182</v>
      </c>
      <c r="G9" s="1">
        <f>D9*E9</f>
        <v>472.5</v>
      </c>
      <c r="H9" s="1"/>
    </row>
    <row r="10" spans="1:8" x14ac:dyDescent="0.25">
      <c r="A10" s="28"/>
      <c r="B10" s="1" t="s">
        <v>90</v>
      </c>
      <c r="C10" s="1" t="s">
        <v>103</v>
      </c>
      <c r="D10" s="1">
        <v>93</v>
      </c>
      <c r="E10" s="22">
        <v>40</v>
      </c>
      <c r="F10" s="22" t="s">
        <v>182</v>
      </c>
      <c r="G10" s="22">
        <f t="shared" ref="G10:G11" si="0">D10*E10</f>
        <v>3720</v>
      </c>
      <c r="H10" s="1"/>
    </row>
    <row r="11" spans="1:8" x14ac:dyDescent="0.25">
      <c r="A11" s="28"/>
      <c r="B11" s="1" t="s">
        <v>102</v>
      </c>
      <c r="C11" s="1" t="s">
        <v>104</v>
      </c>
      <c r="D11" s="1">
        <v>12</v>
      </c>
      <c r="E11" s="22">
        <v>80</v>
      </c>
      <c r="F11" s="22" t="s">
        <v>183</v>
      </c>
      <c r="G11" s="22">
        <f t="shared" si="0"/>
        <v>960</v>
      </c>
      <c r="H11" s="1"/>
    </row>
    <row r="12" spans="1:8" x14ac:dyDescent="0.25">
      <c r="A12" s="28"/>
      <c r="B12" s="1"/>
      <c r="C12" s="1"/>
      <c r="D12" s="1"/>
      <c r="E12" s="22"/>
      <c r="F12" s="22"/>
      <c r="G12" s="1"/>
      <c r="H12" s="1"/>
    </row>
    <row r="13" spans="1:8" x14ac:dyDescent="0.25">
      <c r="A13" s="28"/>
      <c r="B13" s="1"/>
      <c r="C13" s="1"/>
      <c r="D13" s="1"/>
      <c r="E13" s="22"/>
      <c r="F13" s="22"/>
      <c r="G13" s="1"/>
      <c r="H13" s="1"/>
    </row>
    <row r="14" spans="1:8" x14ac:dyDescent="0.25">
      <c r="A14" s="28"/>
      <c r="B14" s="29" t="s">
        <v>6</v>
      </c>
      <c r="C14" s="30"/>
      <c r="D14" s="31"/>
      <c r="E14" s="23"/>
      <c r="F14" s="23"/>
      <c r="G14" s="12">
        <f>SUM(G9:G13)</f>
        <v>5152.5</v>
      </c>
      <c r="H14" s="1"/>
    </row>
    <row r="15" spans="1:8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2" t="s">
        <v>179</v>
      </c>
      <c r="F15" s="22"/>
      <c r="G15" s="1" t="s">
        <v>4</v>
      </c>
      <c r="H15" s="1" t="s">
        <v>5</v>
      </c>
    </row>
    <row r="16" spans="1:8" x14ac:dyDescent="0.25">
      <c r="A16" s="28" t="s">
        <v>64</v>
      </c>
      <c r="B16" s="1" t="s">
        <v>105</v>
      </c>
      <c r="C16" s="1" t="s">
        <v>107</v>
      </c>
      <c r="D16" s="1">
        <v>28.56</v>
      </c>
      <c r="E16" s="22">
        <v>50</v>
      </c>
      <c r="F16" s="22" t="s">
        <v>182</v>
      </c>
      <c r="G16" s="1">
        <f>D16*E16</f>
        <v>1428</v>
      </c>
      <c r="H16" s="1"/>
    </row>
    <row r="17" spans="1:8" x14ac:dyDescent="0.25">
      <c r="A17" s="28"/>
      <c r="B17" s="1" t="s">
        <v>106</v>
      </c>
      <c r="C17" s="1" t="s">
        <v>89</v>
      </c>
      <c r="D17" s="1">
        <v>79.599999999999994</v>
      </c>
      <c r="E17" s="22">
        <v>15</v>
      </c>
      <c r="F17" s="22" t="s">
        <v>182</v>
      </c>
      <c r="G17" s="22">
        <f t="shared" ref="G17:G19" si="1">D17*E17</f>
        <v>1194</v>
      </c>
      <c r="H17" s="1"/>
    </row>
    <row r="18" spans="1:8" x14ac:dyDescent="0.25">
      <c r="A18" s="28"/>
      <c r="B18" s="1" t="s">
        <v>84</v>
      </c>
      <c r="C18" s="1" t="s">
        <v>93</v>
      </c>
      <c r="D18" s="1">
        <v>30.6</v>
      </c>
      <c r="E18" s="22">
        <v>8</v>
      </c>
      <c r="F18" s="22" t="s">
        <v>182</v>
      </c>
      <c r="G18" s="22">
        <f t="shared" si="1"/>
        <v>244.8</v>
      </c>
      <c r="H18" s="1"/>
    </row>
    <row r="19" spans="1:8" x14ac:dyDescent="0.25">
      <c r="A19" s="28"/>
      <c r="B19" s="1" t="s">
        <v>96</v>
      </c>
      <c r="C19" s="1" t="s">
        <v>98</v>
      </c>
      <c r="D19" s="1">
        <v>12.6</v>
      </c>
      <c r="E19" s="23">
        <v>2</v>
      </c>
      <c r="F19" s="23" t="s">
        <v>182</v>
      </c>
      <c r="G19" s="22">
        <f t="shared" si="1"/>
        <v>25.2</v>
      </c>
      <c r="H19" s="1"/>
    </row>
    <row r="20" spans="1:8" x14ac:dyDescent="0.25">
      <c r="A20" s="28"/>
      <c r="B20" s="29" t="s">
        <v>6</v>
      </c>
      <c r="C20" s="30"/>
      <c r="D20" s="31"/>
      <c r="E20" s="23"/>
      <c r="F20" s="23"/>
      <c r="G20" s="11">
        <f>SUM(G16:G19)</f>
        <v>2892</v>
      </c>
      <c r="H20" s="1"/>
    </row>
    <row r="21" spans="1:8" x14ac:dyDescent="0.25">
      <c r="A21" s="4" t="s">
        <v>13</v>
      </c>
      <c r="B21" s="1" t="s">
        <v>1</v>
      </c>
      <c r="C21" s="1" t="s">
        <v>2</v>
      </c>
      <c r="D21" s="1" t="s">
        <v>3</v>
      </c>
      <c r="E21" s="22" t="s">
        <v>179</v>
      </c>
      <c r="F21" s="22"/>
      <c r="G21" s="1" t="s">
        <v>4</v>
      </c>
      <c r="H21" s="1" t="s">
        <v>5</v>
      </c>
    </row>
    <row r="22" spans="1:8" x14ac:dyDescent="0.25">
      <c r="A22" s="28"/>
      <c r="B22" s="1"/>
      <c r="C22" s="1"/>
      <c r="D22" s="1"/>
      <c r="E22" s="22"/>
      <c r="F22" s="22"/>
      <c r="G22" s="1"/>
      <c r="H22" s="1"/>
    </row>
    <row r="23" spans="1:8" x14ac:dyDescent="0.25">
      <c r="A23" s="28"/>
      <c r="B23" s="1"/>
      <c r="C23" s="1"/>
      <c r="D23" s="1"/>
      <c r="E23" s="22"/>
      <c r="F23" s="22"/>
      <c r="G23" s="1"/>
      <c r="H23" s="1"/>
    </row>
    <row r="24" spans="1:8" x14ac:dyDescent="0.25">
      <c r="A24" s="28"/>
      <c r="B24" s="1"/>
      <c r="C24" s="1"/>
      <c r="D24" s="1"/>
      <c r="E24" s="22"/>
      <c r="F24" s="22"/>
      <c r="G24" s="1"/>
      <c r="H24" s="1"/>
    </row>
    <row r="25" spans="1:8" x14ac:dyDescent="0.25">
      <c r="A25" s="28"/>
      <c r="B25" s="1"/>
      <c r="C25" s="1"/>
      <c r="D25" s="1"/>
      <c r="E25" s="22"/>
      <c r="F25" s="22"/>
      <c r="G25" s="1"/>
      <c r="H25" s="1"/>
    </row>
    <row r="26" spans="1:8" x14ac:dyDescent="0.25">
      <c r="A26" s="28"/>
      <c r="B26" s="29" t="s">
        <v>6</v>
      </c>
      <c r="C26" s="30"/>
      <c r="D26" s="31"/>
      <c r="E26" s="23"/>
      <c r="F26" s="23"/>
      <c r="G26" s="3"/>
      <c r="H26" s="1"/>
    </row>
    <row r="27" spans="1:8" x14ac:dyDescent="0.25">
      <c r="A27" s="1" t="s">
        <v>14</v>
      </c>
      <c r="B27" s="1" t="s">
        <v>1</v>
      </c>
      <c r="C27" s="1" t="s">
        <v>2</v>
      </c>
      <c r="D27" s="1" t="s">
        <v>3</v>
      </c>
      <c r="E27" s="22" t="s">
        <v>179</v>
      </c>
      <c r="F27" s="22"/>
      <c r="G27" s="1" t="s">
        <v>4</v>
      </c>
      <c r="H27" s="1" t="s">
        <v>5</v>
      </c>
    </row>
    <row r="28" spans="1:8" x14ac:dyDescent="0.25">
      <c r="A28" s="28" t="s">
        <v>65</v>
      </c>
      <c r="B28" s="1" t="s">
        <v>66</v>
      </c>
      <c r="C28" s="1" t="s">
        <v>67</v>
      </c>
      <c r="D28" s="1">
        <v>150</v>
      </c>
      <c r="E28" s="22">
        <v>3</v>
      </c>
      <c r="F28" s="22" t="s">
        <v>184</v>
      </c>
      <c r="G28" s="1">
        <f>D28*E28</f>
        <v>450</v>
      </c>
      <c r="H28" s="1"/>
    </row>
    <row r="29" spans="1:8" x14ac:dyDescent="0.25">
      <c r="A29" s="28"/>
      <c r="B29" s="1" t="s">
        <v>68</v>
      </c>
      <c r="C29" s="1"/>
      <c r="D29" s="1"/>
      <c r="E29" s="22"/>
      <c r="F29" s="22"/>
      <c r="G29" s="1"/>
      <c r="H29" s="1" t="s">
        <v>15</v>
      </c>
    </row>
    <row r="30" spans="1:8" x14ac:dyDescent="0.25">
      <c r="A30" s="28"/>
      <c r="B30" s="1"/>
      <c r="C30" s="1"/>
      <c r="D30" s="1"/>
      <c r="E30" s="22"/>
      <c r="F30" s="22"/>
      <c r="G30" s="1"/>
      <c r="H30" s="1"/>
    </row>
    <row r="31" spans="1:8" x14ac:dyDescent="0.25">
      <c r="A31" s="28"/>
      <c r="B31" s="29"/>
      <c r="C31" s="30"/>
      <c r="D31" s="31"/>
      <c r="E31" s="23"/>
      <c r="F31" s="23"/>
      <c r="G31" s="11">
        <f>SUM(G28:G30)</f>
        <v>450</v>
      </c>
      <c r="H31" s="1"/>
    </row>
    <row r="32" spans="1:8" x14ac:dyDescent="0.25">
      <c r="A32" s="1" t="s">
        <v>16</v>
      </c>
      <c r="B32" s="1" t="s">
        <v>1</v>
      </c>
      <c r="C32" s="1" t="s">
        <v>2</v>
      </c>
      <c r="D32" s="1" t="s">
        <v>3</v>
      </c>
      <c r="E32" s="23" t="s">
        <v>179</v>
      </c>
      <c r="F32" s="23"/>
      <c r="G32" s="3" t="s">
        <v>4</v>
      </c>
      <c r="H32" s="1" t="s">
        <v>5</v>
      </c>
    </row>
    <row r="33" spans="1:8" x14ac:dyDescent="0.25">
      <c r="A33" s="38"/>
      <c r="B33" s="1" t="s">
        <v>185</v>
      </c>
      <c r="C33" s="1"/>
      <c r="D33" s="1">
        <v>12.24</v>
      </c>
      <c r="E33" s="22">
        <v>65</v>
      </c>
      <c r="F33" s="22" t="s">
        <v>182</v>
      </c>
      <c r="G33" s="1">
        <f>D33*E33</f>
        <v>795.6</v>
      </c>
      <c r="H33" s="1"/>
    </row>
    <row r="34" spans="1:8" x14ac:dyDescent="0.25">
      <c r="A34" s="39"/>
      <c r="B34" s="1" t="s">
        <v>188</v>
      </c>
      <c r="C34" s="1"/>
      <c r="D34" s="1">
        <v>25.92</v>
      </c>
      <c r="E34" s="22">
        <v>76.67</v>
      </c>
      <c r="F34" s="22" t="s">
        <v>182</v>
      </c>
      <c r="G34" s="17">
        <f>D34*E34</f>
        <v>1987.2864000000002</v>
      </c>
      <c r="H34" s="1"/>
    </row>
    <row r="35" spans="1:8" x14ac:dyDescent="0.25">
      <c r="A35" s="40"/>
      <c r="B35" s="29" t="s">
        <v>6</v>
      </c>
      <c r="C35" s="30"/>
      <c r="D35" s="31"/>
      <c r="E35" s="23"/>
      <c r="F35" s="23"/>
      <c r="G35" s="12">
        <f>SUM(G33:G34)</f>
        <v>2782.8864000000003</v>
      </c>
      <c r="H35" s="5"/>
    </row>
    <row r="36" spans="1:8" x14ac:dyDescent="0.25">
      <c r="A36" s="6" t="s">
        <v>17</v>
      </c>
      <c r="B36" s="1" t="s">
        <v>1</v>
      </c>
      <c r="C36" s="1" t="s">
        <v>2</v>
      </c>
      <c r="D36" s="1" t="s">
        <v>3</v>
      </c>
      <c r="E36" s="22" t="s">
        <v>179</v>
      </c>
      <c r="F36" s="22"/>
      <c r="G36" s="1" t="s">
        <v>4</v>
      </c>
      <c r="H36" s="1"/>
    </row>
    <row r="37" spans="1:8" x14ac:dyDescent="0.25">
      <c r="A37" s="28"/>
      <c r="B37" s="1" t="s">
        <v>180</v>
      </c>
      <c r="C37" s="1"/>
      <c r="D37" s="1">
        <v>60</v>
      </c>
      <c r="E37" s="22">
        <v>1</v>
      </c>
      <c r="F37" s="22" t="s">
        <v>181</v>
      </c>
      <c r="G37" s="1">
        <f>D37*E37</f>
        <v>60</v>
      </c>
      <c r="H37" s="1"/>
    </row>
    <row r="38" spans="1:8" x14ac:dyDescent="0.25">
      <c r="A38" s="28"/>
      <c r="B38" s="1" t="s">
        <v>186</v>
      </c>
      <c r="C38" s="1"/>
      <c r="D38" s="1">
        <v>900</v>
      </c>
      <c r="E38" s="22">
        <v>1</v>
      </c>
      <c r="F38" s="22" t="s">
        <v>187</v>
      </c>
      <c r="G38" s="22">
        <f>D38*E38</f>
        <v>900</v>
      </c>
      <c r="H38" s="1"/>
    </row>
    <row r="39" spans="1:8" x14ac:dyDescent="0.25">
      <c r="A39" s="28"/>
      <c r="B39" s="1"/>
      <c r="C39" s="1"/>
      <c r="D39" s="1"/>
      <c r="E39" s="22"/>
      <c r="F39" s="22"/>
      <c r="G39" s="1"/>
      <c r="H39" s="1"/>
    </row>
    <row r="40" spans="1:8" x14ac:dyDescent="0.25">
      <c r="A40" s="28"/>
      <c r="B40" s="1"/>
      <c r="C40" s="1"/>
      <c r="D40" s="1"/>
      <c r="E40" s="22"/>
      <c r="F40" s="22"/>
      <c r="G40" s="1"/>
      <c r="H40" s="1"/>
    </row>
    <row r="41" spans="1:8" x14ac:dyDescent="0.25">
      <c r="A41" s="28"/>
      <c r="B41" s="29" t="s">
        <v>6</v>
      </c>
      <c r="C41" s="30"/>
      <c r="D41" s="31"/>
      <c r="E41" s="23"/>
      <c r="F41" s="23"/>
      <c r="G41" s="11">
        <f>SUM(G37:G40)</f>
        <v>960</v>
      </c>
      <c r="H41" s="1"/>
    </row>
    <row r="42" spans="1:8" x14ac:dyDescent="0.25">
      <c r="A42" s="1"/>
      <c r="B42" s="35" t="s">
        <v>18</v>
      </c>
      <c r="C42" s="36"/>
      <c r="D42" s="37"/>
      <c r="E42" s="24"/>
      <c r="F42" s="24"/>
      <c r="G42" s="16">
        <f>G41+G35+G31+G20+G14+G7</f>
        <v>18543.686399999999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abSelected="1" workbookViewId="0">
      <selection activeCell="H51" sqref="H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21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2" t="s">
        <v>179</v>
      </c>
      <c r="F2" s="22"/>
      <c r="G2" s="1" t="s">
        <v>4</v>
      </c>
      <c r="H2" s="1" t="s">
        <v>5</v>
      </c>
    </row>
    <row r="3" spans="1:8" x14ac:dyDescent="0.25">
      <c r="A3" s="28" t="s">
        <v>69</v>
      </c>
      <c r="B3" s="1" t="s">
        <v>108</v>
      </c>
      <c r="C3" s="1" t="s">
        <v>109</v>
      </c>
      <c r="D3" s="1">
        <v>150</v>
      </c>
      <c r="E3" s="22">
        <v>36.67</v>
      </c>
      <c r="F3" s="22" t="s">
        <v>189</v>
      </c>
      <c r="G3" s="17">
        <f>D3*E3</f>
        <v>5500.5</v>
      </c>
      <c r="H3" s="1"/>
    </row>
    <row r="4" spans="1:8" x14ac:dyDescent="0.25">
      <c r="A4" s="28"/>
      <c r="B4" s="1"/>
      <c r="C4" s="1"/>
      <c r="D4" s="1"/>
      <c r="E4" s="22"/>
      <c r="F4" s="22"/>
      <c r="G4" s="1"/>
      <c r="H4" s="1"/>
    </row>
    <row r="5" spans="1:8" x14ac:dyDescent="0.25">
      <c r="A5" s="28"/>
      <c r="B5" s="1"/>
      <c r="C5" s="1"/>
      <c r="D5" s="1"/>
      <c r="E5" s="22"/>
      <c r="F5" s="22"/>
      <c r="G5" s="1"/>
      <c r="H5" s="1"/>
    </row>
    <row r="6" spans="1:8" x14ac:dyDescent="0.25">
      <c r="A6" s="28"/>
      <c r="B6" s="1"/>
      <c r="C6" s="1"/>
      <c r="D6" s="1"/>
      <c r="E6" s="23"/>
      <c r="F6" s="23"/>
      <c r="G6" s="3"/>
      <c r="H6" s="1"/>
    </row>
    <row r="7" spans="1:8" x14ac:dyDescent="0.25">
      <c r="A7" s="28"/>
      <c r="B7" s="29" t="s">
        <v>6</v>
      </c>
      <c r="C7" s="30"/>
      <c r="D7" s="31"/>
      <c r="E7" s="23"/>
      <c r="F7" s="23"/>
      <c r="G7" s="12">
        <f>SUM(G3:G6)</f>
        <v>5500.5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2" t="s">
        <v>179</v>
      </c>
      <c r="F8" s="22"/>
      <c r="G8" s="1" t="s">
        <v>4</v>
      </c>
      <c r="H8" s="1" t="s">
        <v>5</v>
      </c>
    </row>
    <row r="9" spans="1:8" x14ac:dyDescent="0.25">
      <c r="A9" s="28" t="s">
        <v>70</v>
      </c>
      <c r="B9" s="1" t="s">
        <v>110</v>
      </c>
      <c r="C9" s="1" t="s">
        <v>81</v>
      </c>
      <c r="D9" s="1">
        <v>37.74</v>
      </c>
      <c r="E9" s="22">
        <v>25</v>
      </c>
      <c r="F9" s="22" t="s">
        <v>189</v>
      </c>
      <c r="G9" s="17">
        <f>D9*E9</f>
        <v>943.5</v>
      </c>
      <c r="H9" s="1"/>
    </row>
    <row r="10" spans="1:8" x14ac:dyDescent="0.25">
      <c r="A10" s="28"/>
      <c r="B10" s="1" t="s">
        <v>96</v>
      </c>
      <c r="C10" s="1" t="s">
        <v>93</v>
      </c>
      <c r="D10" s="1">
        <v>11.7</v>
      </c>
      <c r="E10" s="22">
        <v>8</v>
      </c>
      <c r="F10" s="25" t="s">
        <v>189</v>
      </c>
      <c r="G10" s="17">
        <f t="shared" ref="G10:G12" si="0">D10*E10</f>
        <v>93.6</v>
      </c>
      <c r="H10" s="1"/>
    </row>
    <row r="11" spans="1:8" x14ac:dyDescent="0.25">
      <c r="A11" s="28"/>
      <c r="B11" s="1" t="s">
        <v>111</v>
      </c>
      <c r="C11" s="1" t="s">
        <v>115</v>
      </c>
      <c r="D11" s="1">
        <v>294</v>
      </c>
      <c r="E11" s="22">
        <v>2</v>
      </c>
      <c r="F11" s="25" t="s">
        <v>190</v>
      </c>
      <c r="G11" s="17">
        <f t="shared" si="0"/>
        <v>588</v>
      </c>
      <c r="H11" s="1"/>
    </row>
    <row r="12" spans="1:8" x14ac:dyDescent="0.25">
      <c r="A12" s="28"/>
      <c r="B12" s="1" t="s">
        <v>84</v>
      </c>
      <c r="C12" s="1" t="s">
        <v>85</v>
      </c>
      <c r="D12" s="1">
        <v>30.6</v>
      </c>
      <c r="E12" s="22">
        <v>15</v>
      </c>
      <c r="F12" s="25" t="s">
        <v>189</v>
      </c>
      <c r="G12" s="17">
        <f t="shared" si="0"/>
        <v>459</v>
      </c>
      <c r="H12" s="1"/>
    </row>
    <row r="13" spans="1:8" x14ac:dyDescent="0.25">
      <c r="A13" s="28"/>
      <c r="B13" s="1"/>
      <c r="C13" s="1"/>
      <c r="D13" s="1"/>
      <c r="E13" s="22"/>
      <c r="F13" s="22"/>
      <c r="G13" s="1"/>
      <c r="H13" s="1"/>
    </row>
    <row r="14" spans="1:8" x14ac:dyDescent="0.25">
      <c r="A14" s="28"/>
      <c r="B14" s="29" t="s">
        <v>6</v>
      </c>
      <c r="C14" s="30"/>
      <c r="D14" s="31"/>
      <c r="E14" s="23"/>
      <c r="F14" s="23"/>
      <c r="G14" s="12">
        <f>SUM(G9:G13)</f>
        <v>2084.1</v>
      </c>
      <c r="H14" s="1"/>
    </row>
    <row r="15" spans="1:8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2" t="s">
        <v>179</v>
      </c>
      <c r="F15" s="22"/>
      <c r="G15" s="1" t="s">
        <v>4</v>
      </c>
      <c r="H15" s="1" t="s">
        <v>5</v>
      </c>
    </row>
    <row r="16" spans="1:8" x14ac:dyDescent="0.25">
      <c r="A16" s="28" t="s">
        <v>71</v>
      </c>
      <c r="B16" s="1" t="s">
        <v>112</v>
      </c>
      <c r="C16" s="1" t="s">
        <v>116</v>
      </c>
      <c r="D16" s="1">
        <v>11.7</v>
      </c>
      <c r="E16" s="22">
        <v>30</v>
      </c>
      <c r="F16" s="22" t="s">
        <v>189</v>
      </c>
      <c r="G16" s="1">
        <f>D16*E16</f>
        <v>351</v>
      </c>
      <c r="H16" s="1"/>
    </row>
    <row r="17" spans="1:8" x14ac:dyDescent="0.25">
      <c r="A17" s="28"/>
      <c r="B17" s="1" t="s">
        <v>113</v>
      </c>
      <c r="C17" s="1" t="s">
        <v>85</v>
      </c>
      <c r="D17" s="1">
        <v>99</v>
      </c>
      <c r="E17" s="22">
        <v>15</v>
      </c>
      <c r="F17" s="22" t="s">
        <v>189</v>
      </c>
      <c r="G17" s="25">
        <f t="shared" ref="G17:G18" si="1">D17*E17</f>
        <v>1485</v>
      </c>
      <c r="H17" s="1"/>
    </row>
    <row r="18" spans="1:8" x14ac:dyDescent="0.25">
      <c r="A18" s="28"/>
      <c r="B18" s="1" t="s">
        <v>114</v>
      </c>
      <c r="C18" s="1" t="s">
        <v>117</v>
      </c>
      <c r="D18" s="1">
        <v>45</v>
      </c>
      <c r="E18" s="22">
        <v>4</v>
      </c>
      <c r="F18" s="25" t="s">
        <v>189</v>
      </c>
      <c r="G18" s="25">
        <f t="shared" si="1"/>
        <v>180</v>
      </c>
      <c r="H18" s="1"/>
    </row>
    <row r="19" spans="1:8" x14ac:dyDescent="0.25">
      <c r="A19" s="28"/>
      <c r="B19" s="1"/>
      <c r="C19" s="1"/>
      <c r="D19" s="1"/>
      <c r="E19" s="23"/>
      <c r="F19" s="23"/>
      <c r="G19" s="3"/>
      <c r="H19" s="1"/>
    </row>
    <row r="20" spans="1:8" x14ac:dyDescent="0.25">
      <c r="A20" s="28"/>
      <c r="B20" s="29" t="s">
        <v>6</v>
      </c>
      <c r="C20" s="30"/>
      <c r="D20" s="31"/>
      <c r="E20" s="23"/>
      <c r="F20" s="23"/>
      <c r="G20" s="11">
        <f>SUM(G16:G19)</f>
        <v>2016</v>
      </c>
      <c r="H20" s="1"/>
    </row>
    <row r="21" spans="1:8" x14ac:dyDescent="0.25">
      <c r="A21" s="4" t="s">
        <v>13</v>
      </c>
      <c r="B21" s="1" t="s">
        <v>1</v>
      </c>
      <c r="C21" s="1" t="s">
        <v>2</v>
      </c>
      <c r="D21" s="1" t="s">
        <v>3</v>
      </c>
      <c r="E21" s="22" t="s">
        <v>179</v>
      </c>
      <c r="F21" s="22"/>
      <c r="G21" s="1" t="s">
        <v>4</v>
      </c>
      <c r="H21" s="1" t="s">
        <v>5</v>
      </c>
    </row>
    <row r="22" spans="1:8" x14ac:dyDescent="0.25">
      <c r="A22" s="28"/>
      <c r="B22" s="1" t="s">
        <v>199</v>
      </c>
      <c r="C22" s="1"/>
      <c r="D22" s="1">
        <v>225</v>
      </c>
      <c r="E22" s="22">
        <v>2</v>
      </c>
      <c r="F22" s="22" t="s">
        <v>200</v>
      </c>
      <c r="G22" s="1">
        <f>D22*E22</f>
        <v>450</v>
      </c>
      <c r="H22" s="1"/>
    </row>
    <row r="23" spans="1:8" x14ac:dyDescent="0.25">
      <c r="A23" s="28"/>
      <c r="B23" s="1" t="s">
        <v>201</v>
      </c>
      <c r="C23" s="1"/>
      <c r="D23" s="1">
        <v>291</v>
      </c>
      <c r="E23" s="22">
        <v>1</v>
      </c>
      <c r="F23" s="22" t="s">
        <v>200</v>
      </c>
      <c r="G23" s="25">
        <f t="shared" ref="G23:G32" si="2">D23*E23</f>
        <v>291</v>
      </c>
      <c r="H23" s="1"/>
    </row>
    <row r="24" spans="1:8" x14ac:dyDescent="0.25">
      <c r="A24" s="28"/>
      <c r="B24" s="1" t="s">
        <v>202</v>
      </c>
      <c r="C24" s="1"/>
      <c r="D24" s="1">
        <v>235</v>
      </c>
      <c r="E24" s="22">
        <v>1</v>
      </c>
      <c r="F24" s="22" t="s">
        <v>200</v>
      </c>
      <c r="G24" s="25">
        <f t="shared" si="2"/>
        <v>235</v>
      </c>
      <c r="H24" s="1"/>
    </row>
    <row r="25" spans="1:8" x14ac:dyDescent="0.25">
      <c r="A25" s="28"/>
      <c r="B25" s="1" t="s">
        <v>203</v>
      </c>
      <c r="C25" s="1"/>
      <c r="D25" s="1">
        <v>339</v>
      </c>
      <c r="E25" s="25">
        <v>2</v>
      </c>
      <c r="F25" s="25" t="s">
        <v>200</v>
      </c>
      <c r="G25" s="25">
        <f t="shared" si="2"/>
        <v>678</v>
      </c>
      <c r="H25" s="1"/>
    </row>
    <row r="26" spans="1:8" x14ac:dyDescent="0.25">
      <c r="A26" s="28"/>
      <c r="B26" s="25" t="s">
        <v>204</v>
      </c>
      <c r="C26" s="25"/>
      <c r="D26" s="25">
        <v>181</v>
      </c>
      <c r="E26" s="25">
        <v>1</v>
      </c>
      <c r="F26" s="26" t="s">
        <v>200</v>
      </c>
      <c r="G26" s="25">
        <f t="shared" si="2"/>
        <v>181</v>
      </c>
      <c r="H26" s="25"/>
    </row>
    <row r="27" spans="1:8" x14ac:dyDescent="0.25">
      <c r="A27" s="28"/>
      <c r="B27" s="25" t="s">
        <v>205</v>
      </c>
      <c r="C27" s="25"/>
      <c r="D27" s="25">
        <v>1188</v>
      </c>
      <c r="E27" s="25">
        <v>1</v>
      </c>
      <c r="F27" s="26" t="s">
        <v>200</v>
      </c>
      <c r="G27" s="25">
        <f t="shared" si="2"/>
        <v>1188</v>
      </c>
      <c r="H27" s="25"/>
    </row>
    <row r="28" spans="1:8" x14ac:dyDescent="0.25">
      <c r="A28" s="28"/>
      <c r="B28" s="25" t="s">
        <v>208</v>
      </c>
      <c r="C28" s="25"/>
      <c r="D28" s="25">
        <v>235</v>
      </c>
      <c r="E28" s="25">
        <v>2</v>
      </c>
      <c r="F28" s="26" t="s">
        <v>190</v>
      </c>
      <c r="G28" s="26">
        <f t="shared" si="2"/>
        <v>470</v>
      </c>
      <c r="H28" s="25"/>
    </row>
    <row r="29" spans="1:8" x14ac:dyDescent="0.25">
      <c r="A29" s="28"/>
      <c r="B29" s="25" t="s">
        <v>209</v>
      </c>
      <c r="C29" s="25"/>
      <c r="D29" s="25">
        <v>4.5</v>
      </c>
      <c r="E29" s="25">
        <v>50</v>
      </c>
      <c r="F29" s="26" t="s">
        <v>195</v>
      </c>
      <c r="G29" s="26">
        <f t="shared" si="2"/>
        <v>225</v>
      </c>
      <c r="H29" s="25"/>
    </row>
    <row r="30" spans="1:8" x14ac:dyDescent="0.25">
      <c r="A30" s="28"/>
      <c r="B30" s="25" t="s">
        <v>210</v>
      </c>
      <c r="C30" s="25"/>
      <c r="D30" s="25">
        <v>60</v>
      </c>
      <c r="E30" s="25">
        <v>1</v>
      </c>
      <c r="F30" s="26" t="s">
        <v>198</v>
      </c>
      <c r="G30" s="26">
        <f t="shared" si="2"/>
        <v>60</v>
      </c>
      <c r="H30" s="25"/>
    </row>
    <row r="31" spans="1:8" x14ac:dyDescent="0.25">
      <c r="A31" s="28"/>
      <c r="B31" s="25" t="s">
        <v>211</v>
      </c>
      <c r="C31" s="25"/>
      <c r="D31" s="25">
        <v>10</v>
      </c>
      <c r="E31" s="25">
        <v>24</v>
      </c>
      <c r="F31" s="26" t="s">
        <v>212</v>
      </c>
      <c r="G31" s="26">
        <f t="shared" si="2"/>
        <v>240</v>
      </c>
      <c r="H31" s="25"/>
    </row>
    <row r="32" spans="1:8" x14ac:dyDescent="0.25">
      <c r="A32" s="28"/>
      <c r="B32" s="25" t="s">
        <v>213</v>
      </c>
      <c r="C32" s="25"/>
      <c r="D32" s="25">
        <v>250</v>
      </c>
      <c r="E32" s="25">
        <v>1</v>
      </c>
      <c r="F32" s="26" t="s">
        <v>214</v>
      </c>
      <c r="G32" s="26">
        <f t="shared" si="2"/>
        <v>250</v>
      </c>
      <c r="H32" s="25"/>
    </row>
    <row r="33" spans="1:8" x14ac:dyDescent="0.25">
      <c r="A33" s="28"/>
      <c r="B33" s="29" t="s">
        <v>6</v>
      </c>
      <c r="C33" s="30"/>
      <c r="D33" s="31"/>
      <c r="E33" s="23"/>
      <c r="F33" s="23"/>
      <c r="G33" s="11">
        <f>SUM(G22:G32)</f>
        <v>4268</v>
      </c>
      <c r="H33" s="1"/>
    </row>
    <row r="34" spans="1:8" x14ac:dyDescent="0.25">
      <c r="A34" s="1" t="s">
        <v>14</v>
      </c>
      <c r="B34" s="1" t="s">
        <v>1</v>
      </c>
      <c r="C34" s="1" t="s">
        <v>2</v>
      </c>
      <c r="D34" s="1" t="s">
        <v>3</v>
      </c>
      <c r="E34" s="22" t="s">
        <v>179</v>
      </c>
      <c r="F34" s="22"/>
      <c r="G34" s="1" t="s">
        <v>4</v>
      </c>
      <c r="H34" s="1" t="s">
        <v>5</v>
      </c>
    </row>
    <row r="35" spans="1:8" x14ac:dyDescent="0.25">
      <c r="A35" s="28" t="s">
        <v>72</v>
      </c>
      <c r="B35" s="1" t="s">
        <v>73</v>
      </c>
      <c r="C35" s="1"/>
      <c r="D35" s="1"/>
      <c r="E35" s="22"/>
      <c r="F35" s="22"/>
      <c r="G35" s="1"/>
      <c r="H35" s="1" t="s">
        <v>15</v>
      </c>
    </row>
    <row r="36" spans="1:8" x14ac:dyDescent="0.25">
      <c r="A36" s="28"/>
      <c r="B36" s="1"/>
      <c r="C36" s="1"/>
      <c r="D36" s="1"/>
      <c r="E36" s="22"/>
      <c r="F36" s="22"/>
      <c r="G36" s="1"/>
      <c r="H36" s="1"/>
    </row>
    <row r="37" spans="1:8" x14ac:dyDescent="0.25">
      <c r="A37" s="28"/>
      <c r="B37" s="1"/>
      <c r="C37" s="1"/>
      <c r="D37" s="1"/>
      <c r="E37" s="22"/>
      <c r="F37" s="22"/>
      <c r="G37" s="1"/>
      <c r="H37" s="1"/>
    </row>
    <row r="38" spans="1:8" x14ac:dyDescent="0.25">
      <c r="A38" s="28"/>
      <c r="B38" s="29"/>
      <c r="C38" s="30"/>
      <c r="D38" s="31"/>
      <c r="E38" s="23"/>
      <c r="F38" s="23"/>
      <c r="G38" s="3"/>
      <c r="H38" s="1"/>
    </row>
    <row r="39" spans="1:8" x14ac:dyDescent="0.25">
      <c r="A39" s="1" t="s">
        <v>16</v>
      </c>
      <c r="B39" s="1" t="s">
        <v>1</v>
      </c>
      <c r="C39" s="1" t="s">
        <v>2</v>
      </c>
      <c r="D39" s="1" t="s">
        <v>3</v>
      </c>
      <c r="E39" s="23" t="s">
        <v>179</v>
      </c>
      <c r="F39" s="23"/>
      <c r="G39" s="3" t="s">
        <v>4</v>
      </c>
      <c r="H39" s="1" t="s">
        <v>5</v>
      </c>
    </row>
    <row r="40" spans="1:8" x14ac:dyDescent="0.25">
      <c r="A40" s="38"/>
      <c r="B40" s="1" t="s">
        <v>191</v>
      </c>
      <c r="C40" s="1"/>
      <c r="D40" s="1">
        <v>18.899999999999999</v>
      </c>
      <c r="E40" s="22">
        <v>65</v>
      </c>
      <c r="F40" s="22" t="s">
        <v>189</v>
      </c>
      <c r="G40" s="17">
        <f>D40*E40</f>
        <v>1228.5</v>
      </c>
      <c r="H40" s="1"/>
    </row>
    <row r="41" spans="1:8" x14ac:dyDescent="0.25">
      <c r="A41" s="39"/>
      <c r="B41" s="1" t="s">
        <v>207</v>
      </c>
      <c r="C41" s="1"/>
      <c r="D41" s="1"/>
      <c r="E41" s="22"/>
      <c r="F41" s="22"/>
      <c r="G41" s="1"/>
      <c r="H41" s="1" t="s">
        <v>206</v>
      </c>
    </row>
    <row r="42" spans="1:8" x14ac:dyDescent="0.25">
      <c r="A42" s="40"/>
      <c r="B42" s="29" t="s">
        <v>6</v>
      </c>
      <c r="C42" s="30"/>
      <c r="D42" s="31"/>
      <c r="E42" s="23"/>
      <c r="F42" s="23"/>
      <c r="G42" s="12">
        <f>SUM(G40:G41)</f>
        <v>1228.5</v>
      </c>
      <c r="H42" s="5"/>
    </row>
    <row r="43" spans="1:8" x14ac:dyDescent="0.25">
      <c r="A43" s="6" t="s">
        <v>17</v>
      </c>
      <c r="B43" s="1" t="s">
        <v>1</v>
      </c>
      <c r="C43" s="1" t="s">
        <v>2</v>
      </c>
      <c r="D43" s="1" t="s">
        <v>3</v>
      </c>
      <c r="E43" s="22" t="s">
        <v>178</v>
      </c>
      <c r="F43" s="22"/>
      <c r="G43" s="1" t="s">
        <v>4</v>
      </c>
      <c r="H43" s="1"/>
    </row>
    <row r="44" spans="1:8" x14ac:dyDescent="0.25">
      <c r="A44" s="28"/>
      <c r="B44" s="1" t="s">
        <v>192</v>
      </c>
      <c r="C44" s="1"/>
      <c r="D44" s="1">
        <v>66</v>
      </c>
      <c r="E44" s="22">
        <v>7.55</v>
      </c>
      <c r="F44" s="22" t="s">
        <v>189</v>
      </c>
      <c r="G44" s="1">
        <f>D44*E44</f>
        <v>498.3</v>
      </c>
      <c r="H44" s="1"/>
    </row>
    <row r="45" spans="1:8" x14ac:dyDescent="0.25">
      <c r="A45" s="28"/>
      <c r="B45" s="1" t="s">
        <v>193</v>
      </c>
      <c r="C45" s="1"/>
      <c r="D45" s="1">
        <v>93</v>
      </c>
      <c r="E45" s="22">
        <v>3</v>
      </c>
      <c r="F45" s="22" t="s">
        <v>189</v>
      </c>
      <c r="G45" s="25">
        <f t="shared" ref="G45:G48" si="3">D45*E45</f>
        <v>279</v>
      </c>
      <c r="H45" s="1"/>
    </row>
    <row r="46" spans="1:8" x14ac:dyDescent="0.25">
      <c r="A46" s="28"/>
      <c r="B46" s="1" t="s">
        <v>194</v>
      </c>
      <c r="C46" s="1"/>
      <c r="D46" s="1">
        <v>10</v>
      </c>
      <c r="E46" s="22">
        <v>25</v>
      </c>
      <c r="F46" s="22" t="s">
        <v>195</v>
      </c>
      <c r="G46" s="25">
        <f t="shared" si="3"/>
        <v>250</v>
      </c>
      <c r="H46" s="1"/>
    </row>
    <row r="47" spans="1:8" x14ac:dyDescent="0.25">
      <c r="A47" s="28"/>
      <c r="B47" s="1" t="s">
        <v>196</v>
      </c>
      <c r="C47" s="1"/>
      <c r="D47" s="1">
        <v>69</v>
      </c>
      <c r="E47" s="27"/>
      <c r="F47" s="22" t="s">
        <v>189</v>
      </c>
      <c r="G47" s="25">
        <f t="shared" si="3"/>
        <v>0</v>
      </c>
      <c r="H47" s="1"/>
    </row>
    <row r="48" spans="1:8" x14ac:dyDescent="0.25">
      <c r="A48" s="28"/>
      <c r="B48" s="25" t="s">
        <v>197</v>
      </c>
      <c r="C48" s="25"/>
      <c r="D48" s="25">
        <v>50</v>
      </c>
      <c r="E48" s="25">
        <v>1</v>
      </c>
      <c r="F48" s="26" t="s">
        <v>198</v>
      </c>
      <c r="G48" s="25">
        <f t="shared" si="3"/>
        <v>50</v>
      </c>
      <c r="H48" s="25"/>
    </row>
    <row r="49" spans="1:8" x14ac:dyDescent="0.25">
      <c r="A49" s="28"/>
      <c r="B49" s="25"/>
      <c r="C49" s="25"/>
      <c r="D49" s="25"/>
      <c r="E49" s="25"/>
      <c r="F49" s="26"/>
      <c r="G49" s="26"/>
      <c r="H49" s="25"/>
    </row>
    <row r="50" spans="1:8" x14ac:dyDescent="0.25">
      <c r="A50" s="28"/>
      <c r="B50" s="29" t="s">
        <v>6</v>
      </c>
      <c r="C50" s="30"/>
      <c r="D50" s="31"/>
      <c r="E50" s="23"/>
      <c r="F50" s="23"/>
      <c r="G50" s="11">
        <f>SUM(G44:G48)</f>
        <v>1077.3</v>
      </c>
      <c r="H50" s="1"/>
    </row>
    <row r="51" spans="1:8" x14ac:dyDescent="0.25">
      <c r="A51" s="1"/>
      <c r="B51" s="35" t="s">
        <v>18</v>
      </c>
      <c r="C51" s="36"/>
      <c r="D51" s="37"/>
      <c r="E51" s="24"/>
      <c r="F51" s="24"/>
      <c r="G51" s="16">
        <f>G50+G42+G33+G7+G14+G20</f>
        <v>16174.4</v>
      </c>
      <c r="H51" s="1"/>
    </row>
  </sheetData>
  <mergeCells count="16">
    <mergeCell ref="A44:A50"/>
    <mergeCell ref="B50:D50"/>
    <mergeCell ref="B51:D51"/>
    <mergeCell ref="A22:A33"/>
    <mergeCell ref="B33:D33"/>
    <mergeCell ref="A35:A38"/>
    <mergeCell ref="B38:D38"/>
    <mergeCell ref="A40:A42"/>
    <mergeCell ref="B42:D42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0210</vt:lpstr>
      <vt:lpstr>0211</vt:lpstr>
      <vt:lpstr>0212</vt:lpstr>
      <vt:lpstr>0213</vt:lpstr>
      <vt:lpstr>0214</vt:lpstr>
      <vt:lpstr>'0210'!Print_Area</vt:lpstr>
      <vt:lpstr>'0211'!Print_Area</vt:lpstr>
      <vt:lpstr>'0212'!Print_Area</vt:lpstr>
      <vt:lpstr>'0213'!Print_Area</vt:lpstr>
      <vt:lpstr>'0214'!Print_Area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2025-02-18T05:37:47Z</cp:lastPrinted>
  <dcterms:created xsi:type="dcterms:W3CDTF">2025-01-23T13:25:29Z</dcterms:created>
  <dcterms:modified xsi:type="dcterms:W3CDTF">2025-02-18T05:39:17Z</dcterms:modified>
</cp:coreProperties>
</file>