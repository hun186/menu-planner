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2月份\"/>
    </mc:Choice>
  </mc:AlternateContent>
  <bookViews>
    <workbookView xWindow="0" yWindow="0" windowWidth="28800" windowHeight="12255" activeTab="4"/>
  </bookViews>
  <sheets>
    <sheet name="0217" sheetId="1" r:id="rId1"/>
    <sheet name="0218" sheetId="2" r:id="rId2"/>
    <sheet name="0219" sheetId="3" r:id="rId3"/>
    <sheet name="0220" sheetId="4" r:id="rId4"/>
    <sheet name="0221" sheetId="5" r:id="rId5"/>
  </sheets>
  <definedNames>
    <definedName name="_xlnm.Print_Area" localSheetId="0">'0217'!$A$1:$H$47</definedName>
    <definedName name="_xlnm.Print_Area" localSheetId="1">'0218'!$A$1:$H$42</definedName>
    <definedName name="_xlnm.Print_Area" localSheetId="2">'0219'!$A$1:$H$46</definedName>
    <definedName name="_xlnm.Print_Area" localSheetId="3">'0220'!$A$1:$H$42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" i="5" l="1"/>
  <c r="G34" i="5"/>
  <c r="G43" i="5"/>
  <c r="G42" i="5"/>
  <c r="G49" i="5"/>
  <c r="G47" i="5"/>
  <c r="G33" i="5"/>
  <c r="G32" i="5"/>
  <c r="G31" i="5"/>
  <c r="G30" i="5"/>
  <c r="G29" i="5"/>
  <c r="G28" i="5"/>
  <c r="G45" i="5"/>
  <c r="G10" i="5"/>
  <c r="G11" i="5"/>
  <c r="G39" i="5"/>
  <c r="G37" i="5"/>
  <c r="G38" i="5"/>
  <c r="G36" i="5"/>
  <c r="G17" i="5"/>
  <c r="G18" i="5"/>
  <c r="G16" i="5"/>
  <c r="G20" i="5"/>
  <c r="G9" i="5"/>
  <c r="G46" i="5"/>
  <c r="G7" i="5"/>
  <c r="G23" i="5"/>
  <c r="G24" i="5"/>
  <c r="G25" i="5"/>
  <c r="G26" i="5"/>
  <c r="G27" i="5"/>
  <c r="G22" i="5"/>
  <c r="G4" i="5"/>
  <c r="G5" i="5"/>
  <c r="G3" i="5"/>
  <c r="G14" i="5" l="1"/>
  <c r="G42" i="4"/>
  <c r="G41" i="4"/>
  <c r="G35" i="4"/>
  <c r="G20" i="4"/>
  <c r="G17" i="4"/>
  <c r="G18" i="4"/>
  <c r="G16" i="4"/>
  <c r="G38" i="4"/>
  <c r="G37" i="4"/>
  <c r="G33" i="4"/>
  <c r="G14" i="4"/>
  <c r="G10" i="4"/>
  <c r="G9" i="4"/>
  <c r="G7" i="4"/>
  <c r="G4" i="4"/>
  <c r="G5" i="4"/>
  <c r="G3" i="4"/>
  <c r="G46" i="3" l="1"/>
  <c r="G27" i="3"/>
  <c r="G26" i="3"/>
  <c r="G25" i="3"/>
  <c r="G35" i="3"/>
  <c r="G45" i="3"/>
  <c r="G17" i="3"/>
  <c r="G16" i="3"/>
  <c r="G20" i="3" s="1"/>
  <c r="G3" i="3"/>
  <c r="G7" i="3" s="1"/>
  <c r="G18" i="3"/>
  <c r="G39" i="3"/>
  <c r="G40" i="3"/>
  <c r="G41" i="3"/>
  <c r="G42" i="3"/>
  <c r="G43" i="3"/>
  <c r="G44" i="3"/>
  <c r="G38" i="3"/>
  <c r="G10" i="3"/>
  <c r="G9" i="3"/>
  <c r="G14" i="3" s="1"/>
  <c r="G23" i="3"/>
  <c r="G24" i="3"/>
  <c r="G22" i="3"/>
  <c r="G34" i="3"/>
  <c r="G36" i="3" l="1"/>
  <c r="G42" i="2"/>
  <c r="G35" i="2"/>
  <c r="G34" i="2"/>
  <c r="G33" i="2"/>
  <c r="G41" i="2"/>
  <c r="G38" i="2"/>
  <c r="G39" i="2"/>
  <c r="G37" i="2"/>
  <c r="G26" i="2"/>
  <c r="G25" i="2"/>
  <c r="G31" i="2"/>
  <c r="G29" i="2"/>
  <c r="G28" i="2"/>
  <c r="G20" i="2"/>
  <c r="G17" i="2"/>
  <c r="G18" i="2"/>
  <c r="G16" i="2"/>
  <c r="G14" i="2"/>
  <c r="G10" i="2"/>
  <c r="G9" i="2"/>
  <c r="G7" i="2"/>
  <c r="G4" i="2"/>
  <c r="G3" i="2"/>
  <c r="G24" i="2"/>
  <c r="G23" i="2"/>
  <c r="G22" i="2"/>
  <c r="G47" i="1" l="1"/>
  <c r="G39" i="1"/>
  <c r="G40" i="1" s="1"/>
  <c r="G31" i="1"/>
  <c r="G30" i="1"/>
  <c r="G4" i="1"/>
  <c r="G5" i="1"/>
  <c r="G6" i="1"/>
  <c r="G7" i="1"/>
  <c r="G8" i="1"/>
  <c r="G3" i="1"/>
  <c r="G9" i="1" s="1"/>
  <c r="G38" i="1"/>
  <c r="G34" i="1"/>
  <c r="G33" i="1"/>
  <c r="G36" i="1" s="1"/>
  <c r="G22" i="1"/>
  <c r="G19" i="1"/>
  <c r="G18" i="1"/>
  <c r="G12" i="1"/>
  <c r="G13" i="1"/>
  <c r="G14" i="1"/>
  <c r="G11" i="1"/>
  <c r="G16" i="1" s="1"/>
  <c r="G25" i="1"/>
  <c r="G26" i="1"/>
  <c r="G27" i="1"/>
  <c r="G28" i="1"/>
  <c r="G29" i="1"/>
  <c r="G24" i="1"/>
</calcChain>
</file>

<file path=xl/sharedStrings.xml><?xml version="1.0" encoding="utf-8"?>
<sst xmlns="http://schemas.openxmlformats.org/spreadsheetml/2006/main" count="561" uniqueCount="191">
  <si>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</si>
  <si>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</si>
  <si>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</si>
  <si>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</si>
  <si>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</si>
  <si>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</si>
  <si>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</si>
  <si>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</si>
  <si>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</si>
  <si>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</si>
  <si>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</si>
  <si>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</si>
  <si>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</si>
  <si>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</si>
  <si>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114年      2月   17日      午餐明細表</t>
    <phoneticPr fontId="2" type="noConversion"/>
  </si>
  <si>
    <t>電訊科技中心(安康營區)     114年      2月   18日      午餐明細表</t>
    <phoneticPr fontId="2" type="noConversion"/>
  </si>
  <si>
    <t>電訊科技中心(安康營區)     114年      2月   19日      午餐明細表</t>
    <phoneticPr fontId="2" type="noConversion"/>
  </si>
  <si>
    <t>電訊科技中心(安康營區)     114年      2月   20日      午餐明細表</t>
    <phoneticPr fontId="2" type="noConversion"/>
  </si>
  <si>
    <t>電訊科技中心(安康營區)     114年      2月   21日      午餐明細表</t>
    <phoneticPr fontId="2" type="noConversion"/>
  </si>
  <si>
    <t>宮保肉片</t>
    <phoneticPr fontId="2" type="noConversion"/>
  </si>
  <si>
    <t>三絲炒蛋</t>
    <phoneticPr fontId="2" type="noConversion"/>
  </si>
  <si>
    <t>薑絲海帶根</t>
    <phoneticPr fontId="2" type="noConversion"/>
  </si>
  <si>
    <t>冬瓜貢丸湯</t>
    <phoneticPr fontId="2" type="noConversion"/>
  </si>
  <si>
    <t>酥炸腿排</t>
    <phoneticPr fontId="2" type="noConversion"/>
  </si>
  <si>
    <t>麻婆豆腐</t>
    <phoneticPr fontId="2" type="noConversion"/>
  </si>
  <si>
    <t>胡瓜鮮菇</t>
    <phoneticPr fontId="2" type="noConversion"/>
  </si>
  <si>
    <t>白蘿蔔排骨湯</t>
    <phoneticPr fontId="2" type="noConversion"/>
  </si>
  <si>
    <t>滷雞翅</t>
    <phoneticPr fontId="2" type="noConversion"/>
  </si>
  <si>
    <t>蒜泥豆腐</t>
    <phoneticPr fontId="2" type="noConversion"/>
  </si>
  <si>
    <t>梅乾桂筍</t>
    <phoneticPr fontId="2" type="noConversion"/>
  </si>
  <si>
    <t>台式米苔目(湯)</t>
    <phoneticPr fontId="2" type="noConversion"/>
  </si>
  <si>
    <t>三杯雞</t>
    <phoneticPr fontId="2" type="noConversion"/>
  </si>
  <si>
    <t>玉米絞肉</t>
    <phoneticPr fontId="2" type="noConversion"/>
  </si>
  <si>
    <t>絲瓜寬粉</t>
    <phoneticPr fontId="2" type="noConversion"/>
  </si>
  <si>
    <t>海帶芽蛋花湯</t>
    <phoneticPr fontId="2" type="noConversion"/>
  </si>
  <si>
    <t>泡菜燒肉</t>
    <phoneticPr fontId="2" type="noConversion"/>
  </si>
  <si>
    <t>四季豆鮑菇</t>
    <phoneticPr fontId="2" type="noConversion"/>
  </si>
  <si>
    <t>黑糖地瓜湯</t>
    <phoneticPr fontId="2" type="noConversion"/>
  </si>
  <si>
    <t>去皮冬瓜</t>
    <phoneticPr fontId="2" type="noConversion"/>
  </si>
  <si>
    <t>小貢丸</t>
    <phoneticPr fontId="2" type="noConversion"/>
  </si>
  <si>
    <t>3包</t>
    <phoneticPr fontId="2" type="noConversion"/>
  </si>
  <si>
    <t>20斤</t>
    <phoneticPr fontId="2" type="noConversion"/>
  </si>
  <si>
    <t>五花肉片</t>
    <phoneticPr fontId="2" type="noConversion"/>
  </si>
  <si>
    <t>豬肉片</t>
    <phoneticPr fontId="2" type="noConversion"/>
  </si>
  <si>
    <t>去皮洋蔥</t>
    <phoneticPr fontId="2" type="noConversion"/>
  </si>
  <si>
    <t>乾辣椒</t>
    <phoneticPr fontId="2" type="noConversion"/>
  </si>
  <si>
    <t>番茄醬</t>
    <phoneticPr fontId="2" type="noConversion"/>
  </si>
  <si>
    <t>花椒粒</t>
    <phoneticPr fontId="2" type="noConversion"/>
  </si>
  <si>
    <t>1包</t>
    <phoneticPr fontId="2" type="noConversion"/>
  </si>
  <si>
    <t>25斤</t>
    <phoneticPr fontId="2" type="noConversion"/>
  </si>
  <si>
    <t>6斤</t>
    <phoneticPr fontId="2" type="noConversion"/>
  </si>
  <si>
    <t>1桶</t>
    <phoneticPr fontId="2" type="noConversion"/>
  </si>
  <si>
    <t>蛋</t>
    <phoneticPr fontId="2" type="noConversion"/>
  </si>
  <si>
    <t>紅蘿蔔絲</t>
    <phoneticPr fontId="2" type="noConversion"/>
  </si>
  <si>
    <t>木耳絲</t>
    <phoneticPr fontId="2" type="noConversion"/>
  </si>
  <si>
    <t>金針菇</t>
    <phoneticPr fontId="2" type="noConversion"/>
  </si>
  <si>
    <t>1件</t>
    <phoneticPr fontId="2" type="noConversion"/>
  </si>
  <si>
    <t>5斤</t>
    <phoneticPr fontId="2" type="noConversion"/>
  </si>
  <si>
    <t>8斤</t>
    <phoneticPr fontId="2" type="noConversion"/>
  </si>
  <si>
    <t>薑絲</t>
    <phoneticPr fontId="2" type="noConversion"/>
  </si>
  <si>
    <t>海帶根</t>
    <phoneticPr fontId="2" type="noConversion"/>
  </si>
  <si>
    <t>1斤</t>
    <phoneticPr fontId="2" type="noConversion"/>
  </si>
  <si>
    <t>腿排</t>
    <phoneticPr fontId="2" type="noConversion"/>
  </si>
  <si>
    <t>260個</t>
    <phoneticPr fontId="2" type="noConversion"/>
  </si>
  <si>
    <t>酥炸粉</t>
    <phoneticPr fontId="2" type="noConversion"/>
  </si>
  <si>
    <t>5包</t>
    <phoneticPr fontId="2" type="noConversion"/>
  </si>
  <si>
    <t>4.3豆腐</t>
    <phoneticPr fontId="2" type="noConversion"/>
  </si>
  <si>
    <t>絞肉</t>
    <phoneticPr fontId="2" type="noConversion"/>
  </si>
  <si>
    <t>15斤</t>
    <phoneticPr fontId="2" type="noConversion"/>
  </si>
  <si>
    <t>6板</t>
    <phoneticPr fontId="2" type="noConversion"/>
  </si>
  <si>
    <t>胡瓜絲</t>
    <phoneticPr fontId="2" type="noConversion"/>
  </si>
  <si>
    <t>雪白菇</t>
    <phoneticPr fontId="2" type="noConversion"/>
  </si>
  <si>
    <t>生香菇</t>
    <phoneticPr fontId="2" type="noConversion"/>
  </si>
  <si>
    <t>30斤</t>
    <phoneticPr fontId="2" type="noConversion"/>
  </si>
  <si>
    <t>白蘿蔔</t>
    <phoneticPr fontId="2" type="noConversion"/>
  </si>
  <si>
    <t>軟骨排</t>
    <phoneticPr fontId="2" type="noConversion"/>
  </si>
  <si>
    <t>雞翅</t>
    <phoneticPr fontId="2" type="noConversion"/>
  </si>
  <si>
    <t>280支</t>
    <phoneticPr fontId="2" type="noConversion"/>
  </si>
  <si>
    <t>蒜泥</t>
    <phoneticPr fontId="2" type="noConversion"/>
  </si>
  <si>
    <t>7板</t>
    <phoneticPr fontId="2" type="noConversion"/>
  </si>
  <si>
    <t>梅乾菜</t>
    <phoneticPr fontId="2" type="noConversion"/>
  </si>
  <si>
    <t>桂竹筍</t>
    <phoneticPr fontId="2" type="noConversion"/>
  </si>
  <si>
    <t>10球</t>
    <phoneticPr fontId="2" type="noConversion"/>
  </si>
  <si>
    <t>35斤</t>
    <phoneticPr fontId="2" type="noConversion"/>
  </si>
  <si>
    <t>米苔目</t>
    <phoneticPr fontId="2" type="noConversion"/>
  </si>
  <si>
    <t>韭菜</t>
    <phoneticPr fontId="2" type="noConversion"/>
  </si>
  <si>
    <t>豆芽菜</t>
    <phoneticPr fontId="2" type="noConversion"/>
  </si>
  <si>
    <t>去葉芹菜</t>
    <phoneticPr fontId="2" type="noConversion"/>
  </si>
  <si>
    <t>油蔥酥</t>
    <phoneticPr fontId="2" type="noConversion"/>
  </si>
  <si>
    <t>乾香菇絲</t>
    <phoneticPr fontId="2" type="noConversion"/>
  </si>
  <si>
    <t>半斤</t>
    <phoneticPr fontId="2" type="noConversion"/>
  </si>
  <si>
    <t>60斤</t>
    <phoneticPr fontId="2" type="noConversion"/>
  </si>
  <si>
    <t>骨腿丁</t>
    <phoneticPr fontId="2" type="noConversion"/>
  </si>
  <si>
    <t>九層塔</t>
    <phoneticPr fontId="2" type="noConversion"/>
  </si>
  <si>
    <t>10斤</t>
    <phoneticPr fontId="2" type="noConversion"/>
  </si>
  <si>
    <t>70斤</t>
    <phoneticPr fontId="2" type="noConversion"/>
  </si>
  <si>
    <t>冷凍玉米粒</t>
    <phoneticPr fontId="2" type="noConversion"/>
  </si>
  <si>
    <t>去皮絲瓜</t>
    <phoneticPr fontId="2" type="noConversion"/>
  </si>
  <si>
    <t>寬冬粉</t>
    <phoneticPr fontId="2" type="noConversion"/>
  </si>
  <si>
    <t>3斤</t>
    <phoneticPr fontId="2" type="noConversion"/>
  </si>
  <si>
    <t>50斤</t>
    <phoneticPr fontId="2" type="noConversion"/>
  </si>
  <si>
    <t>海帶芽</t>
    <phoneticPr fontId="2" type="noConversion"/>
  </si>
  <si>
    <t>庫存</t>
    <phoneticPr fontId="2" type="noConversion"/>
  </si>
  <si>
    <t>韓式泡菜</t>
    <phoneticPr fontId="2" type="noConversion"/>
  </si>
  <si>
    <t>冷凍四季豆</t>
    <phoneticPr fontId="2" type="noConversion"/>
  </si>
  <si>
    <t>杏鮑菇</t>
    <phoneticPr fontId="2" type="noConversion"/>
  </si>
  <si>
    <t>2件</t>
    <phoneticPr fontId="2" type="noConversion"/>
  </si>
  <si>
    <t>4斤</t>
    <phoneticPr fontId="2" type="noConversion"/>
  </si>
  <si>
    <t>黑糖</t>
    <phoneticPr fontId="2" type="noConversion"/>
  </si>
  <si>
    <t>去皮地瓜塊2X2</t>
    <phoneticPr fontId="2" type="noConversion"/>
  </si>
  <si>
    <t>地瓜圓</t>
    <phoneticPr fontId="2" type="noConversion"/>
  </si>
  <si>
    <t>訂貨數量</t>
  </si>
  <si>
    <t>訂貨數量</t>
    <phoneticPr fontId="2" type="noConversion"/>
  </si>
  <si>
    <t>蒜仁</t>
  </si>
  <si>
    <t>斤</t>
  </si>
  <si>
    <t>辣椒</t>
  </si>
  <si>
    <t>洗選蛋</t>
  </si>
  <si>
    <t>老薑</t>
  </si>
  <si>
    <t>杏鮑菇</t>
  </si>
  <si>
    <t>青蔥</t>
  </si>
  <si>
    <t>斤</t>
    <phoneticPr fontId="2" type="noConversion"/>
  </si>
  <si>
    <t>桶</t>
    <phoneticPr fontId="2" type="noConversion"/>
  </si>
  <si>
    <t>高麗菜</t>
    <phoneticPr fontId="2" type="noConversion"/>
  </si>
  <si>
    <t>小籠湯包</t>
    <phoneticPr fontId="2" type="noConversion"/>
  </si>
  <si>
    <t>個</t>
    <phoneticPr fontId="2" type="noConversion"/>
  </si>
  <si>
    <t>茂谷柑</t>
    <phoneticPr fontId="2" type="noConversion"/>
  </si>
  <si>
    <t>五穀米</t>
    <phoneticPr fontId="2" type="noConversion"/>
  </si>
  <si>
    <t>斤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</si>
  <si>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</si>
  <si>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</si>
  <si>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</si>
  <si>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包</t>
    <phoneticPr fontId="2" type="noConversion"/>
  </si>
  <si>
    <t>盤</t>
    <phoneticPr fontId="2" type="noConversion"/>
  </si>
  <si>
    <t>鵝白菜</t>
    <phoneticPr fontId="2" type="noConversion"/>
  </si>
  <si>
    <t>西北肉羹</t>
    <phoneticPr fontId="2" type="noConversion"/>
  </si>
  <si>
    <t>油麵</t>
    <phoneticPr fontId="2" type="noConversion"/>
  </si>
  <si>
    <t>鮮筍切絲</t>
    <phoneticPr fontId="2" type="noConversion"/>
  </si>
  <si>
    <t>吐司</t>
    <phoneticPr fontId="2" type="noConversion"/>
  </si>
  <si>
    <t>條</t>
    <phoneticPr fontId="2" type="noConversion"/>
  </si>
  <si>
    <t>柳丁</t>
    <phoneticPr fontId="2" type="noConversion"/>
  </si>
  <si>
    <t>訂貨數量</t>
    <phoneticPr fontId="2" type="noConversion"/>
  </si>
  <si>
    <t>茂谷柑</t>
    <phoneticPr fontId="2" type="noConversion"/>
  </si>
  <si>
    <t>斤</t>
    <phoneticPr fontId="2" type="noConversion"/>
  </si>
  <si>
    <t>蘿蔔糕</t>
    <phoneticPr fontId="2" type="noConversion"/>
  </si>
  <si>
    <t>包</t>
    <phoneticPr fontId="2" type="noConversion"/>
  </si>
  <si>
    <t>烤肉醬</t>
    <phoneticPr fontId="2" type="noConversion"/>
  </si>
  <si>
    <t>桶</t>
    <phoneticPr fontId="2" type="noConversion"/>
  </si>
  <si>
    <t>辣豆瓣</t>
    <phoneticPr fontId="2" type="noConversion"/>
  </si>
  <si>
    <t>盤</t>
    <phoneticPr fontId="2" type="noConversion"/>
  </si>
  <si>
    <t>前腿肉絲</t>
    <phoneticPr fontId="2" type="noConversion"/>
  </si>
  <si>
    <t>高麗菜</t>
    <phoneticPr fontId="2" type="noConversion"/>
  </si>
  <si>
    <t>米酒</t>
    <phoneticPr fontId="2" type="noConversion"/>
  </si>
  <si>
    <t>瓶</t>
    <phoneticPr fontId="2" type="noConversion"/>
  </si>
  <si>
    <t>二砂</t>
    <phoneticPr fontId="2" type="noConversion"/>
  </si>
  <si>
    <t>訂貨數量</t>
    <phoneticPr fontId="2" type="noConversion"/>
  </si>
  <si>
    <t>斤</t>
    <phoneticPr fontId="2" type="noConversion"/>
  </si>
  <si>
    <t>包</t>
    <phoneticPr fontId="2" type="noConversion"/>
  </si>
  <si>
    <t>鵝白菜</t>
    <phoneticPr fontId="2" type="noConversion"/>
  </si>
  <si>
    <t>水餃</t>
    <phoneticPr fontId="2" type="noConversion"/>
  </si>
  <si>
    <t>厚片土司</t>
    <phoneticPr fontId="2" type="noConversion"/>
  </si>
  <si>
    <t>條</t>
    <phoneticPr fontId="2" type="noConversion"/>
  </si>
  <si>
    <t>茂谷柑</t>
    <phoneticPr fontId="2" type="noConversion"/>
  </si>
  <si>
    <t>訂貨數量</t>
    <phoneticPr fontId="2" type="noConversion"/>
  </si>
  <si>
    <t>斤</t>
    <phoneticPr fontId="2" type="noConversion"/>
  </si>
  <si>
    <t>包</t>
    <phoneticPr fontId="2" type="noConversion"/>
  </si>
  <si>
    <t>鐵路豬排</t>
    <phoneticPr fontId="2" type="noConversion"/>
  </si>
  <si>
    <t>件</t>
    <phoneticPr fontId="2" type="noConversion"/>
  </si>
  <si>
    <t>蒸蛋</t>
    <phoneticPr fontId="2" type="noConversion"/>
  </si>
  <si>
    <t>雞胸肉</t>
    <phoneticPr fontId="2" type="noConversion"/>
  </si>
  <si>
    <t>豬耳朵</t>
    <phoneticPr fontId="2" type="noConversion"/>
  </si>
  <si>
    <t>鍋貼</t>
    <phoneticPr fontId="2" type="noConversion"/>
  </si>
  <si>
    <t>個</t>
    <phoneticPr fontId="2" type="noConversion"/>
  </si>
  <si>
    <t>厚片土司</t>
    <phoneticPr fontId="2" type="noConversion"/>
  </si>
  <si>
    <t>條</t>
    <phoneticPr fontId="2" type="noConversion"/>
  </si>
  <si>
    <t>奶茶</t>
    <phoneticPr fontId="2" type="noConversion"/>
  </si>
  <si>
    <t>罐</t>
    <phoneticPr fontId="2" type="noConversion"/>
  </si>
  <si>
    <t>味素</t>
    <phoneticPr fontId="2" type="noConversion"/>
  </si>
  <si>
    <t>盒</t>
    <phoneticPr fontId="2" type="noConversion"/>
  </si>
  <si>
    <t>茂谷柑</t>
    <phoneticPr fontId="2" type="noConversion"/>
  </si>
  <si>
    <t>咖哩塊</t>
    <phoneticPr fontId="2" type="noConversion"/>
  </si>
  <si>
    <t>雞胸肉丁</t>
    <phoneticPr fontId="2" type="noConversion"/>
  </si>
  <si>
    <t>蛋</t>
    <phoneticPr fontId="2" type="noConversion"/>
  </si>
  <si>
    <t>油膏</t>
    <phoneticPr fontId="2" type="noConversion"/>
  </si>
  <si>
    <t>桶</t>
    <phoneticPr fontId="2" type="noConversion"/>
  </si>
  <si>
    <t>老薑</t>
    <phoneticPr fontId="2" type="noConversion"/>
  </si>
  <si>
    <t>辣椒</t>
    <phoneticPr fontId="2" type="noConversion"/>
  </si>
  <si>
    <t>醬油</t>
    <phoneticPr fontId="2" type="noConversion"/>
  </si>
  <si>
    <t>香油</t>
    <phoneticPr fontId="2" type="noConversion"/>
  </si>
  <si>
    <t>蔥酥</t>
    <phoneticPr fontId="2" type="noConversion"/>
  </si>
  <si>
    <t>烏龍麵</t>
    <phoneticPr fontId="2" type="noConversion"/>
  </si>
  <si>
    <t>高麗菜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</si>
</sst>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workbookViewId="0">
      <selection activeCell="H47" sqref="A1: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14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8" t="s">
        <v>112</v>
      </c>
      <c r="F2" s="8"/>
      <c r="G2" s="1" t="s">
        <v>4</v>
      </c>
      <c r="H2" s="1" t="s">
        <v>5</v>
      </c>
    </row>
    <row r="3" spans="1:8" x14ac:dyDescent="0.25">
      <c r="A3" s="27" t="s">
        <v>19</v>
      </c>
      <c r="B3" s="1" t="s">
        <v>42</v>
      </c>
      <c r="C3" s="8" t="s">
        <v>41</v>
      </c>
      <c r="D3" s="8">
        <v>168</v>
      </c>
      <c r="E3" s="8">
        <v>20</v>
      </c>
      <c r="F3" s="8" t="s">
        <v>120</v>
      </c>
      <c r="G3" s="8">
        <f>D3*E3</f>
        <v>3360</v>
      </c>
      <c r="H3" s="1"/>
    </row>
    <row r="4" spans="1:8" x14ac:dyDescent="0.25">
      <c r="A4" s="27"/>
      <c r="B4" s="1" t="s">
        <v>43</v>
      </c>
      <c r="C4" s="1" t="s">
        <v>49</v>
      </c>
      <c r="D4" s="1">
        <v>99</v>
      </c>
      <c r="E4" s="8">
        <v>25</v>
      </c>
      <c r="F4" s="8" t="s">
        <v>120</v>
      </c>
      <c r="G4" s="8">
        <f t="shared" ref="G4:G8" si="0">D4*E4</f>
        <v>2475</v>
      </c>
      <c r="H4" s="1"/>
    </row>
    <row r="5" spans="1:8" x14ac:dyDescent="0.25">
      <c r="A5" s="27"/>
      <c r="B5" s="1" t="s">
        <v>44</v>
      </c>
      <c r="C5" s="1" t="s">
        <v>50</v>
      </c>
      <c r="D5" s="1">
        <v>30.6</v>
      </c>
      <c r="E5" s="8">
        <v>6</v>
      </c>
      <c r="F5" s="8" t="s">
        <v>120</v>
      </c>
      <c r="G5" s="8">
        <f t="shared" si="0"/>
        <v>183.60000000000002</v>
      </c>
      <c r="H5" s="1"/>
    </row>
    <row r="6" spans="1:8" x14ac:dyDescent="0.25">
      <c r="A6" s="27"/>
      <c r="B6" s="2" t="s">
        <v>45</v>
      </c>
      <c r="C6" s="2" t="s">
        <v>48</v>
      </c>
      <c r="D6" s="2">
        <v>350</v>
      </c>
      <c r="E6" s="9">
        <v>1</v>
      </c>
      <c r="F6" s="9" t="s">
        <v>120</v>
      </c>
      <c r="G6" s="8">
        <f t="shared" si="0"/>
        <v>350</v>
      </c>
      <c r="H6" s="2"/>
    </row>
    <row r="7" spans="1:8" x14ac:dyDescent="0.25">
      <c r="A7" s="27"/>
      <c r="B7" s="2" t="s">
        <v>46</v>
      </c>
      <c r="C7" s="2" t="s">
        <v>51</v>
      </c>
      <c r="D7" s="2">
        <v>219</v>
      </c>
      <c r="E7" s="9">
        <v>1</v>
      </c>
      <c r="F7" s="9" t="s">
        <v>121</v>
      </c>
      <c r="G7" s="8">
        <f t="shared" si="0"/>
        <v>219</v>
      </c>
      <c r="H7" s="2"/>
    </row>
    <row r="8" spans="1:8" x14ac:dyDescent="0.25">
      <c r="A8" s="27"/>
      <c r="B8" s="1" t="s">
        <v>47</v>
      </c>
      <c r="C8" s="1" t="s">
        <v>48</v>
      </c>
      <c r="D8" s="1">
        <v>262.8</v>
      </c>
      <c r="E8" s="9">
        <v>1</v>
      </c>
      <c r="F8" s="9" t="s">
        <v>120</v>
      </c>
      <c r="G8" s="8">
        <f t="shared" si="0"/>
        <v>262.8</v>
      </c>
      <c r="H8" s="1"/>
    </row>
    <row r="9" spans="1:8" x14ac:dyDescent="0.25">
      <c r="A9" s="27"/>
      <c r="B9" s="28" t="s">
        <v>6</v>
      </c>
      <c r="C9" s="29"/>
      <c r="D9" s="30"/>
      <c r="E9" s="9"/>
      <c r="F9" s="9"/>
      <c r="G9" s="17">
        <f>SUM(G3:G8)</f>
        <v>6850.4000000000005</v>
      </c>
      <c r="H9" s="1"/>
    </row>
    <row r="10" spans="1:8" x14ac:dyDescent="0.25">
      <c r="A10" s="1" t="s">
        <v>7</v>
      </c>
      <c r="B10" s="1" t="s">
        <v>1</v>
      </c>
      <c r="C10" s="1" t="s">
        <v>2</v>
      </c>
      <c r="D10" s="1" t="s">
        <v>3</v>
      </c>
      <c r="E10" s="8" t="s">
        <v>112</v>
      </c>
      <c r="F10" s="8"/>
      <c r="G10" s="1" t="s">
        <v>4</v>
      </c>
      <c r="H10" s="1" t="s">
        <v>5</v>
      </c>
    </row>
    <row r="11" spans="1:8" x14ac:dyDescent="0.25">
      <c r="A11" s="27" t="s">
        <v>20</v>
      </c>
      <c r="B11" s="1" t="s">
        <v>52</v>
      </c>
      <c r="C11" s="1" t="s">
        <v>56</v>
      </c>
      <c r="D11" s="1">
        <v>38.4</v>
      </c>
      <c r="E11" s="8">
        <v>20</v>
      </c>
      <c r="F11" s="8" t="s">
        <v>120</v>
      </c>
      <c r="G11" s="1">
        <f>D11*E11</f>
        <v>768</v>
      </c>
      <c r="H11" s="1"/>
    </row>
    <row r="12" spans="1:8" x14ac:dyDescent="0.25">
      <c r="A12" s="27"/>
      <c r="B12" s="1" t="s">
        <v>53</v>
      </c>
      <c r="C12" s="1" t="s">
        <v>57</v>
      </c>
      <c r="D12" s="1">
        <v>14.82</v>
      </c>
      <c r="E12" s="8">
        <v>5</v>
      </c>
      <c r="F12" s="8" t="s">
        <v>120</v>
      </c>
      <c r="G12" s="8">
        <f t="shared" ref="G12:G14" si="1">D12*E12</f>
        <v>74.099999999999994</v>
      </c>
      <c r="H12" s="1"/>
    </row>
    <row r="13" spans="1:8" x14ac:dyDescent="0.25">
      <c r="A13" s="27"/>
      <c r="B13" s="1" t="s">
        <v>54</v>
      </c>
      <c r="C13" s="1" t="s">
        <v>58</v>
      </c>
      <c r="D13" s="1">
        <v>45</v>
      </c>
      <c r="E13" s="8">
        <v>8</v>
      </c>
      <c r="F13" s="8" t="s">
        <v>120</v>
      </c>
      <c r="G13" s="8">
        <f t="shared" si="1"/>
        <v>360</v>
      </c>
      <c r="H13" s="1"/>
    </row>
    <row r="14" spans="1:8" x14ac:dyDescent="0.25">
      <c r="A14" s="27"/>
      <c r="B14" s="1" t="s">
        <v>55</v>
      </c>
      <c r="C14" s="1" t="s">
        <v>58</v>
      </c>
      <c r="D14" s="1">
        <v>82.5</v>
      </c>
      <c r="E14" s="8">
        <v>8</v>
      </c>
      <c r="F14" s="8" t="s">
        <v>120</v>
      </c>
      <c r="G14" s="8">
        <f t="shared" si="1"/>
        <v>660</v>
      </c>
      <c r="H14" s="1"/>
    </row>
    <row r="15" spans="1:8" x14ac:dyDescent="0.25">
      <c r="A15" s="27"/>
      <c r="B15" s="1"/>
      <c r="C15" s="1"/>
      <c r="D15" s="1"/>
      <c r="E15" s="8"/>
      <c r="F15" s="8"/>
      <c r="G15" s="1"/>
      <c r="H15" s="1"/>
    </row>
    <row r="16" spans="1:8" x14ac:dyDescent="0.25">
      <c r="A16" s="27"/>
      <c r="B16" s="28" t="s">
        <v>6</v>
      </c>
      <c r="C16" s="29"/>
      <c r="D16" s="30"/>
      <c r="E16" s="9"/>
      <c r="F16" s="9"/>
      <c r="G16" s="17">
        <f>SUM(G11:G15)</f>
        <v>1862.1</v>
      </c>
      <c r="H16" s="1"/>
    </row>
    <row r="17" spans="1:8" x14ac:dyDescent="0.25">
      <c r="A17" s="1" t="s">
        <v>8</v>
      </c>
      <c r="B17" s="1" t="s">
        <v>1</v>
      </c>
      <c r="C17" s="1" t="s">
        <v>2</v>
      </c>
      <c r="D17" s="1" t="s">
        <v>3</v>
      </c>
      <c r="E17" s="8" t="s">
        <v>112</v>
      </c>
      <c r="F17" s="8"/>
      <c r="G17" s="1" t="s">
        <v>4</v>
      </c>
      <c r="H17" s="1" t="s">
        <v>5</v>
      </c>
    </row>
    <row r="18" spans="1:8" x14ac:dyDescent="0.25">
      <c r="A18" s="27" t="s">
        <v>21</v>
      </c>
      <c r="B18" s="1" t="s">
        <v>59</v>
      </c>
      <c r="C18" s="1" t="s">
        <v>61</v>
      </c>
      <c r="D18" s="1">
        <v>74.099999999999994</v>
      </c>
      <c r="E18" s="8">
        <v>1</v>
      </c>
      <c r="F18" s="8" t="s">
        <v>120</v>
      </c>
      <c r="G18" s="1">
        <f>D18*E18</f>
        <v>74.099999999999994</v>
      </c>
      <c r="H18" s="1"/>
    </row>
    <row r="19" spans="1:8" x14ac:dyDescent="0.25">
      <c r="A19" s="27"/>
      <c r="B19" s="1" t="s">
        <v>60</v>
      </c>
      <c r="C19" s="1" t="s">
        <v>49</v>
      </c>
      <c r="D19" s="1">
        <v>57</v>
      </c>
      <c r="E19" s="8">
        <v>25</v>
      </c>
      <c r="F19" s="8" t="s">
        <v>120</v>
      </c>
      <c r="G19" s="8">
        <f>D19*E19</f>
        <v>1425</v>
      </c>
      <c r="H19" s="1"/>
    </row>
    <row r="20" spans="1:8" x14ac:dyDescent="0.25">
      <c r="A20" s="27"/>
      <c r="B20" s="1"/>
      <c r="C20" s="1"/>
      <c r="D20" s="1"/>
      <c r="E20" s="8"/>
      <c r="F20" s="8"/>
      <c r="G20" s="1"/>
      <c r="H20" s="1"/>
    </row>
    <row r="21" spans="1:8" x14ac:dyDescent="0.25">
      <c r="A21" s="27"/>
      <c r="B21" s="1"/>
      <c r="C21" s="1"/>
      <c r="D21" s="1"/>
      <c r="E21" s="9"/>
      <c r="F21" s="9"/>
      <c r="G21" s="3"/>
      <c r="H21" s="1"/>
    </row>
    <row r="22" spans="1:8" x14ac:dyDescent="0.25">
      <c r="A22" s="27"/>
      <c r="B22" s="28" t="s">
        <v>6</v>
      </c>
      <c r="C22" s="29"/>
      <c r="D22" s="30"/>
      <c r="E22" s="9"/>
      <c r="F22" s="9"/>
      <c r="G22" s="17">
        <f>SUM(G18:G21)</f>
        <v>1499.1</v>
      </c>
      <c r="H22" s="1"/>
    </row>
    <row r="23" spans="1:8" x14ac:dyDescent="0.25">
      <c r="A23" s="4" t="s">
        <v>9</v>
      </c>
      <c r="B23" s="1" t="s">
        <v>1</v>
      </c>
      <c r="C23" s="1" t="s">
        <v>2</v>
      </c>
      <c r="D23" s="1" t="s">
        <v>3</v>
      </c>
      <c r="E23" s="8" t="s">
        <v>112</v>
      </c>
      <c r="F23" s="8"/>
      <c r="G23" s="8" t="s">
        <v>4</v>
      </c>
      <c r="H23" s="1" t="s">
        <v>5</v>
      </c>
    </row>
    <row r="24" spans="1:8" x14ac:dyDescent="0.25">
      <c r="A24" s="37"/>
      <c r="B24" s="8" t="s">
        <v>113</v>
      </c>
      <c r="C24" s="8"/>
      <c r="D24" s="8">
        <v>173.4</v>
      </c>
      <c r="E24" s="8">
        <v>8</v>
      </c>
      <c r="F24" s="8" t="s">
        <v>114</v>
      </c>
      <c r="G24" s="8">
        <f>D24*E24</f>
        <v>1387.2</v>
      </c>
      <c r="H24" s="8"/>
    </row>
    <row r="25" spans="1:8" x14ac:dyDescent="0.25">
      <c r="A25" s="38"/>
      <c r="B25" s="8" t="s">
        <v>115</v>
      </c>
      <c r="C25" s="8"/>
      <c r="D25" s="8">
        <v>150</v>
      </c>
      <c r="E25" s="8">
        <v>2</v>
      </c>
      <c r="F25" s="8" t="s">
        <v>114</v>
      </c>
      <c r="G25" s="8">
        <f t="shared" ref="G25:G30" si="2">D25*E25</f>
        <v>300</v>
      </c>
      <c r="H25" s="8"/>
    </row>
    <row r="26" spans="1:8" x14ac:dyDescent="0.25">
      <c r="A26" s="38"/>
      <c r="B26" s="8" t="s">
        <v>116</v>
      </c>
      <c r="C26" s="8"/>
      <c r="D26" s="8">
        <v>38.4</v>
      </c>
      <c r="E26" s="8">
        <v>20</v>
      </c>
      <c r="F26" s="8" t="s">
        <v>114</v>
      </c>
      <c r="G26" s="8">
        <f t="shared" si="2"/>
        <v>768</v>
      </c>
      <c r="H26" s="8"/>
    </row>
    <row r="27" spans="1:8" x14ac:dyDescent="0.25">
      <c r="A27" s="38"/>
      <c r="B27" s="8" t="s">
        <v>117</v>
      </c>
      <c r="C27" s="8"/>
      <c r="D27" s="8">
        <v>58.5</v>
      </c>
      <c r="E27" s="8">
        <v>0.5</v>
      </c>
      <c r="F27" s="8" t="s">
        <v>114</v>
      </c>
      <c r="G27" s="8">
        <f t="shared" si="2"/>
        <v>29.25</v>
      </c>
      <c r="H27" s="8"/>
    </row>
    <row r="28" spans="1:8" x14ac:dyDescent="0.25">
      <c r="A28" s="38"/>
      <c r="B28" s="8" t="s">
        <v>118</v>
      </c>
      <c r="C28" s="8"/>
      <c r="D28" s="8">
        <v>105</v>
      </c>
      <c r="E28" s="8">
        <v>4</v>
      </c>
      <c r="F28" s="8" t="s">
        <v>114</v>
      </c>
      <c r="G28" s="8">
        <f t="shared" si="2"/>
        <v>420</v>
      </c>
      <c r="H28" s="8"/>
    </row>
    <row r="29" spans="1:8" x14ac:dyDescent="0.25">
      <c r="A29" s="38"/>
      <c r="B29" s="8" t="s">
        <v>119</v>
      </c>
      <c r="C29" s="8"/>
      <c r="D29" s="8">
        <v>70.2</v>
      </c>
      <c r="E29" s="8">
        <v>4</v>
      </c>
      <c r="F29" s="8" t="s">
        <v>114</v>
      </c>
      <c r="G29" s="8">
        <f t="shared" si="2"/>
        <v>280.8</v>
      </c>
      <c r="H29" s="8"/>
    </row>
    <row r="30" spans="1:8" x14ac:dyDescent="0.25">
      <c r="A30" s="38"/>
      <c r="B30" s="1" t="s">
        <v>123</v>
      </c>
      <c r="C30" s="1"/>
      <c r="D30" s="1">
        <v>4.5</v>
      </c>
      <c r="E30" s="8">
        <v>50</v>
      </c>
      <c r="F30" s="8" t="s">
        <v>124</v>
      </c>
      <c r="G30" s="1">
        <f t="shared" si="2"/>
        <v>225</v>
      </c>
      <c r="H30" s="1"/>
    </row>
    <row r="31" spans="1:8" x14ac:dyDescent="0.25">
      <c r="A31" s="39"/>
      <c r="B31" s="28" t="s">
        <v>6</v>
      </c>
      <c r="C31" s="29"/>
      <c r="D31" s="30"/>
      <c r="E31" s="9"/>
      <c r="F31" s="9"/>
      <c r="G31" s="17">
        <f>SUM(G24:G30)</f>
        <v>3410.25</v>
      </c>
      <c r="H31" s="1"/>
    </row>
    <row r="32" spans="1:8" x14ac:dyDescent="0.25">
      <c r="A32" s="1" t="s">
        <v>10</v>
      </c>
      <c r="B32" s="1" t="s">
        <v>1</v>
      </c>
      <c r="C32" s="1" t="s">
        <v>2</v>
      </c>
      <c r="D32" s="1" t="s">
        <v>3</v>
      </c>
      <c r="E32" s="8" t="s">
        <v>112</v>
      </c>
      <c r="F32" s="8"/>
      <c r="G32" s="1" t="s">
        <v>4</v>
      </c>
      <c r="H32" s="1" t="s">
        <v>5</v>
      </c>
    </row>
    <row r="33" spans="1:8" x14ac:dyDescent="0.25">
      <c r="A33" s="27" t="s">
        <v>22</v>
      </c>
      <c r="B33" s="1" t="s">
        <v>38</v>
      </c>
      <c r="C33" s="1" t="s">
        <v>41</v>
      </c>
      <c r="D33" s="1">
        <v>13.26</v>
      </c>
      <c r="E33" s="8">
        <v>20</v>
      </c>
      <c r="F33" s="8" t="s">
        <v>120</v>
      </c>
      <c r="G33" s="1">
        <f>D33*E33</f>
        <v>265.2</v>
      </c>
      <c r="H33" s="1"/>
    </row>
    <row r="34" spans="1:8" x14ac:dyDescent="0.25">
      <c r="A34" s="27"/>
      <c r="B34" s="1" t="s">
        <v>39</v>
      </c>
      <c r="C34" s="1" t="s">
        <v>40</v>
      </c>
      <c r="D34" s="1">
        <v>94.8</v>
      </c>
      <c r="E34" s="8">
        <v>15</v>
      </c>
      <c r="F34" s="8" t="s">
        <v>120</v>
      </c>
      <c r="G34" s="8">
        <f>D34*E34</f>
        <v>1422</v>
      </c>
      <c r="H34" s="1"/>
    </row>
    <row r="35" spans="1:8" x14ac:dyDescent="0.25">
      <c r="A35" s="27"/>
      <c r="B35" s="1"/>
      <c r="C35" s="1"/>
      <c r="D35" s="1"/>
      <c r="E35" s="8"/>
      <c r="F35" s="8"/>
      <c r="G35" s="1"/>
      <c r="H35" s="1"/>
    </row>
    <row r="36" spans="1:8" x14ac:dyDescent="0.25">
      <c r="A36" s="27"/>
      <c r="B36" s="28"/>
      <c r="C36" s="29"/>
      <c r="D36" s="30"/>
      <c r="E36" s="9"/>
      <c r="F36" s="9"/>
      <c r="G36" s="17">
        <f>SUM(G33:G35)</f>
        <v>1687.2</v>
      </c>
      <c r="H36" s="1"/>
    </row>
    <row r="37" spans="1:8" x14ac:dyDescent="0.25">
      <c r="A37" s="1" t="s">
        <v>11</v>
      </c>
      <c r="B37" s="1" t="s">
        <v>1</v>
      </c>
      <c r="C37" s="1" t="s">
        <v>2</v>
      </c>
      <c r="D37" s="1" t="s">
        <v>3</v>
      </c>
      <c r="E37" s="9" t="s">
        <v>112</v>
      </c>
      <c r="F37" s="9"/>
      <c r="G37" s="3" t="s">
        <v>4</v>
      </c>
      <c r="H37" s="1" t="s">
        <v>5</v>
      </c>
    </row>
    <row r="38" spans="1:8" x14ac:dyDescent="0.25">
      <c r="A38" s="34"/>
      <c r="B38" s="1" t="s">
        <v>122</v>
      </c>
      <c r="C38" s="1"/>
      <c r="D38" s="1">
        <v>12.24</v>
      </c>
      <c r="E38" s="8">
        <v>65</v>
      </c>
      <c r="F38" s="8" t="s">
        <v>120</v>
      </c>
      <c r="G38" s="18">
        <f>D38*E38</f>
        <v>795.6</v>
      </c>
      <c r="H38" s="1"/>
    </row>
    <row r="39" spans="1:8" x14ac:dyDescent="0.25">
      <c r="A39" s="35"/>
      <c r="B39" s="1" t="s">
        <v>125</v>
      </c>
      <c r="C39" s="1"/>
      <c r="D39" s="1">
        <v>38.4</v>
      </c>
      <c r="E39" s="8">
        <v>76.67</v>
      </c>
      <c r="F39" s="8" t="s">
        <v>120</v>
      </c>
      <c r="G39" s="18">
        <f>D39*E39</f>
        <v>2944.1280000000002</v>
      </c>
      <c r="H39" s="1"/>
    </row>
    <row r="40" spans="1:8" x14ac:dyDescent="0.25">
      <c r="A40" s="36"/>
      <c r="B40" s="28" t="s">
        <v>6</v>
      </c>
      <c r="C40" s="29"/>
      <c r="D40" s="30"/>
      <c r="E40" s="9"/>
      <c r="F40" s="9"/>
      <c r="G40" s="17">
        <f>SUM(G38:G39)</f>
        <v>3739.7280000000001</v>
      </c>
      <c r="H40" s="6"/>
    </row>
    <row r="41" spans="1:8" x14ac:dyDescent="0.25">
      <c r="A41" s="7" t="s">
        <v>12</v>
      </c>
      <c r="B41" s="1" t="s">
        <v>1</v>
      </c>
      <c r="C41" s="1" t="s">
        <v>2</v>
      </c>
      <c r="D41" s="1" t="s">
        <v>3</v>
      </c>
      <c r="E41" s="8" t="s">
        <v>112</v>
      </c>
      <c r="F41" s="8"/>
      <c r="G41" s="1" t="s">
        <v>4</v>
      </c>
      <c r="H41" s="1"/>
    </row>
    <row r="42" spans="1:8" x14ac:dyDescent="0.25">
      <c r="A42" s="27"/>
      <c r="B42" s="1"/>
      <c r="C42" s="1"/>
      <c r="D42" s="1"/>
      <c r="E42" s="8"/>
      <c r="F42" s="8"/>
      <c r="G42" s="1"/>
      <c r="H42" s="1"/>
    </row>
    <row r="43" spans="1:8" x14ac:dyDescent="0.25">
      <c r="A43" s="27"/>
      <c r="B43" s="1"/>
      <c r="C43" s="1"/>
      <c r="D43" s="1"/>
      <c r="E43" s="8"/>
      <c r="F43" s="8"/>
      <c r="G43" s="1"/>
      <c r="H43" s="1"/>
    </row>
    <row r="44" spans="1:8" x14ac:dyDescent="0.25">
      <c r="A44" s="27"/>
      <c r="B44" s="1"/>
      <c r="C44" s="1"/>
      <c r="D44" s="1"/>
      <c r="E44" s="8"/>
      <c r="F44" s="8"/>
      <c r="G44" s="1"/>
      <c r="H44" s="1"/>
    </row>
    <row r="45" spans="1:8" x14ac:dyDescent="0.25">
      <c r="A45" s="27"/>
      <c r="B45" s="1"/>
      <c r="C45" s="1"/>
      <c r="D45" s="1"/>
      <c r="E45" s="8"/>
      <c r="F45" s="8"/>
      <c r="G45" s="1"/>
      <c r="H45" s="1"/>
    </row>
    <row r="46" spans="1:8" x14ac:dyDescent="0.25">
      <c r="A46" s="27"/>
      <c r="B46" s="28" t="s">
        <v>6</v>
      </c>
      <c r="C46" s="29"/>
      <c r="D46" s="30"/>
      <c r="E46" s="9"/>
      <c r="F46" s="9"/>
      <c r="G46" s="3"/>
      <c r="H46" s="1"/>
    </row>
    <row r="47" spans="1:8" x14ac:dyDescent="0.25">
      <c r="A47" s="1"/>
      <c r="B47" s="31" t="s">
        <v>13</v>
      </c>
      <c r="C47" s="32"/>
      <c r="D47" s="33"/>
      <c r="E47" s="10"/>
      <c r="F47" s="10"/>
      <c r="G47" s="19">
        <f>G40+G36+G31+G22+G16+G9</f>
        <v>19048.778000000002</v>
      </c>
      <c r="H47" s="1"/>
    </row>
  </sheetData>
  <mergeCells count="16">
    <mergeCell ref="A18:A22"/>
    <mergeCell ref="B22:D22"/>
    <mergeCell ref="A1:H1"/>
    <mergeCell ref="A3:A9"/>
    <mergeCell ref="B9:D9"/>
    <mergeCell ref="A11:A16"/>
    <mergeCell ref="B16:D16"/>
    <mergeCell ref="A42:A46"/>
    <mergeCell ref="B46:D46"/>
    <mergeCell ref="B47:D47"/>
    <mergeCell ref="B31:D31"/>
    <mergeCell ref="A33:A36"/>
    <mergeCell ref="B36:D36"/>
    <mergeCell ref="A38:A40"/>
    <mergeCell ref="B40:D40"/>
    <mergeCell ref="A24:A31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25"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15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8" t="s">
        <v>112</v>
      </c>
      <c r="F2" s="8"/>
      <c r="G2" s="1" t="s">
        <v>4</v>
      </c>
      <c r="H2" s="1" t="s">
        <v>5</v>
      </c>
    </row>
    <row r="3" spans="1:8" x14ac:dyDescent="0.25">
      <c r="A3" s="27" t="s">
        <v>23</v>
      </c>
      <c r="B3" s="1" t="s">
        <v>62</v>
      </c>
      <c r="C3" s="1" t="s">
        <v>63</v>
      </c>
      <c r="D3" s="1">
        <v>66</v>
      </c>
      <c r="E3" s="8">
        <v>66.45</v>
      </c>
      <c r="F3" s="8" t="s">
        <v>120</v>
      </c>
      <c r="G3" s="18">
        <f>D3*E3</f>
        <v>4385.7</v>
      </c>
      <c r="H3" s="1"/>
    </row>
    <row r="4" spans="1:8" x14ac:dyDescent="0.25">
      <c r="A4" s="27"/>
      <c r="B4" s="1" t="s">
        <v>64</v>
      </c>
      <c r="C4" s="1" t="s">
        <v>65</v>
      </c>
      <c r="D4" s="1">
        <v>93</v>
      </c>
      <c r="E4" s="8">
        <v>5</v>
      </c>
      <c r="F4" s="8" t="s">
        <v>131</v>
      </c>
      <c r="G4" s="18">
        <f>D4*E4</f>
        <v>465</v>
      </c>
      <c r="H4" s="1"/>
    </row>
    <row r="5" spans="1:8" x14ac:dyDescent="0.25">
      <c r="A5" s="27"/>
      <c r="B5" s="1"/>
      <c r="C5" s="1"/>
      <c r="D5" s="1"/>
      <c r="E5" s="8"/>
      <c r="F5" s="8"/>
      <c r="G5" s="1"/>
      <c r="H5" s="1"/>
    </row>
    <row r="6" spans="1:8" x14ac:dyDescent="0.25">
      <c r="A6" s="27"/>
      <c r="B6" s="1"/>
      <c r="C6" s="1"/>
      <c r="D6" s="1"/>
      <c r="E6" s="9"/>
      <c r="F6" s="9"/>
      <c r="G6" s="3"/>
      <c r="H6" s="1"/>
    </row>
    <row r="7" spans="1:8" x14ac:dyDescent="0.25">
      <c r="A7" s="27"/>
      <c r="B7" s="28" t="s">
        <v>6</v>
      </c>
      <c r="C7" s="29"/>
      <c r="D7" s="30"/>
      <c r="E7" s="9"/>
      <c r="F7" s="9"/>
      <c r="G7" s="17">
        <f>SUM(G3:G6)</f>
        <v>4850.7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8" t="s">
        <v>112</v>
      </c>
      <c r="F8" s="8"/>
      <c r="G8" s="1" t="s">
        <v>4</v>
      </c>
      <c r="H8" s="1" t="s">
        <v>5</v>
      </c>
    </row>
    <row r="9" spans="1:8" x14ac:dyDescent="0.25">
      <c r="A9" s="27" t="s">
        <v>24</v>
      </c>
      <c r="B9" s="1" t="s">
        <v>66</v>
      </c>
      <c r="C9" s="1" t="s">
        <v>69</v>
      </c>
      <c r="D9" s="1">
        <v>150</v>
      </c>
      <c r="E9" s="8">
        <v>6</v>
      </c>
      <c r="F9" s="8" t="s">
        <v>132</v>
      </c>
      <c r="G9" s="1">
        <f>D9*E9</f>
        <v>900</v>
      </c>
      <c r="H9" s="1"/>
    </row>
    <row r="10" spans="1:8" x14ac:dyDescent="0.25">
      <c r="A10" s="27"/>
      <c r="B10" s="1" t="s">
        <v>67</v>
      </c>
      <c r="C10" s="1" t="s">
        <v>68</v>
      </c>
      <c r="D10" s="1">
        <v>93</v>
      </c>
      <c r="E10" s="8">
        <v>15</v>
      </c>
      <c r="F10" s="8" t="s">
        <v>120</v>
      </c>
      <c r="G10" s="8">
        <f>D10*E10</f>
        <v>1395</v>
      </c>
      <c r="H10" s="1"/>
    </row>
    <row r="11" spans="1:8" x14ac:dyDescent="0.25">
      <c r="A11" s="27"/>
      <c r="B11" s="1"/>
      <c r="C11" s="1"/>
      <c r="D11" s="1"/>
      <c r="E11" s="8"/>
      <c r="F11" s="8"/>
      <c r="G11" s="1"/>
      <c r="H11" s="1"/>
    </row>
    <row r="12" spans="1:8" x14ac:dyDescent="0.25">
      <c r="A12" s="27"/>
      <c r="B12" s="1"/>
      <c r="C12" s="1"/>
      <c r="D12" s="1"/>
      <c r="E12" s="8"/>
      <c r="F12" s="8"/>
      <c r="G12" s="1"/>
      <c r="H12" s="1"/>
    </row>
    <row r="13" spans="1:8" x14ac:dyDescent="0.25">
      <c r="A13" s="27"/>
      <c r="B13" s="1"/>
      <c r="C13" s="1"/>
      <c r="D13" s="1"/>
      <c r="E13" s="8"/>
      <c r="F13" s="8"/>
      <c r="G13" s="1"/>
      <c r="H13" s="1"/>
    </row>
    <row r="14" spans="1:8" x14ac:dyDescent="0.25">
      <c r="A14" s="27"/>
      <c r="B14" s="28" t="s">
        <v>6</v>
      </c>
      <c r="C14" s="29"/>
      <c r="D14" s="30"/>
      <c r="E14" s="9"/>
      <c r="F14" s="9"/>
      <c r="G14" s="16">
        <f>SUM(G9:G13)</f>
        <v>2295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8" t="s">
        <v>112</v>
      </c>
      <c r="F15" s="8"/>
      <c r="G15" s="1" t="s">
        <v>4</v>
      </c>
      <c r="H15" s="1" t="s">
        <v>5</v>
      </c>
    </row>
    <row r="16" spans="1:8" x14ac:dyDescent="0.25">
      <c r="A16" s="27" t="s">
        <v>25</v>
      </c>
      <c r="B16" s="1" t="s">
        <v>70</v>
      </c>
      <c r="C16" s="1" t="s">
        <v>73</v>
      </c>
      <c r="D16" s="1">
        <v>48</v>
      </c>
      <c r="E16" s="8">
        <v>30</v>
      </c>
      <c r="F16" s="8" t="s">
        <v>120</v>
      </c>
      <c r="G16" s="1">
        <f>D16*E16</f>
        <v>1440</v>
      </c>
      <c r="H16" s="1"/>
    </row>
    <row r="17" spans="1:8" x14ac:dyDescent="0.25">
      <c r="A17" s="27"/>
      <c r="B17" s="1" t="s">
        <v>71</v>
      </c>
      <c r="C17" s="1" t="s">
        <v>58</v>
      </c>
      <c r="D17" s="1">
        <v>180</v>
      </c>
      <c r="E17" s="8">
        <v>8</v>
      </c>
      <c r="F17" s="8" t="s">
        <v>120</v>
      </c>
      <c r="G17" s="8">
        <f t="shared" ref="G17:G18" si="0">D17*E17</f>
        <v>1440</v>
      </c>
      <c r="H17" s="1"/>
    </row>
    <row r="18" spans="1:8" x14ac:dyDescent="0.25">
      <c r="A18" s="27"/>
      <c r="B18" s="1" t="s">
        <v>72</v>
      </c>
      <c r="C18" s="1" t="s">
        <v>57</v>
      </c>
      <c r="D18" s="1">
        <v>5</v>
      </c>
      <c r="E18" s="8">
        <v>165</v>
      </c>
      <c r="F18" s="8" t="s">
        <v>120</v>
      </c>
      <c r="G18" s="8">
        <f t="shared" si="0"/>
        <v>825</v>
      </c>
      <c r="H18" s="1"/>
    </row>
    <row r="19" spans="1:8" x14ac:dyDescent="0.25">
      <c r="A19" s="27"/>
      <c r="B19" s="1"/>
      <c r="C19" s="1"/>
      <c r="D19" s="1"/>
      <c r="E19" s="9"/>
      <c r="F19" s="9"/>
      <c r="G19" s="3"/>
      <c r="H19" s="1"/>
    </row>
    <row r="20" spans="1:8" x14ac:dyDescent="0.25">
      <c r="A20" s="27"/>
      <c r="B20" s="28" t="s">
        <v>6</v>
      </c>
      <c r="C20" s="29"/>
      <c r="D20" s="30"/>
      <c r="E20" s="9"/>
      <c r="F20" s="9"/>
      <c r="G20" s="16">
        <f>SUM(G16:G19)</f>
        <v>3705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8" t="s">
        <v>111</v>
      </c>
      <c r="F21" s="8"/>
      <c r="G21" s="1" t="s">
        <v>4</v>
      </c>
      <c r="H21" s="1" t="s">
        <v>5</v>
      </c>
    </row>
    <row r="22" spans="1:8" x14ac:dyDescent="0.25">
      <c r="A22" s="27"/>
      <c r="B22" s="8" t="s">
        <v>126</v>
      </c>
      <c r="C22" s="8"/>
      <c r="D22" s="8">
        <v>55</v>
      </c>
      <c r="E22" s="8">
        <v>20</v>
      </c>
      <c r="F22" s="8" t="s">
        <v>127</v>
      </c>
      <c r="G22" s="8">
        <f>D22*E22</f>
        <v>1100</v>
      </c>
      <c r="H22" s="1"/>
    </row>
    <row r="23" spans="1:8" x14ac:dyDescent="0.25">
      <c r="A23" s="27"/>
      <c r="B23" s="8" t="s">
        <v>128</v>
      </c>
      <c r="C23" s="8"/>
      <c r="D23" s="8">
        <v>29.38</v>
      </c>
      <c r="E23" s="8">
        <v>100</v>
      </c>
      <c r="F23" s="8" t="s">
        <v>127</v>
      </c>
      <c r="G23" s="8">
        <f>D23*E23</f>
        <v>2938</v>
      </c>
      <c r="H23" s="1"/>
    </row>
    <row r="24" spans="1:8" x14ac:dyDescent="0.25">
      <c r="A24" s="27"/>
      <c r="B24" s="8" t="s">
        <v>129</v>
      </c>
      <c r="C24" s="8"/>
      <c r="D24" s="8">
        <v>1188</v>
      </c>
      <c r="E24" s="8">
        <v>2</v>
      </c>
      <c r="F24" s="9" t="s">
        <v>130</v>
      </c>
      <c r="G24" s="8">
        <f>D24*E24</f>
        <v>2376</v>
      </c>
      <c r="H24" s="1"/>
    </row>
    <row r="25" spans="1:8" x14ac:dyDescent="0.25">
      <c r="A25" s="27"/>
      <c r="B25" s="1" t="s">
        <v>137</v>
      </c>
      <c r="C25" s="1"/>
      <c r="D25" s="1">
        <v>50</v>
      </c>
      <c r="E25" s="8">
        <v>1</v>
      </c>
      <c r="F25" s="8" t="s">
        <v>138</v>
      </c>
      <c r="G25" s="8">
        <f>D25*E25</f>
        <v>50</v>
      </c>
      <c r="H25" s="1"/>
    </row>
    <row r="26" spans="1:8" x14ac:dyDescent="0.25">
      <c r="A26" s="27"/>
      <c r="B26" s="28" t="s">
        <v>6</v>
      </c>
      <c r="C26" s="29"/>
      <c r="D26" s="30"/>
      <c r="E26" s="9"/>
      <c r="F26" s="9"/>
      <c r="G26" s="16">
        <f>SUM(G22:G25)</f>
        <v>6464</v>
      </c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8" t="s">
        <v>112</v>
      </c>
      <c r="F27" s="8"/>
      <c r="G27" s="1" t="s">
        <v>4</v>
      </c>
      <c r="H27" s="1" t="s">
        <v>5</v>
      </c>
    </row>
    <row r="28" spans="1:8" x14ac:dyDescent="0.25">
      <c r="A28" s="27" t="s">
        <v>26</v>
      </c>
      <c r="B28" s="1" t="s">
        <v>74</v>
      </c>
      <c r="C28" s="1" t="s">
        <v>68</v>
      </c>
      <c r="D28" s="1">
        <v>8.1</v>
      </c>
      <c r="E28" s="8">
        <v>15</v>
      </c>
      <c r="F28" s="8" t="s">
        <v>120</v>
      </c>
      <c r="G28" s="1">
        <f>D28*E28</f>
        <v>121.5</v>
      </c>
      <c r="H28" s="1"/>
    </row>
    <row r="29" spans="1:8" x14ac:dyDescent="0.25">
      <c r="A29" s="27"/>
      <c r="B29" s="1" t="s">
        <v>75</v>
      </c>
      <c r="C29" s="1" t="s">
        <v>68</v>
      </c>
      <c r="D29" s="1">
        <v>150</v>
      </c>
      <c r="E29" s="8">
        <v>15</v>
      </c>
      <c r="F29" s="8" t="s">
        <v>120</v>
      </c>
      <c r="G29" s="8">
        <f>D29*E29</f>
        <v>2250</v>
      </c>
      <c r="H29" s="1"/>
    </row>
    <row r="30" spans="1:8" x14ac:dyDescent="0.25">
      <c r="A30" s="27"/>
      <c r="B30" s="1"/>
      <c r="C30" s="1"/>
      <c r="D30" s="1"/>
      <c r="E30" s="8"/>
      <c r="F30" s="8"/>
      <c r="G30" s="1"/>
      <c r="H30" s="1"/>
    </row>
    <row r="31" spans="1:8" x14ac:dyDescent="0.25">
      <c r="A31" s="27"/>
      <c r="B31" s="28"/>
      <c r="C31" s="29"/>
      <c r="D31" s="30"/>
      <c r="E31" s="9"/>
      <c r="F31" s="9"/>
      <c r="G31" s="17">
        <f>SUM(G28:G30)</f>
        <v>2371.5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9" t="s">
        <v>112</v>
      </c>
      <c r="F32" s="9"/>
      <c r="G32" s="3" t="s">
        <v>4</v>
      </c>
      <c r="H32" s="1" t="s">
        <v>5</v>
      </c>
    </row>
    <row r="33" spans="1:8" x14ac:dyDescent="0.25">
      <c r="A33" s="34"/>
      <c r="B33" s="1" t="s">
        <v>133</v>
      </c>
      <c r="C33" s="1"/>
      <c r="D33" s="1">
        <v>18.899999999999999</v>
      </c>
      <c r="E33" s="8">
        <v>65</v>
      </c>
      <c r="F33" s="8" t="s">
        <v>120</v>
      </c>
      <c r="G33" s="18">
        <f>D33*E33</f>
        <v>1228.5</v>
      </c>
      <c r="H33" s="1"/>
    </row>
    <row r="34" spans="1:8" x14ac:dyDescent="0.25">
      <c r="A34" s="35"/>
      <c r="B34" s="1" t="s">
        <v>139</v>
      </c>
      <c r="C34" s="1"/>
      <c r="D34" s="1">
        <v>58.56</v>
      </c>
      <c r="E34" s="8">
        <v>76.67</v>
      </c>
      <c r="F34" s="8" t="s">
        <v>120</v>
      </c>
      <c r="G34" s="18">
        <f>D34*E34</f>
        <v>4489.7952000000005</v>
      </c>
      <c r="H34" s="1"/>
    </row>
    <row r="35" spans="1:8" x14ac:dyDescent="0.25">
      <c r="A35" s="36"/>
      <c r="B35" s="28" t="s">
        <v>6</v>
      </c>
      <c r="C35" s="29"/>
      <c r="D35" s="30"/>
      <c r="E35" s="9"/>
      <c r="F35" s="9"/>
      <c r="G35" s="17">
        <f>SUM(G33:G34)</f>
        <v>5718.2952000000005</v>
      </c>
      <c r="H35" s="6"/>
    </row>
    <row r="36" spans="1:8" x14ac:dyDescent="0.25">
      <c r="A36" s="7" t="s">
        <v>12</v>
      </c>
      <c r="B36" s="1" t="s">
        <v>1</v>
      </c>
      <c r="C36" s="1" t="s">
        <v>2</v>
      </c>
      <c r="D36" s="1" t="s">
        <v>3</v>
      </c>
      <c r="E36" s="8" t="s">
        <v>112</v>
      </c>
      <c r="F36" s="8"/>
      <c r="G36" s="1" t="s">
        <v>4</v>
      </c>
      <c r="H36" s="1"/>
    </row>
    <row r="37" spans="1:8" x14ac:dyDescent="0.25">
      <c r="A37" s="27"/>
      <c r="B37" s="1" t="s">
        <v>134</v>
      </c>
      <c r="C37" s="1"/>
      <c r="D37" s="1">
        <v>125</v>
      </c>
      <c r="E37" s="8">
        <v>5</v>
      </c>
      <c r="F37" s="8" t="s">
        <v>120</v>
      </c>
      <c r="G37" s="1">
        <f>D37*E37</f>
        <v>625</v>
      </c>
      <c r="H37" s="1"/>
    </row>
    <row r="38" spans="1:8" x14ac:dyDescent="0.25">
      <c r="A38" s="27"/>
      <c r="B38" s="1" t="s">
        <v>135</v>
      </c>
      <c r="C38" s="1"/>
      <c r="D38" s="1">
        <v>19.8</v>
      </c>
      <c r="E38" s="8">
        <v>7</v>
      </c>
      <c r="F38" s="8" t="s">
        <v>120</v>
      </c>
      <c r="G38" s="8">
        <f t="shared" ref="G38:G39" si="1">D38*E38</f>
        <v>138.6</v>
      </c>
      <c r="H38" s="1"/>
    </row>
    <row r="39" spans="1:8" x14ac:dyDescent="0.25">
      <c r="A39" s="27"/>
      <c r="B39" s="1" t="s">
        <v>136</v>
      </c>
      <c r="C39" s="1"/>
      <c r="D39" s="1">
        <v>114</v>
      </c>
      <c r="E39" s="8">
        <v>1</v>
      </c>
      <c r="F39" s="8" t="s">
        <v>120</v>
      </c>
      <c r="G39" s="8">
        <f t="shared" si="1"/>
        <v>114</v>
      </c>
      <c r="H39" s="1"/>
    </row>
    <row r="40" spans="1:8" x14ac:dyDescent="0.25">
      <c r="A40" s="27"/>
      <c r="B40" s="1"/>
      <c r="C40" s="1"/>
      <c r="D40" s="1"/>
      <c r="E40" s="8"/>
      <c r="F40" s="8"/>
      <c r="G40" s="1"/>
      <c r="H40" s="1"/>
    </row>
    <row r="41" spans="1:8" x14ac:dyDescent="0.25">
      <c r="A41" s="27"/>
      <c r="B41" s="28" t="s">
        <v>6</v>
      </c>
      <c r="C41" s="29"/>
      <c r="D41" s="30"/>
      <c r="E41" s="9"/>
      <c r="F41" s="9"/>
      <c r="G41" s="16">
        <f>SUM(G37:G40)</f>
        <v>877.6</v>
      </c>
      <c r="H41" s="1"/>
    </row>
    <row r="42" spans="1:8" x14ac:dyDescent="0.25">
      <c r="A42" s="1"/>
      <c r="B42" s="31" t="s">
        <v>13</v>
      </c>
      <c r="C42" s="32"/>
      <c r="D42" s="33"/>
      <c r="E42" s="10"/>
      <c r="F42" s="10"/>
      <c r="G42" s="19">
        <f>G41+G35+G31+G26+G20+G7+G14</f>
        <v>26282.0952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selection activeCell="H46" sqref="H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16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2" t="s">
        <v>140</v>
      </c>
      <c r="F2" s="12"/>
      <c r="G2" s="1" t="s">
        <v>4</v>
      </c>
      <c r="H2" s="1" t="s">
        <v>5</v>
      </c>
    </row>
    <row r="3" spans="1:8" x14ac:dyDescent="0.25">
      <c r="A3" s="27" t="s">
        <v>27</v>
      </c>
      <c r="B3" s="1" t="s">
        <v>76</v>
      </c>
      <c r="C3" s="1" t="s">
        <v>77</v>
      </c>
      <c r="D3" s="1">
        <v>78</v>
      </c>
      <c r="E3" s="12">
        <v>49.2</v>
      </c>
      <c r="F3" s="12" t="s">
        <v>142</v>
      </c>
      <c r="G3" s="18">
        <f>D3*E3</f>
        <v>3837.6000000000004</v>
      </c>
      <c r="H3" s="1"/>
    </row>
    <row r="4" spans="1:8" x14ac:dyDescent="0.25">
      <c r="A4" s="27"/>
      <c r="B4" s="1"/>
      <c r="C4" s="1"/>
      <c r="D4" s="1"/>
      <c r="E4" s="12"/>
      <c r="F4" s="12"/>
      <c r="G4" s="1"/>
      <c r="H4" s="1"/>
    </row>
    <row r="5" spans="1:8" x14ac:dyDescent="0.25">
      <c r="A5" s="27"/>
      <c r="B5" s="1"/>
      <c r="C5" s="1"/>
      <c r="D5" s="1"/>
      <c r="E5" s="12"/>
      <c r="F5" s="12"/>
      <c r="G5" s="1"/>
      <c r="H5" s="1"/>
    </row>
    <row r="6" spans="1:8" x14ac:dyDescent="0.25">
      <c r="A6" s="27"/>
      <c r="B6" s="1"/>
      <c r="C6" s="1"/>
      <c r="D6" s="1"/>
      <c r="E6" s="13"/>
      <c r="F6" s="13"/>
      <c r="G6" s="3"/>
      <c r="H6" s="1"/>
    </row>
    <row r="7" spans="1:8" x14ac:dyDescent="0.25">
      <c r="A7" s="27"/>
      <c r="B7" s="28" t="s">
        <v>6</v>
      </c>
      <c r="C7" s="29"/>
      <c r="D7" s="30"/>
      <c r="E7" s="13"/>
      <c r="F7" s="13"/>
      <c r="G7" s="17">
        <f>SUM(G3:G6)</f>
        <v>3837.6000000000004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12" t="s">
        <v>140</v>
      </c>
      <c r="F8" s="12"/>
      <c r="G8" s="1" t="s">
        <v>4</v>
      </c>
      <c r="H8" s="1" t="s">
        <v>5</v>
      </c>
    </row>
    <row r="9" spans="1:8" x14ac:dyDescent="0.25">
      <c r="A9" s="27" t="s">
        <v>28</v>
      </c>
      <c r="B9" s="1" t="s">
        <v>66</v>
      </c>
      <c r="C9" s="1" t="s">
        <v>79</v>
      </c>
      <c r="D9" s="1">
        <v>150</v>
      </c>
      <c r="E9" s="12">
        <v>7</v>
      </c>
      <c r="F9" s="12" t="s">
        <v>148</v>
      </c>
      <c r="G9" s="1">
        <f>D9*E9</f>
        <v>1050</v>
      </c>
      <c r="H9" s="1"/>
    </row>
    <row r="10" spans="1:8" x14ac:dyDescent="0.25">
      <c r="A10" s="27"/>
      <c r="B10" s="1" t="s">
        <v>78</v>
      </c>
      <c r="C10" s="1" t="s">
        <v>61</v>
      </c>
      <c r="D10" s="1">
        <v>193.8</v>
      </c>
      <c r="E10" s="12">
        <v>1</v>
      </c>
      <c r="F10" s="12" t="s">
        <v>142</v>
      </c>
      <c r="G10" s="12">
        <f>D10*E10</f>
        <v>193.8</v>
      </c>
      <c r="H10" s="1"/>
    </row>
    <row r="11" spans="1:8" x14ac:dyDescent="0.25">
      <c r="A11" s="27"/>
      <c r="B11" s="1"/>
      <c r="C11" s="1"/>
      <c r="D11" s="1"/>
      <c r="E11" s="12"/>
      <c r="F11" s="12"/>
      <c r="G11" s="1"/>
      <c r="H11" s="1"/>
    </row>
    <row r="12" spans="1:8" x14ac:dyDescent="0.25">
      <c r="A12" s="27"/>
      <c r="B12" s="1"/>
      <c r="C12" s="1"/>
      <c r="D12" s="1"/>
      <c r="E12" s="12"/>
      <c r="F12" s="12"/>
      <c r="G12" s="1"/>
      <c r="H12" s="1"/>
    </row>
    <row r="13" spans="1:8" x14ac:dyDescent="0.25">
      <c r="A13" s="27"/>
      <c r="B13" s="1"/>
      <c r="C13" s="1"/>
      <c r="D13" s="1"/>
      <c r="E13" s="12"/>
      <c r="F13" s="12"/>
      <c r="G13" s="1"/>
      <c r="H13" s="1"/>
    </row>
    <row r="14" spans="1:8" x14ac:dyDescent="0.25">
      <c r="A14" s="27"/>
      <c r="B14" s="28" t="s">
        <v>6</v>
      </c>
      <c r="C14" s="29"/>
      <c r="D14" s="30"/>
      <c r="E14" s="13"/>
      <c r="F14" s="13"/>
      <c r="G14" s="16">
        <f>SUM(G9:G13)</f>
        <v>1243.8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12" t="s">
        <v>140</v>
      </c>
      <c r="F15" s="12"/>
      <c r="G15" s="1" t="s">
        <v>4</v>
      </c>
      <c r="H15" s="1" t="s">
        <v>5</v>
      </c>
    </row>
    <row r="16" spans="1:8" x14ac:dyDescent="0.25">
      <c r="A16" s="27" t="s">
        <v>29</v>
      </c>
      <c r="B16" s="1" t="s">
        <v>80</v>
      </c>
      <c r="C16" s="1" t="s">
        <v>82</v>
      </c>
      <c r="D16" s="1">
        <v>60</v>
      </c>
      <c r="E16" s="12">
        <v>2.4500000000000002</v>
      </c>
      <c r="F16" s="12" t="s">
        <v>142</v>
      </c>
      <c r="G16" s="1">
        <f>D16*E16</f>
        <v>147</v>
      </c>
      <c r="H16" s="1"/>
    </row>
    <row r="17" spans="1:8" x14ac:dyDescent="0.25">
      <c r="A17" s="27"/>
      <c r="B17" s="1" t="s">
        <v>81</v>
      </c>
      <c r="C17" s="1" t="s">
        <v>83</v>
      </c>
      <c r="D17" s="1">
        <v>96</v>
      </c>
      <c r="E17" s="12">
        <v>35</v>
      </c>
      <c r="F17" s="12" t="s">
        <v>142</v>
      </c>
      <c r="G17" s="12">
        <f t="shared" ref="G17" si="0">D17*E17</f>
        <v>3360</v>
      </c>
      <c r="H17" s="1"/>
    </row>
    <row r="18" spans="1:8" x14ac:dyDescent="0.25">
      <c r="A18" s="27"/>
      <c r="B18" s="15" t="s">
        <v>149</v>
      </c>
      <c r="C18" s="12"/>
      <c r="D18" s="12">
        <v>99</v>
      </c>
      <c r="E18" s="12">
        <v>8</v>
      </c>
      <c r="F18" s="12" t="s">
        <v>142</v>
      </c>
      <c r="G18" s="12">
        <f>D18*E18</f>
        <v>792</v>
      </c>
      <c r="H18" s="1"/>
    </row>
    <row r="19" spans="1:8" x14ac:dyDescent="0.25">
      <c r="A19" s="27"/>
      <c r="B19" s="1"/>
      <c r="C19" s="1"/>
      <c r="D19" s="1"/>
      <c r="E19" s="13"/>
      <c r="F19" s="13"/>
      <c r="G19" s="3"/>
      <c r="H19" s="1"/>
    </row>
    <row r="20" spans="1:8" x14ac:dyDescent="0.25">
      <c r="A20" s="27"/>
      <c r="B20" s="28" t="s">
        <v>6</v>
      </c>
      <c r="C20" s="29"/>
      <c r="D20" s="30"/>
      <c r="E20" s="13"/>
      <c r="F20" s="13"/>
      <c r="G20" s="16">
        <f>SUM(G16:G19)</f>
        <v>4299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12" t="s">
        <v>140</v>
      </c>
      <c r="F21" s="12"/>
      <c r="G21" s="1" t="s">
        <v>4</v>
      </c>
      <c r="H21" s="1" t="s">
        <v>5</v>
      </c>
    </row>
    <row r="22" spans="1:8" x14ac:dyDescent="0.25">
      <c r="A22" s="27"/>
      <c r="B22" s="1" t="s">
        <v>143</v>
      </c>
      <c r="C22" s="1"/>
      <c r="D22" s="1">
        <v>210</v>
      </c>
      <c r="E22" s="12">
        <v>1</v>
      </c>
      <c r="F22" s="12" t="s">
        <v>144</v>
      </c>
      <c r="G22" s="1">
        <f>D22*E22</f>
        <v>210</v>
      </c>
      <c r="H22" s="1"/>
    </row>
    <row r="23" spans="1:8" x14ac:dyDescent="0.25">
      <c r="A23" s="27"/>
      <c r="B23" s="1" t="s">
        <v>145</v>
      </c>
      <c r="C23" s="1"/>
      <c r="D23" s="1">
        <v>480</v>
      </c>
      <c r="E23" s="12">
        <v>1</v>
      </c>
      <c r="F23" s="12" t="s">
        <v>146</v>
      </c>
      <c r="G23" s="12">
        <f t="shared" ref="G23:G26" si="1">D23*E23</f>
        <v>480</v>
      </c>
      <c r="H23" s="1"/>
    </row>
    <row r="24" spans="1:8" x14ac:dyDescent="0.25">
      <c r="A24" s="27"/>
      <c r="B24" s="1" t="s">
        <v>147</v>
      </c>
      <c r="C24" s="1"/>
      <c r="D24" s="1">
        <v>280</v>
      </c>
      <c r="E24" s="12">
        <v>1</v>
      </c>
      <c r="F24" s="12" t="s">
        <v>146</v>
      </c>
      <c r="G24" s="12">
        <f t="shared" si="1"/>
        <v>280</v>
      </c>
      <c r="H24" s="1"/>
    </row>
    <row r="25" spans="1:8" x14ac:dyDescent="0.25">
      <c r="A25" s="27"/>
      <c r="B25" s="1" t="s">
        <v>151</v>
      </c>
      <c r="C25" s="1"/>
      <c r="D25" s="1">
        <v>37</v>
      </c>
      <c r="E25" s="12">
        <v>20</v>
      </c>
      <c r="F25" s="12" t="s">
        <v>152</v>
      </c>
      <c r="G25" s="12">
        <f t="shared" si="1"/>
        <v>740</v>
      </c>
      <c r="H25" s="1"/>
    </row>
    <row r="26" spans="1:8" x14ac:dyDescent="0.25">
      <c r="A26" s="27"/>
      <c r="B26" s="12" t="s">
        <v>153</v>
      </c>
      <c r="C26" s="12"/>
      <c r="D26" s="12">
        <v>844</v>
      </c>
      <c r="E26" s="12">
        <v>1</v>
      </c>
      <c r="F26" s="12" t="s">
        <v>144</v>
      </c>
      <c r="G26" s="12">
        <f t="shared" si="1"/>
        <v>844</v>
      </c>
      <c r="H26" s="12"/>
    </row>
    <row r="27" spans="1:8" x14ac:dyDescent="0.25">
      <c r="A27" s="27"/>
      <c r="B27" s="28" t="s">
        <v>6</v>
      </c>
      <c r="C27" s="29"/>
      <c r="D27" s="30"/>
      <c r="E27" s="13"/>
      <c r="F27" s="13"/>
      <c r="G27" s="16">
        <f>SUM(G22:G26)</f>
        <v>2554</v>
      </c>
      <c r="H27" s="1"/>
    </row>
    <row r="28" spans="1:8" x14ac:dyDescent="0.25">
      <c r="A28" s="1" t="s">
        <v>10</v>
      </c>
      <c r="B28" s="1" t="s">
        <v>1</v>
      </c>
      <c r="C28" s="1" t="s">
        <v>2</v>
      </c>
      <c r="D28" s="1" t="s">
        <v>3</v>
      </c>
      <c r="E28" s="12" t="s">
        <v>140</v>
      </c>
      <c r="F28" s="12"/>
      <c r="G28" s="1" t="s">
        <v>4</v>
      </c>
      <c r="H28" s="1" t="s">
        <v>5</v>
      </c>
    </row>
    <row r="29" spans="1:8" x14ac:dyDescent="0.25">
      <c r="A29" s="27"/>
      <c r="B29" s="1"/>
      <c r="C29" s="1"/>
      <c r="D29" s="1"/>
      <c r="E29" s="12"/>
      <c r="F29" s="12"/>
      <c r="G29" s="1"/>
      <c r="H29" s="1"/>
    </row>
    <row r="30" spans="1:8" x14ac:dyDescent="0.25">
      <c r="A30" s="27"/>
      <c r="B30" s="1"/>
      <c r="C30" s="1"/>
      <c r="D30" s="1"/>
      <c r="E30" s="12"/>
      <c r="F30" s="12"/>
      <c r="G30" s="1"/>
      <c r="H30" s="1"/>
    </row>
    <row r="31" spans="1:8" x14ac:dyDescent="0.25">
      <c r="A31" s="27"/>
      <c r="B31" s="1"/>
      <c r="C31" s="1"/>
      <c r="D31" s="1"/>
      <c r="E31" s="12"/>
      <c r="F31" s="12"/>
      <c r="G31" s="1"/>
      <c r="H31" s="1"/>
    </row>
    <row r="32" spans="1:8" x14ac:dyDescent="0.25">
      <c r="A32" s="27"/>
      <c r="B32" s="28"/>
      <c r="C32" s="29"/>
      <c r="D32" s="30"/>
      <c r="E32" s="13"/>
      <c r="F32" s="13"/>
      <c r="G32" s="3"/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3" t="s">
        <v>140</v>
      </c>
      <c r="F33" s="13"/>
      <c r="G33" s="3" t="s">
        <v>4</v>
      </c>
      <c r="H33" s="1" t="s">
        <v>5</v>
      </c>
    </row>
    <row r="34" spans="1:8" x14ac:dyDescent="0.25">
      <c r="A34" s="34"/>
      <c r="B34" s="1" t="s">
        <v>141</v>
      </c>
      <c r="C34" s="1"/>
      <c r="D34" s="1">
        <v>38.4</v>
      </c>
      <c r="E34" s="12">
        <v>73.34</v>
      </c>
      <c r="F34" s="12" t="s">
        <v>142</v>
      </c>
      <c r="G34" s="18">
        <f>D34*E34</f>
        <v>2816.2559999999999</v>
      </c>
      <c r="H34" s="1"/>
    </row>
    <row r="35" spans="1:8" x14ac:dyDescent="0.25">
      <c r="A35" s="35"/>
      <c r="B35" s="1" t="s">
        <v>150</v>
      </c>
      <c r="C35" s="1"/>
      <c r="D35" s="1">
        <v>13.26</v>
      </c>
      <c r="E35" s="12">
        <v>65</v>
      </c>
      <c r="F35" s="12" t="s">
        <v>142</v>
      </c>
      <c r="G35" s="18">
        <f>D35*E35</f>
        <v>861.9</v>
      </c>
      <c r="H35" s="1"/>
    </row>
    <row r="36" spans="1:8" x14ac:dyDescent="0.25">
      <c r="A36" s="36"/>
      <c r="B36" s="28" t="s">
        <v>6</v>
      </c>
      <c r="C36" s="29"/>
      <c r="D36" s="30"/>
      <c r="E36" s="13"/>
      <c r="F36" s="13"/>
      <c r="G36" s="17">
        <f>SUM(G34:G35)</f>
        <v>3678.1559999999999</v>
      </c>
      <c r="H36" s="6"/>
    </row>
    <row r="37" spans="1:8" x14ac:dyDescent="0.25">
      <c r="A37" s="7" t="s">
        <v>12</v>
      </c>
      <c r="B37" s="1" t="s">
        <v>1</v>
      </c>
      <c r="C37" s="1" t="s">
        <v>2</v>
      </c>
      <c r="D37" s="1" t="s">
        <v>3</v>
      </c>
      <c r="E37" s="12" t="s">
        <v>140</v>
      </c>
      <c r="F37" s="12"/>
      <c r="G37" s="1" t="s">
        <v>4</v>
      </c>
      <c r="H37" s="1"/>
    </row>
    <row r="38" spans="1:8" x14ac:dyDescent="0.25">
      <c r="A38" s="27" t="s">
        <v>30</v>
      </c>
      <c r="B38" s="1" t="s">
        <v>84</v>
      </c>
      <c r="C38" s="1" t="s">
        <v>91</v>
      </c>
      <c r="D38" s="1">
        <v>30</v>
      </c>
      <c r="E38" s="12">
        <v>60</v>
      </c>
      <c r="F38" s="12" t="s">
        <v>142</v>
      </c>
      <c r="G38" s="1">
        <f>D38*E38</f>
        <v>1800</v>
      </c>
      <c r="H38" s="1"/>
    </row>
    <row r="39" spans="1:8" x14ac:dyDescent="0.25">
      <c r="A39" s="27"/>
      <c r="B39" s="1" t="s">
        <v>85</v>
      </c>
      <c r="C39" s="1" t="s">
        <v>57</v>
      </c>
      <c r="D39" s="1">
        <v>103.5</v>
      </c>
      <c r="E39" s="12">
        <v>5</v>
      </c>
      <c r="F39" s="12" t="s">
        <v>142</v>
      </c>
      <c r="G39" s="12">
        <f t="shared" ref="G39:G44" si="2">D39*E39</f>
        <v>517.5</v>
      </c>
      <c r="H39" s="1"/>
    </row>
    <row r="40" spans="1:8" x14ac:dyDescent="0.25">
      <c r="A40" s="27"/>
      <c r="B40" s="2" t="s">
        <v>67</v>
      </c>
      <c r="C40" s="2" t="s">
        <v>68</v>
      </c>
      <c r="D40" s="2">
        <v>93</v>
      </c>
      <c r="E40" s="12">
        <v>15</v>
      </c>
      <c r="F40" s="12" t="s">
        <v>142</v>
      </c>
      <c r="G40" s="12">
        <f t="shared" si="2"/>
        <v>1395</v>
      </c>
      <c r="H40" s="2"/>
    </row>
    <row r="41" spans="1:8" x14ac:dyDescent="0.25">
      <c r="A41" s="27"/>
      <c r="B41" s="5" t="s">
        <v>86</v>
      </c>
      <c r="C41" s="2" t="s">
        <v>58</v>
      </c>
      <c r="D41" s="2">
        <v>11.7</v>
      </c>
      <c r="E41" s="12">
        <v>8</v>
      </c>
      <c r="F41" s="12" t="s">
        <v>142</v>
      </c>
      <c r="G41" s="12">
        <f t="shared" si="2"/>
        <v>93.6</v>
      </c>
      <c r="H41" s="2"/>
    </row>
    <row r="42" spans="1:8" x14ac:dyDescent="0.25">
      <c r="A42" s="27"/>
      <c r="B42" s="2" t="s">
        <v>87</v>
      </c>
      <c r="C42" s="1" t="s">
        <v>57</v>
      </c>
      <c r="D42" s="1">
        <v>35.700000000000003</v>
      </c>
      <c r="E42" s="12">
        <v>5</v>
      </c>
      <c r="F42" s="12" t="s">
        <v>142</v>
      </c>
      <c r="G42" s="12">
        <f t="shared" si="2"/>
        <v>178.5</v>
      </c>
      <c r="H42" s="1"/>
    </row>
    <row r="43" spans="1:8" x14ac:dyDescent="0.25">
      <c r="A43" s="27"/>
      <c r="B43" s="11" t="s">
        <v>88</v>
      </c>
      <c r="C43" s="2" t="s">
        <v>48</v>
      </c>
      <c r="D43" s="2">
        <v>75</v>
      </c>
      <c r="E43" s="12">
        <v>1</v>
      </c>
      <c r="F43" s="12" t="s">
        <v>144</v>
      </c>
      <c r="G43" s="12">
        <f t="shared" si="2"/>
        <v>75</v>
      </c>
      <c r="H43" s="2"/>
    </row>
    <row r="44" spans="1:8" x14ac:dyDescent="0.25">
      <c r="A44" s="27"/>
      <c r="B44" s="2" t="s">
        <v>89</v>
      </c>
      <c r="C44" s="1" t="s">
        <v>90</v>
      </c>
      <c r="D44" s="1">
        <v>660</v>
      </c>
      <c r="E44" s="12">
        <v>0.5</v>
      </c>
      <c r="F44" s="12" t="s">
        <v>142</v>
      </c>
      <c r="G44" s="12">
        <f t="shared" si="2"/>
        <v>330</v>
      </c>
      <c r="H44" s="1"/>
    </row>
    <row r="45" spans="1:8" x14ac:dyDescent="0.25">
      <c r="A45" s="27"/>
      <c r="B45" s="28" t="s">
        <v>6</v>
      </c>
      <c r="C45" s="29"/>
      <c r="D45" s="30"/>
      <c r="E45" s="13"/>
      <c r="F45" s="13"/>
      <c r="G45" s="17">
        <f>SUM(G38:G44)</f>
        <v>4389.6000000000004</v>
      </c>
      <c r="H45" s="1"/>
    </row>
    <row r="46" spans="1:8" x14ac:dyDescent="0.25">
      <c r="A46" s="1"/>
      <c r="B46" s="31" t="s">
        <v>13</v>
      </c>
      <c r="C46" s="32"/>
      <c r="D46" s="33"/>
      <c r="E46" s="14"/>
      <c r="F46" s="14"/>
      <c r="G46" s="19">
        <f>G45+G14+G7+G20+G27+G36</f>
        <v>20002.155999999999</v>
      </c>
      <c r="H46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8:A45"/>
    <mergeCell ref="B45:D45"/>
    <mergeCell ref="B46:D46"/>
    <mergeCell ref="A22:A27"/>
    <mergeCell ref="B27:D27"/>
    <mergeCell ref="A29:A32"/>
    <mergeCell ref="B32:D32"/>
    <mergeCell ref="A34:A36"/>
    <mergeCell ref="B36:D36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17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0" t="s">
        <v>154</v>
      </c>
      <c r="F2" s="20"/>
      <c r="G2" s="1" t="s">
        <v>4</v>
      </c>
      <c r="H2" s="1" t="s">
        <v>5</v>
      </c>
    </row>
    <row r="3" spans="1:8" x14ac:dyDescent="0.25">
      <c r="A3" s="27" t="s">
        <v>31</v>
      </c>
      <c r="B3" s="1" t="s">
        <v>92</v>
      </c>
      <c r="C3" s="1" t="s">
        <v>95</v>
      </c>
      <c r="D3" s="1">
        <v>75</v>
      </c>
      <c r="E3" s="20">
        <v>70</v>
      </c>
      <c r="F3" s="20" t="s">
        <v>155</v>
      </c>
      <c r="G3" s="1">
        <f>D3*E3</f>
        <v>5250</v>
      </c>
      <c r="H3" s="1"/>
    </row>
    <row r="4" spans="1:8" x14ac:dyDescent="0.25">
      <c r="A4" s="27"/>
      <c r="B4" s="1" t="s">
        <v>93</v>
      </c>
      <c r="C4" s="1" t="s">
        <v>61</v>
      </c>
      <c r="D4" s="1">
        <v>51</v>
      </c>
      <c r="E4" s="20">
        <v>1</v>
      </c>
      <c r="F4" s="20" t="s">
        <v>155</v>
      </c>
      <c r="G4" s="20">
        <f t="shared" ref="G4:G5" si="0">D4*E4</f>
        <v>51</v>
      </c>
      <c r="H4" s="1"/>
    </row>
    <row r="5" spans="1:8" x14ac:dyDescent="0.25">
      <c r="A5" s="27"/>
      <c r="B5" s="1" t="s">
        <v>44</v>
      </c>
      <c r="C5" s="1" t="s">
        <v>94</v>
      </c>
      <c r="D5" s="1">
        <v>30.6</v>
      </c>
      <c r="E5" s="20">
        <v>10</v>
      </c>
      <c r="F5" s="20" t="s">
        <v>155</v>
      </c>
      <c r="G5" s="20">
        <f t="shared" si="0"/>
        <v>306</v>
      </c>
      <c r="H5" s="1"/>
    </row>
    <row r="6" spans="1:8" x14ac:dyDescent="0.25">
      <c r="A6" s="27"/>
      <c r="B6" s="1"/>
      <c r="C6" s="1"/>
      <c r="D6" s="1"/>
      <c r="E6" s="21"/>
      <c r="F6" s="21"/>
      <c r="G6" s="3"/>
      <c r="H6" s="1"/>
    </row>
    <row r="7" spans="1:8" x14ac:dyDescent="0.25">
      <c r="A7" s="27"/>
      <c r="B7" s="28" t="s">
        <v>6</v>
      </c>
      <c r="C7" s="29"/>
      <c r="D7" s="30"/>
      <c r="E7" s="21"/>
      <c r="F7" s="21"/>
      <c r="G7" s="16">
        <f>SUM(G3:G6)</f>
        <v>5607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0" t="s">
        <v>154</v>
      </c>
      <c r="F8" s="20"/>
      <c r="G8" s="1" t="s">
        <v>4</v>
      </c>
      <c r="H8" s="1" t="s">
        <v>5</v>
      </c>
    </row>
    <row r="9" spans="1:8" x14ac:dyDescent="0.25">
      <c r="A9" s="27" t="s">
        <v>32</v>
      </c>
      <c r="B9" s="1" t="s">
        <v>96</v>
      </c>
      <c r="C9" s="1" t="s">
        <v>56</v>
      </c>
      <c r="D9" s="1">
        <v>75</v>
      </c>
      <c r="E9" s="20">
        <v>15</v>
      </c>
      <c r="F9" s="20" t="s">
        <v>156</v>
      </c>
      <c r="G9" s="1">
        <f>D9*E9</f>
        <v>1125</v>
      </c>
      <c r="H9" s="1"/>
    </row>
    <row r="10" spans="1:8" x14ac:dyDescent="0.25">
      <c r="A10" s="27"/>
      <c r="B10" s="1" t="s">
        <v>67</v>
      </c>
      <c r="C10" s="1" t="s">
        <v>68</v>
      </c>
      <c r="D10" s="1">
        <v>93</v>
      </c>
      <c r="E10" s="20">
        <v>15</v>
      </c>
      <c r="F10" s="20" t="s">
        <v>155</v>
      </c>
      <c r="G10" s="20">
        <f>D10*E10</f>
        <v>1395</v>
      </c>
      <c r="H10" s="1"/>
    </row>
    <row r="11" spans="1:8" x14ac:dyDescent="0.25">
      <c r="A11" s="27"/>
      <c r="B11" s="1"/>
      <c r="C11" s="1"/>
      <c r="D11" s="1"/>
      <c r="E11" s="20"/>
      <c r="F11" s="20"/>
      <c r="G11" s="1"/>
      <c r="H11" s="1"/>
    </row>
    <row r="12" spans="1:8" x14ac:dyDescent="0.25">
      <c r="A12" s="27"/>
      <c r="B12" s="1"/>
      <c r="C12" s="1"/>
      <c r="D12" s="1"/>
      <c r="E12" s="20"/>
      <c r="F12" s="20"/>
      <c r="G12" s="1"/>
      <c r="H12" s="1"/>
    </row>
    <row r="13" spans="1:8" x14ac:dyDescent="0.25">
      <c r="A13" s="27"/>
      <c r="B13" s="1"/>
      <c r="C13" s="1"/>
      <c r="D13" s="1"/>
      <c r="E13" s="20"/>
      <c r="F13" s="20"/>
      <c r="G13" s="1"/>
      <c r="H13" s="1"/>
    </row>
    <row r="14" spans="1:8" x14ac:dyDescent="0.25">
      <c r="A14" s="27"/>
      <c r="B14" s="28" t="s">
        <v>6</v>
      </c>
      <c r="C14" s="29"/>
      <c r="D14" s="30"/>
      <c r="E14" s="21"/>
      <c r="F14" s="21"/>
      <c r="G14" s="16">
        <f>SUM(G9:G13)</f>
        <v>2520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20" t="s">
        <v>154</v>
      </c>
      <c r="F15" s="20"/>
      <c r="G15" s="1" t="s">
        <v>4</v>
      </c>
      <c r="H15" s="1" t="s">
        <v>5</v>
      </c>
    </row>
    <row r="16" spans="1:8" x14ac:dyDescent="0.25">
      <c r="A16" s="27" t="s">
        <v>33</v>
      </c>
      <c r="B16" s="1" t="s">
        <v>97</v>
      </c>
      <c r="C16" s="1" t="s">
        <v>100</v>
      </c>
      <c r="D16" s="1">
        <v>37.74</v>
      </c>
      <c r="E16" s="20">
        <v>50</v>
      </c>
      <c r="F16" s="20" t="s">
        <v>155</v>
      </c>
      <c r="G16" s="1">
        <f>D16*E16</f>
        <v>1887</v>
      </c>
      <c r="H16" s="1"/>
    </row>
    <row r="17" spans="1:8" x14ac:dyDescent="0.25">
      <c r="A17" s="27"/>
      <c r="B17" s="1" t="s">
        <v>53</v>
      </c>
      <c r="C17" s="1" t="s">
        <v>99</v>
      </c>
      <c r="D17" s="1">
        <v>14.82</v>
      </c>
      <c r="E17" s="20">
        <v>3</v>
      </c>
      <c r="F17" s="20" t="s">
        <v>155</v>
      </c>
      <c r="G17" s="20">
        <f t="shared" ref="G17:G18" si="1">D17*E17</f>
        <v>44.46</v>
      </c>
      <c r="H17" s="1"/>
    </row>
    <row r="18" spans="1:8" x14ac:dyDescent="0.25">
      <c r="A18" s="27"/>
      <c r="B18" s="1" t="s">
        <v>98</v>
      </c>
      <c r="C18" s="1" t="s">
        <v>94</v>
      </c>
      <c r="D18" s="1">
        <v>93</v>
      </c>
      <c r="E18" s="20">
        <v>10</v>
      </c>
      <c r="F18" s="20" t="s">
        <v>155</v>
      </c>
      <c r="G18" s="20">
        <f t="shared" si="1"/>
        <v>930</v>
      </c>
      <c r="H18" s="1"/>
    </row>
    <row r="19" spans="1:8" x14ac:dyDescent="0.25">
      <c r="A19" s="27"/>
      <c r="B19" s="1"/>
      <c r="C19" s="1"/>
      <c r="D19" s="1"/>
      <c r="E19" s="21"/>
      <c r="F19" s="21"/>
      <c r="G19" s="3"/>
      <c r="H19" s="1"/>
    </row>
    <row r="20" spans="1:8" x14ac:dyDescent="0.25">
      <c r="A20" s="27"/>
      <c r="B20" s="28" t="s">
        <v>6</v>
      </c>
      <c r="C20" s="29"/>
      <c r="D20" s="30"/>
      <c r="E20" s="21"/>
      <c r="F20" s="21"/>
      <c r="G20" s="16">
        <f>SUM(G16:G19)</f>
        <v>2861.46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20" t="s">
        <v>154</v>
      </c>
      <c r="F21" s="20"/>
      <c r="G21" s="1" t="s">
        <v>4</v>
      </c>
      <c r="H21" s="1" t="s">
        <v>5</v>
      </c>
    </row>
    <row r="22" spans="1:8" x14ac:dyDescent="0.25">
      <c r="A22" s="27"/>
      <c r="B22" s="1"/>
      <c r="C22" s="1"/>
      <c r="D22" s="1"/>
      <c r="E22" s="20"/>
      <c r="F22" s="20"/>
      <c r="G22" s="1"/>
      <c r="H22" s="1"/>
    </row>
    <row r="23" spans="1:8" x14ac:dyDescent="0.25">
      <c r="A23" s="27"/>
      <c r="B23" s="1"/>
      <c r="C23" s="1"/>
      <c r="D23" s="1"/>
      <c r="E23" s="20"/>
      <c r="F23" s="20"/>
      <c r="G23" s="1"/>
      <c r="H23" s="1"/>
    </row>
    <row r="24" spans="1:8" x14ac:dyDescent="0.25">
      <c r="A24" s="27"/>
      <c r="B24" s="1"/>
      <c r="C24" s="1"/>
      <c r="D24" s="1"/>
      <c r="E24" s="20"/>
      <c r="F24" s="20"/>
      <c r="G24" s="1"/>
      <c r="H24" s="1"/>
    </row>
    <row r="25" spans="1:8" x14ac:dyDescent="0.25">
      <c r="A25" s="27"/>
      <c r="B25" s="1"/>
      <c r="C25" s="1"/>
      <c r="D25" s="1"/>
      <c r="E25" s="20"/>
      <c r="F25" s="20"/>
      <c r="G25" s="1"/>
      <c r="H25" s="1"/>
    </row>
    <row r="26" spans="1:8" x14ac:dyDescent="0.25">
      <c r="A26" s="27"/>
      <c r="B26" s="28" t="s">
        <v>6</v>
      </c>
      <c r="C26" s="29"/>
      <c r="D26" s="30"/>
      <c r="E26" s="21"/>
      <c r="F26" s="21"/>
      <c r="G26" s="3"/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20" t="s">
        <v>154</v>
      </c>
      <c r="F27" s="20"/>
      <c r="G27" s="1" t="s">
        <v>4</v>
      </c>
      <c r="H27" s="1" t="s">
        <v>5</v>
      </c>
    </row>
    <row r="28" spans="1:8" x14ac:dyDescent="0.25">
      <c r="A28" s="27" t="s">
        <v>34</v>
      </c>
      <c r="B28" s="1" t="s">
        <v>101</v>
      </c>
      <c r="C28" s="1"/>
      <c r="D28" s="1"/>
      <c r="E28" s="20"/>
      <c r="F28" s="20"/>
      <c r="G28" s="1"/>
      <c r="H28" s="1" t="s">
        <v>102</v>
      </c>
    </row>
    <row r="29" spans="1:8" x14ac:dyDescent="0.25">
      <c r="A29" s="27"/>
      <c r="B29" s="1" t="s">
        <v>52</v>
      </c>
      <c r="C29" s="1"/>
      <c r="D29" s="1"/>
      <c r="E29" s="20"/>
      <c r="F29" s="20"/>
      <c r="G29" s="1"/>
      <c r="H29" s="1" t="s">
        <v>102</v>
      </c>
    </row>
    <row r="30" spans="1:8" x14ac:dyDescent="0.25">
      <c r="A30" s="27"/>
      <c r="B30" s="1"/>
      <c r="C30" s="1"/>
      <c r="D30" s="1"/>
      <c r="E30" s="20"/>
      <c r="F30" s="20"/>
      <c r="G30" s="1"/>
      <c r="H30" s="1"/>
    </row>
    <row r="31" spans="1:8" x14ac:dyDescent="0.25">
      <c r="A31" s="27"/>
      <c r="B31" s="28"/>
      <c r="C31" s="29"/>
      <c r="D31" s="30"/>
      <c r="E31" s="21"/>
      <c r="F31" s="21"/>
      <c r="G31" s="3"/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21" t="s">
        <v>154</v>
      </c>
      <c r="F32" s="21"/>
      <c r="G32" s="3" t="s">
        <v>4</v>
      </c>
      <c r="H32" s="1" t="s">
        <v>5</v>
      </c>
    </row>
    <row r="33" spans="1:8" x14ac:dyDescent="0.25">
      <c r="A33" s="34"/>
      <c r="B33" s="1" t="s">
        <v>157</v>
      </c>
      <c r="C33" s="1"/>
      <c r="D33" s="1">
        <v>9</v>
      </c>
      <c r="E33" s="20">
        <v>65</v>
      </c>
      <c r="F33" s="20" t="s">
        <v>155</v>
      </c>
      <c r="G33" s="1">
        <f>D33*E33</f>
        <v>585</v>
      </c>
      <c r="H33" s="1"/>
    </row>
    <row r="34" spans="1:8" x14ac:dyDescent="0.25">
      <c r="A34" s="35"/>
      <c r="B34" s="1" t="s">
        <v>161</v>
      </c>
      <c r="C34" s="1"/>
      <c r="D34" s="1">
        <v>33.6</v>
      </c>
      <c r="E34" s="20"/>
      <c r="F34" s="20" t="s">
        <v>155</v>
      </c>
      <c r="G34" s="26"/>
      <c r="H34" s="1"/>
    </row>
    <row r="35" spans="1:8" x14ac:dyDescent="0.25">
      <c r="A35" s="36"/>
      <c r="B35" s="28" t="s">
        <v>6</v>
      </c>
      <c r="C35" s="29"/>
      <c r="D35" s="30"/>
      <c r="E35" s="21"/>
      <c r="F35" s="21"/>
      <c r="G35" s="16">
        <f>SUM(G33:G34)</f>
        <v>585</v>
      </c>
      <c r="H35" s="6"/>
    </row>
    <row r="36" spans="1:8" x14ac:dyDescent="0.25">
      <c r="A36" s="7" t="s">
        <v>12</v>
      </c>
      <c r="B36" s="1" t="s">
        <v>1</v>
      </c>
      <c r="C36" s="1" t="s">
        <v>2</v>
      </c>
      <c r="D36" s="1" t="s">
        <v>3</v>
      </c>
      <c r="E36" s="20" t="s">
        <v>154</v>
      </c>
      <c r="F36" s="20"/>
      <c r="G36" s="1" t="s">
        <v>4</v>
      </c>
      <c r="H36" s="1"/>
    </row>
    <row r="37" spans="1:8" x14ac:dyDescent="0.25">
      <c r="A37" s="27"/>
      <c r="B37" s="1" t="s">
        <v>158</v>
      </c>
      <c r="C37" s="1"/>
      <c r="D37" s="1">
        <v>125</v>
      </c>
      <c r="E37" s="20">
        <v>12</v>
      </c>
      <c r="F37" s="20" t="s">
        <v>156</v>
      </c>
      <c r="G37" s="1">
        <f>D37*E37</f>
        <v>1500</v>
      </c>
      <c r="H37" s="1"/>
    </row>
    <row r="38" spans="1:8" x14ac:dyDescent="0.25">
      <c r="A38" s="27"/>
      <c r="B38" s="1" t="s">
        <v>159</v>
      </c>
      <c r="C38" s="1"/>
      <c r="D38" s="1">
        <v>60</v>
      </c>
      <c r="E38" s="20">
        <v>1</v>
      </c>
      <c r="F38" s="20" t="s">
        <v>160</v>
      </c>
      <c r="G38" s="20">
        <f>D38*E38</f>
        <v>60</v>
      </c>
      <c r="H38" s="1"/>
    </row>
    <row r="39" spans="1:8" x14ac:dyDescent="0.25">
      <c r="A39" s="27"/>
      <c r="B39" s="1"/>
      <c r="C39" s="1"/>
      <c r="D39" s="1"/>
      <c r="E39" s="20"/>
      <c r="F39" s="20"/>
      <c r="G39" s="1"/>
      <c r="H39" s="1"/>
    </row>
    <row r="40" spans="1:8" x14ac:dyDescent="0.25">
      <c r="A40" s="27"/>
      <c r="B40" s="1"/>
      <c r="C40" s="1"/>
      <c r="D40" s="1"/>
      <c r="E40" s="20"/>
      <c r="F40" s="20"/>
      <c r="G40" s="1"/>
      <c r="H40" s="1"/>
    </row>
    <row r="41" spans="1:8" x14ac:dyDescent="0.25">
      <c r="A41" s="27"/>
      <c r="B41" s="28" t="s">
        <v>6</v>
      </c>
      <c r="C41" s="29"/>
      <c r="D41" s="30"/>
      <c r="E41" s="21"/>
      <c r="F41" s="21"/>
      <c r="G41" s="16">
        <f>SUM(G37:G40)</f>
        <v>1560</v>
      </c>
      <c r="H41" s="1"/>
    </row>
    <row r="42" spans="1:8" x14ac:dyDescent="0.25">
      <c r="A42" s="1"/>
      <c r="B42" s="31" t="s">
        <v>13</v>
      </c>
      <c r="C42" s="32"/>
      <c r="D42" s="33"/>
      <c r="E42" s="22"/>
      <c r="F42" s="22"/>
      <c r="G42" s="19">
        <f>G41+G35+G20+G14+G7</f>
        <v>13133.46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abSelected="1" workbookViewId="0">
      <selection activeCell="H50" sqref="A1: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18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3" t="s">
        <v>162</v>
      </c>
      <c r="F2" s="23"/>
      <c r="G2" s="1" t="s">
        <v>4</v>
      </c>
      <c r="H2" s="1" t="s">
        <v>5</v>
      </c>
    </row>
    <row r="3" spans="1:8" x14ac:dyDescent="0.25">
      <c r="A3" s="27" t="s">
        <v>35</v>
      </c>
      <c r="B3" s="1" t="s">
        <v>42</v>
      </c>
      <c r="C3" s="1" t="s">
        <v>68</v>
      </c>
      <c r="D3" s="1">
        <v>168</v>
      </c>
      <c r="E3" s="23">
        <v>15</v>
      </c>
      <c r="F3" s="23" t="s">
        <v>163</v>
      </c>
      <c r="G3" s="1">
        <f>D3*E3</f>
        <v>2520</v>
      </c>
      <c r="H3" s="1"/>
    </row>
    <row r="4" spans="1:8" x14ac:dyDescent="0.25">
      <c r="A4" s="27"/>
      <c r="B4" s="1" t="s">
        <v>43</v>
      </c>
      <c r="C4" s="1" t="s">
        <v>41</v>
      </c>
      <c r="D4" s="1">
        <v>99</v>
      </c>
      <c r="E4" s="23">
        <v>20</v>
      </c>
      <c r="F4" s="23" t="s">
        <v>163</v>
      </c>
      <c r="G4" s="23">
        <f t="shared" ref="G4:G5" si="0">D4*E4</f>
        <v>1980</v>
      </c>
      <c r="H4" s="1"/>
    </row>
    <row r="5" spans="1:8" x14ac:dyDescent="0.25">
      <c r="A5" s="27"/>
      <c r="B5" s="1" t="s">
        <v>103</v>
      </c>
      <c r="C5" s="1" t="s">
        <v>68</v>
      </c>
      <c r="D5" s="1">
        <v>87</v>
      </c>
      <c r="E5" s="23">
        <v>15</v>
      </c>
      <c r="F5" s="23" t="s">
        <v>163</v>
      </c>
      <c r="G5" s="23">
        <f t="shared" si="0"/>
        <v>1305</v>
      </c>
      <c r="H5" s="1"/>
    </row>
    <row r="6" spans="1:8" x14ac:dyDescent="0.25">
      <c r="A6" s="27"/>
      <c r="B6" s="1"/>
      <c r="C6" s="1"/>
      <c r="D6" s="1"/>
      <c r="E6" s="24"/>
      <c r="F6" s="24"/>
      <c r="G6" s="3"/>
      <c r="H6" s="1"/>
    </row>
    <row r="7" spans="1:8" x14ac:dyDescent="0.25">
      <c r="A7" s="27"/>
      <c r="B7" s="28" t="s">
        <v>6</v>
      </c>
      <c r="C7" s="29"/>
      <c r="D7" s="30"/>
      <c r="E7" s="24"/>
      <c r="F7" s="24"/>
      <c r="G7" s="16">
        <f>SUM(G3:G6)</f>
        <v>5805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3" t="s">
        <v>162</v>
      </c>
      <c r="F8" s="23"/>
      <c r="G8" s="1" t="s">
        <v>4</v>
      </c>
      <c r="H8" s="1" t="s">
        <v>5</v>
      </c>
    </row>
    <row r="9" spans="1:8" x14ac:dyDescent="0.25">
      <c r="A9" s="27" t="s">
        <v>167</v>
      </c>
      <c r="B9" s="1" t="s">
        <v>72</v>
      </c>
      <c r="C9" s="1" t="s">
        <v>58</v>
      </c>
      <c r="D9" s="1">
        <v>165</v>
      </c>
      <c r="E9" s="23">
        <v>8</v>
      </c>
      <c r="F9" s="23" t="s">
        <v>163</v>
      </c>
      <c r="G9" s="23">
        <f t="shared" ref="G9:G11" si="1">D9*E9</f>
        <v>1320</v>
      </c>
      <c r="H9" s="1"/>
    </row>
    <row r="10" spans="1:8" x14ac:dyDescent="0.25">
      <c r="A10" s="27"/>
      <c r="B10" s="1" t="s">
        <v>180</v>
      </c>
      <c r="C10" s="1"/>
      <c r="D10" s="1">
        <v>165</v>
      </c>
      <c r="E10" s="23">
        <v>10</v>
      </c>
      <c r="F10" s="23" t="s">
        <v>163</v>
      </c>
      <c r="G10" s="23">
        <f t="shared" si="1"/>
        <v>1650</v>
      </c>
      <c r="H10" s="1"/>
    </row>
    <row r="11" spans="1:8" x14ac:dyDescent="0.25">
      <c r="A11" s="27"/>
      <c r="B11" s="1" t="s">
        <v>181</v>
      </c>
      <c r="C11" s="1"/>
      <c r="D11" s="1">
        <v>38.4</v>
      </c>
      <c r="E11" s="23">
        <v>40</v>
      </c>
      <c r="F11" s="23" t="s">
        <v>163</v>
      </c>
      <c r="G11" s="23">
        <f t="shared" si="1"/>
        <v>1536</v>
      </c>
      <c r="H11" s="1"/>
    </row>
    <row r="12" spans="1:8" x14ac:dyDescent="0.25">
      <c r="A12" s="27"/>
      <c r="B12" s="44"/>
      <c r="C12" s="44"/>
      <c r="D12" s="44"/>
      <c r="E12" s="44"/>
      <c r="F12" s="44"/>
      <c r="G12" s="44"/>
      <c r="H12" s="1"/>
    </row>
    <row r="13" spans="1:8" x14ac:dyDescent="0.25">
      <c r="A13" s="27"/>
      <c r="B13" s="1"/>
      <c r="C13" s="1"/>
      <c r="D13" s="1"/>
      <c r="E13" s="23"/>
      <c r="F13" s="23"/>
      <c r="G13" s="1"/>
      <c r="H13" s="1"/>
    </row>
    <row r="14" spans="1:8" x14ac:dyDescent="0.25">
      <c r="A14" s="27"/>
      <c r="B14" s="28" t="s">
        <v>6</v>
      </c>
      <c r="C14" s="29"/>
      <c r="D14" s="30"/>
      <c r="E14" s="24"/>
      <c r="F14" s="24"/>
      <c r="G14" s="16">
        <f>SUM(G9:G13)</f>
        <v>4506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23" t="s">
        <v>162</v>
      </c>
      <c r="F15" s="23"/>
      <c r="G15" s="1" t="s">
        <v>4</v>
      </c>
      <c r="H15" s="1" t="s">
        <v>5</v>
      </c>
    </row>
    <row r="16" spans="1:8" x14ac:dyDescent="0.25">
      <c r="A16" s="27" t="s">
        <v>36</v>
      </c>
      <c r="B16" s="1" t="s">
        <v>104</v>
      </c>
      <c r="C16" s="1" t="s">
        <v>106</v>
      </c>
      <c r="D16" s="1">
        <v>82</v>
      </c>
      <c r="E16" s="23">
        <v>24</v>
      </c>
      <c r="F16" s="23" t="s">
        <v>164</v>
      </c>
      <c r="G16" s="1">
        <f>D16*E16</f>
        <v>1968</v>
      </c>
      <c r="H16" s="1"/>
    </row>
    <row r="17" spans="1:8" x14ac:dyDescent="0.25">
      <c r="A17" s="27"/>
      <c r="B17" s="1" t="s">
        <v>105</v>
      </c>
      <c r="C17" s="1" t="s">
        <v>94</v>
      </c>
      <c r="D17" s="1">
        <v>105</v>
      </c>
      <c r="E17" s="23">
        <v>10</v>
      </c>
      <c r="F17" s="23" t="s">
        <v>163</v>
      </c>
      <c r="G17" s="23">
        <f t="shared" ref="G17:G18" si="2">D17*E17</f>
        <v>1050</v>
      </c>
      <c r="H17" s="1"/>
    </row>
    <row r="18" spans="1:8" x14ac:dyDescent="0.25">
      <c r="A18" s="27"/>
      <c r="B18" s="1" t="s">
        <v>54</v>
      </c>
      <c r="C18" s="1" t="s">
        <v>107</v>
      </c>
      <c r="D18" s="1">
        <v>45</v>
      </c>
      <c r="E18" s="23">
        <v>4</v>
      </c>
      <c r="F18" s="23" t="s">
        <v>163</v>
      </c>
      <c r="G18" s="23">
        <f t="shared" si="2"/>
        <v>180</v>
      </c>
      <c r="H18" s="1"/>
    </row>
    <row r="19" spans="1:8" x14ac:dyDescent="0.25">
      <c r="A19" s="27"/>
      <c r="B19" s="1"/>
      <c r="C19" s="1"/>
      <c r="D19" s="1"/>
      <c r="E19" s="24"/>
      <c r="F19" s="24"/>
      <c r="G19" s="3"/>
      <c r="H19" s="1"/>
    </row>
    <row r="20" spans="1:8" x14ac:dyDescent="0.25">
      <c r="A20" s="27"/>
      <c r="B20" s="28" t="s">
        <v>6</v>
      </c>
      <c r="C20" s="29"/>
      <c r="D20" s="30"/>
      <c r="E20" s="24"/>
      <c r="F20" s="24"/>
      <c r="G20" s="16">
        <f>SUM(G16:G19)</f>
        <v>3198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23" t="s">
        <v>162</v>
      </c>
      <c r="F21" s="23"/>
      <c r="G21" s="1" t="s">
        <v>4</v>
      </c>
      <c r="H21" s="1" t="s">
        <v>5</v>
      </c>
    </row>
    <row r="22" spans="1:8" x14ac:dyDescent="0.25">
      <c r="A22" s="27"/>
      <c r="B22" s="1" t="s">
        <v>165</v>
      </c>
      <c r="C22" s="1"/>
      <c r="D22" s="1">
        <v>1350</v>
      </c>
      <c r="E22" s="23">
        <v>1</v>
      </c>
      <c r="F22" s="23" t="s">
        <v>166</v>
      </c>
      <c r="G22" s="1">
        <f>D22*E22</f>
        <v>1350</v>
      </c>
      <c r="H22" s="1"/>
    </row>
    <row r="23" spans="1:8" x14ac:dyDescent="0.25">
      <c r="A23" s="27"/>
      <c r="B23" s="1" t="s">
        <v>169</v>
      </c>
      <c r="C23" s="1"/>
      <c r="D23" s="1">
        <v>150</v>
      </c>
      <c r="E23" s="23">
        <v>4</v>
      </c>
      <c r="F23" s="23" t="s">
        <v>163</v>
      </c>
      <c r="G23" s="23">
        <f t="shared" ref="G23:G33" si="3">D23*E23</f>
        <v>600</v>
      </c>
      <c r="H23" s="1"/>
    </row>
    <row r="24" spans="1:8" x14ac:dyDescent="0.25">
      <c r="A24" s="27"/>
      <c r="B24" s="1" t="s">
        <v>170</v>
      </c>
      <c r="C24" s="1"/>
      <c r="D24" s="1">
        <v>4.5</v>
      </c>
      <c r="E24" s="23">
        <v>50</v>
      </c>
      <c r="F24" s="23" t="s">
        <v>171</v>
      </c>
      <c r="G24" s="23">
        <f t="shared" si="3"/>
        <v>225</v>
      </c>
      <c r="H24" s="1"/>
    </row>
    <row r="25" spans="1:8" x14ac:dyDescent="0.25">
      <c r="A25" s="27"/>
      <c r="B25" s="1" t="s">
        <v>172</v>
      </c>
      <c r="C25" s="1"/>
      <c r="D25" s="1">
        <v>60</v>
      </c>
      <c r="E25" s="23">
        <v>1</v>
      </c>
      <c r="F25" s="23" t="s">
        <v>173</v>
      </c>
      <c r="G25" s="23">
        <f t="shared" si="3"/>
        <v>60</v>
      </c>
      <c r="H25" s="1"/>
    </row>
    <row r="26" spans="1:8" x14ac:dyDescent="0.25">
      <c r="A26" s="27"/>
      <c r="B26" s="23" t="s">
        <v>174</v>
      </c>
      <c r="C26" s="23"/>
      <c r="D26" s="23">
        <v>10</v>
      </c>
      <c r="E26" s="23">
        <v>24</v>
      </c>
      <c r="F26" s="24" t="s">
        <v>175</v>
      </c>
      <c r="G26" s="23">
        <f t="shared" si="3"/>
        <v>240</v>
      </c>
      <c r="H26" s="23"/>
    </row>
    <row r="27" spans="1:8" x14ac:dyDescent="0.25">
      <c r="A27" s="27"/>
      <c r="B27" s="23" t="s">
        <v>176</v>
      </c>
      <c r="C27" s="23"/>
      <c r="D27" s="23">
        <v>235</v>
      </c>
      <c r="E27" s="23">
        <v>3</v>
      </c>
      <c r="F27" s="24" t="s">
        <v>177</v>
      </c>
      <c r="G27" s="23">
        <f t="shared" si="3"/>
        <v>705</v>
      </c>
      <c r="H27" s="23"/>
    </row>
    <row r="28" spans="1:8" x14ac:dyDescent="0.25">
      <c r="A28" s="27"/>
      <c r="B28" s="23" t="s">
        <v>182</v>
      </c>
      <c r="C28" s="23"/>
      <c r="D28" s="23">
        <v>235</v>
      </c>
      <c r="E28" s="23">
        <v>2</v>
      </c>
      <c r="F28" s="23" t="s">
        <v>183</v>
      </c>
      <c r="G28" s="23">
        <f t="shared" si="3"/>
        <v>470</v>
      </c>
      <c r="H28" s="23"/>
    </row>
    <row r="29" spans="1:8" x14ac:dyDescent="0.25">
      <c r="A29" s="27"/>
      <c r="B29" s="23" t="s">
        <v>184</v>
      </c>
      <c r="C29" s="23"/>
      <c r="D29" s="23">
        <v>58.5</v>
      </c>
      <c r="E29" s="23">
        <v>2</v>
      </c>
      <c r="F29" s="23" t="s">
        <v>163</v>
      </c>
      <c r="G29" s="23">
        <f t="shared" si="3"/>
        <v>117</v>
      </c>
      <c r="H29" s="23"/>
    </row>
    <row r="30" spans="1:8" x14ac:dyDescent="0.25">
      <c r="A30" s="27"/>
      <c r="B30" s="23" t="s">
        <v>185</v>
      </c>
      <c r="C30" s="23"/>
      <c r="D30" s="23">
        <v>150</v>
      </c>
      <c r="E30" s="23">
        <v>1</v>
      </c>
      <c r="F30" s="23" t="s">
        <v>163</v>
      </c>
      <c r="G30" s="23">
        <f t="shared" si="3"/>
        <v>150</v>
      </c>
      <c r="H30" s="23"/>
    </row>
    <row r="31" spans="1:8" x14ac:dyDescent="0.25">
      <c r="A31" s="27"/>
      <c r="B31" s="23" t="s">
        <v>186</v>
      </c>
      <c r="C31" s="23"/>
      <c r="D31" s="23">
        <v>225</v>
      </c>
      <c r="E31" s="23">
        <v>2</v>
      </c>
      <c r="F31" s="23" t="s">
        <v>183</v>
      </c>
      <c r="G31" s="23">
        <f t="shared" si="3"/>
        <v>450</v>
      </c>
      <c r="H31" s="23"/>
    </row>
    <row r="32" spans="1:8" x14ac:dyDescent="0.25">
      <c r="A32" s="27"/>
      <c r="B32" s="23" t="s">
        <v>187</v>
      </c>
      <c r="C32" s="23"/>
      <c r="D32" s="23">
        <v>339</v>
      </c>
      <c r="E32" s="23">
        <v>1</v>
      </c>
      <c r="F32" s="23" t="s">
        <v>183</v>
      </c>
      <c r="G32" s="23">
        <f t="shared" si="3"/>
        <v>339</v>
      </c>
      <c r="H32" s="23"/>
    </row>
    <row r="33" spans="1:8" x14ac:dyDescent="0.25">
      <c r="A33" s="27"/>
      <c r="B33" s="23" t="s">
        <v>188</v>
      </c>
      <c r="C33" s="23"/>
      <c r="D33" s="23">
        <v>75</v>
      </c>
      <c r="E33" s="23">
        <v>1</v>
      </c>
      <c r="F33" s="23" t="s">
        <v>164</v>
      </c>
      <c r="G33" s="23">
        <f t="shared" si="3"/>
        <v>75</v>
      </c>
      <c r="H33" s="23"/>
    </row>
    <row r="34" spans="1:8" x14ac:dyDescent="0.25">
      <c r="A34" s="27"/>
      <c r="B34" s="28" t="s">
        <v>6</v>
      </c>
      <c r="C34" s="29"/>
      <c r="D34" s="30"/>
      <c r="E34" s="24"/>
      <c r="F34" s="24"/>
      <c r="G34" s="16">
        <f>SUM(G22:G33)</f>
        <v>4781</v>
      </c>
      <c r="H34" s="1"/>
    </row>
    <row r="35" spans="1:8" x14ac:dyDescent="0.25">
      <c r="A35" s="1" t="s">
        <v>10</v>
      </c>
      <c r="B35" s="1" t="s">
        <v>1</v>
      </c>
      <c r="C35" s="1" t="s">
        <v>2</v>
      </c>
      <c r="D35" s="1" t="s">
        <v>3</v>
      </c>
      <c r="E35" s="23" t="s">
        <v>162</v>
      </c>
      <c r="F35" s="23"/>
      <c r="G35" s="1" t="s">
        <v>4</v>
      </c>
      <c r="H35" s="1" t="s">
        <v>5</v>
      </c>
    </row>
    <row r="36" spans="1:8" x14ac:dyDescent="0.25">
      <c r="A36" s="27" t="s">
        <v>37</v>
      </c>
      <c r="B36" s="1" t="s">
        <v>108</v>
      </c>
      <c r="C36" s="1" t="s">
        <v>57</v>
      </c>
      <c r="D36" s="1">
        <v>25</v>
      </c>
      <c r="E36" s="23">
        <v>7</v>
      </c>
      <c r="F36" s="23" t="s">
        <v>164</v>
      </c>
      <c r="G36" s="1">
        <f>D36*E36</f>
        <v>175</v>
      </c>
      <c r="H36" s="1"/>
    </row>
    <row r="37" spans="1:8" x14ac:dyDescent="0.25">
      <c r="A37" s="27"/>
      <c r="B37" s="1" t="s">
        <v>109</v>
      </c>
      <c r="C37" s="1" t="s">
        <v>68</v>
      </c>
      <c r="D37" s="1">
        <v>43.32</v>
      </c>
      <c r="E37" s="23">
        <v>15</v>
      </c>
      <c r="F37" s="23" t="s">
        <v>163</v>
      </c>
      <c r="G37" s="23">
        <f t="shared" ref="G37:G38" si="4">D37*E37</f>
        <v>649.79999999999995</v>
      </c>
      <c r="H37" s="1"/>
    </row>
    <row r="38" spans="1:8" x14ac:dyDescent="0.25">
      <c r="A38" s="27"/>
      <c r="B38" s="1" t="s">
        <v>110</v>
      </c>
      <c r="C38" s="1" t="s">
        <v>94</v>
      </c>
      <c r="D38" s="1">
        <v>48</v>
      </c>
      <c r="E38" s="23">
        <v>10</v>
      </c>
      <c r="F38" s="23" t="s">
        <v>163</v>
      </c>
      <c r="G38" s="23">
        <f t="shared" si="4"/>
        <v>480</v>
      </c>
      <c r="H38" s="1"/>
    </row>
    <row r="39" spans="1:8" x14ac:dyDescent="0.25">
      <c r="A39" s="27"/>
      <c r="B39" s="28"/>
      <c r="C39" s="29"/>
      <c r="D39" s="30"/>
      <c r="E39" s="24"/>
      <c r="F39" s="24"/>
      <c r="G39" s="17">
        <f>SUM(G36:G38)</f>
        <v>1304.8</v>
      </c>
      <c r="H39" s="1"/>
    </row>
    <row r="40" spans="1:8" x14ac:dyDescent="0.25">
      <c r="A40" s="1" t="s">
        <v>11</v>
      </c>
      <c r="B40" s="1" t="s">
        <v>1</v>
      </c>
      <c r="C40" s="1" t="s">
        <v>2</v>
      </c>
      <c r="D40" s="1" t="s">
        <v>3</v>
      </c>
      <c r="E40" s="24" t="s">
        <v>162</v>
      </c>
      <c r="F40" s="24"/>
      <c r="G40" s="3" t="s">
        <v>4</v>
      </c>
      <c r="H40" s="1" t="s">
        <v>5</v>
      </c>
    </row>
    <row r="41" spans="1:8" x14ac:dyDescent="0.25">
      <c r="A41" s="34"/>
      <c r="B41" s="1" t="s">
        <v>178</v>
      </c>
      <c r="C41" s="1">
        <v>250</v>
      </c>
      <c r="D41" s="1"/>
      <c r="E41" s="43"/>
      <c r="F41" s="23"/>
      <c r="G41" s="43"/>
      <c r="H41" s="1"/>
    </row>
    <row r="42" spans="1:8" x14ac:dyDescent="0.25">
      <c r="A42" s="35"/>
      <c r="B42" s="1" t="s">
        <v>190</v>
      </c>
      <c r="C42" s="1"/>
      <c r="D42" s="1">
        <v>8.16</v>
      </c>
      <c r="E42" s="23">
        <v>65</v>
      </c>
      <c r="F42" s="23" t="s">
        <v>163</v>
      </c>
      <c r="G42" s="1">
        <f>D42*E42</f>
        <v>530.4</v>
      </c>
      <c r="H42" s="1"/>
    </row>
    <row r="43" spans="1:8" x14ac:dyDescent="0.25">
      <c r="A43" s="36"/>
      <c r="B43" s="28" t="s">
        <v>6</v>
      </c>
      <c r="C43" s="29"/>
      <c r="D43" s="30"/>
      <c r="E43" s="24"/>
      <c r="F43" s="24"/>
      <c r="G43" s="16">
        <f>SUM(G42)</f>
        <v>530.4</v>
      </c>
      <c r="H43" s="6"/>
    </row>
    <row r="44" spans="1:8" x14ac:dyDescent="0.25">
      <c r="A44" s="7" t="s">
        <v>12</v>
      </c>
      <c r="B44" s="1" t="s">
        <v>1</v>
      </c>
      <c r="C44" s="1" t="s">
        <v>2</v>
      </c>
      <c r="D44" s="1" t="s">
        <v>3</v>
      </c>
      <c r="E44" s="23" t="s">
        <v>162</v>
      </c>
      <c r="F44" s="23"/>
      <c r="G44" s="1" t="s">
        <v>4</v>
      </c>
      <c r="H44" s="1"/>
    </row>
    <row r="45" spans="1:8" x14ac:dyDescent="0.25">
      <c r="A45" s="27"/>
      <c r="B45" s="1" t="s">
        <v>179</v>
      </c>
      <c r="C45" s="1"/>
      <c r="D45" s="1">
        <v>294</v>
      </c>
      <c r="E45" s="23">
        <v>1</v>
      </c>
      <c r="F45" s="23" t="s">
        <v>177</v>
      </c>
      <c r="G45" s="1">
        <f>D45*E45</f>
        <v>294</v>
      </c>
      <c r="H45" s="1"/>
    </row>
    <row r="46" spans="1:8" x14ac:dyDescent="0.25">
      <c r="A46" s="27"/>
      <c r="B46" s="1" t="s">
        <v>168</v>
      </c>
      <c r="C46" s="1" t="s">
        <v>99</v>
      </c>
      <c r="D46" s="1">
        <v>168</v>
      </c>
      <c r="E46" s="23">
        <v>3</v>
      </c>
      <c r="F46" s="23" t="s">
        <v>163</v>
      </c>
      <c r="G46" s="1">
        <f>D46*E46</f>
        <v>504</v>
      </c>
      <c r="H46" s="1"/>
    </row>
    <row r="47" spans="1:8" x14ac:dyDescent="0.25">
      <c r="A47" s="27"/>
      <c r="B47" s="1" t="s">
        <v>189</v>
      </c>
      <c r="C47" s="1"/>
      <c r="D47" s="1">
        <v>21</v>
      </c>
      <c r="E47" s="23">
        <v>8</v>
      </c>
      <c r="F47" s="23" t="s">
        <v>163</v>
      </c>
      <c r="G47" s="23">
        <f>D47*E47</f>
        <v>168</v>
      </c>
      <c r="H47" s="1"/>
    </row>
    <row r="48" spans="1:8" x14ac:dyDescent="0.25">
      <c r="A48" s="27"/>
      <c r="B48" s="1"/>
      <c r="C48" s="1"/>
      <c r="D48" s="1"/>
      <c r="E48" s="23"/>
      <c r="F48" s="23"/>
      <c r="G48" s="1"/>
      <c r="H48" s="1"/>
    </row>
    <row r="49" spans="1:8" x14ac:dyDescent="0.25">
      <c r="A49" s="27"/>
      <c r="B49" s="28" t="s">
        <v>6</v>
      </c>
      <c r="C49" s="29"/>
      <c r="D49" s="30"/>
      <c r="E49" s="24"/>
      <c r="F49" s="24"/>
      <c r="G49" s="16">
        <f>SUM(G45:G48)</f>
        <v>966</v>
      </c>
      <c r="H49" s="1"/>
    </row>
    <row r="50" spans="1:8" x14ac:dyDescent="0.25">
      <c r="A50" s="1"/>
      <c r="B50" s="31" t="s">
        <v>13</v>
      </c>
      <c r="C50" s="32"/>
      <c r="D50" s="33"/>
      <c r="E50" s="25"/>
      <c r="F50" s="25"/>
      <c r="G50" s="19">
        <f>G49+G43+G39+G34+G20+G7+G14</f>
        <v>21091.200000000001</v>
      </c>
      <c r="H50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5:A49"/>
    <mergeCell ref="B49:D49"/>
    <mergeCell ref="B50:D50"/>
    <mergeCell ref="A22:A34"/>
    <mergeCell ref="B34:D34"/>
    <mergeCell ref="A36:A39"/>
    <mergeCell ref="B39:D39"/>
    <mergeCell ref="A41:A43"/>
    <mergeCell ref="B43:D43"/>
  </mergeCells>
  <phoneticPr fontId="2" type="noConversion"/>
  <pageMargins left="0.7" right="0.7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0217</vt:lpstr>
      <vt:lpstr>0218</vt:lpstr>
      <vt:lpstr>0219</vt:lpstr>
      <vt:lpstr>0220</vt:lpstr>
      <vt:lpstr>0221</vt:lpstr>
      <vt:lpstr>'0217'!Print_Area</vt:lpstr>
      <vt:lpstr>'0218'!Print_Area</vt:lpstr>
      <vt:lpstr>'0219'!Print_Area</vt:lpstr>
      <vt:lpstr>'0220'!Print_Area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2025-02-21T04:42:20Z</cp:lastPrinted>
  <dcterms:created xsi:type="dcterms:W3CDTF">2025-02-04T07:58:02Z</dcterms:created>
  <dcterms:modified xsi:type="dcterms:W3CDTF">2025-02-21T04:42:21Z</dcterms:modified>
</cp:coreProperties>
</file>