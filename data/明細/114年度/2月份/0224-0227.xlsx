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2月份\"/>
    </mc:Choice>
  </mc:AlternateContent>
  <bookViews>
    <workbookView xWindow="0" yWindow="0" windowWidth="28800" windowHeight="12255" activeTab="3"/>
  </bookViews>
  <sheets>
    <sheet name="0224" sheetId="1" r:id="rId1"/>
    <sheet name="0225" sheetId="2" r:id="rId2"/>
    <sheet name="0226" sheetId="3" r:id="rId3"/>
    <sheet name="0227" sheetId="4" r:id="rId4"/>
  </sheets>
  <definedNames>
    <definedName name="_xlnm.Print_Area" localSheetId="0">'0224'!$A$1:$H$46</definedName>
    <definedName name="_xlnm.Print_Area" localSheetId="1">'0225'!$A$1:$H$42</definedName>
    <definedName name="_xlnm.Print_Area" localSheetId="2">'0226'!$A$1:$H$42</definedName>
    <definedName name="_xlnm.Print_Area" localSheetId="3">'0227'!$A$1:$H$42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4" l="1"/>
  <c r="G34" i="4"/>
  <c r="G33" i="4"/>
  <c r="G38" i="4"/>
  <c r="G39" i="4"/>
  <c r="G37" i="4"/>
  <c r="G26" i="4"/>
  <c r="G23" i="4"/>
  <c r="G22" i="4"/>
  <c r="G17" i="4"/>
  <c r="G18" i="4"/>
  <c r="G16" i="4"/>
  <c r="G10" i="4"/>
  <c r="G9" i="4"/>
  <c r="G4" i="4"/>
  <c r="G5" i="4"/>
  <c r="G6" i="4"/>
  <c r="G3" i="4"/>
  <c r="G42" i="3" l="1"/>
  <c r="G34" i="3"/>
  <c r="G23" i="3" l="1"/>
  <c r="G24" i="3"/>
  <c r="G25" i="3"/>
  <c r="G3" i="3"/>
  <c r="G26" i="3"/>
  <c r="G22" i="3"/>
  <c r="G33" i="3"/>
  <c r="G28" i="3"/>
  <c r="G10" i="3"/>
  <c r="G11" i="3"/>
  <c r="G9" i="3"/>
  <c r="G38" i="3"/>
  <c r="G39" i="3"/>
  <c r="G40" i="3"/>
  <c r="G37" i="3"/>
  <c r="G7" i="2" l="1"/>
  <c r="G14" i="2"/>
  <c r="G20" i="2"/>
  <c r="G26" i="2"/>
  <c r="G31" i="2"/>
  <c r="G37" i="2"/>
  <c r="G34" i="2"/>
  <c r="G33" i="2"/>
  <c r="G24" i="2"/>
  <c r="G25" i="2"/>
  <c r="G17" i="2"/>
  <c r="G18" i="2"/>
  <c r="G16" i="2"/>
  <c r="G10" i="2"/>
  <c r="G11" i="2"/>
  <c r="G12" i="2"/>
  <c r="G9" i="2"/>
  <c r="G23" i="2"/>
  <c r="G22" i="2"/>
  <c r="G29" i="2"/>
  <c r="G28" i="2"/>
  <c r="G4" i="2"/>
  <c r="G5" i="2"/>
  <c r="G6" i="2"/>
  <c r="G3" i="2"/>
  <c r="G46" i="1" l="1"/>
  <c r="G30" i="1"/>
  <c r="G38" i="1"/>
  <c r="G37" i="1"/>
  <c r="G33" i="1"/>
  <c r="G32" i="1"/>
  <c r="G16" i="1"/>
  <c r="G17" i="1"/>
  <c r="G18" i="1"/>
  <c r="G10" i="1"/>
  <c r="G11" i="1"/>
  <c r="G12" i="1"/>
  <c r="G9" i="1"/>
  <c r="G3" i="1"/>
  <c r="G28" i="1"/>
  <c r="G27" i="1"/>
  <c r="G26" i="1"/>
  <c r="G25" i="1"/>
  <c r="G24" i="1"/>
  <c r="G23" i="1"/>
  <c r="G22" i="1"/>
  <c r="G41" i="4" l="1"/>
  <c r="G35" i="4"/>
  <c r="G31" i="4"/>
  <c r="G20" i="4"/>
  <c r="G14" i="4"/>
  <c r="G7" i="4"/>
  <c r="G41" i="3"/>
  <c r="G35" i="3"/>
  <c r="G31" i="3"/>
  <c r="G20" i="3"/>
  <c r="G14" i="3"/>
  <c r="G7" i="3"/>
  <c r="G41" i="2"/>
  <c r="G35" i="2"/>
  <c r="G42" i="2" s="1"/>
  <c r="G45" i="1"/>
  <c r="G39" i="1"/>
  <c r="G35" i="1"/>
  <c r="G20" i="1"/>
  <c r="G14" i="1"/>
  <c r="G7" i="1"/>
</calcChain>
</file>

<file path=xl/sharedStrings.xml><?xml version="1.0" encoding="utf-8"?>
<sst xmlns="http://schemas.openxmlformats.org/spreadsheetml/2006/main" count="425" uniqueCount="140">
  <si>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</si>
  <si>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</si>
  <si>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</si>
  <si>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</si>
  <si>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</si>
  <si>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</si>
  <si>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</si>
  <si>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棒腿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</si>
  <si>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</si>
  <si>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</si>
  <si>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5斤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</si>
  <si>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</si>
  <si>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3包</t>
    <phoneticPr fontId="2" type="noConversion"/>
  </si>
  <si>
    <t>去皮洋蔥</t>
    <phoneticPr fontId="2" type="noConversion"/>
  </si>
  <si>
    <t>8斤</t>
    <phoneticPr fontId="2" type="noConversion"/>
  </si>
  <si>
    <t>紅蘿蔔</t>
    <phoneticPr fontId="2" type="noConversion"/>
  </si>
  <si>
    <t>2斤</t>
    <phoneticPr fontId="2" type="noConversion"/>
  </si>
  <si>
    <t>雜貨</t>
    <phoneticPr fontId="2" type="noConversion"/>
  </si>
  <si>
    <t>湯品</t>
    <phoneticPr fontId="2" type="noConversion"/>
  </si>
  <si>
    <t>味增豆腐湯</t>
    <phoneticPr fontId="2" type="noConversion"/>
  </si>
  <si>
    <t>4.3豆腐</t>
    <phoneticPr fontId="2" type="noConversion"/>
  </si>
  <si>
    <t>3板</t>
    <phoneticPr fontId="2" type="noConversion"/>
  </si>
  <si>
    <t>味增</t>
    <phoneticPr fontId="2" type="noConversion"/>
  </si>
  <si>
    <t>庫存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</si>
  <si>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</si>
  <si>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</si>
  <si>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</si>
  <si>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114年      2月   24日      午餐明細表</t>
    <phoneticPr fontId="2" type="noConversion"/>
  </si>
  <si>
    <t>電訊科技中心(安康營區)     114年      2月   25日      午餐明細表</t>
    <phoneticPr fontId="2" type="noConversion"/>
  </si>
  <si>
    <t>電訊科技中心(安康營區)     114年      2月   26日      午餐明細表</t>
    <phoneticPr fontId="2" type="noConversion"/>
  </si>
  <si>
    <t>電訊科技中心(安康營區)     114年      2月   27日      午餐明細表</t>
    <phoneticPr fontId="2" type="noConversion"/>
  </si>
  <si>
    <t>烤雞腿</t>
    <phoneticPr fontId="2" type="noConversion"/>
  </si>
  <si>
    <t>芽菜炒肉絲</t>
    <phoneticPr fontId="2" type="noConversion"/>
  </si>
  <si>
    <t>木須炒蛋</t>
    <phoneticPr fontId="2" type="noConversion"/>
  </si>
  <si>
    <t>芹菜魚丸湯</t>
    <phoneticPr fontId="2" type="noConversion"/>
  </si>
  <si>
    <t>薑汁燒肉</t>
    <phoneticPr fontId="2" type="noConversion"/>
  </si>
  <si>
    <t>香菇冬粉</t>
    <phoneticPr fontId="2" type="noConversion"/>
  </si>
  <si>
    <t>麵腸鮑菇</t>
    <phoneticPr fontId="2" type="noConversion"/>
  </si>
  <si>
    <t>蘿蔔排骨湯</t>
    <phoneticPr fontId="2" type="noConversion"/>
  </si>
  <si>
    <t>烤鯖魚</t>
    <phoneticPr fontId="2" type="noConversion"/>
  </si>
  <si>
    <t>青椒豆干</t>
    <phoneticPr fontId="2" type="noConversion"/>
  </si>
  <si>
    <t>沙茶肉絲燴飯</t>
    <phoneticPr fontId="2" type="noConversion"/>
  </si>
  <si>
    <t>綠咖哩雞</t>
    <phoneticPr fontId="2" type="noConversion"/>
  </si>
  <si>
    <t>糖醋豆腐</t>
    <phoneticPr fontId="2" type="noConversion"/>
  </si>
  <si>
    <t>小黃瓜炒竹輪</t>
    <phoneticPr fontId="2" type="noConversion"/>
  </si>
  <si>
    <t>綠豆湯</t>
    <phoneticPr fontId="2" type="noConversion"/>
  </si>
  <si>
    <t>綠豆</t>
    <phoneticPr fontId="2" type="noConversion"/>
  </si>
  <si>
    <t>250隻</t>
    <phoneticPr fontId="2" type="noConversion"/>
  </si>
  <si>
    <t>豆芽菜</t>
    <phoneticPr fontId="2" type="noConversion"/>
  </si>
  <si>
    <t>炸豆包</t>
    <phoneticPr fontId="2" type="noConversion"/>
  </si>
  <si>
    <t>肉絲</t>
    <phoneticPr fontId="2" type="noConversion"/>
  </si>
  <si>
    <t>30斤</t>
    <phoneticPr fontId="2" type="noConversion"/>
  </si>
  <si>
    <t>12斤</t>
    <phoneticPr fontId="2" type="noConversion"/>
  </si>
  <si>
    <t>10斤</t>
    <phoneticPr fontId="2" type="noConversion"/>
  </si>
  <si>
    <t>木耳絲</t>
    <phoneticPr fontId="2" type="noConversion"/>
  </si>
  <si>
    <t>紅蘿蔔絲</t>
    <phoneticPr fontId="2" type="noConversion"/>
  </si>
  <si>
    <t>3斤</t>
    <phoneticPr fontId="2" type="noConversion"/>
  </si>
  <si>
    <t>去葉芹菜</t>
    <phoneticPr fontId="2" type="noConversion"/>
  </si>
  <si>
    <t>小魚丸</t>
    <phoneticPr fontId="2" type="noConversion"/>
  </si>
  <si>
    <t>4斤</t>
    <phoneticPr fontId="2" type="noConversion"/>
  </si>
  <si>
    <t>白蘿蔔</t>
    <phoneticPr fontId="2" type="noConversion"/>
  </si>
  <si>
    <t>軟骨排</t>
    <phoneticPr fontId="2" type="noConversion"/>
  </si>
  <si>
    <t>20斤</t>
    <phoneticPr fontId="2" type="noConversion"/>
  </si>
  <si>
    <t>15斤</t>
    <phoneticPr fontId="2" type="noConversion"/>
  </si>
  <si>
    <t>麵腸切片</t>
    <phoneticPr fontId="2" type="noConversion"/>
  </si>
  <si>
    <t>杏鮑菇</t>
    <phoneticPr fontId="2" type="noConversion"/>
  </si>
  <si>
    <t>25斤</t>
    <phoneticPr fontId="2" type="noConversion"/>
  </si>
  <si>
    <t>薑泥</t>
    <phoneticPr fontId="2" type="noConversion"/>
  </si>
  <si>
    <t>五花肉片</t>
    <phoneticPr fontId="2" type="noConversion"/>
  </si>
  <si>
    <t>豬肉片</t>
    <phoneticPr fontId="2" type="noConversion"/>
  </si>
  <si>
    <t>薑絲</t>
    <phoneticPr fontId="2" type="noConversion"/>
  </si>
  <si>
    <t>1斤</t>
    <phoneticPr fontId="2" type="noConversion"/>
  </si>
  <si>
    <t>冬粉</t>
    <phoneticPr fontId="2" type="noConversion"/>
  </si>
  <si>
    <t>生香菇</t>
    <phoneticPr fontId="2" type="noConversion"/>
  </si>
  <si>
    <t>豬肉絲</t>
    <phoneticPr fontId="2" type="noConversion"/>
  </si>
  <si>
    <t>沙茶醬</t>
    <phoneticPr fontId="2" type="noConversion"/>
  </si>
  <si>
    <t>1罐</t>
    <phoneticPr fontId="2" type="noConversion"/>
  </si>
  <si>
    <t>鯖魚</t>
    <phoneticPr fontId="2" type="noConversion"/>
  </si>
  <si>
    <t>140片</t>
    <phoneticPr fontId="2" type="noConversion"/>
  </si>
  <si>
    <t>青椒絲</t>
    <phoneticPr fontId="2" type="noConversion"/>
  </si>
  <si>
    <t>4X4豆干</t>
    <phoneticPr fontId="2" type="noConversion"/>
  </si>
  <si>
    <t>骨腿丁</t>
    <phoneticPr fontId="2" type="noConversion"/>
  </si>
  <si>
    <t>咖哩塊(大)</t>
    <phoneticPr fontId="2" type="noConversion"/>
  </si>
  <si>
    <t>綠咖哩醬</t>
    <phoneticPr fontId="2" type="noConversion"/>
  </si>
  <si>
    <t>去皮馬鈴薯</t>
    <phoneticPr fontId="2" type="noConversion"/>
  </si>
  <si>
    <t>60斤</t>
    <phoneticPr fontId="2" type="noConversion"/>
  </si>
  <si>
    <t>2盒</t>
    <phoneticPr fontId="2" type="noConversion"/>
  </si>
  <si>
    <t>2包</t>
    <phoneticPr fontId="2" type="noConversion"/>
  </si>
  <si>
    <t>7板</t>
    <phoneticPr fontId="2" type="noConversion"/>
  </si>
  <si>
    <t>小黃瓜</t>
    <phoneticPr fontId="2" type="noConversion"/>
  </si>
  <si>
    <t>竹輪</t>
    <phoneticPr fontId="2" type="noConversion"/>
  </si>
  <si>
    <t>川耳</t>
    <phoneticPr fontId="2" type="noConversion"/>
  </si>
  <si>
    <t>10包</t>
    <phoneticPr fontId="2" type="noConversion"/>
  </si>
  <si>
    <t>蒜仁</t>
  </si>
  <si>
    <t>斤</t>
  </si>
  <si>
    <t>辣椒</t>
  </si>
  <si>
    <t>洗選蛋</t>
  </si>
  <si>
    <t>老薑</t>
  </si>
  <si>
    <t>杏鮑菇</t>
  </si>
  <si>
    <t>青蔥</t>
  </si>
  <si>
    <t>小籠湯包</t>
    <phoneticPr fontId="2" type="noConversion"/>
  </si>
  <si>
    <t>個</t>
    <phoneticPr fontId="2" type="noConversion"/>
  </si>
  <si>
    <t>斤</t>
    <phoneticPr fontId="2" type="noConversion"/>
  </si>
  <si>
    <t>高麗菜</t>
    <phoneticPr fontId="2" type="noConversion"/>
  </si>
  <si>
    <t>養樂多</t>
    <phoneticPr fontId="2" type="noConversion"/>
  </si>
  <si>
    <t>瓶</t>
    <phoneticPr fontId="2" type="noConversion"/>
  </si>
  <si>
    <t>斤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</si>
  <si>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</si>
  <si>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</si>
  <si>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</si>
  <si>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</si>
  <si>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鵝白菜</t>
    <phoneticPr fontId="2" type="noConversion"/>
  </si>
  <si>
    <t>吐司</t>
    <phoneticPr fontId="2" type="noConversion"/>
  </si>
  <si>
    <t>條</t>
    <phoneticPr fontId="2" type="noConversion"/>
  </si>
  <si>
    <t>三節翅</t>
    <phoneticPr fontId="2" type="noConversion"/>
  </si>
  <si>
    <t>茂谷柑</t>
    <phoneticPr fontId="2" type="noConversion"/>
  </si>
  <si>
    <t>斤</t>
    <phoneticPr fontId="2" type="noConversion"/>
  </si>
  <si>
    <t>罐</t>
    <phoneticPr fontId="2" type="noConversion"/>
  </si>
  <si>
    <t>盤</t>
    <phoneticPr fontId="2" type="noConversion"/>
  </si>
  <si>
    <t>高麗菜</t>
    <phoneticPr fontId="2" type="noConversion"/>
  </si>
  <si>
    <t>前腿肉片</t>
    <phoneticPr fontId="2" type="noConversion"/>
  </si>
  <si>
    <t>油麵</t>
    <phoneticPr fontId="2" type="noConversion"/>
  </si>
  <si>
    <t>片</t>
    <phoneticPr fontId="2" type="noConversion"/>
  </si>
  <si>
    <t>五花肉片</t>
    <phoneticPr fontId="2" type="noConversion"/>
  </si>
  <si>
    <t>蘿蔔糕</t>
    <phoneticPr fontId="2" type="noConversion"/>
  </si>
  <si>
    <t>包</t>
    <phoneticPr fontId="2" type="noConversion"/>
  </si>
  <si>
    <t>茂谷柑</t>
    <phoneticPr fontId="2" type="noConversion"/>
  </si>
  <si>
    <t>包</t>
    <phoneticPr fontId="2" type="noConversion"/>
  </si>
  <si>
    <t>冬瓜鋁箔包</t>
    <phoneticPr fontId="2" type="noConversion"/>
  </si>
  <si>
    <t>件</t>
    <phoneticPr fontId="2" type="noConversion"/>
  </si>
  <si>
    <t>厚片土司</t>
    <phoneticPr fontId="2" type="noConversion"/>
  </si>
  <si>
    <t>條</t>
    <phoneticPr fontId="2" type="noConversion"/>
  </si>
  <si>
    <t>斤</t>
    <phoneticPr fontId="2" type="noConversion"/>
  </si>
  <si>
    <t>盒</t>
    <phoneticPr fontId="2" type="noConversion"/>
  </si>
  <si>
    <t>盤</t>
    <phoneticPr fontId="2" type="noConversion"/>
  </si>
  <si>
    <t>高麗菜</t>
    <phoneticPr fontId="2" type="noConversion"/>
  </si>
  <si>
    <t>油麵</t>
    <phoneticPr fontId="2" type="noConversion"/>
  </si>
  <si>
    <t>濕木耳絲</t>
    <phoneticPr fontId="2" type="noConversion"/>
  </si>
  <si>
    <t>茂谷柑</t>
    <phoneticPr fontId="2" type="noConversion"/>
  </si>
  <si>
    <t>洗選蛋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</si>
</sst>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29" workbookViewId="0">
      <selection activeCell="H46" sqref="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27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31</v>
      </c>
      <c r="B3" s="1" t="s">
        <v>7</v>
      </c>
      <c r="C3" s="1" t="s">
        <v>47</v>
      </c>
      <c r="D3" s="1">
        <v>99</v>
      </c>
      <c r="E3" s="1">
        <v>59.93</v>
      </c>
      <c r="F3" s="1" t="s">
        <v>102</v>
      </c>
      <c r="G3" s="3">
        <f>D3*E3</f>
        <v>5933.07</v>
      </c>
      <c r="H3" s="1"/>
    </row>
    <row r="4" spans="1:8" x14ac:dyDescent="0.25">
      <c r="A4" s="20"/>
      <c r="B4" s="1"/>
      <c r="C4" s="1"/>
      <c r="D4" s="1"/>
      <c r="E4" s="1"/>
      <c r="F4" s="1"/>
      <c r="G4" s="1"/>
      <c r="H4" s="1"/>
    </row>
    <row r="5" spans="1:8" x14ac:dyDescent="0.25">
      <c r="A5" s="20"/>
      <c r="B5" s="1"/>
      <c r="C5" s="1"/>
      <c r="D5" s="1"/>
      <c r="E5" s="1"/>
      <c r="F5" s="1"/>
      <c r="G5" s="1"/>
      <c r="H5" s="1"/>
    </row>
    <row r="6" spans="1:8" x14ac:dyDescent="0.25">
      <c r="A6" s="20"/>
      <c r="B6" s="1"/>
      <c r="C6" s="1"/>
      <c r="D6" s="1"/>
      <c r="E6" s="4"/>
      <c r="F6" s="4"/>
      <c r="G6" s="4"/>
      <c r="H6" s="1"/>
    </row>
    <row r="7" spans="1:8" x14ac:dyDescent="0.25">
      <c r="A7" s="20"/>
      <c r="B7" s="21" t="s">
        <v>8</v>
      </c>
      <c r="C7" s="22"/>
      <c r="D7" s="23"/>
      <c r="E7" s="4"/>
      <c r="F7" s="4"/>
      <c r="G7" s="13">
        <f>SUM(G3:G6)</f>
        <v>5933.07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0" t="s">
        <v>32</v>
      </c>
      <c r="B9" s="1" t="s">
        <v>48</v>
      </c>
      <c r="C9" s="1" t="s">
        <v>51</v>
      </c>
      <c r="D9" s="1">
        <v>11.7</v>
      </c>
      <c r="E9" s="1">
        <v>30</v>
      </c>
      <c r="F9" s="1" t="s">
        <v>102</v>
      </c>
      <c r="G9" s="1">
        <f>D9*E9</f>
        <v>351</v>
      </c>
      <c r="H9" s="1"/>
    </row>
    <row r="10" spans="1:8" x14ac:dyDescent="0.25">
      <c r="A10" s="20"/>
      <c r="B10" s="1" t="s">
        <v>49</v>
      </c>
      <c r="C10" s="1" t="s">
        <v>14</v>
      </c>
      <c r="D10" s="1">
        <v>150</v>
      </c>
      <c r="E10" s="1">
        <v>8</v>
      </c>
      <c r="F10" s="1" t="s">
        <v>102</v>
      </c>
      <c r="G10" s="2">
        <f t="shared" ref="G10:G12" si="0">D10*E10</f>
        <v>1200</v>
      </c>
      <c r="H10" s="1"/>
    </row>
    <row r="11" spans="1:8" x14ac:dyDescent="0.25">
      <c r="A11" s="20"/>
      <c r="B11" s="1" t="s">
        <v>50</v>
      </c>
      <c r="C11" s="1" t="s">
        <v>52</v>
      </c>
      <c r="D11" s="1">
        <v>99</v>
      </c>
      <c r="E11" s="1">
        <v>12</v>
      </c>
      <c r="F11" s="1" t="s">
        <v>102</v>
      </c>
      <c r="G11" s="2">
        <f t="shared" si="0"/>
        <v>1188</v>
      </c>
      <c r="H11" s="1"/>
    </row>
    <row r="12" spans="1:8" x14ac:dyDescent="0.25">
      <c r="A12" s="20"/>
      <c r="B12" s="1" t="s">
        <v>13</v>
      </c>
      <c r="C12" s="1" t="s">
        <v>53</v>
      </c>
      <c r="D12" s="1">
        <v>30.6</v>
      </c>
      <c r="E12" s="1">
        <v>10</v>
      </c>
      <c r="F12" s="1" t="s">
        <v>102</v>
      </c>
      <c r="G12" s="2">
        <f t="shared" si="0"/>
        <v>306</v>
      </c>
      <c r="H12" s="1"/>
    </row>
    <row r="13" spans="1:8" x14ac:dyDescent="0.25">
      <c r="A13" s="20"/>
      <c r="B13" s="1"/>
      <c r="C13" s="1"/>
      <c r="D13" s="1"/>
      <c r="E13" s="1"/>
      <c r="F13" s="1"/>
      <c r="G13" s="1"/>
      <c r="H13" s="1"/>
    </row>
    <row r="14" spans="1:8" x14ac:dyDescent="0.25">
      <c r="A14" s="20"/>
      <c r="B14" s="21" t="s">
        <v>8</v>
      </c>
      <c r="C14" s="22"/>
      <c r="D14" s="23"/>
      <c r="E14" s="4"/>
      <c r="F14" s="4"/>
      <c r="G14" s="13">
        <f>SUM(G9:G13)</f>
        <v>3045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0" t="s">
        <v>33</v>
      </c>
      <c r="B16" s="1" t="s">
        <v>54</v>
      </c>
      <c r="C16" s="1" t="s">
        <v>53</v>
      </c>
      <c r="D16" s="1">
        <v>45</v>
      </c>
      <c r="E16" s="1">
        <v>10</v>
      </c>
      <c r="F16" s="1" t="s">
        <v>102</v>
      </c>
      <c r="G16" s="2">
        <f t="shared" ref="G16:G18" si="1">D16*E16</f>
        <v>450</v>
      </c>
      <c r="H16" s="1"/>
    </row>
    <row r="17" spans="1:8" x14ac:dyDescent="0.25">
      <c r="A17" s="20"/>
      <c r="B17" s="1" t="s">
        <v>55</v>
      </c>
      <c r="C17" s="1" t="s">
        <v>56</v>
      </c>
      <c r="D17" s="1">
        <v>11.4</v>
      </c>
      <c r="E17" s="1">
        <v>3</v>
      </c>
      <c r="F17" s="1" t="s">
        <v>102</v>
      </c>
      <c r="G17" s="2">
        <f t="shared" si="1"/>
        <v>34.200000000000003</v>
      </c>
      <c r="H17" s="1"/>
    </row>
    <row r="18" spans="1:8" x14ac:dyDescent="0.25">
      <c r="A18" s="20"/>
      <c r="B18" s="2" t="s">
        <v>96</v>
      </c>
      <c r="C18" s="2"/>
      <c r="D18" s="2">
        <v>38.4</v>
      </c>
      <c r="E18" s="2">
        <v>20</v>
      </c>
      <c r="F18" s="2" t="s">
        <v>94</v>
      </c>
      <c r="G18" s="2">
        <f t="shared" si="1"/>
        <v>768</v>
      </c>
      <c r="H18" s="1"/>
    </row>
    <row r="19" spans="1:8" x14ac:dyDescent="0.25">
      <c r="A19" s="20"/>
      <c r="B19" s="1"/>
      <c r="C19" s="1"/>
      <c r="D19" s="1"/>
      <c r="E19" s="4"/>
      <c r="F19" s="4"/>
      <c r="G19" s="1"/>
      <c r="H19" s="1"/>
    </row>
    <row r="20" spans="1:8" x14ac:dyDescent="0.25">
      <c r="A20" s="20"/>
      <c r="B20" s="21" t="s">
        <v>8</v>
      </c>
      <c r="C20" s="22"/>
      <c r="D20" s="23"/>
      <c r="E20" s="4"/>
      <c r="F20" s="4"/>
      <c r="G20" s="14">
        <f>SUM(G16:G19)</f>
        <v>1252.2</v>
      </c>
      <c r="H20" s="1"/>
    </row>
    <row r="21" spans="1:8" x14ac:dyDescent="0.25">
      <c r="A21" s="6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0"/>
      <c r="B22" s="2" t="s">
        <v>93</v>
      </c>
      <c r="C22" s="2"/>
      <c r="D22" s="2">
        <v>173.4</v>
      </c>
      <c r="E22" s="2">
        <v>8</v>
      </c>
      <c r="F22" s="2" t="s">
        <v>94</v>
      </c>
      <c r="G22" s="2">
        <f>D22*E22</f>
        <v>1387.2</v>
      </c>
      <c r="H22" s="1"/>
    </row>
    <row r="23" spans="1:8" x14ac:dyDescent="0.25">
      <c r="A23" s="20"/>
      <c r="B23" s="2" t="s">
        <v>95</v>
      </c>
      <c r="C23" s="2"/>
      <c r="D23" s="2">
        <v>150</v>
      </c>
      <c r="E23" s="2">
        <v>2</v>
      </c>
      <c r="F23" s="2" t="s">
        <v>94</v>
      </c>
      <c r="G23" s="2">
        <f t="shared" ref="G23:G28" si="2">D23*E23</f>
        <v>300</v>
      </c>
      <c r="H23" s="1"/>
    </row>
    <row r="24" spans="1:8" x14ac:dyDescent="0.25">
      <c r="A24" s="20"/>
      <c r="B24" s="2" t="s">
        <v>96</v>
      </c>
      <c r="C24" s="2"/>
      <c r="D24" s="2">
        <v>38.4</v>
      </c>
      <c r="E24" s="2">
        <v>20</v>
      </c>
      <c r="F24" s="2" t="s">
        <v>94</v>
      </c>
      <c r="G24" s="2">
        <f t="shared" si="2"/>
        <v>768</v>
      </c>
      <c r="H24" s="1"/>
    </row>
    <row r="25" spans="1:8" x14ac:dyDescent="0.25">
      <c r="A25" s="20"/>
      <c r="B25" s="2" t="s">
        <v>97</v>
      </c>
      <c r="C25" s="2"/>
      <c r="D25" s="2">
        <v>58.5</v>
      </c>
      <c r="E25" s="2">
        <v>0.5</v>
      </c>
      <c r="F25" s="2" t="s">
        <v>94</v>
      </c>
      <c r="G25" s="2">
        <f t="shared" si="2"/>
        <v>29.25</v>
      </c>
      <c r="H25" s="1"/>
    </row>
    <row r="26" spans="1:8" x14ac:dyDescent="0.25">
      <c r="A26" s="20"/>
      <c r="B26" s="2" t="s">
        <v>98</v>
      </c>
      <c r="C26" s="2"/>
      <c r="D26" s="2">
        <v>105</v>
      </c>
      <c r="E26" s="2">
        <v>4</v>
      </c>
      <c r="F26" s="2" t="s">
        <v>94</v>
      </c>
      <c r="G26" s="2">
        <f t="shared" si="2"/>
        <v>420</v>
      </c>
      <c r="H26" s="2"/>
    </row>
    <row r="27" spans="1:8" x14ac:dyDescent="0.25">
      <c r="A27" s="20"/>
      <c r="B27" s="2" t="s">
        <v>99</v>
      </c>
      <c r="C27" s="2"/>
      <c r="D27" s="2">
        <v>43.2</v>
      </c>
      <c r="E27" s="2">
        <v>4</v>
      </c>
      <c r="F27" s="2" t="s">
        <v>94</v>
      </c>
      <c r="G27" s="2">
        <f t="shared" si="2"/>
        <v>172.8</v>
      </c>
      <c r="H27" s="2"/>
    </row>
    <row r="28" spans="1:8" x14ac:dyDescent="0.25">
      <c r="A28" s="20"/>
      <c r="B28" s="2" t="s">
        <v>100</v>
      </c>
      <c r="C28" s="2"/>
      <c r="D28" s="2">
        <v>4.5</v>
      </c>
      <c r="E28" s="2">
        <v>50</v>
      </c>
      <c r="F28" s="2" t="s">
        <v>101</v>
      </c>
      <c r="G28" s="2">
        <f t="shared" si="2"/>
        <v>225</v>
      </c>
      <c r="H28" s="2"/>
    </row>
    <row r="29" spans="1:8" x14ac:dyDescent="0.25">
      <c r="A29" s="20"/>
      <c r="B29" s="2"/>
      <c r="C29" s="2"/>
      <c r="D29" s="2"/>
      <c r="E29" s="2"/>
      <c r="F29" s="5"/>
      <c r="G29" s="5"/>
      <c r="H29" s="2"/>
    </row>
    <row r="30" spans="1:8" x14ac:dyDescent="0.25">
      <c r="A30" s="20"/>
      <c r="B30" s="21" t="s">
        <v>8</v>
      </c>
      <c r="C30" s="22"/>
      <c r="D30" s="23"/>
      <c r="E30" s="4"/>
      <c r="F30" s="4"/>
      <c r="G30" s="14">
        <f>SUM(G22:G29)</f>
        <v>3302.25</v>
      </c>
      <c r="H30" s="1"/>
    </row>
    <row r="31" spans="1:8" x14ac:dyDescent="0.25">
      <c r="A31" s="1" t="s">
        <v>18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20" t="s">
        <v>34</v>
      </c>
      <c r="B32" s="1" t="s">
        <v>57</v>
      </c>
      <c r="C32" s="1" t="s">
        <v>59</v>
      </c>
      <c r="D32" s="1">
        <v>17.34</v>
      </c>
      <c r="E32" s="1">
        <v>4</v>
      </c>
      <c r="F32" s="1" t="s">
        <v>102</v>
      </c>
      <c r="G32" s="3">
        <f>D32*E32</f>
        <v>69.36</v>
      </c>
      <c r="H32" s="1"/>
    </row>
    <row r="33" spans="1:8" x14ac:dyDescent="0.25">
      <c r="A33" s="20"/>
      <c r="B33" s="1" t="s">
        <v>58</v>
      </c>
      <c r="C33" s="1" t="s">
        <v>12</v>
      </c>
      <c r="D33" s="1">
        <v>72</v>
      </c>
      <c r="E33" s="1">
        <v>15</v>
      </c>
      <c r="F33" s="1" t="s">
        <v>102</v>
      </c>
      <c r="G33" s="3">
        <f>D33*E33</f>
        <v>1080</v>
      </c>
      <c r="H33" s="1"/>
    </row>
    <row r="34" spans="1:8" x14ac:dyDescent="0.25">
      <c r="A34" s="20"/>
      <c r="B34" s="1"/>
      <c r="C34" s="1"/>
      <c r="D34" s="1"/>
      <c r="E34" s="1"/>
      <c r="F34" s="1"/>
      <c r="G34" s="1"/>
      <c r="H34" s="1"/>
    </row>
    <row r="35" spans="1:8" x14ac:dyDescent="0.25">
      <c r="A35" s="20"/>
      <c r="B35" s="21"/>
      <c r="C35" s="22"/>
      <c r="D35" s="23"/>
      <c r="E35" s="4"/>
      <c r="F35" s="4"/>
      <c r="G35" s="13">
        <f>SUM(G32:G34)</f>
        <v>1149.3599999999999</v>
      </c>
      <c r="H35" s="1"/>
    </row>
    <row r="36" spans="1:8" x14ac:dyDescent="0.25">
      <c r="A36" s="1" t="s">
        <v>24</v>
      </c>
      <c r="B36" s="1" t="s">
        <v>1</v>
      </c>
      <c r="C36" s="1" t="s">
        <v>2</v>
      </c>
      <c r="D36" s="1" t="s">
        <v>3</v>
      </c>
      <c r="E36" s="4" t="s">
        <v>4</v>
      </c>
      <c r="F36" s="4"/>
      <c r="G36" s="4" t="s">
        <v>5</v>
      </c>
      <c r="H36" s="1" t="s">
        <v>6</v>
      </c>
    </row>
    <row r="37" spans="1:8" x14ac:dyDescent="0.25">
      <c r="A37" s="27"/>
      <c r="B37" s="1" t="s">
        <v>103</v>
      </c>
      <c r="C37" s="1"/>
      <c r="D37" s="1">
        <v>5.0999999999999996</v>
      </c>
      <c r="E37" s="1">
        <v>65</v>
      </c>
      <c r="F37" s="1" t="s">
        <v>102</v>
      </c>
      <c r="G37" s="1">
        <f>D37*E37</f>
        <v>331.5</v>
      </c>
      <c r="H37" s="1"/>
    </row>
    <row r="38" spans="1:8" x14ac:dyDescent="0.25">
      <c r="A38" s="28"/>
      <c r="B38" s="1" t="s">
        <v>104</v>
      </c>
      <c r="C38" s="1"/>
      <c r="D38" s="1">
        <v>7.5</v>
      </c>
      <c r="E38" s="1">
        <v>260</v>
      </c>
      <c r="F38" s="1" t="s">
        <v>105</v>
      </c>
      <c r="G38" s="2">
        <f>D38*E38</f>
        <v>1950</v>
      </c>
      <c r="H38" s="1"/>
    </row>
    <row r="39" spans="1:8" x14ac:dyDescent="0.25">
      <c r="A39" s="29"/>
      <c r="B39" s="21" t="s">
        <v>8</v>
      </c>
      <c r="C39" s="22"/>
      <c r="D39" s="23"/>
      <c r="E39" s="4"/>
      <c r="F39" s="4"/>
      <c r="G39" s="13">
        <f>SUM(G37:G38)</f>
        <v>2281.5</v>
      </c>
      <c r="H39" s="7"/>
    </row>
    <row r="40" spans="1:8" x14ac:dyDescent="0.25">
      <c r="A40" s="8" t="s">
        <v>25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20"/>
      <c r="B41" s="1"/>
      <c r="C41" s="1"/>
      <c r="D41" s="1"/>
      <c r="E41" s="1"/>
      <c r="F41" s="1"/>
      <c r="G41" s="1"/>
      <c r="H41" s="1"/>
    </row>
    <row r="42" spans="1:8" x14ac:dyDescent="0.25">
      <c r="A42" s="20"/>
      <c r="B42" s="1"/>
      <c r="C42" s="1"/>
      <c r="D42" s="1"/>
      <c r="E42" s="1"/>
      <c r="F42" s="1"/>
      <c r="G42" s="1"/>
      <c r="H42" s="1"/>
    </row>
    <row r="43" spans="1:8" x14ac:dyDescent="0.25">
      <c r="A43" s="20"/>
      <c r="B43" s="1"/>
      <c r="C43" s="1"/>
      <c r="D43" s="1"/>
      <c r="E43" s="1"/>
      <c r="F43" s="1"/>
      <c r="G43" s="1"/>
      <c r="H43" s="1"/>
    </row>
    <row r="44" spans="1:8" x14ac:dyDescent="0.25">
      <c r="A44" s="20"/>
      <c r="B44" s="1"/>
      <c r="C44" s="1"/>
      <c r="D44" s="1"/>
      <c r="E44" s="1"/>
      <c r="F44" s="1"/>
      <c r="G44" s="1"/>
      <c r="H44" s="1"/>
    </row>
    <row r="45" spans="1:8" x14ac:dyDescent="0.25">
      <c r="A45" s="20"/>
      <c r="B45" s="21" t="s">
        <v>8</v>
      </c>
      <c r="C45" s="22"/>
      <c r="D45" s="23"/>
      <c r="E45" s="4"/>
      <c r="F45" s="4"/>
      <c r="G45" s="14">
        <f>SUM(G41:G44)</f>
        <v>0</v>
      </c>
      <c r="H45" s="1"/>
    </row>
    <row r="46" spans="1:8" x14ac:dyDescent="0.25">
      <c r="A46" s="1"/>
      <c r="B46" s="24" t="s">
        <v>26</v>
      </c>
      <c r="C46" s="25"/>
      <c r="D46" s="26"/>
      <c r="E46" s="9"/>
      <c r="F46" s="9"/>
      <c r="G46" s="10">
        <f>G39+G35+G20+G14+G7+G30</f>
        <v>16963.379999999997</v>
      </c>
      <c r="H46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5"/>
    <mergeCell ref="B45:D45"/>
    <mergeCell ref="B46:D46"/>
    <mergeCell ref="A22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28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35</v>
      </c>
      <c r="B3" s="1" t="s">
        <v>67</v>
      </c>
      <c r="C3" s="1" t="s">
        <v>16</v>
      </c>
      <c r="D3" s="1">
        <v>74.099999999999994</v>
      </c>
      <c r="E3" s="1">
        <v>2</v>
      </c>
      <c r="F3" s="1" t="s">
        <v>106</v>
      </c>
      <c r="G3" s="3">
        <f>D3*E3</f>
        <v>148.19999999999999</v>
      </c>
      <c r="H3" s="1"/>
    </row>
    <row r="4" spans="1:8" x14ac:dyDescent="0.25">
      <c r="A4" s="20"/>
      <c r="B4" s="1" t="s">
        <v>68</v>
      </c>
      <c r="C4" s="1" t="s">
        <v>62</v>
      </c>
      <c r="D4" s="1">
        <v>168</v>
      </c>
      <c r="E4" s="1">
        <v>20</v>
      </c>
      <c r="F4" s="1" t="s">
        <v>106</v>
      </c>
      <c r="G4" s="3">
        <f t="shared" ref="G4:G6" si="0">D4*E4</f>
        <v>3360</v>
      </c>
      <c r="H4" s="1"/>
    </row>
    <row r="5" spans="1:8" x14ac:dyDescent="0.25">
      <c r="A5" s="20"/>
      <c r="B5" s="1" t="s">
        <v>69</v>
      </c>
      <c r="C5" s="1" t="s">
        <v>51</v>
      </c>
      <c r="D5" s="1">
        <v>99</v>
      </c>
      <c r="E5" s="1">
        <v>30</v>
      </c>
      <c r="F5" s="1" t="s">
        <v>106</v>
      </c>
      <c r="G5" s="3">
        <f t="shared" si="0"/>
        <v>2970</v>
      </c>
      <c r="H5" s="1"/>
    </row>
    <row r="6" spans="1:8" x14ac:dyDescent="0.25">
      <c r="A6" s="20"/>
      <c r="B6" s="1" t="s">
        <v>70</v>
      </c>
      <c r="C6" s="1" t="s">
        <v>71</v>
      </c>
      <c r="D6" s="1">
        <v>74.099999999999994</v>
      </c>
      <c r="E6" s="4">
        <v>1</v>
      </c>
      <c r="F6" s="12" t="s">
        <v>106</v>
      </c>
      <c r="G6" s="3">
        <f t="shared" si="0"/>
        <v>74.099999999999994</v>
      </c>
      <c r="H6" s="1"/>
    </row>
    <row r="7" spans="1:8" x14ac:dyDescent="0.25">
      <c r="A7" s="20"/>
      <c r="B7" s="21" t="s">
        <v>8</v>
      </c>
      <c r="C7" s="22"/>
      <c r="D7" s="23"/>
      <c r="E7" s="4"/>
      <c r="F7" s="4"/>
      <c r="G7" s="13">
        <f>SUM(G3:G6)</f>
        <v>6552.3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0" t="s">
        <v>36</v>
      </c>
      <c r="B9" s="1" t="s">
        <v>72</v>
      </c>
      <c r="C9" s="1" t="s">
        <v>53</v>
      </c>
      <c r="D9" s="1">
        <v>93</v>
      </c>
      <c r="E9" s="1">
        <v>10</v>
      </c>
      <c r="F9" s="1" t="s">
        <v>106</v>
      </c>
      <c r="G9" s="1">
        <f>D9*E9</f>
        <v>930</v>
      </c>
      <c r="H9" s="1"/>
    </row>
    <row r="10" spans="1:8" x14ac:dyDescent="0.25">
      <c r="A10" s="20"/>
      <c r="B10" s="1" t="s">
        <v>73</v>
      </c>
      <c r="C10" s="1" t="s">
        <v>14</v>
      </c>
      <c r="D10" s="1">
        <v>165</v>
      </c>
      <c r="E10" s="1">
        <v>8</v>
      </c>
      <c r="F10" s="12" t="s">
        <v>106</v>
      </c>
      <c r="G10" s="12">
        <f t="shared" ref="G10:G12" si="1">D10*E10</f>
        <v>1320</v>
      </c>
      <c r="H10" s="1"/>
    </row>
    <row r="11" spans="1:8" x14ac:dyDescent="0.25">
      <c r="A11" s="20"/>
      <c r="B11" s="1" t="s">
        <v>15</v>
      </c>
      <c r="C11" s="1" t="s">
        <v>59</v>
      </c>
      <c r="D11" s="1">
        <v>9</v>
      </c>
      <c r="E11" s="1">
        <v>4</v>
      </c>
      <c r="F11" s="12" t="s">
        <v>106</v>
      </c>
      <c r="G11" s="12">
        <f t="shared" si="1"/>
        <v>36</v>
      </c>
      <c r="H11" s="1"/>
    </row>
    <row r="12" spans="1:8" x14ac:dyDescent="0.25">
      <c r="A12" s="20"/>
      <c r="B12" s="1" t="s">
        <v>54</v>
      </c>
      <c r="C12" s="1" t="s">
        <v>16</v>
      </c>
      <c r="D12" s="1">
        <v>45</v>
      </c>
      <c r="E12" s="1">
        <v>2</v>
      </c>
      <c r="F12" s="12" t="s">
        <v>106</v>
      </c>
      <c r="G12" s="12">
        <f t="shared" si="1"/>
        <v>90</v>
      </c>
      <c r="H12" s="1"/>
    </row>
    <row r="13" spans="1:8" x14ac:dyDescent="0.25">
      <c r="A13" s="20"/>
      <c r="B13" s="1"/>
      <c r="C13" s="1"/>
      <c r="D13" s="1"/>
      <c r="E13" s="1"/>
      <c r="F13" s="1"/>
      <c r="G13" s="1"/>
      <c r="H13" s="1"/>
    </row>
    <row r="14" spans="1:8" x14ac:dyDescent="0.25">
      <c r="A14" s="20"/>
      <c r="B14" s="21" t="s">
        <v>8</v>
      </c>
      <c r="C14" s="22"/>
      <c r="D14" s="23"/>
      <c r="E14" s="4"/>
      <c r="F14" s="4"/>
      <c r="G14" s="16">
        <f>SUM(G9:G13)</f>
        <v>2376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0" t="s">
        <v>37</v>
      </c>
      <c r="B16" s="1" t="s">
        <v>64</v>
      </c>
      <c r="C16" s="1" t="s">
        <v>66</v>
      </c>
      <c r="D16" s="1">
        <v>54</v>
      </c>
      <c r="E16" s="1">
        <v>25</v>
      </c>
      <c r="F16" s="1" t="s">
        <v>106</v>
      </c>
      <c r="G16" s="1">
        <f>D16*E16</f>
        <v>1350</v>
      </c>
      <c r="H16" s="1"/>
    </row>
    <row r="17" spans="1:8" x14ac:dyDescent="0.25">
      <c r="A17" s="20"/>
      <c r="B17" s="1" t="s">
        <v>65</v>
      </c>
      <c r="C17" s="1" t="s">
        <v>62</v>
      </c>
      <c r="D17" s="1">
        <v>105</v>
      </c>
      <c r="E17" s="1">
        <v>20</v>
      </c>
      <c r="F17" s="12" t="s">
        <v>106</v>
      </c>
      <c r="G17" s="12">
        <f t="shared" ref="G17:G18" si="2">D17*E17</f>
        <v>2100</v>
      </c>
      <c r="H17" s="1"/>
    </row>
    <row r="18" spans="1:8" x14ac:dyDescent="0.25">
      <c r="A18" s="20"/>
      <c r="B18" s="1" t="s">
        <v>13</v>
      </c>
      <c r="C18" s="1" t="s">
        <v>10</v>
      </c>
      <c r="D18" s="1">
        <v>30.6</v>
      </c>
      <c r="E18" s="1">
        <v>5</v>
      </c>
      <c r="F18" s="12" t="s">
        <v>106</v>
      </c>
      <c r="G18" s="12">
        <f t="shared" si="2"/>
        <v>153</v>
      </c>
      <c r="H18" s="1"/>
    </row>
    <row r="19" spans="1:8" x14ac:dyDescent="0.25">
      <c r="A19" s="20"/>
      <c r="B19" s="1"/>
      <c r="C19" s="1"/>
      <c r="D19" s="1"/>
      <c r="E19" s="4"/>
      <c r="F19" s="4"/>
      <c r="G19" s="1"/>
      <c r="H19" s="1"/>
    </row>
    <row r="20" spans="1:8" x14ac:dyDescent="0.25">
      <c r="A20" s="20"/>
      <c r="B20" s="21" t="s">
        <v>8</v>
      </c>
      <c r="C20" s="22"/>
      <c r="D20" s="23"/>
      <c r="E20" s="4"/>
      <c r="F20" s="4"/>
      <c r="G20" s="14">
        <f>SUM(G16:G19)</f>
        <v>3603</v>
      </c>
      <c r="H20" s="1"/>
    </row>
    <row r="21" spans="1:8" x14ac:dyDescent="0.25">
      <c r="A21" s="6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0"/>
      <c r="B22" s="1" t="s">
        <v>107</v>
      </c>
      <c r="C22" s="1"/>
      <c r="D22" s="1">
        <v>55</v>
      </c>
      <c r="E22" s="1">
        <v>20</v>
      </c>
      <c r="F22" s="1" t="s">
        <v>106</v>
      </c>
      <c r="G22" s="1">
        <f>D22*E22</f>
        <v>1100</v>
      </c>
      <c r="H22" s="1"/>
    </row>
    <row r="23" spans="1:8" x14ac:dyDescent="0.25">
      <c r="A23" s="20"/>
      <c r="B23" s="1" t="s">
        <v>108</v>
      </c>
      <c r="C23" s="1"/>
      <c r="D23" s="1">
        <v>29.38</v>
      </c>
      <c r="E23" s="1">
        <v>100</v>
      </c>
      <c r="F23" s="1" t="s">
        <v>106</v>
      </c>
      <c r="G23" s="12">
        <f t="shared" ref="G23:G25" si="3">D23*E23</f>
        <v>2938</v>
      </c>
      <c r="H23" s="1"/>
    </row>
    <row r="24" spans="1:8" x14ac:dyDescent="0.25">
      <c r="A24" s="20"/>
      <c r="B24" s="1" t="s">
        <v>109</v>
      </c>
      <c r="C24" s="1"/>
      <c r="D24" s="1">
        <v>1188</v>
      </c>
      <c r="E24" s="1">
        <v>2</v>
      </c>
      <c r="F24" s="1" t="s">
        <v>110</v>
      </c>
      <c r="G24" s="12">
        <f t="shared" si="3"/>
        <v>2376</v>
      </c>
      <c r="H24" s="1"/>
    </row>
    <row r="25" spans="1:8" x14ac:dyDescent="0.25">
      <c r="A25" s="20"/>
      <c r="B25" s="1" t="s">
        <v>112</v>
      </c>
      <c r="C25" s="1"/>
      <c r="D25" s="1">
        <v>50</v>
      </c>
      <c r="E25" s="1">
        <v>1</v>
      </c>
      <c r="F25" s="1" t="s">
        <v>113</v>
      </c>
      <c r="G25" s="12">
        <f t="shared" si="3"/>
        <v>50</v>
      </c>
      <c r="H25" s="1"/>
    </row>
    <row r="26" spans="1:8" x14ac:dyDescent="0.25">
      <c r="A26" s="20"/>
      <c r="B26" s="21" t="s">
        <v>8</v>
      </c>
      <c r="C26" s="22"/>
      <c r="D26" s="23"/>
      <c r="E26" s="4"/>
      <c r="F26" s="4"/>
      <c r="G26" s="14">
        <f>SUM(G22:G25)</f>
        <v>6464</v>
      </c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20" t="s">
        <v>38</v>
      </c>
      <c r="B28" s="1" t="s">
        <v>60</v>
      </c>
      <c r="C28" s="1" t="s">
        <v>62</v>
      </c>
      <c r="D28" s="1">
        <v>5.4</v>
      </c>
      <c r="E28" s="1">
        <v>20</v>
      </c>
      <c r="F28" s="1" t="s">
        <v>106</v>
      </c>
      <c r="G28" s="1">
        <f>D28*E28</f>
        <v>108</v>
      </c>
      <c r="H28" s="1"/>
    </row>
    <row r="29" spans="1:8" x14ac:dyDescent="0.25">
      <c r="A29" s="20"/>
      <c r="B29" s="1" t="s">
        <v>61</v>
      </c>
      <c r="C29" s="1" t="s">
        <v>63</v>
      </c>
      <c r="D29" s="1">
        <v>150</v>
      </c>
      <c r="E29" s="1">
        <v>15</v>
      </c>
      <c r="F29" s="1" t="s">
        <v>106</v>
      </c>
      <c r="G29" s="12">
        <f>D29*E29</f>
        <v>2250</v>
      </c>
      <c r="H29" s="1"/>
    </row>
    <row r="30" spans="1:8" x14ac:dyDescent="0.25">
      <c r="A30" s="20"/>
      <c r="B30" s="1"/>
      <c r="C30" s="1"/>
      <c r="D30" s="1"/>
      <c r="E30" s="1"/>
      <c r="F30" s="1"/>
      <c r="G30" s="17"/>
      <c r="H30" s="1"/>
    </row>
    <row r="31" spans="1:8" x14ac:dyDescent="0.25">
      <c r="A31" s="20"/>
      <c r="B31" s="21" t="s">
        <v>8</v>
      </c>
      <c r="C31" s="22"/>
      <c r="D31" s="23"/>
      <c r="E31" s="4"/>
      <c r="F31" s="4"/>
      <c r="G31" s="14">
        <f>SUM(G28:G30)</f>
        <v>2358</v>
      </c>
      <c r="H31" s="1"/>
    </row>
    <row r="32" spans="1:8" x14ac:dyDescent="0.25">
      <c r="A32" s="1" t="s">
        <v>24</v>
      </c>
      <c r="B32" s="1" t="s">
        <v>1</v>
      </c>
      <c r="C32" s="1" t="s">
        <v>2</v>
      </c>
      <c r="D32" s="1" t="s">
        <v>3</v>
      </c>
      <c r="E32" s="4" t="s">
        <v>4</v>
      </c>
      <c r="F32" s="4"/>
      <c r="G32" s="4" t="s">
        <v>5</v>
      </c>
      <c r="H32" s="1" t="s">
        <v>6</v>
      </c>
    </row>
    <row r="33" spans="1:8" x14ac:dyDescent="0.25">
      <c r="A33" s="27"/>
      <c r="B33" s="1" t="s">
        <v>111</v>
      </c>
      <c r="C33" s="1"/>
      <c r="D33" s="1">
        <v>10.8</v>
      </c>
      <c r="E33" s="1">
        <v>65</v>
      </c>
      <c r="F33" s="1" t="s">
        <v>106</v>
      </c>
      <c r="G33" s="1">
        <f>D33*E33</f>
        <v>702</v>
      </c>
      <c r="H33" s="1"/>
    </row>
    <row r="34" spans="1:8" x14ac:dyDescent="0.25">
      <c r="A34" s="28"/>
      <c r="B34" s="1" t="s">
        <v>115</v>
      </c>
      <c r="C34" s="1"/>
      <c r="D34" s="1">
        <v>40.32</v>
      </c>
      <c r="E34" s="1">
        <v>85</v>
      </c>
      <c r="F34" s="1" t="s">
        <v>106</v>
      </c>
      <c r="G34" s="12">
        <f>D34*E34</f>
        <v>3427.2</v>
      </c>
      <c r="H34" s="1"/>
    </row>
    <row r="35" spans="1:8" x14ac:dyDescent="0.25">
      <c r="A35" s="29"/>
      <c r="B35" s="21" t="s">
        <v>8</v>
      </c>
      <c r="C35" s="22"/>
      <c r="D35" s="23"/>
      <c r="E35" s="4"/>
      <c r="F35" s="4"/>
      <c r="G35" s="13">
        <f>SUM(G33:G34)</f>
        <v>4129.2</v>
      </c>
      <c r="H35" s="7"/>
    </row>
    <row r="36" spans="1:8" x14ac:dyDescent="0.25">
      <c r="A36" s="8" t="s">
        <v>25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20"/>
      <c r="B37" s="1" t="s">
        <v>114</v>
      </c>
      <c r="C37" s="1"/>
      <c r="D37" s="1">
        <v>78</v>
      </c>
      <c r="E37" s="1">
        <v>5.4</v>
      </c>
      <c r="F37" s="1" t="s">
        <v>106</v>
      </c>
      <c r="G37" s="1">
        <f>D37*E37</f>
        <v>421.20000000000005</v>
      </c>
      <c r="H37" s="1"/>
    </row>
    <row r="38" spans="1:8" x14ac:dyDescent="0.25">
      <c r="A38" s="20"/>
      <c r="B38" s="1"/>
      <c r="C38" s="1"/>
      <c r="D38" s="1"/>
      <c r="E38" s="1"/>
      <c r="F38" s="1"/>
      <c r="G38" s="1"/>
      <c r="H38" s="1"/>
    </row>
    <row r="39" spans="1:8" x14ac:dyDescent="0.25">
      <c r="A39" s="20"/>
      <c r="B39" s="1"/>
      <c r="C39" s="1"/>
      <c r="D39" s="1"/>
      <c r="E39" s="1"/>
      <c r="F39" s="1"/>
      <c r="G39" s="1"/>
      <c r="H39" s="1"/>
    </row>
    <row r="40" spans="1:8" x14ac:dyDescent="0.25">
      <c r="A40" s="20"/>
      <c r="B40" s="1"/>
      <c r="C40" s="1"/>
      <c r="D40" s="1"/>
      <c r="E40" s="1"/>
      <c r="F40" s="1"/>
      <c r="G40" s="1"/>
      <c r="H40" s="1"/>
    </row>
    <row r="41" spans="1:8" x14ac:dyDescent="0.25">
      <c r="A41" s="20"/>
      <c r="B41" s="21" t="s">
        <v>8</v>
      </c>
      <c r="C41" s="22"/>
      <c r="D41" s="23"/>
      <c r="E41" s="4"/>
      <c r="F41" s="4"/>
      <c r="G41" s="14">
        <f>SUM(G37:G40)</f>
        <v>421.20000000000005</v>
      </c>
      <c r="H41" s="1"/>
    </row>
    <row r="42" spans="1:8" x14ac:dyDescent="0.25">
      <c r="A42" s="1"/>
      <c r="B42" s="24" t="s">
        <v>26</v>
      </c>
      <c r="C42" s="25"/>
      <c r="D42" s="26"/>
      <c r="E42" s="9"/>
      <c r="F42" s="9"/>
      <c r="G42" s="10">
        <f>G41+G35+G31+G20+G14+G7+G26</f>
        <v>25903.7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29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39</v>
      </c>
      <c r="B3" s="1" t="s">
        <v>77</v>
      </c>
      <c r="C3" s="1" t="s">
        <v>78</v>
      </c>
      <c r="D3" s="1">
        <v>48</v>
      </c>
      <c r="E3" s="1">
        <v>140</v>
      </c>
      <c r="F3" s="1" t="s">
        <v>122</v>
      </c>
      <c r="G3" s="3">
        <f>D3*E3</f>
        <v>6720</v>
      </c>
      <c r="H3" s="1"/>
    </row>
    <row r="4" spans="1:8" x14ac:dyDescent="0.25">
      <c r="A4" s="20"/>
      <c r="B4" s="1"/>
      <c r="C4" s="1"/>
      <c r="D4" s="1"/>
      <c r="E4" s="1"/>
      <c r="F4" s="1"/>
      <c r="G4" s="1"/>
      <c r="H4" s="1"/>
    </row>
    <row r="5" spans="1:8" x14ac:dyDescent="0.25">
      <c r="A5" s="20"/>
      <c r="B5" s="1"/>
      <c r="C5" s="1"/>
      <c r="D5" s="1"/>
      <c r="E5" s="1"/>
      <c r="F5" s="1"/>
      <c r="G5" s="1"/>
      <c r="H5" s="1"/>
    </row>
    <row r="6" spans="1:8" x14ac:dyDescent="0.25">
      <c r="A6" s="20"/>
      <c r="B6" s="1"/>
      <c r="C6" s="1"/>
      <c r="D6" s="1"/>
      <c r="E6" s="4"/>
      <c r="F6" s="4"/>
      <c r="G6" s="4"/>
      <c r="H6" s="1"/>
    </row>
    <row r="7" spans="1:8" x14ac:dyDescent="0.25">
      <c r="A7" s="20"/>
      <c r="B7" s="21" t="s">
        <v>8</v>
      </c>
      <c r="C7" s="22"/>
      <c r="D7" s="23"/>
      <c r="E7" s="4"/>
      <c r="F7" s="4"/>
      <c r="G7" s="13">
        <f>SUM(G3:G6)</f>
        <v>6720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0" t="s">
        <v>40</v>
      </c>
      <c r="B9" s="1" t="s">
        <v>79</v>
      </c>
      <c r="C9" s="1" t="s">
        <v>66</v>
      </c>
      <c r="D9" s="1">
        <v>33.06</v>
      </c>
      <c r="E9" s="1">
        <v>25</v>
      </c>
      <c r="F9" s="1" t="s">
        <v>116</v>
      </c>
      <c r="G9" s="3">
        <f>D9*E9</f>
        <v>826.5</v>
      </c>
      <c r="H9" s="1"/>
    </row>
    <row r="10" spans="1:8" x14ac:dyDescent="0.25">
      <c r="A10" s="20"/>
      <c r="B10" s="1" t="s">
        <v>80</v>
      </c>
      <c r="C10" s="1" t="s">
        <v>62</v>
      </c>
      <c r="D10" s="1">
        <v>43.8</v>
      </c>
      <c r="E10" s="1">
        <v>20</v>
      </c>
      <c r="F10" s="15" t="s">
        <v>116</v>
      </c>
      <c r="G10" s="3">
        <f t="shared" ref="G10:G11" si="0">D10*E10</f>
        <v>876</v>
      </c>
      <c r="H10" s="1"/>
    </row>
    <row r="11" spans="1:8" x14ac:dyDescent="0.25">
      <c r="A11" s="20"/>
      <c r="B11" s="1" t="s">
        <v>15</v>
      </c>
      <c r="C11" s="1" t="s">
        <v>16</v>
      </c>
      <c r="D11" s="1">
        <v>9</v>
      </c>
      <c r="E11" s="1">
        <v>2</v>
      </c>
      <c r="F11" s="15" t="s">
        <v>116</v>
      </c>
      <c r="G11" s="3">
        <f t="shared" si="0"/>
        <v>18</v>
      </c>
      <c r="H11" s="1"/>
    </row>
    <row r="12" spans="1:8" x14ac:dyDescent="0.25">
      <c r="A12" s="20"/>
      <c r="B12" s="1"/>
      <c r="C12" s="1"/>
      <c r="D12" s="1"/>
      <c r="E12" s="1"/>
      <c r="F12" s="1"/>
      <c r="G12" s="1"/>
      <c r="H12" s="1"/>
    </row>
    <row r="13" spans="1:8" x14ac:dyDescent="0.25">
      <c r="A13" s="20"/>
      <c r="B13" s="1"/>
      <c r="C13" s="1"/>
      <c r="D13" s="1"/>
      <c r="E13" s="1"/>
      <c r="F13" s="1"/>
      <c r="G13" s="1"/>
      <c r="H13" s="1"/>
    </row>
    <row r="14" spans="1:8" x14ac:dyDescent="0.25">
      <c r="A14" s="20"/>
      <c r="B14" s="21" t="s">
        <v>8</v>
      </c>
      <c r="C14" s="22"/>
      <c r="D14" s="23"/>
      <c r="E14" s="4"/>
      <c r="F14" s="4"/>
      <c r="G14" s="13">
        <f>SUM(G9:G13)</f>
        <v>1720.5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0"/>
      <c r="B16" s="1"/>
      <c r="C16" s="1"/>
      <c r="D16" s="1"/>
      <c r="E16" s="1"/>
      <c r="F16" s="1"/>
      <c r="G16" s="1"/>
      <c r="H16" s="1"/>
    </row>
    <row r="17" spans="1:8" x14ac:dyDescent="0.25">
      <c r="A17" s="20"/>
      <c r="B17" s="1"/>
      <c r="C17" s="1"/>
      <c r="D17" s="1"/>
      <c r="E17" s="1"/>
      <c r="F17" s="1"/>
      <c r="G17" s="1"/>
      <c r="H17" s="1"/>
    </row>
    <row r="18" spans="1:8" x14ac:dyDescent="0.25">
      <c r="A18" s="20"/>
      <c r="B18" s="1"/>
      <c r="C18" s="1"/>
      <c r="D18" s="1"/>
      <c r="E18" s="1"/>
      <c r="F18" s="1"/>
      <c r="G18" s="1"/>
      <c r="H18" s="1"/>
    </row>
    <row r="19" spans="1:8" x14ac:dyDescent="0.25">
      <c r="A19" s="20"/>
      <c r="B19" s="1"/>
      <c r="C19" s="1"/>
      <c r="D19" s="1"/>
      <c r="E19" s="4"/>
      <c r="F19" s="4"/>
      <c r="G19" s="1"/>
      <c r="H19" s="1"/>
    </row>
    <row r="20" spans="1:8" x14ac:dyDescent="0.25">
      <c r="A20" s="20"/>
      <c r="B20" s="21" t="s">
        <v>8</v>
      </c>
      <c r="C20" s="22"/>
      <c r="D20" s="23"/>
      <c r="E20" s="4"/>
      <c r="F20" s="4"/>
      <c r="G20" s="11">
        <f>SUM(G16:G19)</f>
        <v>0</v>
      </c>
      <c r="H20" s="1"/>
    </row>
    <row r="21" spans="1:8" x14ac:dyDescent="0.25">
      <c r="A21" s="6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0"/>
      <c r="B22" s="1" t="s">
        <v>120</v>
      </c>
      <c r="C22" s="1"/>
      <c r="D22" s="1">
        <v>99</v>
      </c>
      <c r="E22" s="1">
        <v>5</v>
      </c>
      <c r="F22" s="1" t="s">
        <v>116</v>
      </c>
      <c r="G22" s="1">
        <f>D22*E22</f>
        <v>495</v>
      </c>
      <c r="H22" s="1"/>
    </row>
    <row r="23" spans="1:8" x14ac:dyDescent="0.25">
      <c r="A23" s="20"/>
      <c r="B23" s="1" t="s">
        <v>121</v>
      </c>
      <c r="C23" s="1"/>
      <c r="D23" s="1">
        <v>19.8</v>
      </c>
      <c r="E23" s="1">
        <v>8</v>
      </c>
      <c r="F23" s="1" t="s">
        <v>116</v>
      </c>
      <c r="G23" s="15">
        <f t="shared" ref="G23:G25" si="1">D23*E23</f>
        <v>158.4</v>
      </c>
      <c r="H23" s="1"/>
    </row>
    <row r="24" spans="1:8" x14ac:dyDescent="0.25">
      <c r="A24" s="20"/>
      <c r="B24" s="1" t="s">
        <v>123</v>
      </c>
      <c r="C24" s="1"/>
      <c r="D24" s="1">
        <v>168</v>
      </c>
      <c r="E24" s="1">
        <v>3</v>
      </c>
      <c r="F24" s="1" t="s">
        <v>116</v>
      </c>
      <c r="G24" s="15">
        <f t="shared" si="1"/>
        <v>504</v>
      </c>
      <c r="H24" s="1"/>
    </row>
    <row r="25" spans="1:8" x14ac:dyDescent="0.25">
      <c r="A25" s="20"/>
      <c r="B25" s="1" t="s">
        <v>124</v>
      </c>
      <c r="C25" s="1"/>
      <c r="D25" s="1">
        <v>210</v>
      </c>
      <c r="E25" s="1">
        <v>1</v>
      </c>
      <c r="F25" s="1" t="s">
        <v>125</v>
      </c>
      <c r="G25" s="15">
        <f t="shared" si="1"/>
        <v>210</v>
      </c>
      <c r="H25" s="1"/>
    </row>
    <row r="26" spans="1:8" x14ac:dyDescent="0.25">
      <c r="A26" s="20"/>
      <c r="B26" s="21" t="s">
        <v>8</v>
      </c>
      <c r="C26" s="22"/>
      <c r="D26" s="23"/>
      <c r="E26" s="4"/>
      <c r="F26" s="4"/>
      <c r="G26" s="13">
        <f>SUM(G22:G25)</f>
        <v>1367.4</v>
      </c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20" t="s">
        <v>19</v>
      </c>
      <c r="B28" s="1" t="s">
        <v>20</v>
      </c>
      <c r="C28" s="1" t="s">
        <v>21</v>
      </c>
      <c r="D28" s="1">
        <v>150</v>
      </c>
      <c r="E28" s="1">
        <v>3</v>
      </c>
      <c r="F28" s="1" t="s">
        <v>118</v>
      </c>
      <c r="G28" s="1">
        <f>E28*D28</f>
        <v>450</v>
      </c>
      <c r="H28" s="1"/>
    </row>
    <row r="29" spans="1:8" x14ac:dyDescent="0.25">
      <c r="A29" s="20"/>
      <c r="B29" s="1" t="s">
        <v>22</v>
      </c>
      <c r="C29" s="1"/>
      <c r="D29" s="1"/>
      <c r="E29" s="1"/>
      <c r="F29" s="1"/>
      <c r="G29" s="1"/>
      <c r="H29" s="1" t="s">
        <v>23</v>
      </c>
    </row>
    <row r="30" spans="1:8" x14ac:dyDescent="0.25">
      <c r="A30" s="20"/>
      <c r="B30" s="1"/>
      <c r="C30" s="1"/>
      <c r="D30" s="1"/>
      <c r="E30" s="1"/>
      <c r="F30" s="1"/>
      <c r="G30" s="1"/>
      <c r="H30" s="1"/>
    </row>
    <row r="31" spans="1:8" x14ac:dyDescent="0.25">
      <c r="A31" s="20"/>
      <c r="B31" s="21"/>
      <c r="C31" s="22"/>
      <c r="D31" s="23"/>
      <c r="E31" s="4"/>
      <c r="F31" s="4"/>
      <c r="G31" s="14">
        <f>SUM(G28:G30)</f>
        <v>450</v>
      </c>
      <c r="H31" s="1"/>
    </row>
    <row r="32" spans="1:8" x14ac:dyDescent="0.25">
      <c r="A32" s="1" t="s">
        <v>24</v>
      </c>
      <c r="B32" s="1" t="s">
        <v>1</v>
      </c>
      <c r="C32" s="1" t="s">
        <v>2</v>
      </c>
      <c r="D32" s="1" t="s">
        <v>3</v>
      </c>
      <c r="E32" s="4" t="s">
        <v>4</v>
      </c>
      <c r="F32" s="4"/>
      <c r="G32" s="4" t="s">
        <v>5</v>
      </c>
      <c r="H32" s="1" t="s">
        <v>6</v>
      </c>
    </row>
    <row r="33" spans="1:8" x14ac:dyDescent="0.25">
      <c r="A33" s="27"/>
      <c r="B33" s="1" t="s">
        <v>119</v>
      </c>
      <c r="C33" s="1"/>
      <c r="D33" s="1">
        <v>7.14</v>
      </c>
      <c r="E33" s="1">
        <v>65</v>
      </c>
      <c r="F33" s="1" t="s">
        <v>116</v>
      </c>
      <c r="G33" s="3">
        <f>D33*E33</f>
        <v>464.09999999999997</v>
      </c>
      <c r="H33" s="1"/>
    </row>
    <row r="34" spans="1:8" x14ac:dyDescent="0.25">
      <c r="A34" s="28"/>
      <c r="B34" s="1" t="s">
        <v>126</v>
      </c>
      <c r="C34" s="1"/>
      <c r="D34" s="1">
        <v>34.56</v>
      </c>
      <c r="E34" s="1">
        <v>76.67</v>
      </c>
      <c r="F34" s="18" t="s">
        <v>102</v>
      </c>
      <c r="G34" s="3">
        <f>D34*E34</f>
        <v>2649.7152000000001</v>
      </c>
      <c r="H34" s="1"/>
    </row>
    <row r="35" spans="1:8" x14ac:dyDescent="0.25">
      <c r="A35" s="29"/>
      <c r="B35" s="21" t="s">
        <v>8</v>
      </c>
      <c r="C35" s="22"/>
      <c r="D35" s="23"/>
      <c r="E35" s="4"/>
      <c r="F35" s="4"/>
      <c r="G35" s="13">
        <f>SUM(G33:G34)</f>
        <v>3113.8152</v>
      </c>
      <c r="H35" s="7"/>
    </row>
    <row r="36" spans="1:8" x14ac:dyDescent="0.25">
      <c r="A36" s="8" t="s">
        <v>25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20" t="s">
        <v>41</v>
      </c>
      <c r="B37" s="1" t="s">
        <v>13</v>
      </c>
      <c r="C37" s="1" t="s">
        <v>53</v>
      </c>
      <c r="D37" s="1">
        <v>30.6</v>
      </c>
      <c r="E37" s="1">
        <v>10</v>
      </c>
      <c r="F37" s="1" t="s">
        <v>116</v>
      </c>
      <c r="G37" s="1">
        <f>D37*E37</f>
        <v>306</v>
      </c>
      <c r="H37" s="1"/>
    </row>
    <row r="38" spans="1:8" x14ac:dyDescent="0.25">
      <c r="A38" s="20"/>
      <c r="B38" s="1" t="s">
        <v>74</v>
      </c>
      <c r="C38" s="1" t="s">
        <v>51</v>
      </c>
      <c r="D38" s="1">
        <v>99</v>
      </c>
      <c r="E38" s="1">
        <v>30</v>
      </c>
      <c r="F38" s="1" t="s">
        <v>116</v>
      </c>
      <c r="G38" s="15">
        <f t="shared" ref="G38:G40" si="2">D38*E38</f>
        <v>2970</v>
      </c>
      <c r="H38" s="1"/>
    </row>
    <row r="39" spans="1:8" x14ac:dyDescent="0.25">
      <c r="A39" s="20"/>
      <c r="B39" s="1" t="s">
        <v>54</v>
      </c>
      <c r="C39" s="1" t="s">
        <v>10</v>
      </c>
      <c r="D39" s="1">
        <v>45</v>
      </c>
      <c r="E39" s="1">
        <v>5</v>
      </c>
      <c r="F39" s="15" t="s">
        <v>116</v>
      </c>
      <c r="G39" s="15">
        <f t="shared" si="2"/>
        <v>225</v>
      </c>
      <c r="H39" s="1"/>
    </row>
    <row r="40" spans="1:8" x14ac:dyDescent="0.25">
      <c r="A40" s="20"/>
      <c r="B40" s="1" t="s">
        <v>75</v>
      </c>
      <c r="C40" s="1" t="s">
        <v>76</v>
      </c>
      <c r="D40" s="1">
        <v>613</v>
      </c>
      <c r="E40" s="1">
        <v>1</v>
      </c>
      <c r="F40" s="1" t="s">
        <v>117</v>
      </c>
      <c r="G40" s="15">
        <f t="shared" si="2"/>
        <v>613</v>
      </c>
      <c r="H40" s="1"/>
    </row>
    <row r="41" spans="1:8" x14ac:dyDescent="0.25">
      <c r="A41" s="20"/>
      <c r="B41" s="21" t="s">
        <v>8</v>
      </c>
      <c r="C41" s="22"/>
      <c r="D41" s="23"/>
      <c r="E41" s="4"/>
      <c r="F41" s="4"/>
      <c r="G41" s="14">
        <f>SUM(G37:G40)</f>
        <v>4114</v>
      </c>
      <c r="H41" s="1"/>
    </row>
    <row r="42" spans="1:8" x14ac:dyDescent="0.25">
      <c r="A42" s="1"/>
      <c r="B42" s="24" t="s">
        <v>26</v>
      </c>
      <c r="C42" s="25"/>
      <c r="D42" s="26"/>
      <c r="E42" s="9"/>
      <c r="F42" s="9"/>
      <c r="G42" s="10">
        <f>G41+G35+G31+G20+G14+G7+G26</f>
        <v>17485.715200000002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topLeftCell="A25" workbookViewId="0">
      <selection activeCell="H42" sqref="A1: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30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42</v>
      </c>
      <c r="B3" s="1" t="s">
        <v>81</v>
      </c>
      <c r="C3" s="1" t="s">
        <v>85</v>
      </c>
      <c r="D3" s="1">
        <v>75</v>
      </c>
      <c r="E3" s="1">
        <v>60</v>
      </c>
      <c r="F3" s="1" t="s">
        <v>132</v>
      </c>
      <c r="G3" s="3">
        <f>D3*E3</f>
        <v>4500</v>
      </c>
      <c r="H3" s="1"/>
    </row>
    <row r="4" spans="1:8" x14ac:dyDescent="0.25">
      <c r="A4" s="20"/>
      <c r="B4" s="1" t="s">
        <v>82</v>
      </c>
      <c r="C4" s="1" t="s">
        <v>86</v>
      </c>
      <c r="D4" s="1">
        <v>294</v>
      </c>
      <c r="E4" s="1">
        <v>2</v>
      </c>
      <c r="F4" s="1" t="s">
        <v>127</v>
      </c>
      <c r="G4" s="3">
        <f t="shared" ref="G4:G6" si="0">D4*E4</f>
        <v>588</v>
      </c>
      <c r="H4" s="1"/>
    </row>
    <row r="5" spans="1:8" x14ac:dyDescent="0.25">
      <c r="A5" s="20"/>
      <c r="B5" s="1" t="s">
        <v>83</v>
      </c>
      <c r="C5" s="1" t="s">
        <v>87</v>
      </c>
      <c r="D5" s="1">
        <v>120</v>
      </c>
      <c r="E5" s="1">
        <v>2</v>
      </c>
      <c r="F5" s="1" t="s">
        <v>133</v>
      </c>
      <c r="G5" s="3">
        <f t="shared" si="0"/>
        <v>240</v>
      </c>
      <c r="H5" s="1"/>
    </row>
    <row r="6" spans="1:8" x14ac:dyDescent="0.25">
      <c r="A6" s="20"/>
      <c r="B6" s="1" t="s">
        <v>84</v>
      </c>
      <c r="C6" s="1" t="s">
        <v>63</v>
      </c>
      <c r="D6" s="1">
        <v>30.6</v>
      </c>
      <c r="E6" s="4">
        <v>15</v>
      </c>
      <c r="F6" s="4" t="s">
        <v>132</v>
      </c>
      <c r="G6" s="3">
        <f t="shared" si="0"/>
        <v>459</v>
      </c>
      <c r="H6" s="1"/>
    </row>
    <row r="7" spans="1:8" x14ac:dyDescent="0.25">
      <c r="A7" s="20"/>
      <c r="B7" s="21" t="s">
        <v>8</v>
      </c>
      <c r="C7" s="22"/>
      <c r="D7" s="23"/>
      <c r="E7" s="4"/>
      <c r="F7" s="4"/>
      <c r="G7" s="13">
        <f>SUM(G3:G6)</f>
        <v>5787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0" t="s">
        <v>43</v>
      </c>
      <c r="B9" s="1" t="s">
        <v>20</v>
      </c>
      <c r="C9" s="1" t="s">
        <v>88</v>
      </c>
      <c r="D9" s="1">
        <v>150</v>
      </c>
      <c r="E9" s="1">
        <v>7</v>
      </c>
      <c r="F9" s="1" t="s">
        <v>134</v>
      </c>
      <c r="G9" s="1">
        <f>D9*E9</f>
        <v>1050</v>
      </c>
      <c r="H9" s="1"/>
    </row>
    <row r="10" spans="1:8" x14ac:dyDescent="0.25">
      <c r="A10" s="20"/>
      <c r="B10" s="1" t="s">
        <v>13</v>
      </c>
      <c r="C10" s="1" t="s">
        <v>10</v>
      </c>
      <c r="D10" s="1">
        <v>30.6</v>
      </c>
      <c r="E10" s="1">
        <v>5</v>
      </c>
      <c r="F10" s="1" t="s">
        <v>132</v>
      </c>
      <c r="G10" s="19">
        <f>D10*E10</f>
        <v>153</v>
      </c>
      <c r="H10" s="1"/>
    </row>
    <row r="11" spans="1:8" x14ac:dyDescent="0.25">
      <c r="A11" s="20"/>
      <c r="B11" s="1"/>
      <c r="C11" s="1"/>
      <c r="D11" s="1"/>
      <c r="E11" s="1"/>
      <c r="F11" s="1"/>
      <c r="G11" s="1"/>
      <c r="H11" s="1"/>
    </row>
    <row r="12" spans="1:8" x14ac:dyDescent="0.25">
      <c r="A12" s="20"/>
      <c r="B12" s="1"/>
      <c r="C12" s="1"/>
      <c r="D12" s="1"/>
      <c r="E12" s="1"/>
      <c r="F12" s="1"/>
      <c r="G12" s="1"/>
      <c r="H12" s="1"/>
    </row>
    <row r="13" spans="1:8" x14ac:dyDescent="0.25">
      <c r="A13" s="20"/>
      <c r="B13" s="1"/>
      <c r="C13" s="1"/>
      <c r="D13" s="1"/>
      <c r="E13" s="1"/>
      <c r="F13" s="1"/>
      <c r="G13" s="1"/>
      <c r="H13" s="1"/>
    </row>
    <row r="14" spans="1:8" x14ac:dyDescent="0.25">
      <c r="A14" s="20"/>
      <c r="B14" s="21" t="s">
        <v>8</v>
      </c>
      <c r="C14" s="22"/>
      <c r="D14" s="23"/>
      <c r="E14" s="4"/>
      <c r="F14" s="4"/>
      <c r="G14" s="13">
        <f>SUM(G9:G13)</f>
        <v>1203</v>
      </c>
      <c r="H14" s="1"/>
    </row>
    <row r="15" spans="1:8" x14ac:dyDescent="0.25">
      <c r="A15" s="1" t="s">
        <v>11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0" t="s">
        <v>44</v>
      </c>
      <c r="B16" s="1" t="s">
        <v>89</v>
      </c>
      <c r="C16" s="1" t="s">
        <v>51</v>
      </c>
      <c r="D16" s="1">
        <v>40.5</v>
      </c>
      <c r="E16" s="1">
        <v>30</v>
      </c>
      <c r="F16" s="1" t="s">
        <v>132</v>
      </c>
      <c r="G16" s="1">
        <f>D16*E16</f>
        <v>1215</v>
      </c>
      <c r="H16" s="1"/>
    </row>
    <row r="17" spans="1:8" x14ac:dyDescent="0.25">
      <c r="A17" s="20"/>
      <c r="B17" s="1" t="s">
        <v>90</v>
      </c>
      <c r="C17" s="1" t="s">
        <v>92</v>
      </c>
      <c r="D17" s="1">
        <v>105</v>
      </c>
      <c r="E17" s="1">
        <v>10</v>
      </c>
      <c r="F17" s="1" t="s">
        <v>127</v>
      </c>
      <c r="G17" s="19">
        <f t="shared" ref="G17:G18" si="1">D17*E17</f>
        <v>1050</v>
      </c>
      <c r="H17" s="1"/>
    </row>
    <row r="18" spans="1:8" x14ac:dyDescent="0.25">
      <c r="A18" s="20"/>
      <c r="B18" s="1" t="s">
        <v>91</v>
      </c>
      <c r="C18" s="1" t="s">
        <v>56</v>
      </c>
      <c r="D18" s="1">
        <v>85</v>
      </c>
      <c r="E18" s="1">
        <v>3</v>
      </c>
      <c r="F18" s="1" t="s">
        <v>132</v>
      </c>
      <c r="G18" s="19">
        <f t="shared" si="1"/>
        <v>255</v>
      </c>
      <c r="H18" s="1"/>
    </row>
    <row r="19" spans="1:8" x14ac:dyDescent="0.25">
      <c r="A19" s="20"/>
      <c r="B19" s="1"/>
      <c r="C19" s="1"/>
      <c r="D19" s="1"/>
      <c r="E19" s="4"/>
      <c r="F19" s="4"/>
      <c r="G19" s="1"/>
      <c r="H19" s="1"/>
    </row>
    <row r="20" spans="1:8" x14ac:dyDescent="0.25">
      <c r="A20" s="20"/>
      <c r="B20" s="21" t="s">
        <v>8</v>
      </c>
      <c r="C20" s="22"/>
      <c r="D20" s="23"/>
      <c r="E20" s="4"/>
      <c r="F20" s="4"/>
      <c r="G20" s="14">
        <f>SUM(G16:G19)</f>
        <v>2520</v>
      </c>
      <c r="H20" s="1"/>
    </row>
    <row r="21" spans="1:8" x14ac:dyDescent="0.25">
      <c r="A21" s="6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0"/>
      <c r="B22" s="1" t="s">
        <v>128</v>
      </c>
      <c r="C22" s="1"/>
      <c r="D22" s="1">
        <v>264</v>
      </c>
      <c r="E22" s="1">
        <v>1</v>
      </c>
      <c r="F22" s="1" t="s">
        <v>129</v>
      </c>
      <c r="G22" s="1">
        <f>D22*E22</f>
        <v>264</v>
      </c>
      <c r="H22" s="1"/>
    </row>
    <row r="23" spans="1:8" x14ac:dyDescent="0.25">
      <c r="A23" s="20"/>
      <c r="B23" s="1" t="s">
        <v>130</v>
      </c>
      <c r="C23" s="1"/>
      <c r="D23" s="1">
        <v>60</v>
      </c>
      <c r="E23" s="1">
        <v>1</v>
      </c>
      <c r="F23" s="1" t="s">
        <v>131</v>
      </c>
      <c r="G23" s="19">
        <f>D23*E23</f>
        <v>60</v>
      </c>
      <c r="H23" s="1"/>
    </row>
    <row r="24" spans="1:8" x14ac:dyDescent="0.25">
      <c r="A24" s="20"/>
      <c r="B24" s="1"/>
      <c r="C24" s="1"/>
      <c r="D24" s="1"/>
      <c r="E24" s="1"/>
      <c r="F24" s="1"/>
      <c r="G24" s="1"/>
      <c r="H24" s="1"/>
    </row>
    <row r="25" spans="1:8" x14ac:dyDescent="0.25">
      <c r="A25" s="20"/>
      <c r="B25" s="1"/>
      <c r="C25" s="1"/>
      <c r="D25" s="1"/>
      <c r="E25" s="1"/>
      <c r="F25" s="1"/>
      <c r="G25" s="1"/>
      <c r="H25" s="1"/>
    </row>
    <row r="26" spans="1:8" x14ac:dyDescent="0.25">
      <c r="A26" s="20"/>
      <c r="B26" s="21" t="s">
        <v>8</v>
      </c>
      <c r="C26" s="22"/>
      <c r="D26" s="23"/>
      <c r="E26" s="4"/>
      <c r="F26" s="4"/>
      <c r="G26" s="14">
        <f>SUM(G22:G25)</f>
        <v>324</v>
      </c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20" t="s">
        <v>45</v>
      </c>
      <c r="B28" s="1" t="s">
        <v>46</v>
      </c>
      <c r="C28" s="1"/>
      <c r="D28" s="1"/>
      <c r="E28" s="1"/>
      <c r="F28" s="1"/>
      <c r="G28" s="1"/>
      <c r="H28" s="1" t="s">
        <v>23</v>
      </c>
    </row>
    <row r="29" spans="1:8" x14ac:dyDescent="0.25">
      <c r="A29" s="20"/>
      <c r="B29" s="1"/>
      <c r="C29" s="1"/>
      <c r="D29" s="1"/>
      <c r="E29" s="1"/>
      <c r="F29" s="1"/>
      <c r="G29" s="1"/>
      <c r="H29" s="1"/>
    </row>
    <row r="30" spans="1:8" x14ac:dyDescent="0.25">
      <c r="A30" s="20"/>
      <c r="B30" s="1"/>
      <c r="C30" s="1"/>
      <c r="D30" s="1"/>
      <c r="E30" s="1"/>
      <c r="F30" s="1"/>
      <c r="G30" s="1"/>
      <c r="H30" s="1"/>
    </row>
    <row r="31" spans="1:8" x14ac:dyDescent="0.25">
      <c r="A31" s="20"/>
      <c r="B31" s="21"/>
      <c r="C31" s="22"/>
      <c r="D31" s="23"/>
      <c r="E31" s="4"/>
      <c r="F31" s="4"/>
      <c r="G31" s="11">
        <f>SUM(G28:G30)</f>
        <v>0</v>
      </c>
      <c r="H31" s="1"/>
    </row>
    <row r="32" spans="1:8" x14ac:dyDescent="0.25">
      <c r="A32" s="1" t="s">
        <v>24</v>
      </c>
      <c r="B32" s="1" t="s">
        <v>1</v>
      </c>
      <c r="C32" s="1" t="s">
        <v>2</v>
      </c>
      <c r="D32" s="1" t="s">
        <v>3</v>
      </c>
      <c r="E32" s="4" t="s">
        <v>4</v>
      </c>
      <c r="F32" s="4"/>
      <c r="G32" s="4" t="s">
        <v>5</v>
      </c>
      <c r="H32" s="1" t="s">
        <v>6</v>
      </c>
    </row>
    <row r="33" spans="1:8" x14ac:dyDescent="0.25">
      <c r="A33" s="27"/>
      <c r="B33" s="1" t="s">
        <v>135</v>
      </c>
      <c r="C33" s="1"/>
      <c r="D33" s="1">
        <v>10.199999999999999</v>
      </c>
      <c r="E33" s="1">
        <v>65</v>
      </c>
      <c r="F33" s="1" t="s">
        <v>132</v>
      </c>
      <c r="G33" s="3">
        <f>D33*E33</f>
        <v>663</v>
      </c>
      <c r="H33" s="1"/>
    </row>
    <row r="34" spans="1:8" x14ac:dyDescent="0.25">
      <c r="A34" s="28"/>
      <c r="B34" s="1" t="s">
        <v>138</v>
      </c>
      <c r="C34" s="1"/>
      <c r="D34" s="1">
        <v>34.56</v>
      </c>
      <c r="E34" s="1">
        <v>76.67</v>
      </c>
      <c r="F34" s="19" t="s">
        <v>132</v>
      </c>
      <c r="G34" s="3">
        <f>D34*E34</f>
        <v>2649.7152000000001</v>
      </c>
      <c r="H34" s="1"/>
    </row>
    <row r="35" spans="1:8" x14ac:dyDescent="0.25">
      <c r="A35" s="29"/>
      <c r="B35" s="21" t="s">
        <v>8</v>
      </c>
      <c r="C35" s="22"/>
      <c r="D35" s="23"/>
      <c r="E35" s="4"/>
      <c r="F35" s="4"/>
      <c r="G35" s="13">
        <f>SUM(G33:G34)</f>
        <v>3312.7152000000001</v>
      </c>
      <c r="H35" s="7"/>
    </row>
    <row r="36" spans="1:8" x14ac:dyDescent="0.25">
      <c r="A36" s="8" t="s">
        <v>25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20"/>
      <c r="B37" s="1" t="s">
        <v>136</v>
      </c>
      <c r="C37" s="1"/>
      <c r="D37" s="1">
        <v>19.8</v>
      </c>
      <c r="E37" s="1">
        <v>8</v>
      </c>
      <c r="F37" s="1" t="s">
        <v>132</v>
      </c>
      <c r="G37" s="1">
        <f>D37*E37</f>
        <v>158.4</v>
      </c>
      <c r="H37" s="1"/>
    </row>
    <row r="38" spans="1:8" x14ac:dyDescent="0.25">
      <c r="A38" s="20"/>
      <c r="B38" s="1" t="s">
        <v>137</v>
      </c>
      <c r="C38" s="1"/>
      <c r="D38" s="1">
        <v>45</v>
      </c>
      <c r="E38" s="1">
        <v>1</v>
      </c>
      <c r="F38" s="1" t="s">
        <v>132</v>
      </c>
      <c r="G38" s="19">
        <f t="shared" ref="G38:G39" si="2">D38*E38</f>
        <v>45</v>
      </c>
      <c r="H38" s="1"/>
    </row>
    <row r="39" spans="1:8" x14ac:dyDescent="0.25">
      <c r="A39" s="20"/>
      <c r="B39" s="1" t="s">
        <v>139</v>
      </c>
      <c r="C39" s="1"/>
      <c r="D39" s="1">
        <v>42</v>
      </c>
      <c r="E39" s="1">
        <v>20</v>
      </c>
      <c r="F39" s="1" t="s">
        <v>132</v>
      </c>
      <c r="G39" s="19">
        <f t="shared" si="2"/>
        <v>840</v>
      </c>
      <c r="H39" s="1"/>
    </row>
    <row r="40" spans="1:8" x14ac:dyDescent="0.25">
      <c r="A40" s="20"/>
      <c r="B40" s="1"/>
      <c r="C40" s="1"/>
      <c r="D40" s="1"/>
      <c r="E40" s="1"/>
      <c r="F40" s="1"/>
      <c r="G40" s="1"/>
      <c r="H40" s="1"/>
    </row>
    <row r="41" spans="1:8" x14ac:dyDescent="0.25">
      <c r="A41" s="20"/>
      <c r="B41" s="21" t="s">
        <v>8</v>
      </c>
      <c r="C41" s="22"/>
      <c r="D41" s="23"/>
      <c r="E41" s="4"/>
      <c r="F41" s="4"/>
      <c r="G41" s="13">
        <f>SUM(G37:G40)</f>
        <v>1043.4000000000001</v>
      </c>
      <c r="H41" s="1"/>
    </row>
    <row r="42" spans="1:8" x14ac:dyDescent="0.25">
      <c r="A42" s="1"/>
      <c r="B42" s="24" t="s">
        <v>26</v>
      </c>
      <c r="C42" s="25"/>
      <c r="D42" s="26"/>
      <c r="E42" s="9"/>
      <c r="F42" s="9"/>
      <c r="G42" s="10">
        <f>G41+G35+G31+G20+G14+G7+G26</f>
        <v>14190.1152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0224</vt:lpstr>
      <vt:lpstr>0225</vt:lpstr>
      <vt:lpstr>0226</vt:lpstr>
      <vt:lpstr>0227</vt:lpstr>
      <vt:lpstr>'0224'!Print_Area</vt:lpstr>
      <vt:lpstr>'0225'!Print_Area</vt:lpstr>
      <vt:lpstr>'0226'!Print_Area</vt:lpstr>
      <vt:lpstr>'0227'!Print_Area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2025-02-26T05:39:47Z</cp:lastPrinted>
  <dcterms:created xsi:type="dcterms:W3CDTF">2025-02-19T16:56:55Z</dcterms:created>
  <dcterms:modified xsi:type="dcterms:W3CDTF">2025-02-26T05:44:37Z</dcterms:modified>
</cp:coreProperties>
</file>