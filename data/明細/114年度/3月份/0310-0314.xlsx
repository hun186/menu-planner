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3月份\"/>
    </mc:Choice>
  </mc:AlternateContent>
  <bookViews>
    <workbookView xWindow="0" yWindow="0" windowWidth="28800" windowHeight="12255" activeTab="4"/>
  </bookViews>
  <sheets>
    <sheet name="0310" sheetId="1" r:id="rId1"/>
    <sheet name="0311" sheetId="2" r:id="rId2"/>
    <sheet name="0312" sheetId="3" r:id="rId3"/>
    <sheet name="0313" sheetId="4" r:id="rId4"/>
    <sheet name="0314" sheetId="5" r:id="rId5"/>
  </sheets>
  <definedNames>
    <definedName name="_xlnm.Print_Area" localSheetId="0">'0310'!$A$1:$H$49</definedName>
    <definedName name="_xlnm.Print_Area" localSheetId="1">'0311'!$A$1:$H$45</definedName>
    <definedName name="_xlnm.Print_Area" localSheetId="2">'0312'!$A$1:$H$55</definedName>
    <definedName name="_xlnm.Print_Area" localSheetId="3">'0313'!$A$1:$H$44</definedName>
    <definedName name="_xlnm.Print_Area" localSheetId="4">'0314'!$A$1:$H$49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5" l="1"/>
  <c r="G49" i="5"/>
  <c r="G48" i="5"/>
  <c r="G41" i="5"/>
  <c r="G42" i="5"/>
  <c r="G43" i="5"/>
  <c r="G44" i="5"/>
  <c r="G45" i="5"/>
  <c r="G46" i="5"/>
  <c r="G47" i="5"/>
  <c r="G40" i="5"/>
  <c r="G37" i="5"/>
  <c r="G36" i="5"/>
  <c r="G32" i="5"/>
  <c r="G31" i="5"/>
  <c r="G18" i="5"/>
  <c r="G17" i="5"/>
  <c r="G15" i="5"/>
  <c r="G11" i="5"/>
  <c r="G12" i="5"/>
  <c r="G13" i="5"/>
  <c r="G10" i="5"/>
  <c r="G8" i="5"/>
  <c r="G4" i="5"/>
  <c r="G5" i="5"/>
  <c r="G6" i="5"/>
  <c r="G3" i="5"/>
  <c r="G24" i="5"/>
  <c r="G25" i="5"/>
  <c r="G26" i="5"/>
  <c r="G27" i="5"/>
  <c r="G28" i="5"/>
  <c r="G23" i="5"/>
  <c r="G44" i="4" l="1"/>
  <c r="G39" i="4"/>
  <c r="G28" i="4"/>
  <c r="G23" i="4"/>
  <c r="G24" i="4"/>
  <c r="G25" i="4"/>
  <c r="G26" i="4"/>
  <c r="G27" i="4"/>
  <c r="G22" i="4"/>
  <c r="G36" i="4"/>
  <c r="G35" i="4"/>
  <c r="G17" i="4"/>
  <c r="G18" i="4"/>
  <c r="G16" i="4"/>
  <c r="G10" i="4"/>
  <c r="G11" i="4"/>
  <c r="G9" i="4"/>
  <c r="G3" i="4"/>
  <c r="G55" i="3" l="1"/>
  <c r="G47" i="3"/>
  <c r="G39" i="3"/>
  <c r="G40" i="3"/>
  <c r="G41" i="3"/>
  <c r="G42" i="3"/>
  <c r="G38" i="3"/>
  <c r="G14" i="3"/>
  <c r="G10" i="3"/>
  <c r="G11" i="3"/>
  <c r="G12" i="3"/>
  <c r="G9" i="3"/>
  <c r="G36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2" i="3"/>
  <c r="G51" i="3"/>
  <c r="G46" i="3"/>
  <c r="G45" i="2"/>
  <c r="G11" i="2"/>
  <c r="G12" i="2"/>
  <c r="G10" i="2"/>
  <c r="G41" i="2"/>
  <c r="G40" i="2"/>
  <c r="G4" i="2"/>
  <c r="G5" i="2"/>
  <c r="G6" i="2"/>
  <c r="G7" i="2"/>
  <c r="G37" i="2"/>
  <c r="G29" i="2"/>
  <c r="G26" i="2"/>
  <c r="G27" i="2"/>
  <c r="G25" i="2"/>
  <c r="G31" i="2"/>
  <c r="G4" i="3"/>
  <c r="G3" i="3"/>
  <c r="G18" i="2"/>
  <c r="G19" i="2"/>
  <c r="G17" i="2"/>
  <c r="G50" i="3"/>
  <c r="G3" i="1"/>
  <c r="G3" i="2"/>
  <c r="G36" i="2"/>
  <c r="G14" i="1" l="1"/>
  <c r="G20" i="1"/>
  <c r="G44" i="1"/>
  <c r="G17" i="1"/>
  <c r="G32" i="1"/>
  <c r="G16" i="1"/>
  <c r="G40" i="1"/>
  <c r="G4" i="1"/>
  <c r="G31" i="1"/>
  <c r="G30" i="1"/>
  <c r="G29" i="1"/>
  <c r="G33" i="1" s="1"/>
  <c r="G28" i="1"/>
  <c r="G27" i="1"/>
  <c r="G24" i="1" l="1"/>
  <c r="G25" i="1"/>
  <c r="G26" i="1"/>
  <c r="G23" i="1"/>
  <c r="G22" i="1"/>
  <c r="G10" i="1"/>
  <c r="G11" i="1"/>
  <c r="G12" i="1"/>
  <c r="G9" i="1"/>
  <c r="G38" i="5" l="1"/>
  <c r="G34" i="5"/>
  <c r="G21" i="5"/>
  <c r="G43" i="4"/>
  <c r="G37" i="4"/>
  <c r="G33" i="4"/>
  <c r="G20" i="4"/>
  <c r="G14" i="4"/>
  <c r="G7" i="4"/>
  <c r="G54" i="3"/>
  <c r="G48" i="3"/>
  <c r="G44" i="3"/>
  <c r="G20" i="3"/>
  <c r="G7" i="3"/>
  <c r="G44" i="2"/>
  <c r="G38" i="2"/>
  <c r="G34" i="2"/>
  <c r="G23" i="2"/>
  <c r="G15" i="2"/>
  <c r="G8" i="2"/>
  <c r="G48" i="1"/>
  <c r="G42" i="1"/>
  <c r="G38" i="1"/>
  <c r="G7" i="1"/>
  <c r="G49" i="1" s="1"/>
</calcChain>
</file>

<file path=xl/sharedStrings.xml><?xml version="1.0" encoding="utf-8"?>
<sst xmlns="http://schemas.openxmlformats.org/spreadsheetml/2006/main" count="586" uniqueCount="208">
  <si>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</si>
  <si>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</si>
  <si>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</si>
  <si>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</si>
  <si>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</si>
  <si>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</si>
  <si>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</si>
  <si>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</si>
  <si>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</si>
  <si>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</si>
  <si>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</si>
  <si>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</si>
  <si>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</si>
  <si>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</si>
  <si>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</si>
  <si>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蛋</t>
    <phoneticPr fontId="2" type="noConversion"/>
  </si>
  <si>
    <t>庫存</t>
    <phoneticPr fontId="2" type="noConversion"/>
  </si>
  <si>
    <t>蔥油雞</t>
    <phoneticPr fontId="2" type="noConversion"/>
  </si>
  <si>
    <t>木耳炒肉絲</t>
    <phoneticPr fontId="2" type="noConversion"/>
  </si>
  <si>
    <t>宮保豆腐</t>
    <phoneticPr fontId="2" type="noConversion"/>
  </si>
  <si>
    <t>紫菜蛋花湯</t>
    <phoneticPr fontId="2" type="noConversion"/>
  </si>
  <si>
    <t>腿排</t>
    <phoneticPr fontId="2" type="noConversion"/>
  </si>
  <si>
    <t>260個</t>
    <phoneticPr fontId="2" type="noConversion"/>
  </si>
  <si>
    <t>肉絲</t>
    <phoneticPr fontId="2" type="noConversion"/>
  </si>
  <si>
    <t>木耳絲</t>
    <phoneticPr fontId="2" type="noConversion"/>
  </si>
  <si>
    <t>20斤</t>
    <phoneticPr fontId="2" type="noConversion"/>
  </si>
  <si>
    <t>15斤</t>
    <phoneticPr fontId="2" type="noConversion"/>
  </si>
  <si>
    <t>紅蘿蔔絲</t>
    <phoneticPr fontId="2" type="noConversion"/>
  </si>
  <si>
    <t>3斤</t>
    <phoneticPr fontId="2" type="noConversion"/>
  </si>
  <si>
    <t>去皮洋蔥</t>
    <phoneticPr fontId="2" type="noConversion"/>
  </si>
  <si>
    <t>5斤</t>
    <phoneticPr fontId="2" type="noConversion"/>
  </si>
  <si>
    <t>4斤</t>
    <phoneticPr fontId="2" type="noConversion"/>
  </si>
  <si>
    <t>雪白菇</t>
    <phoneticPr fontId="2" type="noConversion"/>
  </si>
  <si>
    <t>8斤</t>
    <phoneticPr fontId="2" type="noConversion"/>
  </si>
  <si>
    <t>油豆腐丁</t>
    <phoneticPr fontId="2" type="noConversion"/>
  </si>
  <si>
    <t>30斤</t>
    <phoneticPr fontId="2" type="noConversion"/>
  </si>
  <si>
    <t>紫菜</t>
    <phoneticPr fontId="2" type="noConversion"/>
  </si>
  <si>
    <t>電訊科技中心(安康營區)     114年     3月   10日      午餐明細表</t>
    <phoneticPr fontId="2" type="noConversion"/>
  </si>
  <si>
    <t>電訊科技中心(安康營區)     114年      3月   11日      午餐明細表</t>
    <phoneticPr fontId="2" type="noConversion"/>
  </si>
  <si>
    <t>蒜泥白肉</t>
    <phoneticPr fontId="2" type="noConversion"/>
  </si>
  <si>
    <t>米血燴甜條</t>
    <phoneticPr fontId="2" type="noConversion"/>
  </si>
  <si>
    <t>青椒菇菇</t>
    <phoneticPr fontId="2" type="noConversion"/>
  </si>
  <si>
    <t>味噌豆腐湯</t>
    <phoneticPr fontId="2" type="noConversion"/>
  </si>
  <si>
    <t>豬肉片</t>
    <phoneticPr fontId="2" type="noConversion"/>
  </si>
  <si>
    <t>五花肉片</t>
    <phoneticPr fontId="2" type="noConversion"/>
  </si>
  <si>
    <t>薑絲</t>
    <phoneticPr fontId="2" type="noConversion"/>
  </si>
  <si>
    <t>1斤</t>
    <phoneticPr fontId="2" type="noConversion"/>
  </si>
  <si>
    <t>蒜泥</t>
    <phoneticPr fontId="2" type="noConversion"/>
  </si>
  <si>
    <t>10斤</t>
    <phoneticPr fontId="2" type="noConversion"/>
  </si>
  <si>
    <t>米血丁</t>
    <phoneticPr fontId="2" type="noConversion"/>
  </si>
  <si>
    <t>25斤</t>
    <phoneticPr fontId="2" type="noConversion"/>
  </si>
  <si>
    <t>甜不辣條</t>
    <phoneticPr fontId="2" type="noConversion"/>
  </si>
  <si>
    <t>青椒切絲</t>
    <phoneticPr fontId="2" type="noConversion"/>
  </si>
  <si>
    <t>4.3豆腐</t>
    <phoneticPr fontId="2" type="noConversion"/>
  </si>
  <si>
    <t>4板</t>
    <phoneticPr fontId="2" type="noConversion"/>
  </si>
  <si>
    <t>味噌</t>
    <phoneticPr fontId="2" type="noConversion"/>
  </si>
  <si>
    <t>庫存</t>
    <phoneticPr fontId="2" type="noConversion"/>
  </si>
  <si>
    <t>合      計</t>
    <phoneticPr fontId="2" type="noConversion"/>
  </si>
  <si>
    <t>電訊科技中心(安康營區)     114年      3月   12日      午餐明細表</t>
    <phoneticPr fontId="2" type="noConversion"/>
  </si>
  <si>
    <t>水餃</t>
    <phoneticPr fontId="2" type="noConversion"/>
  </si>
  <si>
    <t>阿在伯水餃</t>
    <phoneticPr fontId="2" type="noConversion"/>
  </si>
  <si>
    <t>5件</t>
    <phoneticPr fontId="2" type="noConversion"/>
  </si>
  <si>
    <t>素食水餃</t>
    <phoneticPr fontId="2" type="noConversion"/>
  </si>
  <si>
    <t>1包</t>
    <phoneticPr fontId="2" type="noConversion"/>
  </si>
  <si>
    <t>香菇蒸肉</t>
    <phoneticPr fontId="2" type="noConversion"/>
  </si>
  <si>
    <t>涼拌干絲</t>
    <phoneticPr fontId="2" type="noConversion"/>
  </si>
  <si>
    <t>酸辣湯</t>
    <phoneticPr fontId="2" type="noConversion"/>
  </si>
  <si>
    <t>絞肉</t>
    <phoneticPr fontId="2" type="noConversion"/>
  </si>
  <si>
    <t>35斤</t>
    <phoneticPr fontId="2" type="noConversion"/>
  </si>
  <si>
    <t>生香菇</t>
    <phoneticPr fontId="2" type="noConversion"/>
  </si>
  <si>
    <t>6斤</t>
    <phoneticPr fontId="2" type="noConversion"/>
  </si>
  <si>
    <t>海帶絲</t>
    <phoneticPr fontId="2" type="noConversion"/>
  </si>
  <si>
    <t>白干絲</t>
    <phoneticPr fontId="2" type="noConversion"/>
  </si>
  <si>
    <t>去葉芹菜</t>
    <phoneticPr fontId="2" type="noConversion"/>
  </si>
  <si>
    <t>花椒油</t>
    <phoneticPr fontId="2" type="noConversion"/>
  </si>
  <si>
    <t>2瓶</t>
    <phoneticPr fontId="2" type="noConversion"/>
  </si>
  <si>
    <t>鴨血</t>
    <phoneticPr fontId="2" type="noConversion"/>
  </si>
  <si>
    <t>10個</t>
    <phoneticPr fontId="2" type="noConversion"/>
  </si>
  <si>
    <t>盒裝豆腐</t>
    <phoneticPr fontId="2" type="noConversion"/>
  </si>
  <si>
    <t>電訊科技中心(安康營區)     114年      3月   13日      午餐明細表</t>
    <phoneticPr fontId="2" type="noConversion"/>
  </si>
  <si>
    <t>泰式雞腿</t>
    <phoneticPr fontId="2" type="noConversion"/>
  </si>
  <si>
    <t>蒼蠅頭</t>
    <phoneticPr fontId="2" type="noConversion"/>
  </si>
  <si>
    <t>小黃瓜炒魚丸</t>
    <phoneticPr fontId="2" type="noConversion"/>
  </si>
  <si>
    <t>綠豆湯</t>
    <phoneticPr fontId="2" type="noConversion"/>
  </si>
  <si>
    <t>綠豆</t>
    <phoneticPr fontId="2" type="noConversion"/>
  </si>
  <si>
    <t>棒腿</t>
    <phoneticPr fontId="2" type="noConversion"/>
  </si>
  <si>
    <t>280支</t>
    <phoneticPr fontId="2" type="noConversion"/>
  </si>
  <si>
    <t>燒雞醬</t>
    <phoneticPr fontId="2" type="noConversion"/>
  </si>
  <si>
    <t>韭菜</t>
    <phoneticPr fontId="2" type="noConversion"/>
  </si>
  <si>
    <t>40斤</t>
    <phoneticPr fontId="2" type="noConversion"/>
  </si>
  <si>
    <t>皮蛋</t>
    <phoneticPr fontId="2" type="noConversion"/>
  </si>
  <si>
    <t>90粒</t>
    <phoneticPr fontId="2" type="noConversion"/>
  </si>
  <si>
    <t>小黃瓜</t>
    <phoneticPr fontId="2" type="noConversion"/>
  </si>
  <si>
    <t>小魚丸</t>
    <phoneticPr fontId="2" type="noConversion"/>
  </si>
  <si>
    <t>3包</t>
    <phoneticPr fontId="2" type="noConversion"/>
  </si>
  <si>
    <t>川耳</t>
    <phoneticPr fontId="2" type="noConversion"/>
  </si>
  <si>
    <t>電訊科技中心(安康營區)     114年      3月   14日      午餐明細表</t>
    <phoneticPr fontId="2" type="noConversion"/>
  </si>
  <si>
    <t>軟排骨</t>
    <phoneticPr fontId="2" type="noConversion"/>
  </si>
  <si>
    <t>50斤</t>
    <phoneticPr fontId="2" type="noConversion"/>
  </si>
  <si>
    <t>豆鼓</t>
    <phoneticPr fontId="2" type="noConversion"/>
  </si>
  <si>
    <t>薑泥</t>
    <phoneticPr fontId="2" type="noConversion"/>
  </si>
  <si>
    <t>豆鼓排骨</t>
    <phoneticPr fontId="2" type="noConversion"/>
  </si>
  <si>
    <t>客家小炒</t>
    <phoneticPr fontId="2" type="noConversion"/>
  </si>
  <si>
    <t>菜圃蛋</t>
    <phoneticPr fontId="2" type="noConversion"/>
  </si>
  <si>
    <t>冬瓜海結湯</t>
    <phoneticPr fontId="2" type="noConversion"/>
  </si>
  <si>
    <t>豆干切片</t>
    <phoneticPr fontId="2" type="noConversion"/>
  </si>
  <si>
    <t>五花肉絲</t>
    <phoneticPr fontId="2" type="noConversion"/>
  </si>
  <si>
    <t>12斤</t>
    <phoneticPr fontId="2" type="noConversion"/>
  </si>
  <si>
    <t>乾魷魚</t>
    <phoneticPr fontId="2" type="noConversion"/>
  </si>
  <si>
    <t>菜圃碎</t>
    <phoneticPr fontId="2" type="noConversion"/>
  </si>
  <si>
    <t>蛋</t>
    <phoneticPr fontId="2" type="noConversion"/>
  </si>
  <si>
    <t>1件</t>
    <phoneticPr fontId="2" type="noConversion"/>
  </si>
  <si>
    <t>去皮冬瓜</t>
    <phoneticPr fontId="2" type="noConversion"/>
  </si>
  <si>
    <t>海帶結</t>
    <phoneticPr fontId="2" type="noConversion"/>
  </si>
  <si>
    <t>斤</t>
  </si>
  <si>
    <t>斤</t>
    <phoneticPr fontId="2" type="noConversion"/>
  </si>
  <si>
    <t>薑絲</t>
    <phoneticPr fontId="2" type="noConversion"/>
  </si>
  <si>
    <t>杏鮑菇</t>
  </si>
  <si>
    <t>杏鮑菇</t>
    <phoneticPr fontId="2" type="noConversion"/>
  </si>
  <si>
    <t>肉羹</t>
    <phoneticPr fontId="2" type="noConversion"/>
  </si>
  <si>
    <t>油麵</t>
    <phoneticPr fontId="2" type="noConversion"/>
  </si>
  <si>
    <t>鮮筍切絲</t>
    <phoneticPr fontId="2" type="noConversion"/>
  </si>
  <si>
    <t>蒜仁</t>
  </si>
  <si>
    <t>辣椒</t>
  </si>
  <si>
    <t>洗選蛋</t>
  </si>
  <si>
    <t>老薑</t>
  </si>
  <si>
    <t>青蔥</t>
  </si>
  <si>
    <t>合      計</t>
    <phoneticPr fontId="2" type="noConversion"/>
  </si>
  <si>
    <t>高麗菜</t>
    <phoneticPr fontId="2" type="noConversion"/>
  </si>
  <si>
    <t>茂谷柑</t>
    <phoneticPr fontId="2" type="noConversion"/>
  </si>
  <si>
    <t>庫存</t>
    <phoneticPr fontId="2" type="noConversion"/>
  </si>
  <si>
    <t>麻辣醬</t>
    <phoneticPr fontId="2" type="noConversion"/>
  </si>
  <si>
    <t>桶</t>
    <phoneticPr fontId="2" type="noConversion"/>
  </si>
  <si>
    <t>湯包</t>
    <phoneticPr fontId="2" type="noConversion"/>
  </si>
  <si>
    <t>個</t>
    <phoneticPr fontId="2" type="noConversion"/>
  </si>
  <si>
    <t>木瓜</t>
    <phoneticPr fontId="2" type="noConversion"/>
  </si>
  <si>
    <t>斤</t>
    <phoneticPr fontId="2" type="noConversion"/>
  </si>
  <si>
    <t>薑泥</t>
    <phoneticPr fontId="2" type="noConversion"/>
  </si>
  <si>
    <t>包</t>
    <phoneticPr fontId="2" type="noConversion"/>
  </si>
  <si>
    <t>盤</t>
    <phoneticPr fontId="2" type="noConversion"/>
  </si>
  <si>
    <t>合      計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</si>
  <si>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</si>
  <si>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</si>
  <si>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</si>
  <si>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</si>
  <si>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鵝白菜</t>
    <phoneticPr fontId="2" type="noConversion"/>
  </si>
  <si>
    <t>豬肉餡餅</t>
    <phoneticPr fontId="2" type="noConversion"/>
  </si>
  <si>
    <t>個</t>
    <phoneticPr fontId="2" type="noConversion"/>
  </si>
  <si>
    <t>厚片土司</t>
    <phoneticPr fontId="2" type="noConversion"/>
  </si>
  <si>
    <t>條</t>
    <phoneticPr fontId="2" type="noConversion"/>
  </si>
  <si>
    <t>茂谷柑</t>
    <phoneticPr fontId="2" type="noConversion"/>
  </si>
  <si>
    <t>罐</t>
    <phoneticPr fontId="2" type="noConversion"/>
  </si>
  <si>
    <t>冷凍青花菜</t>
    <phoneticPr fontId="2" type="noConversion"/>
  </si>
  <si>
    <t>調味無骨豬排</t>
    <phoneticPr fontId="2" type="noConversion"/>
  </si>
  <si>
    <t>件</t>
    <phoneticPr fontId="2" type="noConversion"/>
  </si>
  <si>
    <t>辣豆瓣</t>
    <phoneticPr fontId="2" type="noConversion"/>
  </si>
  <si>
    <t>水餃醬</t>
    <phoneticPr fontId="2" type="noConversion"/>
  </si>
  <si>
    <t>光泉鮮奶</t>
    <phoneticPr fontId="2" type="noConversion"/>
  </si>
  <si>
    <t>瓶</t>
    <phoneticPr fontId="2" type="noConversion"/>
  </si>
  <si>
    <t>銀絲卷</t>
    <phoneticPr fontId="2" type="noConversion"/>
  </si>
  <si>
    <t>超秦雞排</t>
    <phoneticPr fontId="2" type="noConversion"/>
  </si>
  <si>
    <t>盒</t>
    <phoneticPr fontId="2" type="noConversion"/>
  </si>
  <si>
    <t>濕木耳絲</t>
    <phoneticPr fontId="2" type="noConversion"/>
  </si>
  <si>
    <t>紅蘿蔔絲</t>
    <phoneticPr fontId="2" type="noConversion"/>
  </si>
  <si>
    <t>高麗菜</t>
    <phoneticPr fontId="2" type="noConversion"/>
  </si>
  <si>
    <t>鮮筍切絲</t>
    <phoneticPr fontId="2" type="noConversion"/>
  </si>
  <si>
    <t>鹽</t>
    <phoneticPr fontId="2" type="noConversion"/>
  </si>
  <si>
    <t>無骨香雞排</t>
    <phoneticPr fontId="2" type="noConversion"/>
  </si>
  <si>
    <t>香油</t>
    <phoneticPr fontId="2" type="noConversion"/>
  </si>
  <si>
    <t>油膏</t>
    <phoneticPr fontId="2" type="noConversion"/>
  </si>
  <si>
    <t>素蠔油</t>
    <phoneticPr fontId="2" type="noConversion"/>
  </si>
  <si>
    <t>檸檬</t>
    <phoneticPr fontId="2" type="noConversion"/>
  </si>
  <si>
    <t>斤</t>
    <phoneticPr fontId="2" type="noConversion"/>
  </si>
  <si>
    <t>個</t>
    <phoneticPr fontId="2" type="noConversion"/>
  </si>
  <si>
    <t>烏龍麵</t>
    <phoneticPr fontId="2" type="noConversion"/>
  </si>
  <si>
    <t>油菜</t>
    <phoneticPr fontId="2" type="noConversion"/>
  </si>
  <si>
    <t>鳳梨</t>
    <phoneticPr fontId="2" type="noConversion"/>
  </si>
  <si>
    <t>青蔥</t>
    <phoneticPr fontId="2" type="noConversion"/>
  </si>
  <si>
    <t>紅蘿蔔</t>
    <phoneticPr fontId="2" type="noConversion"/>
  </si>
  <si>
    <t>薑絲</t>
    <phoneticPr fontId="2" type="noConversion"/>
  </si>
  <si>
    <t>胡椒粉</t>
    <phoneticPr fontId="2" type="noConversion"/>
  </si>
  <si>
    <t>盒</t>
    <phoneticPr fontId="2" type="noConversion"/>
  </si>
  <si>
    <t>罐</t>
    <phoneticPr fontId="2" type="noConversion"/>
  </si>
  <si>
    <t>厚片土司</t>
    <phoneticPr fontId="2" type="noConversion"/>
  </si>
  <si>
    <t>條</t>
    <phoneticPr fontId="2" type="noConversion"/>
  </si>
  <si>
    <t>斤</t>
    <phoneticPr fontId="2" type="noConversion"/>
  </si>
  <si>
    <t>豬耳朵</t>
    <phoneticPr fontId="2" type="noConversion"/>
  </si>
  <si>
    <t>鍋貼</t>
    <phoneticPr fontId="2" type="noConversion"/>
  </si>
  <si>
    <t>個</t>
    <phoneticPr fontId="2" type="noConversion"/>
  </si>
  <si>
    <t>厚片土司</t>
    <phoneticPr fontId="2" type="noConversion"/>
  </si>
  <si>
    <t>條</t>
    <phoneticPr fontId="2" type="noConversion"/>
  </si>
  <si>
    <t>綠茶鋁箔包</t>
    <phoneticPr fontId="2" type="noConversion"/>
  </si>
  <si>
    <t>件</t>
    <phoneticPr fontId="2" type="noConversion"/>
  </si>
  <si>
    <t>高鮮味素</t>
    <phoneticPr fontId="2" type="noConversion"/>
  </si>
  <si>
    <t>樹子</t>
    <phoneticPr fontId="2" type="noConversion"/>
  </si>
  <si>
    <t>盒</t>
    <phoneticPr fontId="2" type="noConversion"/>
  </si>
  <si>
    <t>桶</t>
    <phoneticPr fontId="2" type="noConversion"/>
  </si>
  <si>
    <t>去皮洋蔥</t>
    <phoneticPr fontId="2" type="noConversion"/>
  </si>
  <si>
    <t>立大絞肉</t>
    <phoneticPr fontId="2" type="noConversion"/>
  </si>
  <si>
    <t>高麗菜</t>
    <phoneticPr fontId="2" type="noConversion"/>
  </si>
  <si>
    <t>愛玉</t>
    <phoneticPr fontId="2" type="noConversion"/>
  </si>
  <si>
    <t>素蠔油</t>
    <phoneticPr fontId="2" type="noConversion"/>
  </si>
  <si>
    <t>胡椒粉</t>
    <phoneticPr fontId="2" type="noConversion"/>
  </si>
  <si>
    <t>二砂</t>
    <phoneticPr fontId="2" type="noConversion"/>
  </si>
  <si>
    <t>包</t>
    <phoneticPr fontId="2" type="noConversion"/>
  </si>
  <si>
    <t>烏醋</t>
    <phoneticPr fontId="2" type="noConversion"/>
  </si>
  <si>
    <t>杏鮑菇</t>
    <phoneticPr fontId="2" type="noConversion"/>
  </si>
  <si>
    <t>黑胡椒醬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</si>
</sst>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workbookViewId="0">
      <selection activeCell="G3" sqref="E3:G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37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25" t="s">
        <v>17</v>
      </c>
      <c r="B3" s="1" t="s">
        <v>21</v>
      </c>
      <c r="C3" s="1" t="s">
        <v>22</v>
      </c>
      <c r="D3" s="1">
        <v>66</v>
      </c>
      <c r="E3" s="22">
        <v>66.77</v>
      </c>
      <c r="F3" s="22" t="s">
        <v>136</v>
      </c>
      <c r="G3" s="21">
        <f>D3*E3</f>
        <v>4406.82</v>
      </c>
      <c r="H3" s="1"/>
    </row>
    <row r="4" spans="1:8" x14ac:dyDescent="0.25">
      <c r="A4" s="25"/>
      <c r="B4" s="10" t="s">
        <v>126</v>
      </c>
      <c r="C4" s="10"/>
      <c r="D4" s="10">
        <v>49.5</v>
      </c>
      <c r="E4" s="10">
        <v>4</v>
      </c>
      <c r="F4" s="10" t="s">
        <v>114</v>
      </c>
      <c r="G4" s="2">
        <f>D4*E4</f>
        <v>198</v>
      </c>
      <c r="H4" s="1"/>
    </row>
    <row r="5" spans="1:8" x14ac:dyDescent="0.25">
      <c r="A5" s="25"/>
      <c r="B5" s="1"/>
      <c r="C5" s="1"/>
      <c r="D5" s="1"/>
      <c r="E5" s="1"/>
      <c r="F5" s="1"/>
      <c r="G5" s="1"/>
      <c r="H5" s="1"/>
    </row>
    <row r="6" spans="1:8" x14ac:dyDescent="0.25">
      <c r="A6" s="25"/>
      <c r="B6" s="1"/>
      <c r="C6" s="1"/>
      <c r="D6" s="1"/>
      <c r="E6" s="3"/>
      <c r="F6" s="3"/>
      <c r="G6" s="3"/>
      <c r="H6" s="1"/>
    </row>
    <row r="7" spans="1:8" x14ac:dyDescent="0.25">
      <c r="A7" s="25"/>
      <c r="B7" s="26" t="s">
        <v>7</v>
      </c>
      <c r="C7" s="27"/>
      <c r="D7" s="28"/>
      <c r="E7" s="3"/>
      <c r="F7" s="3"/>
      <c r="G7" s="15">
        <f>SUM(G3:G6)</f>
        <v>4604.82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25" t="s">
        <v>18</v>
      </c>
      <c r="B9" s="1" t="s">
        <v>23</v>
      </c>
      <c r="C9" s="1" t="s">
        <v>25</v>
      </c>
      <c r="D9" s="1">
        <v>99</v>
      </c>
      <c r="E9" s="1">
        <v>20</v>
      </c>
      <c r="F9" s="1" t="s">
        <v>115</v>
      </c>
      <c r="G9" s="1">
        <f>D9*E9</f>
        <v>1980</v>
      </c>
      <c r="H9" s="1"/>
    </row>
    <row r="10" spans="1:8" x14ac:dyDescent="0.25">
      <c r="A10" s="25"/>
      <c r="B10" s="1" t="s">
        <v>24</v>
      </c>
      <c r="C10" s="1" t="s">
        <v>26</v>
      </c>
      <c r="D10" s="1">
        <v>45</v>
      </c>
      <c r="E10" s="1">
        <v>15</v>
      </c>
      <c r="F10" s="1" t="s">
        <v>115</v>
      </c>
      <c r="G10" s="10">
        <f t="shared" ref="G10:G12" si="0">D10*E10</f>
        <v>675</v>
      </c>
      <c r="H10" s="1"/>
    </row>
    <row r="11" spans="1:8" x14ac:dyDescent="0.25">
      <c r="A11" s="25"/>
      <c r="B11" s="1" t="s">
        <v>27</v>
      </c>
      <c r="C11" s="1" t="s">
        <v>28</v>
      </c>
      <c r="D11" s="1">
        <v>20.52</v>
      </c>
      <c r="E11" s="1">
        <v>3</v>
      </c>
      <c r="F11" s="1" t="s">
        <v>115</v>
      </c>
      <c r="G11" s="10">
        <f t="shared" si="0"/>
        <v>61.56</v>
      </c>
      <c r="H11" s="1"/>
    </row>
    <row r="12" spans="1:8" x14ac:dyDescent="0.25">
      <c r="A12" s="25"/>
      <c r="B12" s="1" t="s">
        <v>32</v>
      </c>
      <c r="C12" s="1" t="s">
        <v>33</v>
      </c>
      <c r="D12" s="1">
        <v>135</v>
      </c>
      <c r="E12" s="1">
        <v>8</v>
      </c>
      <c r="F12" s="1" t="s">
        <v>115</v>
      </c>
      <c r="G12" s="10">
        <f t="shared" si="0"/>
        <v>1080</v>
      </c>
      <c r="H12" s="1"/>
    </row>
    <row r="13" spans="1:8" x14ac:dyDescent="0.25">
      <c r="A13" s="25"/>
      <c r="B13" s="1"/>
      <c r="C13" s="1"/>
      <c r="D13" s="1"/>
      <c r="E13" s="1"/>
      <c r="F13" s="1"/>
      <c r="G13" s="1"/>
      <c r="H13" s="1"/>
    </row>
    <row r="14" spans="1:8" x14ac:dyDescent="0.25">
      <c r="A14" s="25"/>
      <c r="B14" s="26" t="s">
        <v>7</v>
      </c>
      <c r="C14" s="27"/>
      <c r="D14" s="28"/>
      <c r="E14" s="3"/>
      <c r="F14" s="3"/>
      <c r="G14" s="15">
        <f>SUM(G9:G13)</f>
        <v>3796.56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25" t="s">
        <v>19</v>
      </c>
      <c r="B16" s="1" t="s">
        <v>34</v>
      </c>
      <c r="C16" s="1" t="s">
        <v>35</v>
      </c>
      <c r="D16" s="1">
        <v>60</v>
      </c>
      <c r="E16" s="1">
        <v>30</v>
      </c>
      <c r="F16" s="1" t="s">
        <v>115</v>
      </c>
      <c r="G16" s="1">
        <f>D16*E16</f>
        <v>1800</v>
      </c>
      <c r="H16" s="1"/>
    </row>
    <row r="17" spans="1:8" x14ac:dyDescent="0.25">
      <c r="A17" s="25"/>
      <c r="B17" s="1" t="s">
        <v>29</v>
      </c>
      <c r="C17" s="1" t="s">
        <v>30</v>
      </c>
      <c r="D17" s="1">
        <v>28.56</v>
      </c>
      <c r="E17" s="1">
        <v>5</v>
      </c>
      <c r="F17" s="1" t="s">
        <v>115</v>
      </c>
      <c r="G17" s="10">
        <f>D17*E17</f>
        <v>142.79999999999998</v>
      </c>
      <c r="H17" s="1"/>
    </row>
    <row r="18" spans="1:8" x14ac:dyDescent="0.25">
      <c r="A18" s="25"/>
      <c r="B18" s="1"/>
      <c r="C18" s="1"/>
      <c r="D18" s="1"/>
      <c r="E18" s="1"/>
      <c r="F18" s="1"/>
      <c r="G18" s="1"/>
      <c r="H18" s="1"/>
    </row>
    <row r="19" spans="1:8" x14ac:dyDescent="0.25">
      <c r="A19" s="25"/>
      <c r="B19" s="1"/>
      <c r="C19" s="1"/>
      <c r="D19" s="1"/>
      <c r="E19" s="3"/>
      <c r="F19" s="3"/>
      <c r="G19" s="1"/>
      <c r="H19" s="1"/>
    </row>
    <row r="20" spans="1:8" x14ac:dyDescent="0.25">
      <c r="A20" s="25"/>
      <c r="B20" s="26" t="s">
        <v>7</v>
      </c>
      <c r="C20" s="27"/>
      <c r="D20" s="28"/>
      <c r="E20" s="3"/>
      <c r="F20" s="3"/>
      <c r="G20" s="15">
        <f>SUM(G16:G19)</f>
        <v>1942.8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25"/>
      <c r="B22" s="1" t="s">
        <v>116</v>
      </c>
      <c r="C22" s="1"/>
      <c r="D22" s="1">
        <v>74.099999999999994</v>
      </c>
      <c r="E22" s="1">
        <v>1</v>
      </c>
      <c r="F22" s="1" t="s">
        <v>115</v>
      </c>
      <c r="G22" s="1">
        <f>D22*E22</f>
        <v>74.099999999999994</v>
      </c>
      <c r="H22" s="1"/>
    </row>
    <row r="23" spans="1:8" x14ac:dyDescent="0.25">
      <c r="A23" s="25"/>
      <c r="B23" s="1" t="s">
        <v>118</v>
      </c>
      <c r="C23" s="1"/>
      <c r="D23" s="1">
        <v>105</v>
      </c>
      <c r="E23" s="1">
        <v>15</v>
      </c>
      <c r="F23" s="1" t="s">
        <v>115</v>
      </c>
      <c r="G23" s="10">
        <f>D23*E23</f>
        <v>1575</v>
      </c>
      <c r="H23" s="1"/>
    </row>
    <row r="24" spans="1:8" x14ac:dyDescent="0.25">
      <c r="A24" s="25"/>
      <c r="B24" s="1" t="s">
        <v>119</v>
      </c>
      <c r="C24" s="1"/>
      <c r="D24" s="1">
        <v>125</v>
      </c>
      <c r="E24" s="1">
        <v>5</v>
      </c>
      <c r="F24" s="1" t="s">
        <v>115</v>
      </c>
      <c r="G24" s="10">
        <f t="shared" ref="G24:G26" si="1">D24*E24</f>
        <v>625</v>
      </c>
      <c r="H24" s="1"/>
    </row>
    <row r="25" spans="1:8" x14ac:dyDescent="0.25">
      <c r="A25" s="25"/>
      <c r="B25" s="1" t="s">
        <v>120</v>
      </c>
      <c r="C25" s="1"/>
      <c r="D25" s="1">
        <v>19.8</v>
      </c>
      <c r="E25" s="1">
        <v>8</v>
      </c>
      <c r="F25" s="1" t="s">
        <v>115</v>
      </c>
      <c r="G25" s="2">
        <f t="shared" si="1"/>
        <v>158.4</v>
      </c>
      <c r="H25" s="1"/>
    </row>
    <row r="26" spans="1:8" x14ac:dyDescent="0.25">
      <c r="A26" s="25"/>
      <c r="B26" s="10" t="s">
        <v>121</v>
      </c>
      <c r="C26" s="10"/>
      <c r="D26" s="10">
        <v>50.16</v>
      </c>
      <c r="E26" s="10">
        <v>2</v>
      </c>
      <c r="F26" s="11" t="s">
        <v>115</v>
      </c>
      <c r="G26" s="10">
        <f t="shared" si="1"/>
        <v>100.32</v>
      </c>
      <c r="H26" s="10"/>
    </row>
    <row r="27" spans="1:8" x14ac:dyDescent="0.25">
      <c r="A27" s="25"/>
      <c r="B27" s="10" t="s">
        <v>122</v>
      </c>
      <c r="C27" s="10"/>
      <c r="D27" s="10">
        <v>204</v>
      </c>
      <c r="E27" s="10">
        <v>8</v>
      </c>
      <c r="F27" s="10" t="s">
        <v>114</v>
      </c>
      <c r="G27" s="2">
        <f>D27*E27</f>
        <v>1632</v>
      </c>
      <c r="H27" s="10"/>
    </row>
    <row r="28" spans="1:8" x14ac:dyDescent="0.25">
      <c r="A28" s="25"/>
      <c r="B28" s="10" t="s">
        <v>123</v>
      </c>
      <c r="C28" s="10"/>
      <c r="D28" s="10">
        <v>150</v>
      </c>
      <c r="E28" s="10">
        <v>2</v>
      </c>
      <c r="F28" s="10" t="s">
        <v>114</v>
      </c>
      <c r="G28" s="2">
        <f t="shared" ref="G28:G32" si="2">D28*E28</f>
        <v>300</v>
      </c>
      <c r="H28" s="10"/>
    </row>
    <row r="29" spans="1:8" x14ac:dyDescent="0.25">
      <c r="A29" s="25"/>
      <c r="B29" s="10" t="s">
        <v>124</v>
      </c>
      <c r="C29" s="10"/>
      <c r="D29" s="10">
        <v>44.4</v>
      </c>
      <c r="E29" s="10">
        <v>20</v>
      </c>
      <c r="F29" s="10" t="s">
        <v>114</v>
      </c>
      <c r="G29" s="2">
        <f t="shared" si="2"/>
        <v>888</v>
      </c>
      <c r="H29" s="10"/>
    </row>
    <row r="30" spans="1:8" x14ac:dyDescent="0.25">
      <c r="A30" s="25"/>
      <c r="B30" s="10" t="s">
        <v>125</v>
      </c>
      <c r="C30" s="10"/>
      <c r="D30" s="10">
        <v>58.5</v>
      </c>
      <c r="E30" s="10">
        <v>0.5</v>
      </c>
      <c r="F30" s="10" t="s">
        <v>114</v>
      </c>
      <c r="G30" s="2">
        <f t="shared" si="2"/>
        <v>29.25</v>
      </c>
      <c r="H30" s="10"/>
    </row>
    <row r="31" spans="1:8" x14ac:dyDescent="0.25">
      <c r="A31" s="25"/>
      <c r="B31" s="10" t="s">
        <v>117</v>
      </c>
      <c r="C31" s="10"/>
      <c r="D31" s="10">
        <v>90</v>
      </c>
      <c r="E31" s="10">
        <v>4</v>
      </c>
      <c r="F31" s="10" t="s">
        <v>114</v>
      </c>
      <c r="G31" s="2">
        <f t="shared" si="2"/>
        <v>360</v>
      </c>
      <c r="H31" s="10"/>
    </row>
    <row r="32" spans="1:8" x14ac:dyDescent="0.25">
      <c r="A32" s="25"/>
      <c r="B32" s="10" t="s">
        <v>131</v>
      </c>
      <c r="C32" s="17"/>
      <c r="D32" s="10">
        <v>960</v>
      </c>
      <c r="E32" s="10">
        <v>1</v>
      </c>
      <c r="F32" s="10" t="s">
        <v>132</v>
      </c>
      <c r="G32" s="2">
        <f t="shared" si="2"/>
        <v>960</v>
      </c>
      <c r="H32" s="1"/>
    </row>
    <row r="33" spans="1:8" x14ac:dyDescent="0.25">
      <c r="A33" s="10"/>
      <c r="B33" s="26" t="s">
        <v>127</v>
      </c>
      <c r="C33" s="27"/>
      <c r="D33" s="28"/>
      <c r="E33" s="10"/>
      <c r="F33" s="10"/>
      <c r="G33" s="16">
        <f>SUM(G22:G32)</f>
        <v>6702.07</v>
      </c>
      <c r="H33" s="10"/>
    </row>
    <row r="34" spans="1:8" x14ac:dyDescent="0.25">
      <c r="A34" s="1" t="s">
        <v>11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 t="s">
        <v>5</v>
      </c>
      <c r="H34" s="1" t="s">
        <v>6</v>
      </c>
    </row>
    <row r="35" spans="1:8" x14ac:dyDescent="0.25">
      <c r="A35" s="25" t="s">
        <v>20</v>
      </c>
      <c r="B35" s="1" t="s">
        <v>36</v>
      </c>
      <c r="C35" s="1" t="s">
        <v>16</v>
      </c>
      <c r="D35" s="1"/>
      <c r="E35" s="1"/>
      <c r="F35" s="1"/>
      <c r="G35" s="1"/>
      <c r="H35" s="1"/>
    </row>
    <row r="36" spans="1:8" x14ac:dyDescent="0.25">
      <c r="A36" s="25"/>
      <c r="B36" s="1" t="s">
        <v>15</v>
      </c>
      <c r="C36" s="1"/>
      <c r="D36" s="1"/>
      <c r="E36" s="1"/>
      <c r="F36" s="1"/>
      <c r="G36" s="1"/>
      <c r="H36" s="1" t="s">
        <v>16</v>
      </c>
    </row>
    <row r="37" spans="1:8" x14ac:dyDescent="0.25">
      <c r="A37" s="25"/>
      <c r="B37" s="1"/>
      <c r="C37" s="1"/>
      <c r="D37" s="1"/>
      <c r="E37" s="1"/>
      <c r="F37" s="1"/>
      <c r="G37" s="1"/>
      <c r="H37" s="1"/>
    </row>
    <row r="38" spans="1:8" x14ac:dyDescent="0.25">
      <c r="A38" s="25"/>
      <c r="B38" s="26"/>
      <c r="C38" s="27"/>
      <c r="D38" s="28"/>
      <c r="E38" s="3"/>
      <c r="F38" s="3"/>
      <c r="G38" s="4">
        <f>SUM(G35:G37)</f>
        <v>0</v>
      </c>
      <c r="H38" s="1"/>
    </row>
    <row r="39" spans="1:8" x14ac:dyDescent="0.25">
      <c r="A39" s="1" t="s">
        <v>12</v>
      </c>
      <c r="B39" s="1" t="s">
        <v>1</v>
      </c>
      <c r="C39" s="1" t="s">
        <v>2</v>
      </c>
      <c r="D39" s="1" t="s">
        <v>3</v>
      </c>
      <c r="E39" s="3" t="s">
        <v>4</v>
      </c>
      <c r="F39" s="3"/>
      <c r="G39" s="3" t="s">
        <v>5</v>
      </c>
      <c r="H39" s="1" t="s">
        <v>6</v>
      </c>
    </row>
    <row r="40" spans="1:8" x14ac:dyDescent="0.25">
      <c r="A40" s="32"/>
      <c r="B40" s="1" t="s">
        <v>128</v>
      </c>
      <c r="C40" s="1"/>
      <c r="D40" s="1">
        <v>7.14</v>
      </c>
      <c r="E40" s="1">
        <v>65</v>
      </c>
      <c r="F40" s="1" t="s">
        <v>115</v>
      </c>
      <c r="G40" s="1">
        <f>D40*E40</f>
        <v>464.09999999999997</v>
      </c>
      <c r="H40" s="1"/>
    </row>
    <row r="41" spans="1:8" x14ac:dyDescent="0.25">
      <c r="A41" s="33"/>
      <c r="B41" s="1" t="s">
        <v>129</v>
      </c>
      <c r="C41" s="1"/>
      <c r="D41" s="1"/>
      <c r="E41" s="1"/>
      <c r="F41" s="1"/>
      <c r="G41" s="2"/>
      <c r="H41" s="1" t="s">
        <v>130</v>
      </c>
    </row>
    <row r="42" spans="1:8" x14ac:dyDescent="0.25">
      <c r="A42" s="34"/>
      <c r="B42" s="26" t="s">
        <v>7</v>
      </c>
      <c r="C42" s="27"/>
      <c r="D42" s="28"/>
      <c r="E42" s="3"/>
      <c r="F42" s="3"/>
      <c r="G42" s="15">
        <f>SUM(G40:G41)</f>
        <v>464.09999999999997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25"/>
      <c r="B44" s="1" t="s">
        <v>133</v>
      </c>
      <c r="C44" s="1"/>
      <c r="D44" s="1">
        <v>4.5</v>
      </c>
      <c r="E44" s="1">
        <v>50</v>
      </c>
      <c r="F44" s="1" t="s">
        <v>134</v>
      </c>
      <c r="G44" s="1">
        <f>D44*E44</f>
        <v>225</v>
      </c>
      <c r="H44" s="1"/>
    </row>
    <row r="45" spans="1:8" x14ac:dyDescent="0.25">
      <c r="A45" s="25"/>
      <c r="B45" s="1"/>
      <c r="C45" s="1"/>
      <c r="D45" s="1"/>
      <c r="E45" s="1"/>
      <c r="F45" s="1"/>
      <c r="G45" s="1"/>
      <c r="H45" s="1"/>
    </row>
    <row r="46" spans="1:8" x14ac:dyDescent="0.25">
      <c r="A46" s="25"/>
      <c r="B46" s="1"/>
      <c r="C46" s="1"/>
      <c r="D46" s="1"/>
      <c r="E46" s="1"/>
      <c r="F46" s="1"/>
      <c r="G46" s="1"/>
      <c r="H46" s="1"/>
    </row>
    <row r="47" spans="1:8" x14ac:dyDescent="0.25">
      <c r="A47" s="25"/>
      <c r="B47" s="1"/>
      <c r="C47" s="1"/>
      <c r="D47" s="1"/>
      <c r="E47" s="1"/>
      <c r="F47" s="1"/>
      <c r="G47" s="1"/>
      <c r="H47" s="1"/>
    </row>
    <row r="48" spans="1:8" x14ac:dyDescent="0.25">
      <c r="A48" s="25"/>
      <c r="B48" s="26" t="s">
        <v>7</v>
      </c>
      <c r="C48" s="27"/>
      <c r="D48" s="28"/>
      <c r="E48" s="3"/>
      <c r="F48" s="3"/>
      <c r="G48" s="18">
        <f>SUM(G44:G47)</f>
        <v>225</v>
      </c>
      <c r="H48" s="1"/>
    </row>
    <row r="49" spans="1:8" x14ac:dyDescent="0.25">
      <c r="A49" s="1"/>
      <c r="B49" s="29" t="s">
        <v>14</v>
      </c>
      <c r="C49" s="30"/>
      <c r="D49" s="31"/>
      <c r="E49" s="8"/>
      <c r="F49" s="8"/>
      <c r="G49" s="9">
        <f>G48+G42+G38+G20+G14+G7+G33</f>
        <v>17735.349999999999</v>
      </c>
      <c r="H49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4:A48"/>
    <mergeCell ref="B48:D48"/>
    <mergeCell ref="B49:D49"/>
    <mergeCell ref="A22:A32"/>
    <mergeCell ref="A35:A38"/>
    <mergeCell ref="B38:D38"/>
    <mergeCell ref="A40:A42"/>
    <mergeCell ref="B42:D42"/>
    <mergeCell ref="B33:D33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workbookViewId="0">
      <selection activeCell="H45" sqref="A1: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38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25" t="s">
        <v>39</v>
      </c>
      <c r="B3" s="1" t="s">
        <v>43</v>
      </c>
      <c r="C3" s="1" t="s">
        <v>35</v>
      </c>
      <c r="D3" s="1">
        <v>99</v>
      </c>
      <c r="E3" s="1">
        <v>30</v>
      </c>
      <c r="F3" s="1" t="s">
        <v>136</v>
      </c>
      <c r="G3" s="2">
        <f>D3*E3</f>
        <v>2970</v>
      </c>
      <c r="H3" s="1"/>
    </row>
    <row r="4" spans="1:8" x14ac:dyDescent="0.25">
      <c r="A4" s="25"/>
      <c r="B4" s="1" t="s">
        <v>44</v>
      </c>
      <c r="C4" s="1" t="s">
        <v>25</v>
      </c>
      <c r="D4" s="1">
        <v>168</v>
      </c>
      <c r="E4" s="1">
        <v>20</v>
      </c>
      <c r="F4" s="12" t="s">
        <v>136</v>
      </c>
      <c r="G4" s="2">
        <f t="shared" ref="G4:G7" si="0">D4*E4</f>
        <v>3360</v>
      </c>
      <c r="H4" s="1"/>
    </row>
    <row r="5" spans="1:8" x14ac:dyDescent="0.25">
      <c r="A5" s="25"/>
      <c r="B5" s="1" t="s">
        <v>45</v>
      </c>
      <c r="C5" s="1" t="s">
        <v>46</v>
      </c>
      <c r="D5" s="1">
        <v>74.099999999999994</v>
      </c>
      <c r="E5" s="1">
        <v>1</v>
      </c>
      <c r="F5" s="1" t="s">
        <v>136</v>
      </c>
      <c r="G5" s="2">
        <f t="shared" si="0"/>
        <v>74.099999999999994</v>
      </c>
      <c r="H5" s="1"/>
    </row>
    <row r="6" spans="1:8" x14ac:dyDescent="0.25">
      <c r="A6" s="25"/>
      <c r="B6" s="1" t="s">
        <v>47</v>
      </c>
      <c r="C6" s="1" t="s">
        <v>28</v>
      </c>
      <c r="D6" s="1">
        <v>228</v>
      </c>
      <c r="E6" s="3">
        <v>3</v>
      </c>
      <c r="F6" s="3" t="s">
        <v>136</v>
      </c>
      <c r="G6" s="2">
        <f t="shared" si="0"/>
        <v>684</v>
      </c>
      <c r="H6" s="1"/>
    </row>
    <row r="7" spans="1:8" x14ac:dyDescent="0.25">
      <c r="A7" s="25"/>
      <c r="B7" s="12" t="s">
        <v>137</v>
      </c>
      <c r="C7" s="12"/>
      <c r="D7" s="12">
        <v>74.099999999999994</v>
      </c>
      <c r="E7" s="12">
        <v>1</v>
      </c>
      <c r="F7" s="13" t="s">
        <v>136</v>
      </c>
      <c r="G7" s="2">
        <f t="shared" si="0"/>
        <v>74.099999999999994</v>
      </c>
      <c r="H7" s="12"/>
    </row>
    <row r="8" spans="1:8" x14ac:dyDescent="0.25">
      <c r="A8" s="25"/>
      <c r="B8" s="26" t="s">
        <v>7</v>
      </c>
      <c r="C8" s="27"/>
      <c r="D8" s="28"/>
      <c r="E8" s="3"/>
      <c r="F8" s="3"/>
      <c r="G8" s="15">
        <f>SUM(G3:G6)</f>
        <v>7088.1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25" t="s">
        <v>40</v>
      </c>
      <c r="B10" s="1" t="s">
        <v>29</v>
      </c>
      <c r="C10" s="1" t="s">
        <v>48</v>
      </c>
      <c r="D10" s="1">
        <v>28.56</v>
      </c>
      <c r="E10" s="1">
        <v>10</v>
      </c>
      <c r="F10" s="12" t="s">
        <v>136</v>
      </c>
      <c r="G10" s="1">
        <f>D10*E10</f>
        <v>285.59999999999997</v>
      </c>
      <c r="H10" s="1"/>
    </row>
    <row r="11" spans="1:8" x14ac:dyDescent="0.25">
      <c r="A11" s="25"/>
      <c r="B11" s="1" t="s">
        <v>49</v>
      </c>
      <c r="C11" s="1" t="s">
        <v>50</v>
      </c>
      <c r="D11" s="1">
        <v>42</v>
      </c>
      <c r="E11" s="1">
        <v>25</v>
      </c>
      <c r="F11" s="12" t="s">
        <v>136</v>
      </c>
      <c r="G11" s="12">
        <f t="shared" ref="G11:G12" si="1">D11*E11</f>
        <v>1050</v>
      </c>
      <c r="H11" s="1"/>
    </row>
    <row r="12" spans="1:8" x14ac:dyDescent="0.25">
      <c r="A12" s="25"/>
      <c r="B12" s="1" t="s">
        <v>51</v>
      </c>
      <c r="C12" s="1" t="s">
        <v>25</v>
      </c>
      <c r="D12" s="1">
        <v>48</v>
      </c>
      <c r="E12" s="1">
        <v>20</v>
      </c>
      <c r="F12" s="1" t="s">
        <v>136</v>
      </c>
      <c r="G12" s="12">
        <f t="shared" si="1"/>
        <v>960</v>
      </c>
      <c r="H12" s="1"/>
    </row>
    <row r="13" spans="1:8" x14ac:dyDescent="0.25">
      <c r="A13" s="25"/>
      <c r="B13" s="1"/>
      <c r="C13" s="1"/>
      <c r="D13" s="1"/>
      <c r="E13" s="1"/>
      <c r="F13" s="1"/>
      <c r="G13" s="1"/>
      <c r="H13" s="1"/>
    </row>
    <row r="14" spans="1:8" x14ac:dyDescent="0.25">
      <c r="A14" s="25"/>
      <c r="B14" s="1"/>
      <c r="C14" s="1"/>
      <c r="D14" s="1"/>
      <c r="E14" s="1"/>
      <c r="F14" s="1"/>
      <c r="G14" s="1"/>
      <c r="H14" s="1"/>
    </row>
    <row r="15" spans="1:8" x14ac:dyDescent="0.25">
      <c r="A15" s="25"/>
      <c r="B15" s="26" t="s">
        <v>7</v>
      </c>
      <c r="C15" s="27"/>
      <c r="D15" s="28"/>
      <c r="E15" s="3"/>
      <c r="F15" s="3"/>
      <c r="G15" s="15">
        <f>SUM(G10:G14)</f>
        <v>2295.6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25" t="s">
        <v>41</v>
      </c>
      <c r="B17" s="1" t="s">
        <v>52</v>
      </c>
      <c r="C17" s="1" t="s">
        <v>50</v>
      </c>
      <c r="D17" s="1">
        <v>39.9</v>
      </c>
      <c r="E17" s="1">
        <v>25</v>
      </c>
      <c r="F17" s="1" t="s">
        <v>136</v>
      </c>
      <c r="G17" s="1">
        <f>D17*E17</f>
        <v>997.5</v>
      </c>
      <c r="H17" s="1"/>
    </row>
    <row r="18" spans="1:8" x14ac:dyDescent="0.25">
      <c r="A18" s="25"/>
      <c r="B18" s="1" t="s">
        <v>32</v>
      </c>
      <c r="C18" s="1" t="s">
        <v>48</v>
      </c>
      <c r="D18" s="1">
        <v>135</v>
      </c>
      <c r="E18" s="1">
        <v>10</v>
      </c>
      <c r="F18" s="12" t="s">
        <v>136</v>
      </c>
      <c r="G18" s="12">
        <f t="shared" ref="G18:G19" si="2">D18*E18</f>
        <v>1350</v>
      </c>
      <c r="H18" s="1"/>
    </row>
    <row r="19" spans="1:8" x14ac:dyDescent="0.25">
      <c r="A19" s="25"/>
      <c r="B19" s="1" t="s">
        <v>24</v>
      </c>
      <c r="C19" s="1" t="s">
        <v>30</v>
      </c>
      <c r="D19" s="1">
        <v>45</v>
      </c>
      <c r="E19" s="1">
        <v>5</v>
      </c>
      <c r="F19" s="12" t="s">
        <v>136</v>
      </c>
      <c r="G19" s="12">
        <f t="shared" si="2"/>
        <v>225</v>
      </c>
      <c r="H19" s="1"/>
    </row>
    <row r="20" spans="1:8" x14ac:dyDescent="0.25">
      <c r="A20" s="25"/>
      <c r="B20" s="1"/>
      <c r="C20" s="1"/>
      <c r="D20" s="1"/>
      <c r="E20" s="3"/>
      <c r="F20" s="3"/>
      <c r="G20" s="1"/>
      <c r="H20" s="1"/>
    </row>
    <row r="21" spans="1:8" x14ac:dyDescent="0.25">
      <c r="A21" s="25"/>
      <c r="B21" s="1"/>
      <c r="C21" s="1"/>
      <c r="D21" s="1"/>
      <c r="E21" s="3"/>
      <c r="F21" s="3"/>
      <c r="G21" s="1"/>
      <c r="H21" s="1"/>
    </row>
    <row r="22" spans="1:8" x14ac:dyDescent="0.25">
      <c r="A22" s="25"/>
      <c r="B22" s="1"/>
      <c r="C22" s="1"/>
      <c r="D22" s="1"/>
      <c r="E22" s="3"/>
      <c r="F22" s="3"/>
      <c r="G22" s="1"/>
      <c r="H22" s="1"/>
    </row>
    <row r="23" spans="1:8" x14ac:dyDescent="0.25">
      <c r="A23" s="25"/>
      <c r="B23" s="26" t="s">
        <v>7</v>
      </c>
      <c r="C23" s="27"/>
      <c r="D23" s="28"/>
      <c r="E23" s="3"/>
      <c r="F23" s="3"/>
      <c r="G23" s="15">
        <f>SUM(G17:G22)</f>
        <v>2572.5</v>
      </c>
      <c r="H23" s="1"/>
    </row>
    <row r="24" spans="1:8" x14ac:dyDescent="0.25">
      <c r="A24" s="5" t="s">
        <v>10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25"/>
      <c r="B25" s="1" t="s">
        <v>141</v>
      </c>
      <c r="C25" s="1"/>
      <c r="D25" s="1">
        <v>55</v>
      </c>
      <c r="E25" s="1">
        <v>20</v>
      </c>
      <c r="F25" s="1" t="s">
        <v>136</v>
      </c>
      <c r="G25" s="1">
        <f>D25*E25</f>
        <v>1100</v>
      </c>
      <c r="H25" s="1"/>
    </row>
    <row r="26" spans="1:8" x14ac:dyDescent="0.25">
      <c r="A26" s="25"/>
      <c r="B26" s="1" t="s">
        <v>142</v>
      </c>
      <c r="C26" s="1"/>
      <c r="D26" s="1">
        <v>29.38</v>
      </c>
      <c r="E26" s="1">
        <v>100</v>
      </c>
      <c r="F26" s="1" t="s">
        <v>136</v>
      </c>
      <c r="G26" s="12">
        <f t="shared" ref="G26:G27" si="3">D26*E26</f>
        <v>2938</v>
      </c>
      <c r="H26" s="1"/>
    </row>
    <row r="27" spans="1:8" x14ac:dyDescent="0.25">
      <c r="A27" s="25"/>
      <c r="B27" s="1" t="s">
        <v>143</v>
      </c>
      <c r="C27" s="1"/>
      <c r="D27" s="1">
        <v>1188</v>
      </c>
      <c r="E27" s="1">
        <v>2</v>
      </c>
      <c r="F27" s="1" t="s">
        <v>144</v>
      </c>
      <c r="G27" s="12">
        <f t="shared" si="3"/>
        <v>2376</v>
      </c>
      <c r="H27" s="1"/>
    </row>
    <row r="28" spans="1:8" x14ac:dyDescent="0.25">
      <c r="A28" s="25"/>
      <c r="B28" s="1"/>
      <c r="C28" s="1"/>
      <c r="D28" s="1"/>
      <c r="E28" s="1"/>
      <c r="F28" s="1"/>
      <c r="G28" s="1"/>
      <c r="H28" s="1"/>
    </row>
    <row r="29" spans="1:8" x14ac:dyDescent="0.25">
      <c r="A29" s="25"/>
      <c r="B29" s="26" t="s">
        <v>7</v>
      </c>
      <c r="C29" s="27"/>
      <c r="D29" s="28"/>
      <c r="E29" s="3"/>
      <c r="F29" s="3"/>
      <c r="G29" s="18">
        <f>SUM(G25:G28)</f>
        <v>6414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25" t="s">
        <v>42</v>
      </c>
      <c r="B31" s="1" t="s">
        <v>53</v>
      </c>
      <c r="C31" s="1" t="s">
        <v>54</v>
      </c>
      <c r="D31" s="1">
        <v>150</v>
      </c>
      <c r="E31" s="1">
        <v>4</v>
      </c>
      <c r="F31" s="1" t="s">
        <v>139</v>
      </c>
      <c r="G31" s="1">
        <f>D31*E31</f>
        <v>600</v>
      </c>
      <c r="H31" s="1"/>
    </row>
    <row r="32" spans="1:8" x14ac:dyDescent="0.25">
      <c r="A32" s="25"/>
      <c r="B32" s="1" t="s">
        <v>55</v>
      </c>
      <c r="C32" s="1" t="s">
        <v>56</v>
      </c>
      <c r="D32" s="1"/>
      <c r="E32" s="1"/>
      <c r="F32" s="1"/>
      <c r="G32" s="1"/>
      <c r="H32" s="1"/>
    </row>
    <row r="33" spans="1:8" x14ac:dyDescent="0.25">
      <c r="A33" s="25"/>
      <c r="B33" s="1"/>
      <c r="C33" s="1"/>
      <c r="D33" s="1"/>
      <c r="E33" s="1"/>
      <c r="F33" s="1"/>
      <c r="G33" s="1"/>
      <c r="H33" s="1"/>
    </row>
    <row r="34" spans="1:8" x14ac:dyDescent="0.25">
      <c r="A34" s="25"/>
      <c r="B34" s="26" t="s">
        <v>140</v>
      </c>
      <c r="C34" s="27"/>
      <c r="D34" s="28"/>
      <c r="E34" s="3"/>
      <c r="F34" s="3"/>
      <c r="G34" s="18">
        <f>SUM(G31:G33)</f>
        <v>600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32"/>
      <c r="B36" s="1" t="s">
        <v>135</v>
      </c>
      <c r="C36" s="1"/>
      <c r="D36" s="1">
        <v>39.36</v>
      </c>
      <c r="E36" s="1">
        <v>56.67</v>
      </c>
      <c r="F36" s="1" t="s">
        <v>136</v>
      </c>
      <c r="G36" s="21">
        <f>E36*D36</f>
        <v>2230.5311999999999</v>
      </c>
      <c r="H36" s="1"/>
    </row>
    <row r="37" spans="1:8" x14ac:dyDescent="0.25">
      <c r="A37" s="33"/>
      <c r="B37" s="1" t="s">
        <v>145</v>
      </c>
      <c r="C37" s="1"/>
      <c r="D37" s="1">
        <v>9</v>
      </c>
      <c r="E37" s="1">
        <v>65</v>
      </c>
      <c r="F37" s="1" t="s">
        <v>136</v>
      </c>
      <c r="G37" s="21">
        <f>E37*D37</f>
        <v>585</v>
      </c>
      <c r="H37" s="1"/>
    </row>
    <row r="38" spans="1:8" x14ac:dyDescent="0.25">
      <c r="A38" s="34"/>
      <c r="B38" s="26" t="s">
        <v>7</v>
      </c>
      <c r="C38" s="27"/>
      <c r="D38" s="28"/>
      <c r="E38" s="3"/>
      <c r="F38" s="3"/>
      <c r="G38" s="15">
        <f>SUM(G36:G37)</f>
        <v>2815.5311999999999</v>
      </c>
      <c r="H38" s="6"/>
    </row>
    <row r="39" spans="1:8" x14ac:dyDescent="0.25">
      <c r="A39" s="7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25"/>
      <c r="B40" s="1" t="s">
        <v>146</v>
      </c>
      <c r="C40" s="1"/>
      <c r="D40" s="1">
        <v>9.5</v>
      </c>
      <c r="E40" s="1">
        <v>40</v>
      </c>
      <c r="F40" s="1" t="s">
        <v>147</v>
      </c>
      <c r="G40" s="1">
        <f>D40*E40</f>
        <v>380</v>
      </c>
      <c r="H40" s="1"/>
    </row>
    <row r="41" spans="1:8" x14ac:dyDescent="0.25">
      <c r="A41" s="25"/>
      <c r="B41" s="1" t="s">
        <v>148</v>
      </c>
      <c r="C41" s="1"/>
      <c r="D41" s="1">
        <v>60</v>
      </c>
      <c r="E41" s="1">
        <v>1</v>
      </c>
      <c r="F41" s="1" t="s">
        <v>149</v>
      </c>
      <c r="G41" s="12">
        <f>D41*E41</f>
        <v>60</v>
      </c>
      <c r="H41" s="1"/>
    </row>
    <row r="42" spans="1:8" x14ac:dyDescent="0.25">
      <c r="A42" s="25"/>
      <c r="B42" s="1"/>
      <c r="C42" s="1"/>
      <c r="D42" s="1"/>
      <c r="E42" s="1"/>
      <c r="F42" s="1"/>
      <c r="G42" s="1"/>
      <c r="H42" s="1"/>
    </row>
    <row r="43" spans="1:8" x14ac:dyDescent="0.25">
      <c r="A43" s="25"/>
      <c r="B43" s="1"/>
      <c r="C43" s="1"/>
      <c r="D43" s="1"/>
      <c r="E43" s="1"/>
      <c r="F43" s="1"/>
      <c r="G43" s="1"/>
      <c r="H43" s="1"/>
    </row>
    <row r="44" spans="1:8" x14ac:dyDescent="0.25">
      <c r="A44" s="25"/>
      <c r="B44" s="26" t="s">
        <v>7</v>
      </c>
      <c r="C44" s="27"/>
      <c r="D44" s="28"/>
      <c r="E44" s="3"/>
      <c r="F44" s="3"/>
      <c r="G44" s="18">
        <f>SUM(G40:G43)</f>
        <v>440</v>
      </c>
      <c r="H44" s="1"/>
    </row>
    <row r="45" spans="1:8" x14ac:dyDescent="0.25">
      <c r="A45" s="1"/>
      <c r="B45" s="29" t="s">
        <v>14</v>
      </c>
      <c r="C45" s="30"/>
      <c r="D45" s="31"/>
      <c r="E45" s="8"/>
      <c r="F45" s="8"/>
      <c r="G45" s="9">
        <f>G44+G38+G34+G23+G15+G8+G29</f>
        <v>22225.731200000002</v>
      </c>
      <c r="H45" s="1"/>
    </row>
  </sheetData>
  <mergeCells count="16">
    <mergeCell ref="A17:A23"/>
    <mergeCell ref="B23:D23"/>
    <mergeCell ref="A1:H1"/>
    <mergeCell ref="A3:A8"/>
    <mergeCell ref="B8:D8"/>
    <mergeCell ref="A10:A15"/>
    <mergeCell ref="B15:D15"/>
    <mergeCell ref="A40:A44"/>
    <mergeCell ref="B44:D44"/>
    <mergeCell ref="B45:D45"/>
    <mergeCell ref="A25:A29"/>
    <mergeCell ref="B29:D29"/>
    <mergeCell ref="A31:A34"/>
    <mergeCell ref="B34:D34"/>
    <mergeCell ref="A36:A38"/>
    <mergeCell ref="B38:D38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topLeftCell="A38" workbookViewId="0">
      <selection activeCell="H55" sqref="H5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58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25" t="s">
        <v>64</v>
      </c>
      <c r="B3" s="1" t="s">
        <v>67</v>
      </c>
      <c r="C3" s="1" t="s">
        <v>68</v>
      </c>
      <c r="D3" s="1">
        <v>93</v>
      </c>
      <c r="E3" s="1">
        <v>35</v>
      </c>
      <c r="F3" s="1" t="s">
        <v>136</v>
      </c>
      <c r="G3" s="2">
        <f>D3*E3</f>
        <v>3255</v>
      </c>
      <c r="H3" s="1"/>
    </row>
    <row r="4" spans="1:8" x14ac:dyDescent="0.25">
      <c r="A4" s="25"/>
      <c r="B4" s="1" t="s">
        <v>69</v>
      </c>
      <c r="C4" s="1" t="s">
        <v>70</v>
      </c>
      <c r="D4" s="1">
        <v>135</v>
      </c>
      <c r="E4" s="1">
        <v>6</v>
      </c>
      <c r="F4" s="1" t="s">
        <v>136</v>
      </c>
      <c r="G4" s="2">
        <f>D4*E4</f>
        <v>810</v>
      </c>
      <c r="H4" s="1"/>
    </row>
    <row r="5" spans="1:8" x14ac:dyDescent="0.25">
      <c r="A5" s="25"/>
      <c r="B5" s="1"/>
      <c r="C5" s="1"/>
      <c r="D5" s="1"/>
      <c r="E5" s="1"/>
      <c r="F5" s="1"/>
      <c r="G5" s="1"/>
      <c r="H5" s="1"/>
    </row>
    <row r="6" spans="1:8" x14ac:dyDescent="0.25">
      <c r="A6" s="25"/>
      <c r="B6" s="1"/>
      <c r="C6" s="1"/>
      <c r="D6" s="1"/>
      <c r="E6" s="3"/>
      <c r="F6" s="3"/>
      <c r="G6" s="3"/>
      <c r="H6" s="1"/>
    </row>
    <row r="7" spans="1:8" x14ac:dyDescent="0.25">
      <c r="A7" s="25"/>
      <c r="B7" s="26" t="s">
        <v>7</v>
      </c>
      <c r="C7" s="27"/>
      <c r="D7" s="28"/>
      <c r="E7" s="3"/>
      <c r="F7" s="3"/>
      <c r="G7" s="15">
        <f>SUM(G3:G6)</f>
        <v>4065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25" t="s">
        <v>65</v>
      </c>
      <c r="B9" s="1" t="s">
        <v>71</v>
      </c>
      <c r="C9" s="1" t="s">
        <v>25</v>
      </c>
      <c r="D9" s="1">
        <v>51</v>
      </c>
      <c r="E9" s="1">
        <v>20</v>
      </c>
      <c r="F9" s="1" t="s">
        <v>136</v>
      </c>
      <c r="G9" s="1">
        <f>D9*E9</f>
        <v>1020</v>
      </c>
      <c r="H9" s="1"/>
    </row>
    <row r="10" spans="1:8" x14ac:dyDescent="0.25">
      <c r="A10" s="25"/>
      <c r="B10" s="1" t="s">
        <v>72</v>
      </c>
      <c r="C10" s="1" t="s">
        <v>26</v>
      </c>
      <c r="D10" s="1">
        <v>87.6</v>
      </c>
      <c r="E10" s="1">
        <v>15</v>
      </c>
      <c r="F10" s="1" t="s">
        <v>136</v>
      </c>
      <c r="G10" s="12">
        <f t="shared" ref="G10:G12" si="0">D10*E10</f>
        <v>1314</v>
      </c>
      <c r="H10" s="1"/>
    </row>
    <row r="11" spans="1:8" x14ac:dyDescent="0.25">
      <c r="A11" s="25"/>
      <c r="B11" s="1" t="s">
        <v>73</v>
      </c>
      <c r="C11" s="1" t="s">
        <v>30</v>
      </c>
      <c r="D11" s="1">
        <v>20.399999999999999</v>
      </c>
      <c r="E11" s="1">
        <v>5</v>
      </c>
      <c r="F11" s="1" t="s">
        <v>136</v>
      </c>
      <c r="G11" s="12">
        <f t="shared" si="0"/>
        <v>102</v>
      </c>
      <c r="H11" s="1"/>
    </row>
    <row r="12" spans="1:8" x14ac:dyDescent="0.25">
      <c r="A12" s="25"/>
      <c r="B12" s="1" t="s">
        <v>74</v>
      </c>
      <c r="C12" s="1" t="s">
        <v>75</v>
      </c>
      <c r="D12" s="1">
        <v>325</v>
      </c>
      <c r="E12" s="1">
        <v>2</v>
      </c>
      <c r="F12" s="1" t="s">
        <v>151</v>
      </c>
      <c r="G12" s="12">
        <f t="shared" si="0"/>
        <v>650</v>
      </c>
      <c r="H12" s="1"/>
    </row>
    <row r="13" spans="1:8" x14ac:dyDescent="0.25">
      <c r="A13" s="25"/>
      <c r="B13" s="1"/>
      <c r="C13" s="1"/>
      <c r="D13" s="1"/>
      <c r="E13" s="1"/>
      <c r="F13" s="1"/>
      <c r="G13" s="1"/>
      <c r="H13" s="1"/>
    </row>
    <row r="14" spans="1:8" x14ac:dyDescent="0.25">
      <c r="A14" s="25"/>
      <c r="B14" s="26" t="s">
        <v>7</v>
      </c>
      <c r="C14" s="27"/>
      <c r="D14" s="28"/>
      <c r="E14" s="3"/>
      <c r="F14" s="3"/>
      <c r="G14" s="15">
        <f>SUM(G9:G13)</f>
        <v>3086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25"/>
      <c r="B16" s="1"/>
      <c r="C16" s="1"/>
      <c r="D16" s="1"/>
      <c r="E16" s="1"/>
      <c r="F16" s="1"/>
      <c r="G16" s="1"/>
      <c r="H16" s="1"/>
    </row>
    <row r="17" spans="1:8" x14ac:dyDescent="0.25">
      <c r="A17" s="25"/>
      <c r="B17" s="1"/>
      <c r="C17" s="1"/>
      <c r="D17" s="1"/>
      <c r="E17" s="1"/>
      <c r="F17" s="1"/>
      <c r="G17" s="1"/>
      <c r="H17" s="1"/>
    </row>
    <row r="18" spans="1:8" x14ac:dyDescent="0.25">
      <c r="A18" s="25"/>
      <c r="B18" s="1"/>
      <c r="C18" s="1"/>
      <c r="D18" s="1"/>
      <c r="E18" s="1"/>
      <c r="F18" s="1"/>
      <c r="G18" s="1"/>
      <c r="H18" s="1"/>
    </row>
    <row r="19" spans="1:8" x14ac:dyDescent="0.25">
      <c r="A19" s="25"/>
      <c r="B19" s="1"/>
      <c r="C19" s="1"/>
      <c r="D19" s="1"/>
      <c r="E19" s="3"/>
      <c r="F19" s="3"/>
      <c r="G19" s="1"/>
      <c r="H19" s="1"/>
    </row>
    <row r="20" spans="1:8" x14ac:dyDescent="0.25">
      <c r="A20" s="25"/>
      <c r="B20" s="26" t="s">
        <v>7</v>
      </c>
      <c r="C20" s="27"/>
      <c r="D20" s="28"/>
      <c r="E20" s="3"/>
      <c r="F20" s="3"/>
      <c r="G20" s="4">
        <f>SUM(G16:G19)</f>
        <v>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25"/>
      <c r="B22" s="1" t="s">
        <v>152</v>
      </c>
      <c r="C22" s="1"/>
      <c r="D22" s="1">
        <v>70</v>
      </c>
      <c r="E22" s="1">
        <v>10</v>
      </c>
      <c r="F22" s="1" t="s">
        <v>138</v>
      </c>
      <c r="G22" s="1">
        <f>D22*E22</f>
        <v>700</v>
      </c>
      <c r="H22" s="1"/>
    </row>
    <row r="23" spans="1:8" x14ac:dyDescent="0.25">
      <c r="A23" s="25"/>
      <c r="B23" s="1" t="s">
        <v>153</v>
      </c>
      <c r="C23" s="1"/>
      <c r="D23" s="1">
        <v>1350</v>
      </c>
      <c r="E23" s="1">
        <v>1</v>
      </c>
      <c r="F23" s="1" t="s">
        <v>154</v>
      </c>
      <c r="G23" s="12">
        <f t="shared" ref="G23:G35" si="1">D23*E23</f>
        <v>1350</v>
      </c>
      <c r="H23" s="1"/>
    </row>
    <row r="24" spans="1:8" x14ac:dyDescent="0.25">
      <c r="A24" s="25"/>
      <c r="B24" s="1" t="s">
        <v>155</v>
      </c>
      <c r="C24" s="1"/>
      <c r="D24" s="1">
        <v>280</v>
      </c>
      <c r="E24" s="1">
        <v>1</v>
      </c>
      <c r="F24" s="1" t="s">
        <v>144</v>
      </c>
      <c r="G24" s="12">
        <f t="shared" si="1"/>
        <v>280</v>
      </c>
      <c r="H24" s="1"/>
    </row>
    <row r="25" spans="1:8" x14ac:dyDescent="0.25">
      <c r="A25" s="25"/>
      <c r="B25" s="1" t="s">
        <v>148</v>
      </c>
      <c r="C25" s="1"/>
      <c r="D25" s="1">
        <v>60</v>
      </c>
      <c r="E25" s="1">
        <v>1</v>
      </c>
      <c r="F25" s="1" t="s">
        <v>149</v>
      </c>
      <c r="G25" s="12">
        <f t="shared" si="1"/>
        <v>60</v>
      </c>
      <c r="H25" s="1"/>
    </row>
    <row r="26" spans="1:8" x14ac:dyDescent="0.25">
      <c r="A26" s="25"/>
      <c r="B26" s="12" t="s">
        <v>156</v>
      </c>
      <c r="C26" s="12"/>
      <c r="D26" s="12">
        <v>66</v>
      </c>
      <c r="E26" s="12">
        <v>5</v>
      </c>
      <c r="F26" s="13" t="s">
        <v>151</v>
      </c>
      <c r="G26" s="12">
        <f t="shared" si="1"/>
        <v>330</v>
      </c>
      <c r="H26" s="12"/>
    </row>
    <row r="27" spans="1:8" x14ac:dyDescent="0.25">
      <c r="A27" s="25"/>
      <c r="B27" s="12" t="s">
        <v>157</v>
      </c>
      <c r="C27" s="12"/>
      <c r="D27" s="12">
        <v>120</v>
      </c>
      <c r="E27" s="12">
        <v>1</v>
      </c>
      <c r="F27" s="13" t="s">
        <v>158</v>
      </c>
      <c r="G27" s="12">
        <f t="shared" si="1"/>
        <v>120</v>
      </c>
      <c r="H27" s="12"/>
    </row>
    <row r="28" spans="1:8" x14ac:dyDescent="0.25">
      <c r="A28" s="25"/>
      <c r="B28" s="12" t="s">
        <v>159</v>
      </c>
      <c r="C28" s="12"/>
      <c r="D28" s="12">
        <v>12</v>
      </c>
      <c r="E28" s="12">
        <v>25</v>
      </c>
      <c r="F28" s="13" t="s">
        <v>147</v>
      </c>
      <c r="G28" s="12">
        <f t="shared" si="1"/>
        <v>300</v>
      </c>
      <c r="H28" s="12"/>
    </row>
    <row r="29" spans="1:8" x14ac:dyDescent="0.25">
      <c r="A29" s="25"/>
      <c r="B29" s="12" t="s">
        <v>160</v>
      </c>
      <c r="C29" s="12"/>
      <c r="D29" s="12">
        <v>66</v>
      </c>
      <c r="E29" s="12">
        <v>7.5</v>
      </c>
      <c r="F29" s="13" t="s">
        <v>136</v>
      </c>
      <c r="G29" s="12">
        <f t="shared" si="1"/>
        <v>495</v>
      </c>
      <c r="H29" s="12"/>
    </row>
    <row r="30" spans="1:8" x14ac:dyDescent="0.25">
      <c r="A30" s="25"/>
      <c r="B30" s="12" t="s">
        <v>166</v>
      </c>
      <c r="C30" s="12"/>
      <c r="D30" s="13">
        <v>363</v>
      </c>
      <c r="E30" s="13">
        <v>1</v>
      </c>
      <c r="F30" s="13" t="s">
        <v>138</v>
      </c>
      <c r="G30" s="12">
        <f t="shared" si="1"/>
        <v>363</v>
      </c>
      <c r="H30" s="12"/>
    </row>
    <row r="31" spans="1:8" x14ac:dyDescent="0.25">
      <c r="A31" s="25"/>
      <c r="B31" s="12" t="s">
        <v>167</v>
      </c>
      <c r="C31" s="12"/>
      <c r="D31" s="13">
        <v>1164</v>
      </c>
      <c r="E31" s="13">
        <v>1</v>
      </c>
      <c r="F31" s="13" t="s">
        <v>154</v>
      </c>
      <c r="G31" s="12">
        <f t="shared" si="1"/>
        <v>1164</v>
      </c>
      <c r="H31" s="12"/>
    </row>
    <row r="32" spans="1:8" x14ac:dyDescent="0.25">
      <c r="A32" s="25"/>
      <c r="B32" s="12" t="s">
        <v>168</v>
      </c>
      <c r="C32" s="12"/>
      <c r="D32" s="12">
        <v>339</v>
      </c>
      <c r="E32" s="12">
        <v>2</v>
      </c>
      <c r="F32" s="13" t="s">
        <v>144</v>
      </c>
      <c r="G32" s="12">
        <f t="shared" si="1"/>
        <v>678</v>
      </c>
      <c r="H32" s="12"/>
    </row>
    <row r="33" spans="1:8" x14ac:dyDescent="0.25">
      <c r="A33" s="25"/>
      <c r="B33" s="12" t="s">
        <v>169</v>
      </c>
      <c r="C33" s="12"/>
      <c r="D33" s="12">
        <v>235</v>
      </c>
      <c r="E33" s="12">
        <v>1</v>
      </c>
      <c r="F33" s="13" t="s">
        <v>144</v>
      </c>
      <c r="G33" s="12">
        <f t="shared" si="1"/>
        <v>235</v>
      </c>
      <c r="H33" s="12"/>
    </row>
    <row r="34" spans="1:8" x14ac:dyDescent="0.25">
      <c r="A34" s="25"/>
      <c r="B34" s="12" t="s">
        <v>170</v>
      </c>
      <c r="C34" s="12"/>
      <c r="D34" s="12">
        <v>291</v>
      </c>
      <c r="E34" s="12">
        <v>2</v>
      </c>
      <c r="F34" s="13" t="s">
        <v>144</v>
      </c>
      <c r="G34" s="12">
        <f t="shared" si="1"/>
        <v>582</v>
      </c>
      <c r="H34" s="12"/>
    </row>
    <row r="35" spans="1:8" x14ac:dyDescent="0.25">
      <c r="A35" s="25"/>
      <c r="B35" s="12" t="s">
        <v>171</v>
      </c>
      <c r="C35" s="12"/>
      <c r="D35" s="12">
        <v>50.88</v>
      </c>
      <c r="E35" s="14"/>
      <c r="F35" s="13" t="s">
        <v>136</v>
      </c>
      <c r="G35" s="12">
        <f t="shared" si="1"/>
        <v>0</v>
      </c>
      <c r="H35" s="12"/>
    </row>
    <row r="36" spans="1:8" x14ac:dyDescent="0.25">
      <c r="A36" s="25"/>
      <c r="B36" s="26" t="s">
        <v>7</v>
      </c>
      <c r="C36" s="27"/>
      <c r="D36" s="28"/>
      <c r="E36" s="3"/>
      <c r="F36" s="3"/>
      <c r="G36" s="18">
        <f>SUM(G22:G35)</f>
        <v>6657</v>
      </c>
      <c r="H36" s="1"/>
    </row>
    <row r="37" spans="1:8" x14ac:dyDescent="0.25">
      <c r="A37" s="1" t="s">
        <v>11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 t="s">
        <v>6</v>
      </c>
    </row>
    <row r="38" spans="1:8" x14ac:dyDescent="0.25">
      <c r="A38" s="25" t="s">
        <v>66</v>
      </c>
      <c r="B38" s="1" t="s">
        <v>76</v>
      </c>
      <c r="C38" s="1" t="s">
        <v>77</v>
      </c>
      <c r="D38" s="1">
        <v>11</v>
      </c>
      <c r="E38" s="1">
        <v>10</v>
      </c>
      <c r="F38" s="1" t="s">
        <v>147</v>
      </c>
      <c r="G38" s="2">
        <f>D38*E38</f>
        <v>110</v>
      </c>
      <c r="H38" s="1"/>
    </row>
    <row r="39" spans="1:8" x14ac:dyDescent="0.25">
      <c r="A39" s="25"/>
      <c r="B39" s="1" t="s">
        <v>78</v>
      </c>
      <c r="C39" s="1" t="s">
        <v>77</v>
      </c>
      <c r="D39" s="1">
        <v>16</v>
      </c>
      <c r="E39" s="1">
        <v>10</v>
      </c>
      <c r="F39" s="1" t="s">
        <v>161</v>
      </c>
      <c r="G39" s="2">
        <f t="shared" ref="G39:G42" si="2">D39*E39</f>
        <v>160</v>
      </c>
      <c r="H39" s="1"/>
    </row>
    <row r="40" spans="1:8" x14ac:dyDescent="0.25">
      <c r="A40" s="25"/>
      <c r="B40" s="1" t="s">
        <v>162</v>
      </c>
      <c r="C40" s="1"/>
      <c r="D40" s="1">
        <v>45</v>
      </c>
      <c r="E40" s="1">
        <v>4</v>
      </c>
      <c r="F40" s="1" t="s">
        <v>136</v>
      </c>
      <c r="G40" s="2">
        <f t="shared" si="2"/>
        <v>180</v>
      </c>
      <c r="H40" s="1"/>
    </row>
    <row r="41" spans="1:8" x14ac:dyDescent="0.25">
      <c r="A41" s="25"/>
      <c r="B41" s="12" t="s">
        <v>163</v>
      </c>
      <c r="C41" s="12"/>
      <c r="D41" s="12">
        <v>17.100000000000001</v>
      </c>
      <c r="E41" s="12">
        <v>4</v>
      </c>
      <c r="F41" s="13" t="s">
        <v>136</v>
      </c>
      <c r="G41" s="2">
        <f t="shared" si="2"/>
        <v>68.400000000000006</v>
      </c>
      <c r="H41" s="12"/>
    </row>
    <row r="42" spans="1:8" x14ac:dyDescent="0.25">
      <c r="A42" s="25"/>
      <c r="B42" s="12" t="s">
        <v>165</v>
      </c>
      <c r="C42" s="12"/>
      <c r="D42" s="12">
        <v>50.16</v>
      </c>
      <c r="E42" s="12">
        <v>8</v>
      </c>
      <c r="F42" s="13" t="s">
        <v>136</v>
      </c>
      <c r="G42" s="2">
        <f t="shared" si="2"/>
        <v>401.28</v>
      </c>
      <c r="H42" s="12"/>
    </row>
    <row r="43" spans="1:8" x14ac:dyDescent="0.25">
      <c r="A43" s="25"/>
      <c r="B43" s="12"/>
      <c r="C43" s="12"/>
      <c r="D43" s="12"/>
      <c r="E43" s="12"/>
      <c r="F43" s="13"/>
      <c r="G43" s="13"/>
      <c r="H43" s="12"/>
    </row>
    <row r="44" spans="1:8" x14ac:dyDescent="0.25">
      <c r="A44" s="25"/>
      <c r="B44" s="26" t="s">
        <v>57</v>
      </c>
      <c r="C44" s="27"/>
      <c r="D44" s="28"/>
      <c r="E44" s="3"/>
      <c r="F44" s="3"/>
      <c r="G44" s="18">
        <f>SUM(G38:G40)</f>
        <v>450</v>
      </c>
      <c r="H44" s="1"/>
    </row>
    <row r="45" spans="1:8" x14ac:dyDescent="0.25">
      <c r="A45" s="1" t="s">
        <v>12</v>
      </c>
      <c r="B45" s="1" t="s">
        <v>1</v>
      </c>
      <c r="C45" s="1" t="s">
        <v>2</v>
      </c>
      <c r="D45" s="1" t="s">
        <v>3</v>
      </c>
      <c r="E45" s="3" t="s">
        <v>4</v>
      </c>
      <c r="F45" s="3"/>
      <c r="G45" s="3" t="s">
        <v>5</v>
      </c>
      <c r="H45" s="1" t="s">
        <v>6</v>
      </c>
    </row>
    <row r="46" spans="1:8" x14ac:dyDescent="0.25">
      <c r="A46" s="32"/>
      <c r="B46" s="1" t="s">
        <v>150</v>
      </c>
      <c r="C46" s="1"/>
      <c r="D46" s="1">
        <v>67.2</v>
      </c>
      <c r="E46" s="1">
        <v>88.34</v>
      </c>
      <c r="F46" s="1" t="s">
        <v>136</v>
      </c>
      <c r="G46" s="2">
        <f>D46*E46</f>
        <v>5936.4480000000003</v>
      </c>
      <c r="H46" s="1"/>
    </row>
    <row r="47" spans="1:8" x14ac:dyDescent="0.25">
      <c r="A47" s="33"/>
      <c r="B47" s="1" t="s">
        <v>164</v>
      </c>
      <c r="C47" s="1"/>
      <c r="D47" s="1">
        <v>7.14</v>
      </c>
      <c r="E47" s="1">
        <v>65</v>
      </c>
      <c r="F47" s="1" t="s">
        <v>136</v>
      </c>
      <c r="G47" s="2">
        <f>D47*E47</f>
        <v>464.09999999999997</v>
      </c>
      <c r="H47" s="1"/>
    </row>
    <row r="48" spans="1:8" x14ac:dyDescent="0.25">
      <c r="A48" s="34"/>
      <c r="B48" s="26" t="s">
        <v>7</v>
      </c>
      <c r="C48" s="27"/>
      <c r="D48" s="28"/>
      <c r="E48" s="3"/>
      <c r="F48" s="3"/>
      <c r="G48" s="15">
        <f>SUM(G46:G47)</f>
        <v>6400.5480000000007</v>
      </c>
      <c r="H48" s="6"/>
    </row>
    <row r="49" spans="1:8" x14ac:dyDescent="0.25">
      <c r="A49" s="7" t="s">
        <v>13</v>
      </c>
      <c r="B49" s="1" t="s">
        <v>1</v>
      </c>
      <c r="C49" s="1" t="s">
        <v>2</v>
      </c>
      <c r="D49" s="1" t="s">
        <v>3</v>
      </c>
      <c r="E49" s="1" t="s">
        <v>4</v>
      </c>
      <c r="F49" s="1"/>
      <c r="G49" s="1" t="s">
        <v>5</v>
      </c>
      <c r="H49" s="1"/>
    </row>
    <row r="50" spans="1:8" x14ac:dyDescent="0.25">
      <c r="A50" s="25" t="s">
        <v>59</v>
      </c>
      <c r="B50" s="1" t="s">
        <v>60</v>
      </c>
      <c r="C50" s="1" t="s">
        <v>61</v>
      </c>
      <c r="D50" s="1">
        <v>125</v>
      </c>
      <c r="E50" s="1">
        <v>72</v>
      </c>
      <c r="F50" s="1" t="s">
        <v>138</v>
      </c>
      <c r="G50" s="1">
        <f>D50*E50</f>
        <v>9000</v>
      </c>
      <c r="H50" s="1"/>
    </row>
    <row r="51" spans="1:8" x14ac:dyDescent="0.25">
      <c r="A51" s="25"/>
      <c r="B51" s="1" t="s">
        <v>62</v>
      </c>
      <c r="C51" s="1" t="s">
        <v>63</v>
      </c>
      <c r="D51" s="1">
        <v>120</v>
      </c>
      <c r="E51" s="1">
        <v>1</v>
      </c>
      <c r="F51" s="1" t="s">
        <v>138</v>
      </c>
      <c r="G51" s="12">
        <f>D51*E51</f>
        <v>120</v>
      </c>
      <c r="H51" s="1"/>
    </row>
    <row r="52" spans="1:8" x14ac:dyDescent="0.25">
      <c r="A52" s="25"/>
      <c r="B52" s="1"/>
      <c r="C52" s="1"/>
      <c r="D52" s="1"/>
      <c r="E52" s="1"/>
      <c r="F52" s="1"/>
      <c r="G52" s="1"/>
      <c r="H52" s="1"/>
    </row>
    <row r="53" spans="1:8" x14ac:dyDescent="0.25">
      <c r="A53" s="25"/>
      <c r="B53" s="1"/>
      <c r="C53" s="1"/>
      <c r="D53" s="1"/>
      <c r="E53" s="1"/>
      <c r="F53" s="1"/>
      <c r="G53" s="1"/>
      <c r="H53" s="1"/>
    </row>
    <row r="54" spans="1:8" x14ac:dyDescent="0.25">
      <c r="A54" s="25"/>
      <c r="B54" s="26" t="s">
        <v>7</v>
      </c>
      <c r="C54" s="27"/>
      <c r="D54" s="28"/>
      <c r="E54" s="3"/>
      <c r="F54" s="3"/>
      <c r="G54" s="18">
        <f>SUM(G50:G53)</f>
        <v>9120</v>
      </c>
      <c r="H54" s="1"/>
    </row>
    <row r="55" spans="1:8" x14ac:dyDescent="0.25">
      <c r="A55" s="1"/>
      <c r="B55" s="29" t="s">
        <v>14</v>
      </c>
      <c r="C55" s="30"/>
      <c r="D55" s="31"/>
      <c r="E55" s="8"/>
      <c r="F55" s="8"/>
      <c r="G55" s="9">
        <f>G54+G48+G44+G20+G14+G7+G36</f>
        <v>29778.548000000003</v>
      </c>
      <c r="H55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50:A54"/>
    <mergeCell ref="B54:D54"/>
    <mergeCell ref="B55:D55"/>
    <mergeCell ref="A22:A36"/>
    <mergeCell ref="B36:D36"/>
    <mergeCell ref="A38:A44"/>
    <mergeCell ref="B44:D44"/>
    <mergeCell ref="A46:A48"/>
    <mergeCell ref="B48:D48"/>
  </mergeCells>
  <phoneticPr fontId="2" type="noConversion"/>
  <pageMargins left="0.7" right="0.7" top="0.75" bottom="0.75" header="0.3" footer="0.3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opLeftCell="A27" workbookViewId="0">
      <selection activeCell="H44" sqref="H4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79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25" t="s">
        <v>80</v>
      </c>
      <c r="B3" s="1" t="s">
        <v>85</v>
      </c>
      <c r="C3" s="1" t="s">
        <v>86</v>
      </c>
      <c r="D3" s="1">
        <v>99</v>
      </c>
      <c r="E3" s="1">
        <v>68.319999999999993</v>
      </c>
      <c r="F3" s="1" t="s">
        <v>172</v>
      </c>
      <c r="G3" s="2">
        <f>D3*E3</f>
        <v>6763.6799999999994</v>
      </c>
      <c r="H3" s="1"/>
    </row>
    <row r="4" spans="1:8" x14ac:dyDescent="0.25">
      <c r="A4" s="25"/>
      <c r="B4" s="1"/>
      <c r="C4" s="1"/>
      <c r="D4" s="1"/>
      <c r="E4" s="1"/>
      <c r="F4" s="1"/>
      <c r="G4" s="1"/>
      <c r="H4" s="1"/>
    </row>
    <row r="5" spans="1:8" x14ac:dyDescent="0.25">
      <c r="A5" s="25"/>
      <c r="B5" s="1"/>
      <c r="C5" s="1"/>
      <c r="D5" s="1"/>
      <c r="E5" s="1"/>
      <c r="F5" s="1"/>
      <c r="G5" s="1"/>
      <c r="H5" s="1"/>
    </row>
    <row r="6" spans="1:8" x14ac:dyDescent="0.25">
      <c r="A6" s="25"/>
      <c r="B6" s="1"/>
      <c r="C6" s="1"/>
      <c r="D6" s="1"/>
      <c r="E6" s="3"/>
      <c r="F6" s="3"/>
      <c r="G6" s="3"/>
      <c r="H6" s="1"/>
    </row>
    <row r="7" spans="1:8" x14ac:dyDescent="0.25">
      <c r="A7" s="25"/>
      <c r="B7" s="26" t="s">
        <v>7</v>
      </c>
      <c r="C7" s="27"/>
      <c r="D7" s="28"/>
      <c r="E7" s="3"/>
      <c r="F7" s="3"/>
      <c r="G7" s="15">
        <f>SUM(G3:G6)</f>
        <v>6763.6799999999994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25" t="s">
        <v>81</v>
      </c>
      <c r="B9" s="1" t="s">
        <v>88</v>
      </c>
      <c r="C9" s="1" t="s">
        <v>31</v>
      </c>
      <c r="D9" s="1">
        <v>73.8</v>
      </c>
      <c r="E9" s="1">
        <v>4</v>
      </c>
      <c r="F9" s="1" t="s">
        <v>172</v>
      </c>
      <c r="G9" s="1">
        <f>D9*E9</f>
        <v>295.2</v>
      </c>
      <c r="H9" s="1"/>
    </row>
    <row r="10" spans="1:8" x14ac:dyDescent="0.25">
      <c r="A10" s="25"/>
      <c r="B10" s="1" t="s">
        <v>67</v>
      </c>
      <c r="C10" s="1" t="s">
        <v>89</v>
      </c>
      <c r="D10" s="1">
        <v>93</v>
      </c>
      <c r="E10" s="1">
        <v>40</v>
      </c>
      <c r="F10" s="1" t="s">
        <v>172</v>
      </c>
      <c r="G10" s="19">
        <f t="shared" ref="G10:G11" si="0">D10*E10</f>
        <v>3720</v>
      </c>
      <c r="H10" s="1"/>
    </row>
    <row r="11" spans="1:8" x14ac:dyDescent="0.25">
      <c r="A11" s="25"/>
      <c r="B11" s="1" t="s">
        <v>90</v>
      </c>
      <c r="C11" s="1" t="s">
        <v>91</v>
      </c>
      <c r="D11" s="1">
        <v>12</v>
      </c>
      <c r="E11" s="1">
        <v>90</v>
      </c>
      <c r="F11" s="1" t="s">
        <v>173</v>
      </c>
      <c r="G11" s="19">
        <f t="shared" si="0"/>
        <v>1080</v>
      </c>
      <c r="H11" s="1"/>
    </row>
    <row r="12" spans="1:8" x14ac:dyDescent="0.25">
      <c r="A12" s="25"/>
      <c r="B12" s="1"/>
      <c r="C12" s="1"/>
      <c r="D12" s="1"/>
      <c r="E12" s="1"/>
      <c r="F12" s="1"/>
      <c r="G12" s="1"/>
      <c r="H12" s="1"/>
    </row>
    <row r="13" spans="1:8" x14ac:dyDescent="0.25">
      <c r="A13" s="25"/>
      <c r="B13" s="1"/>
      <c r="C13" s="1"/>
      <c r="D13" s="1"/>
      <c r="E13" s="1"/>
      <c r="F13" s="1"/>
      <c r="G13" s="1"/>
      <c r="H13" s="1"/>
    </row>
    <row r="14" spans="1:8" x14ac:dyDescent="0.25">
      <c r="A14" s="25"/>
      <c r="B14" s="26" t="s">
        <v>7</v>
      </c>
      <c r="C14" s="27"/>
      <c r="D14" s="28"/>
      <c r="E14" s="3"/>
      <c r="F14" s="3"/>
      <c r="G14" s="15">
        <f>SUM(G9:G13)</f>
        <v>5095.2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25" t="s">
        <v>82</v>
      </c>
      <c r="B16" s="1" t="s">
        <v>92</v>
      </c>
      <c r="C16" s="1" t="s">
        <v>50</v>
      </c>
      <c r="D16" s="1">
        <v>31.5</v>
      </c>
      <c r="E16" s="1">
        <v>25</v>
      </c>
      <c r="F16" s="1" t="s">
        <v>172</v>
      </c>
      <c r="G16" s="1">
        <f>D16*E16</f>
        <v>787.5</v>
      </c>
      <c r="H16" s="1"/>
    </row>
    <row r="17" spans="1:8" x14ac:dyDescent="0.25">
      <c r="A17" s="25"/>
      <c r="B17" s="1" t="s">
        <v>93</v>
      </c>
      <c r="C17" s="1" t="s">
        <v>94</v>
      </c>
      <c r="D17" s="1">
        <v>72</v>
      </c>
      <c r="E17" s="1">
        <v>15</v>
      </c>
      <c r="F17" s="1" t="s">
        <v>172</v>
      </c>
      <c r="G17" s="19">
        <f t="shared" ref="G17:G18" si="1">D17*E17</f>
        <v>1080</v>
      </c>
      <c r="H17" s="1"/>
    </row>
    <row r="18" spans="1:8" x14ac:dyDescent="0.25">
      <c r="A18" s="25"/>
      <c r="B18" s="1" t="s">
        <v>95</v>
      </c>
      <c r="C18" s="1" t="s">
        <v>31</v>
      </c>
      <c r="D18" s="1">
        <v>85</v>
      </c>
      <c r="E18" s="1">
        <v>4</v>
      </c>
      <c r="F18" s="19" t="s">
        <v>172</v>
      </c>
      <c r="G18" s="19">
        <f t="shared" si="1"/>
        <v>340</v>
      </c>
      <c r="H18" s="1"/>
    </row>
    <row r="19" spans="1:8" x14ac:dyDescent="0.25">
      <c r="A19" s="25"/>
      <c r="B19" s="1"/>
      <c r="C19" s="1"/>
      <c r="D19" s="1"/>
      <c r="E19" s="3"/>
      <c r="F19" s="3"/>
      <c r="G19" s="1"/>
      <c r="H19" s="1"/>
    </row>
    <row r="20" spans="1:8" x14ac:dyDescent="0.25">
      <c r="A20" s="25"/>
      <c r="B20" s="26" t="s">
        <v>7</v>
      </c>
      <c r="C20" s="27"/>
      <c r="D20" s="28"/>
      <c r="E20" s="3"/>
      <c r="F20" s="3"/>
      <c r="G20" s="15">
        <f>SUM(G16:G19)</f>
        <v>2207.5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25"/>
      <c r="B22" s="1" t="s">
        <v>87</v>
      </c>
      <c r="C22" s="1" t="s">
        <v>75</v>
      </c>
      <c r="D22" s="1">
        <v>110</v>
      </c>
      <c r="E22" s="1">
        <v>2</v>
      </c>
      <c r="F22" s="1" t="s">
        <v>182</v>
      </c>
      <c r="G22" s="1">
        <f>D22*E22</f>
        <v>220</v>
      </c>
      <c r="H22" s="1"/>
    </row>
    <row r="23" spans="1:8" x14ac:dyDescent="0.25">
      <c r="A23" s="25"/>
      <c r="B23" s="1" t="s">
        <v>177</v>
      </c>
      <c r="C23" s="1"/>
      <c r="D23" s="1">
        <v>51.3</v>
      </c>
      <c r="E23" s="1">
        <v>4</v>
      </c>
      <c r="F23" s="1" t="s">
        <v>172</v>
      </c>
      <c r="G23" s="19">
        <f t="shared" ref="G23:G27" si="2">D23*E23</f>
        <v>205.2</v>
      </c>
      <c r="H23" s="1"/>
    </row>
    <row r="24" spans="1:8" x14ac:dyDescent="0.25">
      <c r="A24" s="25"/>
      <c r="B24" s="1" t="s">
        <v>178</v>
      </c>
      <c r="C24" s="1"/>
      <c r="D24" s="1">
        <v>14.4</v>
      </c>
      <c r="E24" s="1">
        <v>4</v>
      </c>
      <c r="F24" s="1" t="s">
        <v>172</v>
      </c>
      <c r="G24" s="19">
        <f t="shared" si="2"/>
        <v>57.6</v>
      </c>
      <c r="H24" s="1"/>
    </row>
    <row r="25" spans="1:8" x14ac:dyDescent="0.25">
      <c r="A25" s="25"/>
      <c r="B25" s="1" t="s">
        <v>179</v>
      </c>
      <c r="C25" s="1"/>
      <c r="D25" s="1">
        <v>74.099999999999994</v>
      </c>
      <c r="E25" s="1">
        <v>1</v>
      </c>
      <c r="F25" s="1" t="s">
        <v>172</v>
      </c>
      <c r="G25" s="19">
        <f t="shared" si="2"/>
        <v>74.099999999999994</v>
      </c>
      <c r="H25" s="1"/>
    </row>
    <row r="26" spans="1:8" x14ac:dyDescent="0.25">
      <c r="A26" s="25"/>
      <c r="B26" s="19" t="s">
        <v>180</v>
      </c>
      <c r="C26" s="19"/>
      <c r="D26" s="19">
        <v>110</v>
      </c>
      <c r="E26" s="19">
        <v>1</v>
      </c>
      <c r="F26" s="20" t="s">
        <v>181</v>
      </c>
      <c r="G26" s="19">
        <f t="shared" si="2"/>
        <v>110</v>
      </c>
      <c r="H26" s="19"/>
    </row>
    <row r="27" spans="1:8" x14ac:dyDescent="0.25">
      <c r="A27" s="25"/>
      <c r="B27" s="19" t="s">
        <v>183</v>
      </c>
      <c r="C27" s="19"/>
      <c r="D27" s="19">
        <v>60</v>
      </c>
      <c r="E27" s="19">
        <v>1</v>
      </c>
      <c r="F27" s="20" t="s">
        <v>184</v>
      </c>
      <c r="G27" s="19">
        <f t="shared" si="2"/>
        <v>60</v>
      </c>
      <c r="H27" s="19"/>
    </row>
    <row r="28" spans="1:8" x14ac:dyDescent="0.25">
      <c r="A28" s="25"/>
      <c r="B28" s="26" t="s">
        <v>7</v>
      </c>
      <c r="C28" s="27"/>
      <c r="D28" s="28"/>
      <c r="E28" s="3"/>
      <c r="F28" s="3"/>
      <c r="G28" s="18">
        <f>SUM(G22:G27)</f>
        <v>726.9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25" t="s">
        <v>83</v>
      </c>
      <c r="B30" s="1" t="s">
        <v>84</v>
      </c>
      <c r="C30" s="1" t="s">
        <v>56</v>
      </c>
      <c r="D30" s="1"/>
      <c r="E30" s="1"/>
      <c r="F30" s="1"/>
      <c r="G30" s="1"/>
      <c r="H30" s="1" t="s">
        <v>16</v>
      </c>
    </row>
    <row r="31" spans="1:8" x14ac:dyDescent="0.25">
      <c r="A31" s="25"/>
      <c r="B31" s="1"/>
      <c r="C31" s="1"/>
      <c r="D31" s="1"/>
      <c r="E31" s="1"/>
      <c r="F31" s="1"/>
      <c r="G31" s="1"/>
      <c r="H31" s="1"/>
    </row>
    <row r="32" spans="1:8" x14ac:dyDescent="0.25">
      <c r="A32" s="25"/>
      <c r="B32" s="1"/>
      <c r="C32" s="1"/>
      <c r="D32" s="1"/>
      <c r="E32" s="1"/>
      <c r="F32" s="1"/>
      <c r="G32" s="1"/>
      <c r="H32" s="1"/>
    </row>
    <row r="33" spans="1:8" x14ac:dyDescent="0.25">
      <c r="A33" s="25"/>
      <c r="B33" s="26"/>
      <c r="C33" s="27"/>
      <c r="D33" s="28"/>
      <c r="E33" s="3"/>
      <c r="F33" s="3"/>
      <c r="G33" s="4">
        <f>SUM(G30:G32)</f>
        <v>0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3" t="s">
        <v>4</v>
      </c>
      <c r="F34" s="3"/>
      <c r="G34" s="3" t="s">
        <v>5</v>
      </c>
      <c r="H34" s="1" t="s">
        <v>6</v>
      </c>
    </row>
    <row r="35" spans="1:8" x14ac:dyDescent="0.25">
      <c r="A35" s="32"/>
      <c r="B35" s="1" t="s">
        <v>175</v>
      </c>
      <c r="C35" s="1"/>
      <c r="D35" s="1">
        <v>9.9</v>
      </c>
      <c r="E35" s="1">
        <v>65</v>
      </c>
      <c r="F35" s="1" t="s">
        <v>172</v>
      </c>
      <c r="G35" s="1">
        <f>D35*E35</f>
        <v>643.5</v>
      </c>
      <c r="H35" s="1"/>
    </row>
    <row r="36" spans="1:8" x14ac:dyDescent="0.25">
      <c r="A36" s="33"/>
      <c r="B36" s="1" t="s">
        <v>176</v>
      </c>
      <c r="C36" s="1"/>
      <c r="D36" s="1">
        <v>45.12</v>
      </c>
      <c r="E36" s="1">
        <v>106.67</v>
      </c>
      <c r="F36" s="1" t="s">
        <v>172</v>
      </c>
      <c r="G36" s="19">
        <f>D36*E36</f>
        <v>4812.9503999999997</v>
      </c>
      <c r="H36" s="1"/>
    </row>
    <row r="37" spans="1:8" x14ac:dyDescent="0.25">
      <c r="A37" s="34"/>
      <c r="B37" s="26" t="s">
        <v>7</v>
      </c>
      <c r="C37" s="27"/>
      <c r="D37" s="28"/>
      <c r="E37" s="3"/>
      <c r="F37" s="3"/>
      <c r="G37" s="15">
        <f>SUM(G35:G36)</f>
        <v>5456.4503999999997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25"/>
      <c r="B39" s="1" t="s">
        <v>174</v>
      </c>
      <c r="C39" s="1"/>
      <c r="D39" s="1">
        <v>21</v>
      </c>
      <c r="E39" s="1">
        <v>8</v>
      </c>
      <c r="F39" s="1" t="s">
        <v>172</v>
      </c>
      <c r="G39" s="1">
        <f>D39*E39</f>
        <v>168</v>
      </c>
      <c r="H39" s="1"/>
    </row>
    <row r="40" spans="1:8" x14ac:dyDescent="0.25">
      <c r="A40" s="25"/>
      <c r="B40" s="1"/>
      <c r="C40" s="1"/>
      <c r="D40" s="1"/>
      <c r="E40" s="1"/>
      <c r="F40" s="1"/>
      <c r="G40" s="1"/>
      <c r="H40" s="1"/>
    </row>
    <row r="41" spans="1:8" x14ac:dyDescent="0.25">
      <c r="A41" s="25"/>
      <c r="B41" s="1"/>
      <c r="C41" s="1"/>
      <c r="D41" s="1"/>
      <c r="E41" s="1"/>
      <c r="F41" s="1"/>
      <c r="G41" s="1"/>
      <c r="H41" s="1"/>
    </row>
    <row r="42" spans="1:8" x14ac:dyDescent="0.25">
      <c r="A42" s="25"/>
      <c r="B42" s="1"/>
      <c r="C42" s="1"/>
      <c r="D42" s="1"/>
      <c r="E42" s="1"/>
      <c r="F42" s="1"/>
      <c r="G42" s="1"/>
      <c r="H42" s="1"/>
    </row>
    <row r="43" spans="1:8" x14ac:dyDescent="0.25">
      <c r="A43" s="25"/>
      <c r="B43" s="26" t="s">
        <v>7</v>
      </c>
      <c r="C43" s="27"/>
      <c r="D43" s="28"/>
      <c r="E43" s="3"/>
      <c r="F43" s="3"/>
      <c r="G43" s="18">
        <f>SUM(G39:G42)</f>
        <v>168</v>
      </c>
      <c r="H43" s="1"/>
    </row>
    <row r="44" spans="1:8" x14ac:dyDescent="0.25">
      <c r="A44" s="1"/>
      <c r="B44" s="29" t="s">
        <v>14</v>
      </c>
      <c r="C44" s="30"/>
      <c r="D44" s="31"/>
      <c r="E44" s="8"/>
      <c r="F44" s="8"/>
      <c r="G44" s="9">
        <f>G43+G37+G33+G20+G14+G7+G28</f>
        <v>20417.7304</v>
      </c>
      <c r="H44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9:A43"/>
    <mergeCell ref="B43:D43"/>
    <mergeCell ref="B44:D44"/>
    <mergeCell ref="A22:A28"/>
    <mergeCell ref="B28:D28"/>
    <mergeCell ref="A30:A33"/>
    <mergeCell ref="B33:D33"/>
    <mergeCell ref="A35:A37"/>
    <mergeCell ref="B37:D37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abSelected="1" topLeftCell="A32" workbookViewId="0">
      <selection activeCell="H49" sqref="A1:H4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5" t="s">
        <v>96</v>
      </c>
      <c r="B1" s="36"/>
      <c r="C1" s="36"/>
      <c r="D1" s="36"/>
      <c r="E1" s="36"/>
      <c r="F1" s="36"/>
      <c r="G1" s="36"/>
      <c r="H1" s="3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25" t="s">
        <v>101</v>
      </c>
      <c r="B3" s="1" t="s">
        <v>97</v>
      </c>
      <c r="C3" s="1" t="s">
        <v>98</v>
      </c>
      <c r="D3" s="1">
        <v>150</v>
      </c>
      <c r="E3" s="1">
        <v>50</v>
      </c>
      <c r="F3" s="1" t="s">
        <v>185</v>
      </c>
      <c r="G3" s="2">
        <f>D3*E3</f>
        <v>7500</v>
      </c>
      <c r="H3" s="1"/>
    </row>
    <row r="4" spans="1:8" x14ac:dyDescent="0.25">
      <c r="A4" s="25"/>
      <c r="B4" s="1" t="s">
        <v>99</v>
      </c>
      <c r="C4" s="1" t="s">
        <v>28</v>
      </c>
      <c r="D4" s="1">
        <v>40.799999999999997</v>
      </c>
      <c r="E4" s="1">
        <v>3</v>
      </c>
      <c r="F4" s="23" t="s">
        <v>185</v>
      </c>
      <c r="G4" s="2">
        <f t="shared" ref="G4:G6" si="0">D4*E4</f>
        <v>122.39999999999999</v>
      </c>
      <c r="H4" s="1"/>
    </row>
    <row r="5" spans="1:8" x14ac:dyDescent="0.25">
      <c r="A5" s="25"/>
      <c r="B5" s="1" t="s">
        <v>47</v>
      </c>
      <c r="C5" s="1" t="s">
        <v>46</v>
      </c>
      <c r="D5" s="1">
        <v>228</v>
      </c>
      <c r="E5" s="1">
        <v>1</v>
      </c>
      <c r="F5" s="23" t="s">
        <v>185</v>
      </c>
      <c r="G5" s="2">
        <f t="shared" si="0"/>
        <v>228</v>
      </c>
      <c r="H5" s="1"/>
    </row>
    <row r="6" spans="1:8" x14ac:dyDescent="0.25">
      <c r="A6" s="25"/>
      <c r="B6" s="1" t="s">
        <v>100</v>
      </c>
      <c r="C6" s="1" t="s">
        <v>46</v>
      </c>
      <c r="D6" s="1">
        <v>74.099999999999994</v>
      </c>
      <c r="E6" s="3">
        <v>1</v>
      </c>
      <c r="F6" s="23" t="s">
        <v>185</v>
      </c>
      <c r="G6" s="2">
        <f t="shared" si="0"/>
        <v>74.099999999999994</v>
      </c>
      <c r="H6" s="1"/>
    </row>
    <row r="7" spans="1:8" x14ac:dyDescent="0.25">
      <c r="A7" s="25"/>
      <c r="B7" s="1"/>
      <c r="C7" s="1"/>
      <c r="D7" s="1"/>
      <c r="E7" s="3"/>
      <c r="F7" s="3"/>
      <c r="G7" s="3"/>
      <c r="H7" s="1"/>
    </row>
    <row r="8" spans="1:8" x14ac:dyDescent="0.25">
      <c r="A8" s="25"/>
      <c r="B8" s="26" t="s">
        <v>7</v>
      </c>
      <c r="C8" s="27"/>
      <c r="D8" s="28"/>
      <c r="E8" s="3"/>
      <c r="F8" s="3"/>
      <c r="G8" s="15">
        <f>SUM(G3:G7)</f>
        <v>7924.5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25" t="s">
        <v>102</v>
      </c>
      <c r="B10" s="1" t="s">
        <v>105</v>
      </c>
      <c r="C10" s="1" t="s">
        <v>50</v>
      </c>
      <c r="D10" s="1">
        <v>43.8</v>
      </c>
      <c r="E10" s="1">
        <v>25</v>
      </c>
      <c r="F10" s="23" t="s">
        <v>185</v>
      </c>
      <c r="G10" s="1">
        <f>D10*E10</f>
        <v>1095</v>
      </c>
      <c r="H10" s="1"/>
    </row>
    <row r="11" spans="1:8" x14ac:dyDescent="0.25">
      <c r="A11" s="25"/>
      <c r="B11" s="1" t="s">
        <v>73</v>
      </c>
      <c r="C11" s="1" t="s">
        <v>30</v>
      </c>
      <c r="D11" s="1">
        <v>26.52</v>
      </c>
      <c r="E11" s="1">
        <v>5</v>
      </c>
      <c r="F11" s="23" t="s">
        <v>185</v>
      </c>
      <c r="G11" s="23">
        <f t="shared" ref="G11:G13" si="1">D11*E11</f>
        <v>132.6</v>
      </c>
      <c r="H11" s="1"/>
    </row>
    <row r="12" spans="1:8" x14ac:dyDescent="0.25">
      <c r="A12" s="25"/>
      <c r="B12" s="1" t="s">
        <v>106</v>
      </c>
      <c r="C12" s="1" t="s">
        <v>107</v>
      </c>
      <c r="D12" s="1">
        <v>168</v>
      </c>
      <c r="E12" s="1">
        <v>12</v>
      </c>
      <c r="F12" s="23" t="s">
        <v>185</v>
      </c>
      <c r="G12" s="23">
        <f t="shared" si="1"/>
        <v>2016</v>
      </c>
      <c r="H12" s="1"/>
    </row>
    <row r="13" spans="1:8" x14ac:dyDescent="0.25">
      <c r="A13" s="25"/>
      <c r="B13" s="1" t="s">
        <v>108</v>
      </c>
      <c r="C13" s="1" t="s">
        <v>30</v>
      </c>
      <c r="D13" s="1">
        <v>900</v>
      </c>
      <c r="E13" s="14"/>
      <c r="F13" s="23" t="s">
        <v>185</v>
      </c>
      <c r="G13" s="23">
        <f t="shared" si="1"/>
        <v>0</v>
      </c>
      <c r="H13" s="1"/>
    </row>
    <row r="14" spans="1:8" x14ac:dyDescent="0.25">
      <c r="A14" s="25"/>
      <c r="B14" s="1"/>
      <c r="C14" s="1"/>
      <c r="D14" s="1"/>
      <c r="E14" s="1"/>
      <c r="F14" s="1"/>
      <c r="G14" s="1"/>
      <c r="H14" s="1"/>
    </row>
    <row r="15" spans="1:8" x14ac:dyDescent="0.25">
      <c r="A15" s="25"/>
      <c r="B15" s="26" t="s">
        <v>7</v>
      </c>
      <c r="C15" s="27"/>
      <c r="D15" s="28"/>
      <c r="E15" s="3"/>
      <c r="F15" s="3"/>
      <c r="G15" s="15">
        <f>SUM(G10:G14)</f>
        <v>3243.6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25" t="s">
        <v>103</v>
      </c>
      <c r="B17" s="1" t="s">
        <v>109</v>
      </c>
      <c r="C17" s="1" t="s">
        <v>26</v>
      </c>
      <c r="D17" s="1">
        <v>25</v>
      </c>
      <c r="E17" s="1">
        <v>15</v>
      </c>
      <c r="F17" s="1" t="s">
        <v>185</v>
      </c>
      <c r="G17" s="1">
        <f>E17*D17</f>
        <v>375</v>
      </c>
      <c r="H17" s="1"/>
    </row>
    <row r="18" spans="1:8" x14ac:dyDescent="0.25">
      <c r="A18" s="25"/>
      <c r="B18" s="1" t="s">
        <v>110</v>
      </c>
      <c r="C18" s="1" t="s">
        <v>111</v>
      </c>
      <c r="D18" s="1">
        <v>48</v>
      </c>
      <c r="E18" s="1">
        <v>20</v>
      </c>
      <c r="F18" s="1" t="s">
        <v>185</v>
      </c>
      <c r="G18" s="23">
        <f>E18*D18</f>
        <v>960</v>
      </c>
      <c r="H18" s="1"/>
    </row>
    <row r="19" spans="1:8" x14ac:dyDescent="0.25">
      <c r="A19" s="25"/>
      <c r="B19" s="1"/>
      <c r="C19" s="1"/>
      <c r="D19" s="1"/>
      <c r="E19" s="1"/>
      <c r="F19" s="1"/>
      <c r="G19" s="1"/>
      <c r="H19" s="1"/>
    </row>
    <row r="20" spans="1:8" x14ac:dyDescent="0.25">
      <c r="A20" s="25"/>
      <c r="B20" s="1"/>
      <c r="C20" s="1"/>
      <c r="D20" s="1"/>
      <c r="E20" s="3"/>
      <c r="F20" s="3"/>
      <c r="G20" s="1"/>
      <c r="H20" s="1"/>
    </row>
    <row r="21" spans="1:8" x14ac:dyDescent="0.25">
      <c r="A21" s="25"/>
      <c r="B21" s="26" t="s">
        <v>7</v>
      </c>
      <c r="C21" s="27"/>
      <c r="D21" s="28"/>
      <c r="E21" s="3"/>
      <c r="F21" s="3"/>
      <c r="G21" s="18">
        <f>SUM(G17:G20)</f>
        <v>1335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25"/>
      <c r="B23" s="1" t="s">
        <v>186</v>
      </c>
      <c r="C23" s="1"/>
      <c r="D23" s="1">
        <v>150</v>
      </c>
      <c r="E23" s="1">
        <v>3</v>
      </c>
      <c r="F23" s="1" t="s">
        <v>185</v>
      </c>
      <c r="G23" s="1">
        <f>D23*E23</f>
        <v>450</v>
      </c>
      <c r="H23" s="1"/>
    </row>
    <row r="24" spans="1:8" x14ac:dyDescent="0.25">
      <c r="A24" s="25"/>
      <c r="B24" s="1" t="s">
        <v>187</v>
      </c>
      <c r="C24" s="1"/>
      <c r="D24" s="1">
        <v>4.5</v>
      </c>
      <c r="E24" s="1">
        <v>50</v>
      </c>
      <c r="F24" s="1" t="s">
        <v>188</v>
      </c>
      <c r="G24" s="23">
        <f t="shared" ref="G24:G28" si="2">D24*E24</f>
        <v>225</v>
      </c>
      <c r="H24" s="1"/>
    </row>
    <row r="25" spans="1:8" x14ac:dyDescent="0.25">
      <c r="A25" s="25"/>
      <c r="B25" s="1" t="s">
        <v>189</v>
      </c>
      <c r="C25" s="1"/>
      <c r="D25" s="1">
        <v>60</v>
      </c>
      <c r="E25" s="1">
        <v>1</v>
      </c>
      <c r="F25" s="1" t="s">
        <v>190</v>
      </c>
      <c r="G25" s="23">
        <f t="shared" si="2"/>
        <v>60</v>
      </c>
      <c r="H25" s="1"/>
    </row>
    <row r="26" spans="1:8" x14ac:dyDescent="0.25">
      <c r="A26" s="25"/>
      <c r="B26" s="1" t="s">
        <v>191</v>
      </c>
      <c r="C26" s="1"/>
      <c r="D26" s="1">
        <v>270</v>
      </c>
      <c r="E26" s="1">
        <v>1</v>
      </c>
      <c r="F26" s="1" t="s">
        <v>192</v>
      </c>
      <c r="G26" s="23">
        <f t="shared" si="2"/>
        <v>270</v>
      </c>
      <c r="H26" s="1"/>
    </row>
    <row r="27" spans="1:8" x14ac:dyDescent="0.25">
      <c r="A27" s="25"/>
      <c r="B27" s="23" t="s">
        <v>193</v>
      </c>
      <c r="C27" s="23"/>
      <c r="D27" s="23">
        <v>235</v>
      </c>
      <c r="E27" s="23">
        <v>3</v>
      </c>
      <c r="F27" s="24" t="s">
        <v>195</v>
      </c>
      <c r="G27" s="23">
        <f t="shared" si="2"/>
        <v>705</v>
      </c>
      <c r="H27" s="23"/>
    </row>
    <row r="28" spans="1:8" x14ac:dyDescent="0.25">
      <c r="A28" s="25"/>
      <c r="B28" s="23" t="s">
        <v>194</v>
      </c>
      <c r="C28" s="23"/>
      <c r="D28" s="23">
        <v>600</v>
      </c>
      <c r="E28" s="23">
        <v>1</v>
      </c>
      <c r="F28" s="24" t="s">
        <v>196</v>
      </c>
      <c r="G28" s="23">
        <f t="shared" si="2"/>
        <v>600</v>
      </c>
      <c r="H28" s="23"/>
    </row>
    <row r="29" spans="1:8" x14ac:dyDescent="0.25">
      <c r="A29" s="25"/>
      <c r="B29" s="26" t="s">
        <v>7</v>
      </c>
      <c r="C29" s="27"/>
      <c r="D29" s="28"/>
      <c r="E29" s="3"/>
      <c r="F29" s="3"/>
      <c r="G29" s="18">
        <f>SUM(G23:G28)</f>
        <v>2310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25" t="s">
        <v>104</v>
      </c>
      <c r="B31" s="1" t="s">
        <v>112</v>
      </c>
      <c r="C31" s="1" t="s">
        <v>25</v>
      </c>
      <c r="D31" s="1">
        <v>18.36</v>
      </c>
      <c r="E31" s="1">
        <v>20</v>
      </c>
      <c r="F31" s="1" t="s">
        <v>185</v>
      </c>
      <c r="G31" s="1">
        <f>D31*E31</f>
        <v>367.2</v>
      </c>
      <c r="H31" s="1"/>
    </row>
    <row r="32" spans="1:8" x14ac:dyDescent="0.25">
      <c r="A32" s="25"/>
      <c r="B32" s="1" t="s">
        <v>113</v>
      </c>
      <c r="C32" s="1" t="s">
        <v>30</v>
      </c>
      <c r="D32" s="1">
        <v>63</v>
      </c>
      <c r="E32" s="1">
        <v>5</v>
      </c>
      <c r="F32" s="1" t="s">
        <v>185</v>
      </c>
      <c r="G32" s="23">
        <f>D32*E32</f>
        <v>315</v>
      </c>
      <c r="H32" s="1"/>
    </row>
    <row r="33" spans="1:8" x14ac:dyDescent="0.25">
      <c r="A33" s="25"/>
      <c r="B33" s="1"/>
      <c r="C33" s="1"/>
      <c r="D33" s="1"/>
      <c r="E33" s="1"/>
      <c r="F33" s="1"/>
      <c r="G33" s="1"/>
      <c r="H33" s="1"/>
    </row>
    <row r="34" spans="1:8" x14ac:dyDescent="0.25">
      <c r="A34" s="25"/>
      <c r="B34" s="26"/>
      <c r="C34" s="27"/>
      <c r="D34" s="28"/>
      <c r="E34" s="3"/>
      <c r="F34" s="3"/>
      <c r="G34" s="15">
        <f>SUM(G31:G33)</f>
        <v>682.2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32"/>
      <c r="B36" s="1" t="s">
        <v>199</v>
      </c>
      <c r="C36" s="1"/>
      <c r="D36" s="1">
        <v>5.0999999999999996</v>
      </c>
      <c r="E36" s="1">
        <v>65</v>
      </c>
      <c r="F36" s="1" t="s">
        <v>185</v>
      </c>
      <c r="G36" s="1">
        <f>D36*E36</f>
        <v>331.5</v>
      </c>
      <c r="H36" s="1"/>
    </row>
    <row r="37" spans="1:8" x14ac:dyDescent="0.25">
      <c r="A37" s="33"/>
      <c r="B37" s="1" t="s">
        <v>200</v>
      </c>
      <c r="C37" s="1"/>
      <c r="D37" s="1">
        <v>10</v>
      </c>
      <c r="E37" s="1">
        <v>300</v>
      </c>
      <c r="F37" s="1" t="s">
        <v>188</v>
      </c>
      <c r="G37" s="23">
        <f>D37*E37</f>
        <v>3000</v>
      </c>
      <c r="H37" s="1"/>
    </row>
    <row r="38" spans="1:8" x14ac:dyDescent="0.25">
      <c r="A38" s="34"/>
      <c r="B38" s="26" t="s">
        <v>7</v>
      </c>
      <c r="C38" s="27"/>
      <c r="D38" s="28"/>
      <c r="E38" s="3"/>
      <c r="F38" s="3"/>
      <c r="G38" s="15">
        <f>SUM(G36:G37)</f>
        <v>3331.5</v>
      </c>
      <c r="H38" s="6"/>
    </row>
    <row r="39" spans="1:8" x14ac:dyDescent="0.25">
      <c r="A39" s="7"/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25"/>
      <c r="B40" s="1" t="s">
        <v>197</v>
      </c>
      <c r="C40" s="1"/>
      <c r="D40" s="1">
        <v>30.6</v>
      </c>
      <c r="E40" s="1">
        <v>15</v>
      </c>
      <c r="F40" s="1" t="s">
        <v>185</v>
      </c>
      <c r="G40" s="1">
        <f>D40*E40</f>
        <v>459</v>
      </c>
      <c r="H40" s="1"/>
    </row>
    <row r="41" spans="1:8" x14ac:dyDescent="0.25">
      <c r="A41" s="25"/>
      <c r="B41" s="1" t="s">
        <v>198</v>
      </c>
      <c r="C41" s="1"/>
      <c r="D41" s="1">
        <v>28.56</v>
      </c>
      <c r="E41" s="1">
        <v>2</v>
      </c>
      <c r="F41" s="1" t="s">
        <v>185</v>
      </c>
      <c r="G41" s="23">
        <f t="shared" ref="G41:G47" si="3">D41*E41</f>
        <v>57.12</v>
      </c>
      <c r="H41" s="1"/>
    </row>
    <row r="42" spans="1:8" x14ac:dyDescent="0.25">
      <c r="A42" s="25"/>
      <c r="B42" s="1" t="s">
        <v>201</v>
      </c>
      <c r="C42" s="1"/>
      <c r="D42" s="1">
        <v>291</v>
      </c>
      <c r="E42" s="1">
        <v>2</v>
      </c>
      <c r="F42" s="1" t="s">
        <v>196</v>
      </c>
      <c r="G42" s="23">
        <f t="shared" si="3"/>
        <v>582</v>
      </c>
      <c r="H42" s="1"/>
    </row>
    <row r="43" spans="1:8" x14ac:dyDescent="0.25">
      <c r="A43" s="25"/>
      <c r="B43" s="1" t="s">
        <v>202</v>
      </c>
      <c r="C43" s="1"/>
      <c r="D43" s="1">
        <v>110</v>
      </c>
      <c r="E43" s="1">
        <v>1</v>
      </c>
      <c r="F43" s="1" t="s">
        <v>195</v>
      </c>
      <c r="G43" s="23">
        <f t="shared" si="3"/>
        <v>110</v>
      </c>
      <c r="H43" s="1"/>
    </row>
    <row r="44" spans="1:8" x14ac:dyDescent="0.25">
      <c r="A44" s="25"/>
      <c r="B44" s="23" t="s">
        <v>203</v>
      </c>
      <c r="C44" s="23"/>
      <c r="D44" s="23">
        <v>844</v>
      </c>
      <c r="E44" s="24">
        <v>1</v>
      </c>
      <c r="F44" s="24" t="s">
        <v>204</v>
      </c>
      <c r="G44" s="23">
        <f t="shared" si="3"/>
        <v>844</v>
      </c>
      <c r="H44" s="23"/>
    </row>
    <row r="45" spans="1:8" x14ac:dyDescent="0.25">
      <c r="A45" s="25"/>
      <c r="B45" s="23" t="s">
        <v>205</v>
      </c>
      <c r="C45" s="23"/>
      <c r="D45" s="23">
        <v>255</v>
      </c>
      <c r="E45" s="24">
        <v>1</v>
      </c>
      <c r="F45" s="24" t="s">
        <v>196</v>
      </c>
      <c r="G45" s="23">
        <f t="shared" si="3"/>
        <v>255</v>
      </c>
      <c r="H45" s="23"/>
    </row>
    <row r="46" spans="1:8" x14ac:dyDescent="0.25">
      <c r="A46" s="25"/>
      <c r="B46" s="23" t="s">
        <v>206</v>
      </c>
      <c r="C46" s="23"/>
      <c r="D46" s="23">
        <v>90</v>
      </c>
      <c r="E46" s="24">
        <v>2</v>
      </c>
      <c r="F46" s="24" t="s">
        <v>185</v>
      </c>
      <c r="G46" s="23">
        <f t="shared" si="3"/>
        <v>180</v>
      </c>
      <c r="H46" s="23"/>
    </row>
    <row r="47" spans="1:8" x14ac:dyDescent="0.25">
      <c r="A47" s="25"/>
      <c r="B47" s="23" t="s">
        <v>207</v>
      </c>
      <c r="C47" s="23"/>
      <c r="D47" s="23">
        <v>500</v>
      </c>
      <c r="E47" s="23">
        <v>1</v>
      </c>
      <c r="F47" s="24" t="s">
        <v>196</v>
      </c>
      <c r="G47" s="23">
        <f t="shared" si="3"/>
        <v>500</v>
      </c>
      <c r="H47" s="23"/>
    </row>
    <row r="48" spans="1:8" x14ac:dyDescent="0.25">
      <c r="A48" s="25"/>
      <c r="B48" s="26" t="s">
        <v>7</v>
      </c>
      <c r="C48" s="27"/>
      <c r="D48" s="28"/>
      <c r="E48" s="3"/>
      <c r="F48" s="3"/>
      <c r="G48" s="15">
        <f>SUM(G40:G47)</f>
        <v>2987.12</v>
      </c>
      <c r="H48" s="1"/>
    </row>
    <row r="49" spans="1:8" x14ac:dyDescent="0.25">
      <c r="A49" s="1"/>
      <c r="B49" s="29" t="s">
        <v>14</v>
      </c>
      <c r="C49" s="30"/>
      <c r="D49" s="31"/>
      <c r="E49" s="8"/>
      <c r="F49" s="8"/>
      <c r="G49" s="9">
        <f>G48+G38+G34+G21+G15+G8+G29</f>
        <v>21813.919999999998</v>
      </c>
      <c r="H49" s="1"/>
    </row>
  </sheetData>
  <mergeCells count="16">
    <mergeCell ref="A17:A21"/>
    <mergeCell ref="B21:D21"/>
    <mergeCell ref="A1:H1"/>
    <mergeCell ref="A3:A8"/>
    <mergeCell ref="B8:D8"/>
    <mergeCell ref="A10:A15"/>
    <mergeCell ref="B15:D15"/>
    <mergeCell ref="A40:A48"/>
    <mergeCell ref="B48:D48"/>
    <mergeCell ref="B49:D49"/>
    <mergeCell ref="A23:A29"/>
    <mergeCell ref="B29:D29"/>
    <mergeCell ref="A31:A34"/>
    <mergeCell ref="B34:D34"/>
    <mergeCell ref="A36:A38"/>
    <mergeCell ref="B38:D38"/>
  </mergeCells>
  <phoneticPr fontId="2" type="noConversion"/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0310</vt:lpstr>
      <vt:lpstr>0311</vt:lpstr>
      <vt:lpstr>0312</vt:lpstr>
      <vt:lpstr>0313</vt:lpstr>
      <vt:lpstr>0314</vt:lpstr>
      <vt:lpstr>'0310'!Print_Area</vt:lpstr>
      <vt:lpstr>'0311'!Print_Area</vt:lpstr>
      <vt:lpstr>'0312'!Print_Area</vt:lpstr>
      <vt:lpstr>'0313'!Print_Area</vt:lpstr>
      <vt:lpstr>'0314'!Print_Area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2025-03-14T01:31:18Z</cp:lastPrinted>
  <dcterms:created xsi:type="dcterms:W3CDTF">2025-02-19T17:01:12Z</dcterms:created>
  <dcterms:modified xsi:type="dcterms:W3CDTF">2025-03-14T01:31:20Z</dcterms:modified>
</cp:coreProperties>
</file>