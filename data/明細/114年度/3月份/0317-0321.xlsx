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3月份\"/>
    </mc:Choice>
  </mc:AlternateContent>
  <bookViews>
    <workbookView xWindow="0" yWindow="0" windowWidth="28800" windowHeight="12255" activeTab="4"/>
  </bookViews>
  <sheets>
    <sheet name="0317" sheetId="1" r:id="rId1"/>
    <sheet name="0318" sheetId="2" r:id="rId2"/>
    <sheet name="0319" sheetId="3" r:id="rId3"/>
    <sheet name="0320" sheetId="4" r:id="rId4"/>
    <sheet name="0321" sheetId="5" r:id="rId5"/>
  </sheets>
  <definedNames>
    <definedName name="_xlnm.Print_Area" localSheetId="0">'0317'!$A$1:$H$49</definedName>
    <definedName name="_xlnm.Print_Area" localSheetId="1">'0318'!$A$1:$H$45</definedName>
    <definedName name="_xlnm.Print_Area" localSheetId="2">'0319'!$A$1:$H$45</definedName>
    <definedName name="_xlnm.Print_Area" localSheetId="3">'0320'!$A$1:$H$42</definedName>
    <definedName name="_xlnm.Print_Area" localSheetId="4">'0321'!$A$1:$H$55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5" l="1"/>
  <c r="G39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23" i="5"/>
  <c r="G21" i="5"/>
  <c r="G47" i="5"/>
  <c r="G46" i="5"/>
  <c r="G42" i="5"/>
  <c r="G41" i="5"/>
  <c r="G18" i="5"/>
  <c r="G19" i="5"/>
  <c r="G17" i="5"/>
  <c r="G15" i="5"/>
  <c r="G11" i="5"/>
  <c r="G12" i="5"/>
  <c r="G13" i="5"/>
  <c r="G10" i="5"/>
  <c r="G3" i="5"/>
  <c r="G42" i="4" l="1"/>
  <c r="G37" i="4"/>
  <c r="G26" i="4"/>
  <c r="G33" i="4"/>
  <c r="G23" i="4"/>
  <c r="G22" i="4"/>
  <c r="G28" i="4"/>
  <c r="G20" i="4"/>
  <c r="G17" i="4"/>
  <c r="G18" i="4"/>
  <c r="G16" i="4"/>
  <c r="G14" i="4"/>
  <c r="G10" i="4"/>
  <c r="G11" i="4"/>
  <c r="G12" i="4"/>
  <c r="G9" i="4"/>
  <c r="G4" i="4"/>
  <c r="G5" i="4"/>
  <c r="G3" i="4"/>
  <c r="G45" i="3" l="1"/>
  <c r="G36" i="3"/>
  <c r="G35" i="3"/>
  <c r="G10" i="3"/>
  <c r="G11" i="3"/>
  <c r="G12" i="3"/>
  <c r="G9" i="3"/>
  <c r="G28" i="3"/>
  <c r="G27" i="3"/>
  <c r="G26" i="3"/>
  <c r="G23" i="3"/>
  <c r="G24" i="3"/>
  <c r="G25" i="3"/>
  <c r="G22" i="3"/>
  <c r="G31" i="3"/>
  <c r="G30" i="3"/>
  <c r="G3" i="3"/>
  <c r="G44" i="3"/>
  <c r="G40" i="3"/>
  <c r="G41" i="3"/>
  <c r="G42" i="3"/>
  <c r="G43" i="3"/>
  <c r="G39" i="3"/>
  <c r="G29" i="2" l="1"/>
  <c r="G25" i="2"/>
  <c r="G26" i="2"/>
  <c r="G27" i="2"/>
  <c r="G28" i="2"/>
  <c r="G24" i="2"/>
  <c r="G37" i="2"/>
  <c r="G14" i="2"/>
  <c r="G10" i="2"/>
  <c r="G9" i="2"/>
  <c r="G22" i="2"/>
  <c r="G17" i="2"/>
  <c r="G18" i="2"/>
  <c r="G19" i="2"/>
  <c r="G20" i="2"/>
  <c r="G16" i="2"/>
  <c r="G31" i="2"/>
  <c r="G4" i="2"/>
  <c r="G5" i="2"/>
  <c r="G6" i="2"/>
  <c r="G3" i="2"/>
  <c r="G36" i="2"/>
  <c r="G14" i="1" l="1"/>
  <c r="G20" i="1"/>
  <c r="G42" i="1"/>
  <c r="G48" i="1"/>
  <c r="G45" i="1"/>
  <c r="G46" i="1"/>
  <c r="G17" i="1"/>
  <c r="G18" i="1"/>
  <c r="G19" i="1"/>
  <c r="G3" i="1"/>
  <c r="G44" i="1" l="1"/>
  <c r="G16" i="1"/>
  <c r="G40" i="1"/>
  <c r="G29" i="1"/>
  <c r="G28" i="1"/>
  <c r="G33" i="1" s="1"/>
  <c r="G49" i="1" s="1"/>
  <c r="G27" i="1"/>
  <c r="G24" i="1" l="1"/>
  <c r="G25" i="1"/>
  <c r="G26" i="1"/>
  <c r="G23" i="1"/>
  <c r="G22" i="1"/>
  <c r="G10" i="1"/>
  <c r="G11" i="1"/>
  <c r="G12" i="1"/>
  <c r="G9" i="1"/>
  <c r="G54" i="5" l="1"/>
  <c r="G48" i="5"/>
  <c r="G44" i="5"/>
  <c r="G8" i="5"/>
  <c r="G41" i="4"/>
  <c r="G35" i="4"/>
  <c r="G31" i="4"/>
  <c r="G7" i="4"/>
  <c r="G37" i="3"/>
  <c r="G33" i="3"/>
  <c r="G20" i="3"/>
  <c r="G14" i="3"/>
  <c r="G7" i="3"/>
  <c r="G44" i="2"/>
  <c r="G38" i="2"/>
  <c r="G45" i="2" s="1"/>
  <c r="G34" i="2"/>
  <c r="G7" i="2"/>
  <c r="G38" i="1"/>
  <c r="G7" i="1"/>
</calcChain>
</file>

<file path=xl/sharedStrings.xml><?xml version="1.0" encoding="utf-8"?>
<sst xmlns="http://schemas.openxmlformats.org/spreadsheetml/2006/main" count="525" uniqueCount="160">
  <si>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</si>
  <si>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</si>
  <si>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</si>
  <si>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</si>
  <si>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</si>
  <si>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</si>
  <si>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</si>
  <si>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</si>
  <si>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</si>
  <si>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</si>
  <si>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</si>
  <si>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</si>
  <si>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</si>
  <si>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</si>
  <si>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</si>
  <si>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</si>
  <si>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</si>
  <si>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</si>
  <si>
    <t>斤</t>
    <phoneticPr fontId="2" type="noConversion"/>
  </si>
  <si>
    <t>合      計</t>
    <phoneticPr fontId="2" type="noConversion"/>
  </si>
  <si>
    <t>庫存</t>
    <phoneticPr fontId="2" type="noConversion"/>
  </si>
  <si>
    <t>湯包</t>
    <phoneticPr fontId="2" type="noConversion"/>
  </si>
  <si>
    <t>個</t>
    <phoneticPr fontId="2" type="noConversion"/>
  </si>
  <si>
    <t>電訊科技中心(安康營區)     114年     3月   17日      午餐明細表</t>
    <phoneticPr fontId="2" type="noConversion"/>
  </si>
  <si>
    <t>電訊科技中心(安康營區)     114年      3月   18日      午餐明細表</t>
    <phoneticPr fontId="2" type="noConversion"/>
  </si>
  <si>
    <t>電訊科技中心(安康營區)     114年      3月   19日      午餐明細表</t>
    <phoneticPr fontId="2" type="noConversion"/>
  </si>
  <si>
    <t>電訊科技中心(安康營區)     114年      3月   20日      午餐明細表</t>
    <phoneticPr fontId="2" type="noConversion"/>
  </si>
  <si>
    <t>電訊科技中心(安康營區)     114年      3月   21日      午餐明細表</t>
    <phoneticPr fontId="2" type="noConversion"/>
  </si>
  <si>
    <t>清蒸鯛魚</t>
    <phoneticPr fontId="2" type="noConversion"/>
  </si>
  <si>
    <t>螞蟻上樹</t>
    <phoneticPr fontId="2" type="noConversion"/>
  </si>
  <si>
    <t>鐵板豆腐</t>
    <phoneticPr fontId="2" type="noConversion"/>
  </si>
  <si>
    <t>鯛魚片</t>
    <phoneticPr fontId="2" type="noConversion"/>
  </si>
  <si>
    <t>冬粉</t>
    <phoneticPr fontId="2" type="noConversion"/>
  </si>
  <si>
    <t>木耳絲</t>
    <phoneticPr fontId="2" type="noConversion"/>
  </si>
  <si>
    <t>紅蘿蔔絲</t>
    <phoneticPr fontId="2" type="noConversion"/>
  </si>
  <si>
    <t>絞肉</t>
    <phoneticPr fontId="2" type="noConversion"/>
  </si>
  <si>
    <t>4.3豆腐</t>
    <phoneticPr fontId="2" type="noConversion"/>
  </si>
  <si>
    <t>板</t>
    <phoneticPr fontId="2" type="noConversion"/>
  </si>
  <si>
    <t>川耳</t>
    <phoneticPr fontId="2" type="noConversion"/>
  </si>
  <si>
    <t>海帶芽蛋花湯</t>
    <phoneticPr fontId="2" type="noConversion"/>
  </si>
  <si>
    <t>腐乳肉片</t>
    <phoneticPr fontId="2" type="noConversion"/>
  </si>
  <si>
    <t>薑燒南瓜</t>
    <phoneticPr fontId="2" type="noConversion"/>
  </si>
  <si>
    <t>芹香雞捲</t>
    <phoneticPr fontId="2" type="noConversion"/>
  </si>
  <si>
    <t>味噌豆腐湯</t>
    <phoneticPr fontId="2" type="noConversion"/>
  </si>
  <si>
    <t>咖哩炒麵</t>
    <phoneticPr fontId="2" type="noConversion"/>
  </si>
  <si>
    <t>烤雞翅</t>
  </si>
  <si>
    <t>滷味拼盤</t>
  </si>
  <si>
    <t>蘿蔔排骨湯</t>
    <phoneticPr fontId="2" type="noConversion"/>
  </si>
  <si>
    <t>粉蒸排骨</t>
    <phoneticPr fontId="2" type="noConversion"/>
  </si>
  <si>
    <t>三絲胡瓜</t>
    <phoneticPr fontId="2" type="noConversion"/>
  </si>
  <si>
    <t>番茄炒蛋</t>
    <phoneticPr fontId="2" type="noConversion"/>
  </si>
  <si>
    <t>紅豆湯</t>
    <phoneticPr fontId="2" type="noConversion"/>
  </si>
  <si>
    <t>青椒肉絲</t>
    <phoneticPr fontId="2" type="noConversion"/>
  </si>
  <si>
    <t>絲瓜油條</t>
    <phoneticPr fontId="2" type="noConversion"/>
  </si>
  <si>
    <t>芹菜魚丸湯</t>
    <phoneticPr fontId="2" type="noConversion"/>
  </si>
  <si>
    <t>紅蘿蔔</t>
    <phoneticPr fontId="2" type="noConversion"/>
  </si>
  <si>
    <t>斤</t>
    <phoneticPr fontId="2" type="noConversion"/>
  </si>
  <si>
    <t>油麵</t>
    <phoneticPr fontId="2" type="noConversion"/>
  </si>
  <si>
    <t>玉米筍罐頭</t>
    <phoneticPr fontId="2" type="noConversion"/>
  </si>
  <si>
    <t>罐</t>
    <phoneticPr fontId="2" type="noConversion"/>
  </si>
  <si>
    <t>辣椒</t>
    <phoneticPr fontId="2" type="noConversion"/>
  </si>
  <si>
    <t>薑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</si>
  <si>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</si>
  <si>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</si>
  <si>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</si>
  <si>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件</t>
    <phoneticPr fontId="2" type="noConversion"/>
  </si>
  <si>
    <t>杏鮑菇</t>
    <phoneticPr fontId="2" type="noConversion"/>
  </si>
  <si>
    <t>乳瑪琳</t>
    <phoneticPr fontId="2" type="noConversion"/>
  </si>
  <si>
    <t>乾海帶芽</t>
    <phoneticPr fontId="2" type="noConversion"/>
  </si>
  <si>
    <t>庫存</t>
    <phoneticPr fontId="2" type="noConversion"/>
  </si>
  <si>
    <t>豬肉片</t>
    <phoneticPr fontId="2" type="noConversion"/>
  </si>
  <si>
    <t>五花肉片</t>
    <phoneticPr fontId="2" type="noConversion"/>
  </si>
  <si>
    <t>豆腐乳</t>
    <phoneticPr fontId="2" type="noConversion"/>
  </si>
  <si>
    <t>去皮洋蔥</t>
    <phoneticPr fontId="2" type="noConversion"/>
  </si>
  <si>
    <t>薑絲</t>
    <phoneticPr fontId="2" type="noConversion"/>
  </si>
  <si>
    <t>南瓜塊3*3</t>
    <phoneticPr fontId="2" type="noConversion"/>
  </si>
  <si>
    <t>板</t>
    <phoneticPr fontId="2" type="noConversion"/>
  </si>
  <si>
    <t>雞捲</t>
    <phoneticPr fontId="2" type="noConversion"/>
  </si>
  <si>
    <t>去葉中芹</t>
    <phoneticPr fontId="2" type="noConversion"/>
  </si>
  <si>
    <t>雞翅</t>
    <phoneticPr fontId="2" type="noConversion"/>
  </si>
  <si>
    <t>厚片土司</t>
    <phoneticPr fontId="2" type="noConversion"/>
  </si>
  <si>
    <t>條</t>
    <phoneticPr fontId="2" type="noConversion"/>
  </si>
  <si>
    <t>鳥蛋</t>
    <phoneticPr fontId="2" type="noConversion"/>
  </si>
  <si>
    <t>粒</t>
    <phoneticPr fontId="2" type="noConversion"/>
  </si>
  <si>
    <t>油豆腐丁</t>
    <phoneticPr fontId="2" type="noConversion"/>
  </si>
  <si>
    <t>甜不辣</t>
    <phoneticPr fontId="2" type="noConversion"/>
  </si>
  <si>
    <t>排骨</t>
    <phoneticPr fontId="2" type="noConversion"/>
  </si>
  <si>
    <t>白蘿蔔</t>
    <phoneticPr fontId="2" type="noConversion"/>
  </si>
  <si>
    <t>小貢丸</t>
    <phoneticPr fontId="2" type="noConversion"/>
  </si>
  <si>
    <t>包</t>
    <phoneticPr fontId="2" type="noConversion"/>
  </si>
  <si>
    <t>豬肉餡餅</t>
    <phoneticPr fontId="2" type="noConversion"/>
  </si>
  <si>
    <t>個</t>
    <phoneticPr fontId="2" type="noConversion"/>
  </si>
  <si>
    <t>蘿蔔糕</t>
    <phoneticPr fontId="2" type="noConversion"/>
  </si>
  <si>
    <t>早餐</t>
    <phoneticPr fontId="2" type="noConversion"/>
  </si>
  <si>
    <t>晚餐</t>
    <phoneticPr fontId="2" type="noConversion"/>
  </si>
  <si>
    <t>肉絲</t>
    <phoneticPr fontId="2" type="noConversion"/>
  </si>
  <si>
    <t>軟骨排</t>
    <phoneticPr fontId="2" type="noConversion"/>
  </si>
  <si>
    <t>蒸肉粉</t>
    <phoneticPr fontId="2" type="noConversion"/>
  </si>
  <si>
    <t>胡瓜絲</t>
    <phoneticPr fontId="2" type="noConversion"/>
  </si>
  <si>
    <t>雪白菇</t>
    <phoneticPr fontId="2" type="noConversion"/>
  </si>
  <si>
    <t>牛番茄</t>
    <phoneticPr fontId="2" type="noConversion"/>
  </si>
  <si>
    <t>雞蛋</t>
    <phoneticPr fontId="2" type="noConversion"/>
  </si>
  <si>
    <t>紅豆</t>
    <phoneticPr fontId="2" type="noConversion"/>
  </si>
  <si>
    <t>烤腿排</t>
    <phoneticPr fontId="2" type="noConversion"/>
  </si>
  <si>
    <t>腿排</t>
    <phoneticPr fontId="2" type="noConversion"/>
  </si>
  <si>
    <t>青椒</t>
    <phoneticPr fontId="2" type="noConversion"/>
  </si>
  <si>
    <t>去皮絲瓜</t>
    <phoneticPr fontId="2" type="noConversion"/>
  </si>
  <si>
    <t>油條</t>
    <phoneticPr fontId="2" type="noConversion"/>
  </si>
  <si>
    <t>去葉芹菜</t>
    <phoneticPr fontId="2" type="noConversion"/>
  </si>
  <si>
    <t>小魚丸</t>
    <phoneticPr fontId="2" type="noConversion"/>
  </si>
  <si>
    <t>根</t>
    <phoneticPr fontId="2" type="noConversion"/>
  </si>
  <si>
    <t>鍋貼</t>
    <phoneticPr fontId="2" type="noConversion"/>
  </si>
  <si>
    <t>鋁箔包飲料</t>
    <phoneticPr fontId="2" type="noConversion"/>
  </si>
  <si>
    <t>皮蛋</t>
    <phoneticPr fontId="2" type="noConversion"/>
  </si>
  <si>
    <t>香腸</t>
    <phoneticPr fontId="2" type="noConversion"/>
  </si>
  <si>
    <t>去皮洋蔥</t>
    <phoneticPr fontId="2" type="noConversion"/>
  </si>
  <si>
    <t>斤</t>
    <phoneticPr fontId="2" type="noConversion"/>
  </si>
  <si>
    <t>前腿肉絲</t>
    <phoneticPr fontId="2" type="noConversion"/>
  </si>
  <si>
    <t>高麗菜</t>
    <phoneticPr fontId="2" type="noConversion"/>
  </si>
  <si>
    <t>茂谷柑</t>
    <phoneticPr fontId="2" type="noConversion"/>
  </si>
  <si>
    <t>斤</t>
    <phoneticPr fontId="2" type="noConversion"/>
  </si>
  <si>
    <t>鵝白菜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</si>
  <si>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</si>
  <si>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</si>
  <si>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</si>
  <si>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</si>
  <si>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木瓜</t>
    <phoneticPr fontId="2" type="noConversion"/>
  </si>
  <si>
    <t>高麗菜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</si>
  <si>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</si>
  <si>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</si>
  <si>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</si>
  <si>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花枝排</t>
    <phoneticPr fontId="2" type="noConversion"/>
  </si>
  <si>
    <t>件</t>
    <phoneticPr fontId="2" type="noConversion"/>
  </si>
  <si>
    <t>冷凍青花菜</t>
    <phoneticPr fontId="2" type="noConversion"/>
  </si>
  <si>
    <t>包</t>
    <phoneticPr fontId="2" type="noConversion"/>
  </si>
  <si>
    <t>咖哩粉</t>
    <phoneticPr fontId="2" type="noConversion"/>
  </si>
  <si>
    <t>盒</t>
    <phoneticPr fontId="2" type="noConversion"/>
  </si>
  <si>
    <t>鳳梨</t>
    <phoneticPr fontId="2" type="noConversion"/>
  </si>
  <si>
    <t>肉絲</t>
    <phoneticPr fontId="2" type="noConversion"/>
  </si>
  <si>
    <t>斤</t>
    <phoneticPr fontId="2" type="noConversion"/>
  </si>
  <si>
    <t>油菜</t>
    <phoneticPr fontId="2" type="noConversion"/>
  </si>
  <si>
    <t>小番茄</t>
    <phoneticPr fontId="2" type="noConversion"/>
  </si>
  <si>
    <t>盒</t>
    <phoneticPr fontId="2" type="noConversion"/>
  </si>
  <si>
    <t>鳳梨</t>
    <phoneticPr fontId="2" type="noConversion"/>
  </si>
  <si>
    <t>高麗菜</t>
    <phoneticPr fontId="2" type="noConversion"/>
  </si>
  <si>
    <t>斤</t>
    <phoneticPr fontId="2" type="noConversion"/>
  </si>
  <si>
    <t>金蘭醬油</t>
    <phoneticPr fontId="2" type="noConversion"/>
  </si>
  <si>
    <t>桶</t>
    <phoneticPr fontId="2" type="noConversion"/>
  </si>
  <si>
    <t>油膏</t>
    <phoneticPr fontId="2" type="noConversion"/>
  </si>
  <si>
    <t>味霖</t>
    <phoneticPr fontId="2" type="noConversion"/>
  </si>
  <si>
    <t>番茄醬</t>
    <phoneticPr fontId="2" type="noConversion"/>
  </si>
  <si>
    <t>冷凍玉米粒</t>
    <phoneticPr fontId="2" type="noConversion"/>
  </si>
  <si>
    <t>包</t>
    <phoneticPr fontId="2" type="noConversion"/>
  </si>
  <si>
    <t>蒜仁</t>
    <phoneticPr fontId="2" type="noConversion"/>
  </si>
  <si>
    <t>青蔥</t>
    <phoneticPr fontId="2" type="noConversion"/>
  </si>
  <si>
    <t>味噌</t>
    <phoneticPr fontId="2" type="noConversion"/>
  </si>
  <si>
    <t>件</t>
    <phoneticPr fontId="2" type="noConversion"/>
  </si>
  <si>
    <t>味素</t>
    <phoneticPr fontId="2" type="noConversion"/>
  </si>
  <si>
    <t>椒鹽粉</t>
    <phoneticPr fontId="2" type="noConversion"/>
  </si>
  <si>
    <t>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</si>
</sst>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9" workbookViewId="0">
      <selection activeCell="D29" sqref="D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4" t="s">
        <v>23</v>
      </c>
      <c r="B1" s="35"/>
      <c r="C1" s="35"/>
      <c r="D1" s="35"/>
      <c r="E1" s="35"/>
      <c r="F1" s="35"/>
      <c r="G1" s="35"/>
      <c r="H1" s="3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0" t="s">
        <v>28</v>
      </c>
      <c r="B3" s="1" t="s">
        <v>31</v>
      </c>
      <c r="C3" s="1">
        <v>250</v>
      </c>
      <c r="D3" s="1">
        <v>195</v>
      </c>
      <c r="E3" s="21">
        <v>50</v>
      </c>
      <c r="F3" s="21" t="s">
        <v>89</v>
      </c>
      <c r="G3" s="22">
        <f>D3*E3</f>
        <v>9750</v>
      </c>
      <c r="H3" s="1"/>
    </row>
    <row r="4" spans="1:8" x14ac:dyDescent="0.25">
      <c r="A4" s="30"/>
      <c r="B4" s="10"/>
      <c r="C4" s="10"/>
      <c r="D4" s="10"/>
      <c r="E4" s="10"/>
      <c r="F4" s="10"/>
      <c r="G4" s="2"/>
      <c r="H4" s="1"/>
    </row>
    <row r="5" spans="1:8" x14ac:dyDescent="0.25">
      <c r="A5" s="30"/>
      <c r="B5" s="1"/>
      <c r="C5" s="1"/>
      <c r="D5" s="1"/>
      <c r="E5" s="1"/>
      <c r="F5" s="1"/>
      <c r="G5" s="1"/>
      <c r="H5" s="1"/>
    </row>
    <row r="6" spans="1:8" x14ac:dyDescent="0.25">
      <c r="A6" s="30"/>
      <c r="B6" s="1"/>
      <c r="C6" s="1"/>
      <c r="D6" s="1"/>
      <c r="E6" s="3"/>
      <c r="F6" s="3"/>
      <c r="G6" s="3"/>
      <c r="H6" s="1"/>
    </row>
    <row r="7" spans="1:8" x14ac:dyDescent="0.25">
      <c r="A7" s="30"/>
      <c r="B7" s="31" t="s">
        <v>7</v>
      </c>
      <c r="C7" s="32"/>
      <c r="D7" s="33"/>
      <c r="E7" s="3"/>
      <c r="F7" s="3"/>
      <c r="G7" s="14">
        <f>SUM(G3:G6)</f>
        <v>9750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0" t="s">
        <v>29</v>
      </c>
      <c r="B9" s="1" t="s">
        <v>32</v>
      </c>
      <c r="C9" s="1">
        <v>10</v>
      </c>
      <c r="D9" s="1">
        <v>93</v>
      </c>
      <c r="E9" s="1">
        <v>10</v>
      </c>
      <c r="F9" s="1" t="s">
        <v>18</v>
      </c>
      <c r="G9" s="1">
        <f>D9*E9</f>
        <v>930</v>
      </c>
      <c r="H9" s="1"/>
    </row>
    <row r="10" spans="1:8" x14ac:dyDescent="0.25">
      <c r="A10" s="30"/>
      <c r="B10" s="1" t="s">
        <v>33</v>
      </c>
      <c r="C10" s="1">
        <v>3</v>
      </c>
      <c r="D10" s="1">
        <v>45</v>
      </c>
      <c r="E10" s="1">
        <v>3</v>
      </c>
      <c r="F10" s="1" t="s">
        <v>18</v>
      </c>
      <c r="G10" s="10">
        <f t="shared" ref="G10:G12" si="0">D10*E10</f>
        <v>135</v>
      </c>
      <c r="H10" s="1"/>
    </row>
    <row r="11" spans="1:8" x14ac:dyDescent="0.25">
      <c r="A11" s="30"/>
      <c r="B11" s="1" t="s">
        <v>34</v>
      </c>
      <c r="C11" s="1">
        <v>2</v>
      </c>
      <c r="D11" s="1">
        <v>2</v>
      </c>
      <c r="E11" s="1">
        <v>17.100000000000001</v>
      </c>
      <c r="F11" s="1" t="s">
        <v>18</v>
      </c>
      <c r="G11" s="10">
        <f t="shared" si="0"/>
        <v>34.200000000000003</v>
      </c>
      <c r="H11" s="1"/>
    </row>
    <row r="12" spans="1:8" x14ac:dyDescent="0.25">
      <c r="A12" s="30"/>
      <c r="B12" s="1" t="s">
        <v>35</v>
      </c>
      <c r="C12" s="1">
        <v>8</v>
      </c>
      <c r="D12" s="1">
        <v>93</v>
      </c>
      <c r="E12" s="1">
        <v>8</v>
      </c>
      <c r="F12" s="1" t="s">
        <v>18</v>
      </c>
      <c r="G12" s="10">
        <f t="shared" si="0"/>
        <v>744</v>
      </c>
      <c r="H12" s="1"/>
    </row>
    <row r="13" spans="1:8" x14ac:dyDescent="0.25">
      <c r="A13" s="30"/>
      <c r="B13" s="1"/>
      <c r="C13" s="1"/>
      <c r="D13" s="1"/>
      <c r="E13" s="1"/>
      <c r="F13" s="1"/>
      <c r="G13" s="1"/>
      <c r="H13" s="1"/>
    </row>
    <row r="14" spans="1:8" x14ac:dyDescent="0.25">
      <c r="A14" s="30"/>
      <c r="B14" s="31" t="s">
        <v>7</v>
      </c>
      <c r="C14" s="32"/>
      <c r="D14" s="33"/>
      <c r="E14" s="3"/>
      <c r="F14" s="3"/>
      <c r="G14" s="14">
        <f>SUM(G9:G13)</f>
        <v>1843.2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0" t="s">
        <v>30</v>
      </c>
      <c r="B16" s="1" t="s">
        <v>36</v>
      </c>
      <c r="C16" s="1">
        <v>6</v>
      </c>
      <c r="D16" s="1">
        <v>150</v>
      </c>
      <c r="E16" s="1">
        <v>6</v>
      </c>
      <c r="F16" s="1" t="s">
        <v>37</v>
      </c>
      <c r="G16" s="1">
        <f>D16*E16</f>
        <v>900</v>
      </c>
      <c r="H16" s="1"/>
    </row>
    <row r="17" spans="1:8" x14ac:dyDescent="0.25">
      <c r="A17" s="30"/>
      <c r="B17" s="1" t="s">
        <v>38</v>
      </c>
      <c r="C17" s="1">
        <v>3</v>
      </c>
      <c r="D17" s="1">
        <v>85</v>
      </c>
      <c r="E17" s="1">
        <v>3</v>
      </c>
      <c r="F17" s="1" t="s">
        <v>18</v>
      </c>
      <c r="G17" s="17">
        <f t="shared" ref="G17:G19" si="1">D17*E17</f>
        <v>255</v>
      </c>
      <c r="H17" s="1"/>
    </row>
    <row r="18" spans="1:8" x14ac:dyDescent="0.25">
      <c r="A18" s="30"/>
      <c r="B18" s="1" t="s">
        <v>55</v>
      </c>
      <c r="C18" s="1">
        <v>1</v>
      </c>
      <c r="D18" s="1">
        <v>13.5</v>
      </c>
      <c r="E18" s="1">
        <v>1</v>
      </c>
      <c r="F18" s="1" t="s">
        <v>56</v>
      </c>
      <c r="G18" s="2">
        <f t="shared" si="1"/>
        <v>13.5</v>
      </c>
      <c r="H18" s="1"/>
    </row>
    <row r="19" spans="1:8" x14ac:dyDescent="0.25">
      <c r="A19" s="30"/>
      <c r="B19" s="1" t="s">
        <v>58</v>
      </c>
      <c r="C19" s="1">
        <v>2</v>
      </c>
      <c r="D19" s="1">
        <v>220</v>
      </c>
      <c r="E19" s="3">
        <v>3</v>
      </c>
      <c r="F19" s="3" t="s">
        <v>59</v>
      </c>
      <c r="G19" s="17">
        <f t="shared" si="1"/>
        <v>660</v>
      </c>
      <c r="H19" s="1"/>
    </row>
    <row r="20" spans="1:8" x14ac:dyDescent="0.25">
      <c r="A20" s="30"/>
      <c r="B20" s="31" t="s">
        <v>7</v>
      </c>
      <c r="C20" s="32"/>
      <c r="D20" s="33"/>
      <c r="E20" s="3"/>
      <c r="F20" s="3"/>
      <c r="G20" s="14">
        <f>SUM(G16:G19)</f>
        <v>1828.5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0"/>
      <c r="B22" s="1" t="s">
        <v>57</v>
      </c>
      <c r="C22" s="1">
        <v>8</v>
      </c>
      <c r="D22" s="1">
        <v>19.8</v>
      </c>
      <c r="E22" s="1">
        <v>8</v>
      </c>
      <c r="F22" s="1" t="s">
        <v>18</v>
      </c>
      <c r="G22" s="1">
        <f>D22*E22</f>
        <v>158.4</v>
      </c>
      <c r="H22" s="1"/>
    </row>
    <row r="23" spans="1:8" x14ac:dyDescent="0.25">
      <c r="A23" s="30"/>
      <c r="B23" s="1" t="s">
        <v>60</v>
      </c>
      <c r="C23" s="1">
        <v>2</v>
      </c>
      <c r="D23" s="1">
        <v>150</v>
      </c>
      <c r="E23" s="1">
        <v>2</v>
      </c>
      <c r="F23" s="1" t="s">
        <v>18</v>
      </c>
      <c r="G23" s="10">
        <f>D23*E23</f>
        <v>300</v>
      </c>
      <c r="H23" s="1"/>
    </row>
    <row r="24" spans="1:8" x14ac:dyDescent="0.25">
      <c r="A24" s="30"/>
      <c r="B24" s="1" t="s">
        <v>61</v>
      </c>
      <c r="C24" s="1">
        <v>0.5</v>
      </c>
      <c r="D24" s="1">
        <v>58.5</v>
      </c>
      <c r="E24" s="1">
        <v>0.5</v>
      </c>
      <c r="F24" s="1" t="s">
        <v>18</v>
      </c>
      <c r="G24" s="10">
        <f t="shared" ref="G24:G26" si="2">D24*E24</f>
        <v>29.25</v>
      </c>
      <c r="H24" s="1"/>
    </row>
    <row r="25" spans="1:8" x14ac:dyDescent="0.25">
      <c r="A25" s="30"/>
      <c r="B25" s="1" t="s">
        <v>62</v>
      </c>
      <c r="C25" s="1">
        <v>8</v>
      </c>
      <c r="D25" s="1">
        <v>204</v>
      </c>
      <c r="E25" s="1">
        <v>8</v>
      </c>
      <c r="F25" s="1" t="s">
        <v>18</v>
      </c>
      <c r="G25" s="2">
        <f t="shared" si="2"/>
        <v>1632</v>
      </c>
      <c r="H25" s="1"/>
    </row>
    <row r="26" spans="1:8" x14ac:dyDescent="0.25">
      <c r="A26" s="30"/>
      <c r="B26" s="10" t="s">
        <v>63</v>
      </c>
      <c r="C26" s="10">
        <v>4</v>
      </c>
      <c r="D26" s="10">
        <v>40.5</v>
      </c>
      <c r="E26" s="10">
        <v>4</v>
      </c>
      <c r="F26" s="11" t="s">
        <v>18</v>
      </c>
      <c r="G26" s="10">
        <f t="shared" si="2"/>
        <v>162</v>
      </c>
      <c r="H26" s="10"/>
    </row>
    <row r="27" spans="1:8" x14ac:dyDescent="0.25">
      <c r="A27" s="30"/>
      <c r="B27" s="10" t="s">
        <v>64</v>
      </c>
      <c r="C27" s="10">
        <v>1</v>
      </c>
      <c r="D27" s="10">
        <v>48</v>
      </c>
      <c r="E27" s="10">
        <v>20</v>
      </c>
      <c r="F27" s="10" t="s">
        <v>65</v>
      </c>
      <c r="G27" s="2">
        <f>D27*E27</f>
        <v>960</v>
      </c>
      <c r="H27" s="10"/>
    </row>
    <row r="28" spans="1:8" x14ac:dyDescent="0.25">
      <c r="A28" s="30"/>
      <c r="B28" s="10" t="s">
        <v>66</v>
      </c>
      <c r="C28" s="10">
        <v>4</v>
      </c>
      <c r="D28" s="10">
        <v>90</v>
      </c>
      <c r="E28" s="10">
        <v>4</v>
      </c>
      <c r="F28" s="10" t="s">
        <v>17</v>
      </c>
      <c r="G28" s="2">
        <f t="shared" ref="G28:G29" si="3">D28*E28</f>
        <v>360</v>
      </c>
      <c r="H28" s="10"/>
    </row>
    <row r="29" spans="1:8" x14ac:dyDescent="0.25">
      <c r="A29" s="30"/>
      <c r="B29" s="10" t="s">
        <v>67</v>
      </c>
      <c r="C29" s="10">
        <v>2</v>
      </c>
      <c r="D29" s="10">
        <v>210</v>
      </c>
      <c r="E29" s="10">
        <v>2</v>
      </c>
      <c r="F29" s="10" t="s">
        <v>59</v>
      </c>
      <c r="G29" s="2">
        <f t="shared" si="3"/>
        <v>420</v>
      </c>
      <c r="H29" s="10"/>
    </row>
    <row r="30" spans="1:8" x14ac:dyDescent="0.25">
      <c r="A30" s="30"/>
      <c r="B30" s="10"/>
      <c r="C30" s="10"/>
      <c r="D30" s="10"/>
      <c r="E30" s="10"/>
      <c r="F30" s="10"/>
      <c r="G30" s="2"/>
      <c r="H30" s="10"/>
    </row>
    <row r="31" spans="1:8" x14ac:dyDescent="0.25">
      <c r="A31" s="30"/>
      <c r="B31" s="10"/>
      <c r="C31" s="10"/>
      <c r="D31" s="10"/>
      <c r="E31" s="10"/>
      <c r="F31" s="10"/>
      <c r="G31" s="2"/>
      <c r="H31" s="10"/>
    </row>
    <row r="32" spans="1:8" x14ac:dyDescent="0.25">
      <c r="A32" s="30"/>
      <c r="B32" s="10"/>
      <c r="C32" s="12"/>
      <c r="D32" s="10"/>
      <c r="E32" s="10"/>
      <c r="F32" s="10"/>
      <c r="G32" s="2"/>
      <c r="H32" s="1"/>
    </row>
    <row r="33" spans="1:8" x14ac:dyDescent="0.25">
      <c r="A33" s="10"/>
      <c r="B33" s="31" t="s">
        <v>19</v>
      </c>
      <c r="C33" s="32"/>
      <c r="D33" s="33"/>
      <c r="E33" s="10"/>
      <c r="F33" s="10"/>
      <c r="G33" s="15">
        <f>SUM(G22:G32)</f>
        <v>4021.65</v>
      </c>
      <c r="H33" s="10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30" t="s">
        <v>39</v>
      </c>
      <c r="B35" s="1" t="s">
        <v>68</v>
      </c>
      <c r="C35" s="1" t="s">
        <v>69</v>
      </c>
      <c r="D35" s="1"/>
      <c r="E35" s="1"/>
      <c r="F35" s="1"/>
      <c r="G35" s="1"/>
      <c r="H35" s="1"/>
    </row>
    <row r="36" spans="1:8" x14ac:dyDescent="0.25">
      <c r="A36" s="30"/>
      <c r="B36" s="1" t="s">
        <v>64</v>
      </c>
      <c r="C36" s="1" t="s">
        <v>69</v>
      </c>
      <c r="D36" s="1"/>
      <c r="E36" s="1"/>
      <c r="F36" s="1"/>
      <c r="G36" s="1"/>
      <c r="H36" s="1" t="s">
        <v>15</v>
      </c>
    </row>
    <row r="37" spans="1:8" x14ac:dyDescent="0.25">
      <c r="A37" s="30"/>
      <c r="B37" s="1"/>
      <c r="C37" s="1"/>
      <c r="D37" s="1"/>
      <c r="E37" s="1"/>
      <c r="F37" s="1"/>
      <c r="G37" s="1"/>
      <c r="H37" s="1"/>
    </row>
    <row r="38" spans="1:8" x14ac:dyDescent="0.25">
      <c r="A38" s="30"/>
      <c r="B38" s="31"/>
      <c r="C38" s="32"/>
      <c r="D38" s="33"/>
      <c r="E38" s="3"/>
      <c r="F38" s="3"/>
      <c r="G38" s="4">
        <f>SUM(G35:G37)</f>
        <v>0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0"/>
      <c r="B40" s="1" t="s">
        <v>118</v>
      </c>
      <c r="C40" s="1"/>
      <c r="D40" s="1">
        <v>5.0999999999999996</v>
      </c>
      <c r="E40" s="1">
        <v>65</v>
      </c>
      <c r="F40" s="1" t="s">
        <v>18</v>
      </c>
      <c r="G40" s="2">
        <f>D40*E40</f>
        <v>331.5</v>
      </c>
      <c r="H40" s="1"/>
    </row>
    <row r="41" spans="1:8" x14ac:dyDescent="0.25">
      <c r="A41" s="41"/>
      <c r="B41" s="1" t="s">
        <v>119</v>
      </c>
      <c r="C41" s="1"/>
      <c r="D41" s="1"/>
      <c r="E41" s="1"/>
      <c r="F41" s="1"/>
      <c r="G41" s="2"/>
      <c r="H41" s="1" t="s">
        <v>20</v>
      </c>
    </row>
    <row r="42" spans="1:8" x14ac:dyDescent="0.25">
      <c r="A42" s="42"/>
      <c r="B42" s="31" t="s">
        <v>7</v>
      </c>
      <c r="C42" s="32"/>
      <c r="D42" s="33"/>
      <c r="E42" s="3"/>
      <c r="F42" s="3"/>
      <c r="G42" s="14">
        <f>SUM(G40:G41)</f>
        <v>331.5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30"/>
      <c r="B44" s="1" t="s">
        <v>21</v>
      </c>
      <c r="C44" s="1"/>
      <c r="D44" s="1">
        <v>4.5</v>
      </c>
      <c r="E44" s="1">
        <v>50</v>
      </c>
      <c r="F44" s="1" t="s">
        <v>22</v>
      </c>
      <c r="G44" s="1">
        <f>D44*E44</f>
        <v>225</v>
      </c>
      <c r="H44" s="1"/>
    </row>
    <row r="45" spans="1:8" x14ac:dyDescent="0.25">
      <c r="A45" s="30"/>
      <c r="B45" s="1" t="s">
        <v>115</v>
      </c>
      <c r="C45" s="1"/>
      <c r="D45" s="1">
        <v>28.56</v>
      </c>
      <c r="E45" s="1">
        <v>10</v>
      </c>
      <c r="F45" s="1" t="s">
        <v>116</v>
      </c>
      <c r="G45" s="2">
        <f t="shared" ref="G45:G46" si="4">D45*E45</f>
        <v>285.59999999999997</v>
      </c>
      <c r="H45" s="1"/>
    </row>
    <row r="46" spans="1:8" x14ac:dyDescent="0.25">
      <c r="A46" s="30"/>
      <c r="B46" s="1" t="s">
        <v>117</v>
      </c>
      <c r="C46" s="1"/>
      <c r="D46" s="1">
        <v>99</v>
      </c>
      <c r="E46" s="1">
        <v>3</v>
      </c>
      <c r="F46" s="1" t="s">
        <v>116</v>
      </c>
      <c r="G46" s="17">
        <f t="shared" si="4"/>
        <v>297</v>
      </c>
      <c r="H46" s="1"/>
    </row>
    <row r="47" spans="1:8" x14ac:dyDescent="0.25">
      <c r="A47" s="30"/>
      <c r="B47" s="1"/>
      <c r="C47" s="1"/>
      <c r="D47" s="1"/>
      <c r="E47" s="1"/>
      <c r="F47" s="1"/>
      <c r="G47" s="1"/>
      <c r="H47" s="1"/>
    </row>
    <row r="48" spans="1:8" x14ac:dyDescent="0.25">
      <c r="A48" s="30"/>
      <c r="B48" s="31" t="s">
        <v>7</v>
      </c>
      <c r="C48" s="32"/>
      <c r="D48" s="33"/>
      <c r="E48" s="3"/>
      <c r="F48" s="3"/>
      <c r="G48" s="16">
        <f>SUM(G44:G47)</f>
        <v>807.59999999999991</v>
      </c>
      <c r="H48" s="1"/>
    </row>
    <row r="49" spans="1:8" x14ac:dyDescent="0.25">
      <c r="A49" s="1"/>
      <c r="B49" s="37" t="s">
        <v>14</v>
      </c>
      <c r="C49" s="38"/>
      <c r="D49" s="39"/>
      <c r="E49" s="8"/>
      <c r="F49" s="8"/>
      <c r="G49" s="9">
        <f>G48+G42+G38+G20+G14+G7+G33</f>
        <v>18582.45</v>
      </c>
      <c r="H49" s="1"/>
    </row>
  </sheetData>
  <mergeCells count="16">
    <mergeCell ref="A44:A48"/>
    <mergeCell ref="B48:D48"/>
    <mergeCell ref="B49:D49"/>
    <mergeCell ref="A22:A32"/>
    <mergeCell ref="A35:A38"/>
    <mergeCell ref="B38:D38"/>
    <mergeCell ref="A40:A42"/>
    <mergeCell ref="B42:D42"/>
    <mergeCell ref="B33:D3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G52" sqref="G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4" t="s">
        <v>24</v>
      </c>
      <c r="B1" s="35"/>
      <c r="C1" s="35"/>
      <c r="D1" s="35"/>
      <c r="E1" s="35"/>
      <c r="F1" s="35"/>
      <c r="G1" s="35"/>
      <c r="H1" s="3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0" t="s">
        <v>40</v>
      </c>
      <c r="B3" s="1" t="s">
        <v>70</v>
      </c>
      <c r="C3" s="1">
        <v>30</v>
      </c>
      <c r="D3" s="1">
        <v>99</v>
      </c>
      <c r="E3" s="1">
        <v>30</v>
      </c>
      <c r="F3" s="1" t="s">
        <v>56</v>
      </c>
      <c r="G3" s="2">
        <f>D3*E3</f>
        <v>2970</v>
      </c>
      <c r="H3" s="1"/>
    </row>
    <row r="4" spans="1:8" x14ac:dyDescent="0.25">
      <c r="A4" s="30"/>
      <c r="B4" s="1" t="s">
        <v>71</v>
      </c>
      <c r="C4" s="1">
        <v>20</v>
      </c>
      <c r="D4" s="1">
        <v>168</v>
      </c>
      <c r="E4" s="1">
        <v>20</v>
      </c>
      <c r="F4" s="1" t="s">
        <v>56</v>
      </c>
      <c r="G4" s="2">
        <f t="shared" ref="G4:G6" si="0">D4*E4</f>
        <v>3360</v>
      </c>
      <c r="H4" s="1"/>
    </row>
    <row r="5" spans="1:8" x14ac:dyDescent="0.25">
      <c r="A5" s="30"/>
      <c r="B5" s="1" t="s">
        <v>72</v>
      </c>
      <c r="C5" s="1">
        <v>1</v>
      </c>
      <c r="D5" s="1">
        <v>400</v>
      </c>
      <c r="E5" s="1">
        <v>1</v>
      </c>
      <c r="F5" s="1" t="s">
        <v>59</v>
      </c>
      <c r="G5" s="2">
        <f t="shared" si="0"/>
        <v>400</v>
      </c>
      <c r="H5" s="1"/>
    </row>
    <row r="6" spans="1:8" x14ac:dyDescent="0.25">
      <c r="A6" s="30"/>
      <c r="B6" s="1" t="s">
        <v>73</v>
      </c>
      <c r="C6" s="1">
        <v>4</v>
      </c>
      <c r="D6" s="1">
        <v>28.56</v>
      </c>
      <c r="E6" s="3">
        <v>4</v>
      </c>
      <c r="F6" s="3" t="s">
        <v>56</v>
      </c>
      <c r="G6" s="2">
        <f t="shared" si="0"/>
        <v>114.24</v>
      </c>
      <c r="H6" s="1"/>
    </row>
    <row r="7" spans="1:8" x14ac:dyDescent="0.25">
      <c r="A7" s="30"/>
      <c r="B7" s="31" t="s">
        <v>7</v>
      </c>
      <c r="C7" s="32"/>
      <c r="D7" s="33"/>
      <c r="E7" s="3"/>
      <c r="F7" s="3"/>
      <c r="G7" s="14">
        <f>SUM(G3:G6)</f>
        <v>6844.24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0" t="s">
        <v>41</v>
      </c>
      <c r="B9" s="1" t="s">
        <v>74</v>
      </c>
      <c r="C9" s="1">
        <v>2</v>
      </c>
      <c r="D9" s="1">
        <v>74.099999999999994</v>
      </c>
      <c r="E9" s="1">
        <v>2</v>
      </c>
      <c r="F9" s="1" t="s">
        <v>56</v>
      </c>
      <c r="G9" s="1">
        <f>D9*E9</f>
        <v>148.19999999999999</v>
      </c>
      <c r="H9" s="1"/>
    </row>
    <row r="10" spans="1:8" x14ac:dyDescent="0.25">
      <c r="A10" s="30"/>
      <c r="B10" s="1" t="s">
        <v>75</v>
      </c>
      <c r="C10" s="1">
        <v>45</v>
      </c>
      <c r="D10" s="1">
        <v>34.200000000000003</v>
      </c>
      <c r="E10" s="1">
        <v>45</v>
      </c>
      <c r="F10" s="1" t="s">
        <v>56</v>
      </c>
      <c r="G10" s="19">
        <f>D10*E10</f>
        <v>1539.0000000000002</v>
      </c>
      <c r="H10" s="1"/>
    </row>
    <row r="11" spans="1:8" x14ac:dyDescent="0.25">
      <c r="A11" s="30"/>
      <c r="B11" s="1"/>
      <c r="C11" s="1"/>
      <c r="D11" s="1"/>
      <c r="E11" s="1"/>
      <c r="F11" s="1"/>
      <c r="G11" s="1"/>
      <c r="H11" s="1"/>
    </row>
    <row r="12" spans="1:8" x14ac:dyDescent="0.25">
      <c r="A12" s="30"/>
      <c r="B12" s="1"/>
      <c r="C12" s="1"/>
      <c r="D12" s="1"/>
      <c r="E12" s="1"/>
      <c r="F12" s="1"/>
      <c r="G12" s="1"/>
      <c r="H12" s="1"/>
    </row>
    <row r="13" spans="1:8" x14ac:dyDescent="0.25">
      <c r="A13" s="30"/>
      <c r="B13" s="1"/>
      <c r="C13" s="1"/>
      <c r="D13" s="1"/>
      <c r="E13" s="1"/>
      <c r="F13" s="1"/>
      <c r="G13" s="1"/>
      <c r="H13" s="1"/>
    </row>
    <row r="14" spans="1:8" x14ac:dyDescent="0.25">
      <c r="A14" s="30"/>
      <c r="B14" s="31" t="s">
        <v>7</v>
      </c>
      <c r="C14" s="32"/>
      <c r="D14" s="33"/>
      <c r="E14" s="3"/>
      <c r="F14" s="3"/>
      <c r="G14" s="14">
        <f>SUM(G9:G13)</f>
        <v>1687.2000000000003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0" t="s">
        <v>42</v>
      </c>
      <c r="B16" s="1" t="s">
        <v>77</v>
      </c>
      <c r="C16" s="1">
        <v>30</v>
      </c>
      <c r="D16" s="1">
        <v>50</v>
      </c>
      <c r="E16" s="1">
        <v>30</v>
      </c>
      <c r="F16" s="1" t="s">
        <v>56</v>
      </c>
      <c r="G16" s="1">
        <f>D16*E16</f>
        <v>1500</v>
      </c>
      <c r="H16" s="1"/>
    </row>
    <row r="17" spans="1:8" x14ac:dyDescent="0.25">
      <c r="A17" s="30"/>
      <c r="B17" s="1" t="s">
        <v>73</v>
      </c>
      <c r="C17" s="1">
        <v>4</v>
      </c>
      <c r="D17" s="1">
        <v>28.56</v>
      </c>
      <c r="E17" s="1">
        <v>4</v>
      </c>
      <c r="F17" s="1" t="s">
        <v>56</v>
      </c>
      <c r="G17" s="19">
        <f t="shared" ref="G17:G20" si="1">D17*E17</f>
        <v>114.24</v>
      </c>
      <c r="H17" s="1"/>
    </row>
    <row r="18" spans="1:8" x14ac:dyDescent="0.25">
      <c r="A18" s="30"/>
      <c r="B18" s="1" t="s">
        <v>38</v>
      </c>
      <c r="C18" s="1">
        <v>4</v>
      </c>
      <c r="D18" s="1">
        <v>85</v>
      </c>
      <c r="E18" s="1">
        <v>4</v>
      </c>
      <c r="F18" s="1" t="s">
        <v>56</v>
      </c>
      <c r="G18" s="19">
        <f t="shared" si="1"/>
        <v>340</v>
      </c>
      <c r="H18" s="1"/>
    </row>
    <row r="19" spans="1:8" x14ac:dyDescent="0.25">
      <c r="A19" s="30"/>
      <c r="B19" s="1" t="s">
        <v>55</v>
      </c>
      <c r="C19" s="1">
        <v>2</v>
      </c>
      <c r="D19" s="1">
        <v>13.5</v>
      </c>
      <c r="E19" s="3">
        <v>2</v>
      </c>
      <c r="F19" s="3" t="s">
        <v>56</v>
      </c>
      <c r="G19" s="19">
        <f t="shared" si="1"/>
        <v>27</v>
      </c>
      <c r="H19" s="1"/>
    </row>
    <row r="20" spans="1:8" x14ac:dyDescent="0.25">
      <c r="A20" s="30"/>
      <c r="B20" s="1" t="s">
        <v>78</v>
      </c>
      <c r="C20" s="1">
        <v>8</v>
      </c>
      <c r="D20" s="1">
        <v>25.5</v>
      </c>
      <c r="E20" s="3">
        <v>8</v>
      </c>
      <c r="F20" s="3" t="s">
        <v>56</v>
      </c>
      <c r="G20" s="19">
        <f t="shared" si="1"/>
        <v>204</v>
      </c>
      <c r="H20" s="1"/>
    </row>
    <row r="21" spans="1:8" x14ac:dyDescent="0.25">
      <c r="A21" s="30"/>
      <c r="B21" s="1"/>
      <c r="C21" s="1"/>
      <c r="D21" s="1"/>
      <c r="E21" s="3"/>
      <c r="F21" s="3"/>
      <c r="G21" s="1"/>
      <c r="H21" s="1"/>
    </row>
    <row r="22" spans="1:8" x14ac:dyDescent="0.25">
      <c r="A22" s="30"/>
      <c r="B22" s="31" t="s">
        <v>7</v>
      </c>
      <c r="C22" s="32"/>
      <c r="D22" s="33"/>
      <c r="E22" s="3"/>
      <c r="F22" s="3"/>
      <c r="G22" s="14">
        <f>SUM(G16:G21)</f>
        <v>2185.2399999999998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30"/>
      <c r="B24" s="1" t="s">
        <v>79</v>
      </c>
      <c r="C24" s="1">
        <v>30</v>
      </c>
      <c r="D24" s="1">
        <v>78</v>
      </c>
      <c r="E24" s="1">
        <v>4.8</v>
      </c>
      <c r="F24" s="1" t="s">
        <v>18</v>
      </c>
      <c r="G24" s="1">
        <f>D24*E24</f>
        <v>374.4</v>
      </c>
      <c r="H24" s="1"/>
    </row>
    <row r="25" spans="1:8" x14ac:dyDescent="0.25">
      <c r="A25" s="30"/>
      <c r="B25" s="1" t="s">
        <v>80</v>
      </c>
      <c r="C25" s="1">
        <v>1</v>
      </c>
      <c r="D25" s="1">
        <v>60</v>
      </c>
      <c r="E25" s="1">
        <v>1</v>
      </c>
      <c r="F25" s="1" t="s">
        <v>81</v>
      </c>
      <c r="G25" s="19">
        <f t="shared" ref="G25:G28" si="2">D25*E25</f>
        <v>60</v>
      </c>
      <c r="H25" s="1"/>
    </row>
    <row r="26" spans="1:8" x14ac:dyDescent="0.25">
      <c r="A26" s="30"/>
      <c r="B26" s="1" t="s">
        <v>122</v>
      </c>
      <c r="C26" s="1"/>
      <c r="D26" s="1">
        <v>55</v>
      </c>
      <c r="E26" s="1">
        <v>20</v>
      </c>
      <c r="F26" s="1" t="s">
        <v>120</v>
      </c>
      <c r="G26" s="19">
        <f t="shared" si="2"/>
        <v>1100</v>
      </c>
      <c r="H26" s="1"/>
    </row>
    <row r="27" spans="1:8" x14ac:dyDescent="0.25">
      <c r="A27" s="30"/>
      <c r="B27" s="1" t="s">
        <v>123</v>
      </c>
      <c r="C27" s="1"/>
      <c r="D27" s="1">
        <v>29.38</v>
      </c>
      <c r="E27" s="1">
        <v>100</v>
      </c>
      <c r="F27" s="1" t="s">
        <v>120</v>
      </c>
      <c r="G27" s="19">
        <f t="shared" si="2"/>
        <v>2938</v>
      </c>
      <c r="H27" s="1"/>
    </row>
    <row r="28" spans="1:8" x14ac:dyDescent="0.25">
      <c r="A28" s="30"/>
      <c r="B28" s="19" t="s">
        <v>124</v>
      </c>
      <c r="C28" s="19"/>
      <c r="D28" s="19">
        <v>1188</v>
      </c>
      <c r="E28" s="19">
        <v>2</v>
      </c>
      <c r="F28" s="20" t="s">
        <v>125</v>
      </c>
      <c r="G28" s="19">
        <f t="shared" si="2"/>
        <v>2376</v>
      </c>
      <c r="H28" s="19"/>
    </row>
    <row r="29" spans="1:8" x14ac:dyDescent="0.25">
      <c r="A29" s="30"/>
      <c r="B29" s="31" t="s">
        <v>7</v>
      </c>
      <c r="C29" s="32"/>
      <c r="D29" s="33"/>
      <c r="E29" s="3"/>
      <c r="F29" s="3"/>
      <c r="G29" s="16">
        <f>SUM(G24:G28)</f>
        <v>6848.4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30" t="s">
        <v>43</v>
      </c>
      <c r="B31" s="1" t="s">
        <v>36</v>
      </c>
      <c r="C31" s="1">
        <v>3</v>
      </c>
      <c r="D31" s="1">
        <v>150</v>
      </c>
      <c r="E31" s="1">
        <v>3</v>
      </c>
      <c r="F31" s="1" t="s">
        <v>76</v>
      </c>
      <c r="G31" s="1">
        <f>D31*E31</f>
        <v>450</v>
      </c>
      <c r="H31" s="1"/>
    </row>
    <row r="32" spans="1:8" x14ac:dyDescent="0.25">
      <c r="A32" s="30"/>
      <c r="B32" s="1"/>
      <c r="C32" s="1"/>
      <c r="D32" s="1"/>
      <c r="E32" s="1"/>
      <c r="F32" s="1"/>
      <c r="G32" s="1"/>
      <c r="H32" s="1"/>
    </row>
    <row r="33" spans="1:8" x14ac:dyDescent="0.25">
      <c r="A33" s="30"/>
      <c r="B33" s="1"/>
      <c r="C33" s="1"/>
      <c r="D33" s="1"/>
      <c r="E33" s="1"/>
      <c r="F33" s="1"/>
      <c r="G33" s="1"/>
      <c r="H33" s="1"/>
    </row>
    <row r="34" spans="1:8" x14ac:dyDescent="0.25">
      <c r="A34" s="30"/>
      <c r="B34" s="31"/>
      <c r="C34" s="32"/>
      <c r="D34" s="33"/>
      <c r="E34" s="3"/>
      <c r="F34" s="3"/>
      <c r="G34" s="16">
        <f>SUM(G31:G33)</f>
        <v>450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0"/>
      <c r="B36" s="1" t="s">
        <v>126</v>
      </c>
      <c r="C36" s="1"/>
      <c r="D36" s="1">
        <v>49.92</v>
      </c>
      <c r="E36" s="1">
        <v>60</v>
      </c>
      <c r="F36" s="1" t="s">
        <v>120</v>
      </c>
      <c r="G36" s="25">
        <f>D36*E36</f>
        <v>2995.2000000000003</v>
      </c>
      <c r="H36" s="1"/>
    </row>
    <row r="37" spans="1:8" x14ac:dyDescent="0.25">
      <c r="A37" s="41"/>
      <c r="B37" s="1" t="s">
        <v>121</v>
      </c>
      <c r="C37" s="1"/>
      <c r="D37" s="1">
        <v>9.9</v>
      </c>
      <c r="E37" s="1">
        <v>65</v>
      </c>
      <c r="F37" s="1" t="s">
        <v>120</v>
      </c>
      <c r="G37" s="25">
        <f>D37*E37</f>
        <v>643.5</v>
      </c>
      <c r="H37" s="1"/>
    </row>
    <row r="38" spans="1:8" x14ac:dyDescent="0.25">
      <c r="A38" s="42"/>
      <c r="B38" s="31" t="s">
        <v>7</v>
      </c>
      <c r="C38" s="32"/>
      <c r="D38" s="33"/>
      <c r="E38" s="3"/>
      <c r="F38" s="3"/>
      <c r="G38" s="14">
        <f>SUM(G36:G37)</f>
        <v>3638.7000000000003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30"/>
      <c r="B40" s="1"/>
      <c r="C40" s="1"/>
      <c r="D40" s="1"/>
      <c r="E40" s="1"/>
      <c r="F40" s="1"/>
      <c r="G40" s="1"/>
      <c r="H40" s="1"/>
    </row>
    <row r="41" spans="1:8" x14ac:dyDescent="0.25">
      <c r="A41" s="30"/>
      <c r="B41" s="1"/>
      <c r="C41" s="1"/>
      <c r="D41" s="1"/>
      <c r="E41" s="1"/>
      <c r="F41" s="1"/>
      <c r="G41" s="1"/>
      <c r="H41" s="1"/>
    </row>
    <row r="42" spans="1:8" x14ac:dyDescent="0.25">
      <c r="A42" s="30"/>
      <c r="B42" s="1"/>
      <c r="C42" s="1"/>
      <c r="D42" s="1"/>
      <c r="E42" s="1"/>
      <c r="F42" s="1"/>
      <c r="G42" s="1"/>
      <c r="H42" s="1"/>
    </row>
    <row r="43" spans="1:8" x14ac:dyDescent="0.25">
      <c r="A43" s="30"/>
      <c r="B43" s="1"/>
      <c r="C43" s="1"/>
      <c r="D43" s="1"/>
      <c r="E43" s="1"/>
      <c r="F43" s="1"/>
      <c r="G43" s="1"/>
      <c r="H43" s="1"/>
    </row>
    <row r="44" spans="1:8" x14ac:dyDescent="0.25">
      <c r="A44" s="30"/>
      <c r="B44" s="31" t="s">
        <v>7</v>
      </c>
      <c r="C44" s="32"/>
      <c r="D44" s="33"/>
      <c r="E44" s="3"/>
      <c r="F44" s="3"/>
      <c r="G44" s="4">
        <f>SUM(G40:G43)</f>
        <v>0</v>
      </c>
      <c r="H44" s="1"/>
    </row>
    <row r="45" spans="1:8" x14ac:dyDescent="0.25">
      <c r="A45" s="1"/>
      <c r="B45" s="37" t="s">
        <v>14</v>
      </c>
      <c r="C45" s="38"/>
      <c r="D45" s="39"/>
      <c r="E45" s="8"/>
      <c r="F45" s="8"/>
      <c r="G45" s="9">
        <f>G44+G38+G34+G22+G14+G7+G29</f>
        <v>21653.78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4" t="s">
        <v>25</v>
      </c>
      <c r="B1" s="35"/>
      <c r="C1" s="35"/>
      <c r="D1" s="35"/>
      <c r="E1" s="35"/>
      <c r="F1" s="35"/>
      <c r="G1" s="35"/>
      <c r="H1" s="3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0" t="s">
        <v>45</v>
      </c>
      <c r="B3" s="1" t="s">
        <v>79</v>
      </c>
      <c r="C3" s="1">
        <v>290</v>
      </c>
      <c r="D3" s="1">
        <v>78</v>
      </c>
      <c r="E3" s="1">
        <v>51.08</v>
      </c>
      <c r="F3" s="1" t="s">
        <v>18</v>
      </c>
      <c r="G3" s="2">
        <f>D3*E3</f>
        <v>3984.24</v>
      </c>
      <c r="H3" s="1"/>
    </row>
    <row r="4" spans="1:8" x14ac:dyDescent="0.25">
      <c r="A4" s="30"/>
      <c r="B4" s="1"/>
      <c r="C4" s="1"/>
      <c r="D4" s="1"/>
      <c r="E4" s="1"/>
      <c r="F4" s="1"/>
      <c r="G4" s="1"/>
      <c r="H4" s="1"/>
    </row>
    <row r="5" spans="1:8" x14ac:dyDescent="0.25">
      <c r="A5" s="30"/>
      <c r="B5" s="1"/>
      <c r="C5" s="1"/>
      <c r="D5" s="1"/>
      <c r="E5" s="1"/>
      <c r="F5" s="1"/>
      <c r="G5" s="1"/>
      <c r="H5" s="1"/>
    </row>
    <row r="6" spans="1:8" x14ac:dyDescent="0.25">
      <c r="A6" s="30"/>
      <c r="B6" s="1"/>
      <c r="C6" s="1"/>
      <c r="D6" s="1"/>
      <c r="E6" s="3"/>
      <c r="F6" s="3"/>
      <c r="G6" s="3"/>
      <c r="H6" s="1"/>
    </row>
    <row r="7" spans="1:8" x14ac:dyDescent="0.25">
      <c r="A7" s="30"/>
      <c r="B7" s="31" t="s">
        <v>7</v>
      </c>
      <c r="C7" s="32"/>
      <c r="D7" s="33"/>
      <c r="E7" s="3"/>
      <c r="F7" s="3"/>
      <c r="G7" s="14">
        <f>SUM(G3:G6)</f>
        <v>3984.24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0" t="s">
        <v>46</v>
      </c>
      <c r="B9" s="1" t="s">
        <v>82</v>
      </c>
      <c r="C9" s="1">
        <v>700</v>
      </c>
      <c r="D9" s="1"/>
      <c r="E9" s="27"/>
      <c r="F9" s="1" t="s">
        <v>83</v>
      </c>
      <c r="G9" s="1">
        <f>D9*E9</f>
        <v>0</v>
      </c>
      <c r="H9" s="1"/>
    </row>
    <row r="10" spans="1:8" x14ac:dyDescent="0.25">
      <c r="A10" s="30"/>
      <c r="B10" s="1" t="s">
        <v>84</v>
      </c>
      <c r="C10" s="1">
        <v>15</v>
      </c>
      <c r="D10" s="1">
        <v>60</v>
      </c>
      <c r="E10" s="1">
        <v>15</v>
      </c>
      <c r="F10" s="1" t="s">
        <v>56</v>
      </c>
      <c r="G10" s="23">
        <f t="shared" ref="G10:G12" si="0">D10*E10</f>
        <v>900</v>
      </c>
      <c r="H10" s="1"/>
    </row>
    <row r="11" spans="1:8" x14ac:dyDescent="0.25">
      <c r="A11" s="30"/>
      <c r="B11" s="1" t="s">
        <v>85</v>
      </c>
      <c r="C11" s="1">
        <v>10</v>
      </c>
      <c r="D11" s="1">
        <v>48</v>
      </c>
      <c r="E11" s="1">
        <v>10</v>
      </c>
      <c r="F11" s="1" t="s">
        <v>56</v>
      </c>
      <c r="G11" s="23">
        <f t="shared" si="0"/>
        <v>480</v>
      </c>
      <c r="H11" s="1"/>
    </row>
    <row r="12" spans="1:8" x14ac:dyDescent="0.25">
      <c r="A12" s="30"/>
      <c r="B12" s="1" t="s">
        <v>88</v>
      </c>
      <c r="C12" s="1">
        <v>4</v>
      </c>
      <c r="D12" s="1">
        <v>98.4</v>
      </c>
      <c r="E12" s="1">
        <v>20</v>
      </c>
      <c r="F12" s="1" t="s">
        <v>18</v>
      </c>
      <c r="G12" s="23">
        <f t="shared" si="0"/>
        <v>1968</v>
      </c>
      <c r="H12" s="1"/>
    </row>
    <row r="13" spans="1:8" x14ac:dyDescent="0.25">
      <c r="A13" s="30"/>
      <c r="B13" s="1"/>
      <c r="C13" s="1"/>
      <c r="D13" s="1"/>
      <c r="E13" s="1"/>
      <c r="F13" s="1"/>
      <c r="G13" s="1"/>
      <c r="H13" s="1"/>
    </row>
    <row r="14" spans="1:8" x14ac:dyDescent="0.25">
      <c r="A14" s="30"/>
      <c r="B14" s="31" t="s">
        <v>7</v>
      </c>
      <c r="C14" s="32"/>
      <c r="D14" s="33"/>
      <c r="E14" s="3"/>
      <c r="F14" s="3"/>
      <c r="G14" s="14">
        <f>SUM(G9:G13)</f>
        <v>3348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0"/>
      <c r="B16" s="1"/>
      <c r="C16" s="1"/>
      <c r="D16" s="1"/>
      <c r="E16" s="1"/>
      <c r="F16" s="1"/>
      <c r="G16" s="1"/>
      <c r="H16" s="1"/>
    </row>
    <row r="17" spans="1:8" x14ac:dyDescent="0.25">
      <c r="A17" s="30"/>
      <c r="B17" s="1"/>
      <c r="C17" s="1"/>
      <c r="D17" s="1"/>
      <c r="E17" s="1"/>
      <c r="F17" s="1"/>
      <c r="G17" s="1"/>
      <c r="H17" s="1"/>
    </row>
    <row r="18" spans="1:8" x14ac:dyDescent="0.25">
      <c r="A18" s="30"/>
      <c r="B18" s="1"/>
      <c r="C18" s="1"/>
      <c r="D18" s="1"/>
      <c r="E18" s="1"/>
      <c r="F18" s="1"/>
      <c r="G18" s="1"/>
      <c r="H18" s="1"/>
    </row>
    <row r="19" spans="1:8" x14ac:dyDescent="0.25">
      <c r="A19" s="30"/>
      <c r="B19" s="1"/>
      <c r="C19" s="1"/>
      <c r="D19" s="1"/>
      <c r="E19" s="3"/>
      <c r="F19" s="3"/>
      <c r="G19" s="1"/>
      <c r="H19" s="1"/>
    </row>
    <row r="20" spans="1:8" x14ac:dyDescent="0.25">
      <c r="A20" s="30"/>
      <c r="B20" s="31" t="s">
        <v>7</v>
      </c>
      <c r="C20" s="32"/>
      <c r="D20" s="33"/>
      <c r="E20" s="3"/>
      <c r="F20" s="3"/>
      <c r="G20" s="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0"/>
      <c r="B22" s="1" t="s">
        <v>90</v>
      </c>
      <c r="C22" s="1">
        <v>30</v>
      </c>
      <c r="D22" s="1">
        <v>9.5</v>
      </c>
      <c r="E22" s="1">
        <v>40</v>
      </c>
      <c r="F22" s="1" t="s">
        <v>91</v>
      </c>
      <c r="G22" s="1">
        <f>D22*E22</f>
        <v>380</v>
      </c>
      <c r="H22" s="1" t="s">
        <v>94</v>
      </c>
    </row>
    <row r="23" spans="1:8" x14ac:dyDescent="0.25">
      <c r="A23" s="30"/>
      <c r="B23" s="1" t="s">
        <v>92</v>
      </c>
      <c r="C23" s="1">
        <v>1</v>
      </c>
      <c r="D23" s="1">
        <v>210</v>
      </c>
      <c r="E23" s="1">
        <v>1</v>
      </c>
      <c r="F23" s="1" t="s">
        <v>89</v>
      </c>
      <c r="G23" s="23">
        <f t="shared" ref="G23:G27" si="1">D23*E23</f>
        <v>210</v>
      </c>
      <c r="H23" s="1" t="s">
        <v>93</v>
      </c>
    </row>
    <row r="24" spans="1:8" x14ac:dyDescent="0.25">
      <c r="A24" s="30"/>
      <c r="B24" s="1" t="s">
        <v>129</v>
      </c>
      <c r="C24" s="1"/>
      <c r="D24" s="1">
        <v>37</v>
      </c>
      <c r="E24" s="1">
        <v>20</v>
      </c>
      <c r="F24" s="1" t="s">
        <v>130</v>
      </c>
      <c r="G24" s="23">
        <f t="shared" si="1"/>
        <v>740</v>
      </c>
      <c r="H24" s="1"/>
    </row>
    <row r="25" spans="1:8" x14ac:dyDescent="0.25">
      <c r="A25" s="30"/>
      <c r="B25" s="1" t="s">
        <v>131</v>
      </c>
      <c r="C25" s="1"/>
      <c r="D25" s="1">
        <v>750</v>
      </c>
      <c r="E25" s="1">
        <v>1</v>
      </c>
      <c r="F25" s="1" t="s">
        <v>132</v>
      </c>
      <c r="G25" s="23">
        <f t="shared" si="1"/>
        <v>750</v>
      </c>
      <c r="H25" s="1"/>
    </row>
    <row r="26" spans="1:8" x14ac:dyDescent="0.25">
      <c r="A26" s="30"/>
      <c r="B26" s="23" t="s">
        <v>133</v>
      </c>
      <c r="C26" s="23"/>
      <c r="D26" s="23">
        <v>70</v>
      </c>
      <c r="E26" s="23">
        <v>10</v>
      </c>
      <c r="F26" s="24" t="s">
        <v>134</v>
      </c>
      <c r="G26" s="24">
        <f t="shared" si="1"/>
        <v>700</v>
      </c>
      <c r="H26" s="23"/>
    </row>
    <row r="27" spans="1:8" x14ac:dyDescent="0.25">
      <c r="A27" s="30"/>
      <c r="B27" s="23" t="s">
        <v>135</v>
      </c>
      <c r="C27" s="23"/>
      <c r="D27" s="23">
        <v>162</v>
      </c>
      <c r="E27" s="23">
        <v>1</v>
      </c>
      <c r="F27" s="24" t="s">
        <v>136</v>
      </c>
      <c r="G27" s="24">
        <f t="shared" si="1"/>
        <v>162</v>
      </c>
      <c r="H27" s="23"/>
    </row>
    <row r="28" spans="1:8" x14ac:dyDescent="0.25">
      <c r="A28" s="30"/>
      <c r="B28" s="31" t="s">
        <v>7</v>
      </c>
      <c r="C28" s="32"/>
      <c r="D28" s="33"/>
      <c r="E28" s="3"/>
      <c r="F28" s="3"/>
      <c r="G28" s="16">
        <f>SUM(G22:G27)</f>
        <v>2942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30" t="s">
        <v>47</v>
      </c>
      <c r="B30" s="1" t="s">
        <v>86</v>
      </c>
      <c r="C30" s="1">
        <v>15</v>
      </c>
      <c r="D30" s="1">
        <v>138</v>
      </c>
      <c r="E30" s="1">
        <v>15</v>
      </c>
      <c r="F30" s="12" t="s">
        <v>56</v>
      </c>
      <c r="G30" s="1">
        <f>D30*E30</f>
        <v>2070</v>
      </c>
      <c r="H30" s="1"/>
    </row>
    <row r="31" spans="1:8" x14ac:dyDescent="0.25">
      <c r="A31" s="30"/>
      <c r="B31" s="1" t="s">
        <v>87</v>
      </c>
      <c r="C31" s="1">
        <v>15</v>
      </c>
      <c r="D31" s="1">
        <v>6.3</v>
      </c>
      <c r="E31" s="1">
        <v>15</v>
      </c>
      <c r="F31" s="1" t="s">
        <v>56</v>
      </c>
      <c r="G31" s="23">
        <f>D31*E31</f>
        <v>94.5</v>
      </c>
      <c r="H31" s="1"/>
    </row>
    <row r="32" spans="1:8" x14ac:dyDescent="0.25">
      <c r="A32" s="30"/>
      <c r="B32" s="1"/>
      <c r="C32" s="1"/>
      <c r="D32" s="1"/>
      <c r="E32" s="1"/>
      <c r="F32" s="1"/>
      <c r="G32" s="1"/>
      <c r="H32" s="1"/>
    </row>
    <row r="33" spans="1:8" x14ac:dyDescent="0.25">
      <c r="A33" s="30"/>
      <c r="B33" s="31" t="s">
        <v>16</v>
      </c>
      <c r="C33" s="32"/>
      <c r="D33" s="33"/>
      <c r="E33" s="3"/>
      <c r="F33" s="3"/>
      <c r="G33" s="14">
        <f>SUM(G30:G32)</f>
        <v>2164.5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0"/>
      <c r="B35" s="1" t="s">
        <v>127</v>
      </c>
      <c r="C35" s="1"/>
      <c r="D35" s="1">
        <v>6.12</v>
      </c>
      <c r="E35" s="1">
        <v>65</v>
      </c>
      <c r="F35" s="1" t="s">
        <v>128</v>
      </c>
      <c r="G35" s="1">
        <f>D35*E35</f>
        <v>397.8</v>
      </c>
      <c r="H35" s="1"/>
    </row>
    <row r="36" spans="1:8" x14ac:dyDescent="0.25">
      <c r="A36" s="41"/>
      <c r="B36" s="1" t="s">
        <v>137</v>
      </c>
      <c r="C36" s="1"/>
      <c r="D36" s="1">
        <v>41.28</v>
      </c>
      <c r="E36" s="1">
        <v>106.67</v>
      </c>
      <c r="F36" s="23" t="s">
        <v>128</v>
      </c>
      <c r="G36" s="23">
        <f>D36*E36</f>
        <v>4403.3375999999998</v>
      </c>
      <c r="H36" s="1"/>
    </row>
    <row r="37" spans="1:8" x14ac:dyDescent="0.25">
      <c r="A37" s="42"/>
      <c r="B37" s="31" t="s">
        <v>7</v>
      </c>
      <c r="C37" s="32"/>
      <c r="D37" s="33"/>
      <c r="E37" s="3"/>
      <c r="F37" s="3"/>
      <c r="G37" s="14">
        <f>SUM(G35:G36)</f>
        <v>4801.1376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0" t="s">
        <v>44</v>
      </c>
      <c r="B39" s="1" t="s">
        <v>57</v>
      </c>
      <c r="C39" s="1">
        <v>60</v>
      </c>
      <c r="D39" s="1">
        <v>19.8</v>
      </c>
      <c r="E39" s="1">
        <v>60</v>
      </c>
      <c r="F39" s="12" t="s">
        <v>17</v>
      </c>
      <c r="G39" s="1">
        <f>D39*E39</f>
        <v>1188</v>
      </c>
      <c r="H39" s="1"/>
    </row>
    <row r="40" spans="1:8" x14ac:dyDescent="0.25">
      <c r="A40" s="41"/>
      <c r="B40" s="1" t="s">
        <v>95</v>
      </c>
      <c r="C40" s="1">
        <v>20</v>
      </c>
      <c r="D40" s="1">
        <v>99</v>
      </c>
      <c r="E40" s="1">
        <v>20</v>
      </c>
      <c r="F40" s="12" t="s">
        <v>17</v>
      </c>
      <c r="G40" s="23">
        <f t="shared" ref="G40:G43" si="2">D40*E40</f>
        <v>1980</v>
      </c>
      <c r="H40" s="1"/>
    </row>
    <row r="41" spans="1:8" x14ac:dyDescent="0.25">
      <c r="A41" s="41"/>
      <c r="B41" s="1" t="s">
        <v>73</v>
      </c>
      <c r="C41" s="1">
        <v>8</v>
      </c>
      <c r="D41" s="1">
        <v>28.56</v>
      </c>
      <c r="E41" s="1">
        <v>8</v>
      </c>
      <c r="F41" s="12" t="s">
        <v>17</v>
      </c>
      <c r="G41" s="23">
        <f t="shared" si="2"/>
        <v>228.48</v>
      </c>
      <c r="H41" s="1"/>
    </row>
    <row r="42" spans="1:8" x14ac:dyDescent="0.25">
      <c r="A42" s="41"/>
      <c r="B42" s="1" t="s">
        <v>33</v>
      </c>
      <c r="C42" s="1">
        <v>5</v>
      </c>
      <c r="D42" s="1">
        <v>45</v>
      </c>
      <c r="E42" s="1">
        <v>5</v>
      </c>
      <c r="F42" s="12" t="s">
        <v>17</v>
      </c>
      <c r="G42" s="23">
        <f t="shared" si="2"/>
        <v>225</v>
      </c>
      <c r="H42" s="1"/>
    </row>
    <row r="43" spans="1:8" x14ac:dyDescent="0.25">
      <c r="A43" s="41"/>
      <c r="B43" s="12" t="s">
        <v>34</v>
      </c>
      <c r="C43" s="12">
        <v>3</v>
      </c>
      <c r="D43" s="13">
        <v>13.68</v>
      </c>
      <c r="E43" s="13">
        <v>3</v>
      </c>
      <c r="F43" s="13" t="s">
        <v>56</v>
      </c>
      <c r="G43" s="23">
        <f t="shared" si="2"/>
        <v>41.04</v>
      </c>
      <c r="H43" s="12"/>
    </row>
    <row r="44" spans="1:8" x14ac:dyDescent="0.25">
      <c r="A44" s="42"/>
      <c r="B44" s="31" t="s">
        <v>7</v>
      </c>
      <c r="C44" s="32"/>
      <c r="D44" s="33"/>
      <c r="E44" s="3"/>
      <c r="F44" s="3"/>
      <c r="G44" s="14">
        <f>SUM(G39:G43)</f>
        <v>3662.52</v>
      </c>
      <c r="H44" s="1"/>
    </row>
    <row r="45" spans="1:8" x14ac:dyDescent="0.25">
      <c r="A45" s="12"/>
      <c r="B45" s="37" t="s">
        <v>14</v>
      </c>
      <c r="C45" s="38"/>
      <c r="D45" s="39"/>
      <c r="E45" s="8"/>
      <c r="F45" s="8"/>
      <c r="G45" s="9">
        <f>G44+G37+G33+G20+G14+G7+G28</f>
        <v>20902.3976</v>
      </c>
      <c r="H45" s="1"/>
    </row>
  </sheetData>
  <mergeCells count="16">
    <mergeCell ref="B44:D44"/>
    <mergeCell ref="B45:D45"/>
    <mergeCell ref="A22:A28"/>
    <mergeCell ref="B28:D28"/>
    <mergeCell ref="A30:A33"/>
    <mergeCell ref="B33:D33"/>
    <mergeCell ref="A35:A37"/>
    <mergeCell ref="B37:D37"/>
    <mergeCell ref="A39:A4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4" t="s">
        <v>26</v>
      </c>
      <c r="B1" s="35"/>
      <c r="C1" s="35"/>
      <c r="D1" s="35"/>
      <c r="E1" s="35"/>
      <c r="F1" s="35"/>
      <c r="G1" s="35"/>
      <c r="H1" s="3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0" t="s">
        <v>48</v>
      </c>
      <c r="B3" s="1" t="s">
        <v>96</v>
      </c>
      <c r="C3" s="1">
        <v>55</v>
      </c>
      <c r="D3" s="1">
        <v>150</v>
      </c>
      <c r="E3" s="1">
        <v>55</v>
      </c>
      <c r="F3" s="1" t="s">
        <v>56</v>
      </c>
      <c r="G3" s="2">
        <f>D3*E3</f>
        <v>8250</v>
      </c>
      <c r="H3" s="1"/>
    </row>
    <row r="4" spans="1:8" x14ac:dyDescent="0.25">
      <c r="A4" s="30"/>
      <c r="B4" s="1" t="s">
        <v>73</v>
      </c>
      <c r="C4" s="1">
        <v>10</v>
      </c>
      <c r="D4" s="1">
        <v>28.56</v>
      </c>
      <c r="E4" s="1">
        <v>10</v>
      </c>
      <c r="F4" s="1" t="s">
        <v>56</v>
      </c>
      <c r="G4" s="2">
        <f t="shared" ref="G4:G5" si="0">D4*E4</f>
        <v>285.59999999999997</v>
      </c>
      <c r="H4" s="1"/>
    </row>
    <row r="5" spans="1:8" x14ac:dyDescent="0.25">
      <c r="A5" s="30"/>
      <c r="B5" s="1" t="s">
        <v>97</v>
      </c>
      <c r="C5" s="1">
        <v>5</v>
      </c>
      <c r="D5" s="1">
        <v>70</v>
      </c>
      <c r="E5" s="1">
        <v>5</v>
      </c>
      <c r="F5" s="1" t="s">
        <v>89</v>
      </c>
      <c r="G5" s="2">
        <f t="shared" si="0"/>
        <v>350</v>
      </c>
      <c r="H5" s="1"/>
    </row>
    <row r="6" spans="1:8" x14ac:dyDescent="0.25">
      <c r="A6" s="30"/>
      <c r="B6" s="1"/>
      <c r="C6" s="1"/>
      <c r="D6" s="1"/>
      <c r="E6" s="3"/>
      <c r="F6" s="3"/>
      <c r="G6" s="3"/>
      <c r="H6" s="1"/>
    </row>
    <row r="7" spans="1:8" x14ac:dyDescent="0.25">
      <c r="A7" s="30"/>
      <c r="B7" s="31" t="s">
        <v>7</v>
      </c>
      <c r="C7" s="32"/>
      <c r="D7" s="33"/>
      <c r="E7" s="3"/>
      <c r="F7" s="3"/>
      <c r="G7" s="14">
        <f>SUM(G3:G6)</f>
        <v>8885.6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0" t="s">
        <v>49</v>
      </c>
      <c r="B9" s="18" t="s">
        <v>98</v>
      </c>
      <c r="C9" s="1">
        <v>25</v>
      </c>
      <c r="D9" s="1">
        <v>28.5</v>
      </c>
      <c r="E9" s="1">
        <v>25</v>
      </c>
      <c r="F9" s="12" t="s">
        <v>56</v>
      </c>
      <c r="G9" s="1">
        <f>D9*E9</f>
        <v>712.5</v>
      </c>
      <c r="H9" s="1"/>
    </row>
    <row r="10" spans="1:8" x14ac:dyDescent="0.25">
      <c r="A10" s="30"/>
      <c r="B10" s="1" t="s">
        <v>99</v>
      </c>
      <c r="C10" s="1">
        <v>10</v>
      </c>
      <c r="D10" s="1">
        <v>97.5</v>
      </c>
      <c r="E10" s="1">
        <v>10</v>
      </c>
      <c r="F10" s="12" t="s">
        <v>56</v>
      </c>
      <c r="G10" s="26">
        <f t="shared" ref="G10:G12" si="1">D10*E10</f>
        <v>975</v>
      </c>
      <c r="H10" s="1"/>
    </row>
    <row r="11" spans="1:8" x14ac:dyDescent="0.25">
      <c r="A11" s="30"/>
      <c r="B11" s="1" t="s">
        <v>33</v>
      </c>
      <c r="C11" s="1">
        <v>4</v>
      </c>
      <c r="D11" s="1">
        <v>45</v>
      </c>
      <c r="E11" s="1">
        <v>4</v>
      </c>
      <c r="F11" s="12" t="s">
        <v>56</v>
      </c>
      <c r="G11" s="26">
        <f t="shared" si="1"/>
        <v>180</v>
      </c>
      <c r="H11" s="1"/>
    </row>
    <row r="12" spans="1:8" x14ac:dyDescent="0.25">
      <c r="A12" s="30"/>
      <c r="B12" s="1" t="s">
        <v>95</v>
      </c>
      <c r="C12" s="1">
        <v>10</v>
      </c>
      <c r="D12" s="1">
        <v>99</v>
      </c>
      <c r="E12" s="1">
        <v>10</v>
      </c>
      <c r="F12" s="12" t="s">
        <v>56</v>
      </c>
      <c r="G12" s="26">
        <f t="shared" si="1"/>
        <v>990</v>
      </c>
      <c r="H12" s="1"/>
    </row>
    <row r="13" spans="1:8" x14ac:dyDescent="0.25">
      <c r="A13" s="30"/>
      <c r="B13" s="1"/>
      <c r="C13" s="1"/>
      <c r="D13" s="1"/>
      <c r="E13" s="1"/>
      <c r="F13" s="1"/>
      <c r="G13" s="1"/>
      <c r="H13" s="1"/>
    </row>
    <row r="14" spans="1:8" x14ac:dyDescent="0.25">
      <c r="A14" s="30"/>
      <c r="B14" s="31" t="s">
        <v>7</v>
      </c>
      <c r="C14" s="32"/>
      <c r="D14" s="33"/>
      <c r="E14" s="3"/>
      <c r="F14" s="3"/>
      <c r="G14" s="14">
        <f>SUM(G9:G13)</f>
        <v>2857.5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0" t="s">
        <v>50</v>
      </c>
      <c r="B16" s="1" t="s">
        <v>73</v>
      </c>
      <c r="C16" s="1">
        <v>15</v>
      </c>
      <c r="D16" s="1">
        <v>28.56</v>
      </c>
      <c r="E16" s="1">
        <v>15</v>
      </c>
      <c r="F16" s="1" t="s">
        <v>56</v>
      </c>
      <c r="G16" s="1">
        <f>D16*E16</f>
        <v>428.4</v>
      </c>
      <c r="H16" s="1"/>
    </row>
    <row r="17" spans="1:8" x14ac:dyDescent="0.25">
      <c r="A17" s="30"/>
      <c r="B17" s="1" t="s">
        <v>100</v>
      </c>
      <c r="C17" s="1">
        <v>15</v>
      </c>
      <c r="D17" s="1">
        <v>27</v>
      </c>
      <c r="E17" s="1">
        <v>15</v>
      </c>
      <c r="F17" s="12" t="s">
        <v>56</v>
      </c>
      <c r="G17" s="26">
        <f t="shared" ref="G17:G18" si="2">D17*E17</f>
        <v>405</v>
      </c>
      <c r="H17" s="1"/>
    </row>
    <row r="18" spans="1:8" x14ac:dyDescent="0.25">
      <c r="A18" s="30"/>
      <c r="B18" s="1" t="s">
        <v>101</v>
      </c>
      <c r="C18" s="1">
        <v>1</v>
      </c>
      <c r="D18" s="1">
        <v>48</v>
      </c>
      <c r="E18" s="1">
        <v>20</v>
      </c>
      <c r="F18" s="1" t="s">
        <v>18</v>
      </c>
      <c r="G18" s="26">
        <f t="shared" si="2"/>
        <v>960</v>
      </c>
      <c r="H18" s="1"/>
    </row>
    <row r="19" spans="1:8" x14ac:dyDescent="0.25">
      <c r="A19" s="30"/>
      <c r="B19" s="1"/>
      <c r="C19" s="1"/>
      <c r="D19" s="1"/>
      <c r="E19" s="3"/>
      <c r="F19" s="3"/>
      <c r="G19" s="1"/>
      <c r="H19" s="1"/>
    </row>
    <row r="20" spans="1:8" x14ac:dyDescent="0.25">
      <c r="A20" s="30"/>
      <c r="B20" s="31" t="s">
        <v>7</v>
      </c>
      <c r="C20" s="32"/>
      <c r="D20" s="33"/>
      <c r="E20" s="3"/>
      <c r="F20" s="3"/>
      <c r="G20" s="14">
        <f>SUM(G16:G19)</f>
        <v>1793.4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0"/>
      <c r="B22" s="1" t="s">
        <v>57</v>
      </c>
      <c r="C22" s="1">
        <v>8</v>
      </c>
      <c r="D22" s="1">
        <v>19.8</v>
      </c>
      <c r="E22" s="1">
        <v>8</v>
      </c>
      <c r="F22" s="12" t="s">
        <v>56</v>
      </c>
      <c r="G22" s="1">
        <f>D22*E22</f>
        <v>158.4</v>
      </c>
      <c r="H22" s="1"/>
    </row>
    <row r="23" spans="1:8" x14ac:dyDescent="0.25">
      <c r="A23" s="30"/>
      <c r="B23" s="1" t="s">
        <v>80</v>
      </c>
      <c r="C23" s="1">
        <v>1</v>
      </c>
      <c r="D23" s="1">
        <v>60</v>
      </c>
      <c r="E23" s="1">
        <v>1</v>
      </c>
      <c r="F23" s="1" t="s">
        <v>81</v>
      </c>
      <c r="G23" s="26">
        <f>D23*E23</f>
        <v>60</v>
      </c>
      <c r="H23" s="1"/>
    </row>
    <row r="24" spans="1:8" x14ac:dyDescent="0.25">
      <c r="A24" s="30"/>
      <c r="B24" s="1"/>
      <c r="C24" s="1"/>
      <c r="D24" s="1"/>
      <c r="E24" s="1"/>
      <c r="F24" s="1"/>
      <c r="G24" s="1"/>
      <c r="H24" s="1"/>
    </row>
    <row r="25" spans="1:8" x14ac:dyDescent="0.25">
      <c r="A25" s="30"/>
      <c r="B25" s="1"/>
      <c r="C25" s="1"/>
      <c r="D25" s="1"/>
      <c r="E25" s="1"/>
      <c r="F25" s="1"/>
      <c r="G25" s="1"/>
      <c r="H25" s="1"/>
    </row>
    <row r="26" spans="1:8" x14ac:dyDescent="0.25">
      <c r="A26" s="30"/>
      <c r="B26" s="31" t="s">
        <v>7</v>
      </c>
      <c r="C26" s="32"/>
      <c r="D26" s="33"/>
      <c r="E26" s="3"/>
      <c r="F26" s="3"/>
      <c r="G26" s="16">
        <f>SUM(G22:G25)</f>
        <v>218.4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30" t="s">
        <v>51</v>
      </c>
      <c r="B28" s="1" t="s">
        <v>102</v>
      </c>
      <c r="C28" s="1" t="s">
        <v>69</v>
      </c>
      <c r="D28" s="1">
        <v>70.8</v>
      </c>
      <c r="E28" s="1">
        <v>50</v>
      </c>
      <c r="F28" s="1" t="s">
        <v>139</v>
      </c>
      <c r="G28" s="1">
        <f>D28*E28</f>
        <v>3540</v>
      </c>
      <c r="H28" s="1"/>
    </row>
    <row r="29" spans="1:8" x14ac:dyDescent="0.25">
      <c r="A29" s="30"/>
      <c r="B29" s="1"/>
      <c r="C29" s="1"/>
      <c r="D29" s="1"/>
      <c r="E29" s="1"/>
      <c r="F29" s="1"/>
      <c r="G29" s="1"/>
      <c r="H29" s="1"/>
    </row>
    <row r="30" spans="1:8" x14ac:dyDescent="0.25">
      <c r="A30" s="30"/>
      <c r="B30" s="1"/>
      <c r="C30" s="1"/>
      <c r="D30" s="1"/>
      <c r="E30" s="1"/>
      <c r="F30" s="1"/>
      <c r="G30" s="1"/>
      <c r="H30" s="1"/>
    </row>
    <row r="31" spans="1:8" x14ac:dyDescent="0.25">
      <c r="A31" s="30"/>
      <c r="B31" s="31"/>
      <c r="C31" s="32"/>
      <c r="D31" s="33"/>
      <c r="E31" s="3"/>
      <c r="F31" s="3"/>
      <c r="G31" s="16">
        <f>SUM(G28:G30)</f>
        <v>3540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0"/>
      <c r="B33" s="1" t="s">
        <v>140</v>
      </c>
      <c r="C33" s="1"/>
      <c r="D33" s="1">
        <v>14.4</v>
      </c>
      <c r="E33" s="1">
        <v>65</v>
      </c>
      <c r="F33" s="1" t="s">
        <v>139</v>
      </c>
      <c r="G33" s="1">
        <f>D33*E33</f>
        <v>936</v>
      </c>
      <c r="H33" s="1"/>
    </row>
    <row r="34" spans="1:8" x14ac:dyDescent="0.25">
      <c r="A34" s="41"/>
      <c r="B34" s="1" t="s">
        <v>141</v>
      </c>
      <c r="C34" s="1"/>
      <c r="D34" s="1">
        <v>100</v>
      </c>
      <c r="E34" s="1">
        <v>30</v>
      </c>
      <c r="F34" s="1" t="s">
        <v>142</v>
      </c>
      <c r="G34" s="2">
        <v>3000</v>
      </c>
      <c r="H34" s="1"/>
    </row>
    <row r="35" spans="1:8" x14ac:dyDescent="0.25">
      <c r="A35" s="42"/>
      <c r="B35" s="31" t="s">
        <v>7</v>
      </c>
      <c r="C35" s="32"/>
      <c r="D35" s="33"/>
      <c r="E35" s="3"/>
      <c r="F35" s="3"/>
      <c r="G35" s="14">
        <f>SUM(G33:G34)</f>
        <v>3936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30"/>
      <c r="B37" s="1" t="s">
        <v>138</v>
      </c>
      <c r="C37" s="1"/>
      <c r="D37" s="1">
        <v>99</v>
      </c>
      <c r="E37" s="1">
        <v>10</v>
      </c>
      <c r="F37" s="1" t="s">
        <v>139</v>
      </c>
      <c r="G37" s="1">
        <f>D37*E37</f>
        <v>990</v>
      </c>
      <c r="H37" s="1"/>
    </row>
    <row r="38" spans="1:8" x14ac:dyDescent="0.25">
      <c r="A38" s="30"/>
      <c r="B38" s="1"/>
      <c r="C38" s="1"/>
      <c r="D38" s="1"/>
      <c r="E38" s="1"/>
      <c r="F38" s="1"/>
      <c r="G38" s="1"/>
      <c r="H38" s="1"/>
    </row>
    <row r="39" spans="1:8" x14ac:dyDescent="0.25">
      <c r="A39" s="30"/>
      <c r="B39" s="1"/>
      <c r="C39" s="1"/>
      <c r="D39" s="1"/>
      <c r="E39" s="1"/>
      <c r="F39" s="1"/>
      <c r="G39" s="1"/>
      <c r="H39" s="1"/>
    </row>
    <row r="40" spans="1:8" x14ac:dyDescent="0.25">
      <c r="A40" s="30"/>
      <c r="B40" s="1"/>
      <c r="C40" s="1"/>
      <c r="D40" s="1"/>
      <c r="E40" s="1"/>
      <c r="F40" s="1"/>
      <c r="G40" s="1"/>
      <c r="H40" s="1"/>
    </row>
    <row r="41" spans="1:8" x14ac:dyDescent="0.25">
      <c r="A41" s="30"/>
      <c r="B41" s="31" t="s">
        <v>7</v>
      </c>
      <c r="C41" s="32"/>
      <c r="D41" s="33"/>
      <c r="E41" s="3"/>
      <c r="F41" s="3"/>
      <c r="G41" s="16">
        <f>SUM(G37:G40)</f>
        <v>990</v>
      </c>
      <c r="H41" s="1"/>
    </row>
    <row r="42" spans="1:8" x14ac:dyDescent="0.25">
      <c r="A42" s="1"/>
      <c r="B42" s="37" t="s">
        <v>14</v>
      </c>
      <c r="C42" s="38"/>
      <c r="D42" s="39"/>
      <c r="E42" s="8"/>
      <c r="F42" s="8"/>
      <c r="G42" s="9">
        <f>G41+G35+G31+G20+G14+G7+G26</f>
        <v>22220.9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topLeftCell="A38" workbookViewId="0">
      <selection activeCell="G60" sqref="G6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4" t="s">
        <v>27</v>
      </c>
      <c r="B1" s="35"/>
      <c r="C1" s="35"/>
      <c r="D1" s="35"/>
      <c r="E1" s="35"/>
      <c r="F1" s="35"/>
      <c r="G1" s="35"/>
      <c r="H1" s="3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0" t="s">
        <v>103</v>
      </c>
      <c r="B3" s="1" t="s">
        <v>104</v>
      </c>
      <c r="C3" s="1">
        <v>240</v>
      </c>
      <c r="D3" s="1">
        <v>66</v>
      </c>
      <c r="E3" s="1">
        <v>60.05</v>
      </c>
      <c r="F3" s="1" t="s">
        <v>18</v>
      </c>
      <c r="G3" s="2">
        <f>D3*E3</f>
        <v>3963.2999999999997</v>
      </c>
      <c r="H3" s="1"/>
    </row>
    <row r="4" spans="1:8" x14ac:dyDescent="0.25">
      <c r="A4" s="30"/>
      <c r="B4" s="1"/>
      <c r="C4" s="1"/>
      <c r="D4" s="1"/>
      <c r="E4" s="1"/>
      <c r="F4" s="1"/>
      <c r="G4" s="1"/>
      <c r="H4" s="1"/>
    </row>
    <row r="5" spans="1:8" x14ac:dyDescent="0.25">
      <c r="A5" s="30"/>
      <c r="B5" s="1"/>
      <c r="C5" s="1"/>
      <c r="D5" s="1"/>
      <c r="E5" s="1"/>
      <c r="F5" s="1"/>
      <c r="G5" s="1"/>
      <c r="H5" s="1"/>
    </row>
    <row r="6" spans="1:8" x14ac:dyDescent="0.25">
      <c r="A6" s="30"/>
      <c r="B6" s="1"/>
      <c r="C6" s="1"/>
      <c r="D6" s="1"/>
      <c r="E6" s="3"/>
      <c r="F6" s="3"/>
      <c r="G6" s="3"/>
      <c r="H6" s="1"/>
    </row>
    <row r="7" spans="1:8" x14ac:dyDescent="0.25">
      <c r="A7" s="30"/>
      <c r="B7" s="1"/>
      <c r="C7" s="1"/>
      <c r="D7" s="1"/>
      <c r="E7" s="3"/>
      <c r="F7" s="3"/>
      <c r="G7" s="3"/>
      <c r="H7" s="1"/>
    </row>
    <row r="8" spans="1:8" x14ac:dyDescent="0.25">
      <c r="A8" s="30"/>
      <c r="B8" s="31" t="s">
        <v>7</v>
      </c>
      <c r="C8" s="32"/>
      <c r="D8" s="33"/>
      <c r="E8" s="3"/>
      <c r="F8" s="3"/>
      <c r="G8" s="14">
        <f>SUM(G3:G7)</f>
        <v>3963.2999999999997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30" t="s">
        <v>52</v>
      </c>
      <c r="B10" s="1" t="s">
        <v>105</v>
      </c>
      <c r="C10" s="1">
        <v>25</v>
      </c>
      <c r="D10" s="1">
        <v>42.3</v>
      </c>
      <c r="E10" s="1">
        <v>25</v>
      </c>
      <c r="F10" s="12" t="s">
        <v>56</v>
      </c>
      <c r="G10" s="2">
        <f>D10*E10</f>
        <v>1057.5</v>
      </c>
      <c r="H10" s="1"/>
    </row>
    <row r="11" spans="1:8" x14ac:dyDescent="0.25">
      <c r="A11" s="30"/>
      <c r="B11" s="1" t="s">
        <v>95</v>
      </c>
      <c r="C11" s="1">
        <v>10</v>
      </c>
      <c r="D11" s="1">
        <v>99</v>
      </c>
      <c r="E11" s="1">
        <v>10</v>
      </c>
      <c r="F11" s="12" t="s">
        <v>56</v>
      </c>
      <c r="G11" s="2">
        <f t="shared" ref="G11:G13" si="0">D11*E11</f>
        <v>990</v>
      </c>
      <c r="H11" s="1"/>
    </row>
    <row r="12" spans="1:8" x14ac:dyDescent="0.25">
      <c r="A12" s="30"/>
      <c r="B12" s="1" t="s">
        <v>34</v>
      </c>
      <c r="C12" s="1">
        <v>2</v>
      </c>
      <c r="D12" s="1">
        <v>14.82</v>
      </c>
      <c r="E12" s="1">
        <v>2</v>
      </c>
      <c r="F12" s="12" t="s">
        <v>56</v>
      </c>
      <c r="G12" s="2">
        <f t="shared" si="0"/>
        <v>29.64</v>
      </c>
      <c r="H12" s="1"/>
    </row>
    <row r="13" spans="1:8" x14ac:dyDescent="0.25">
      <c r="A13" s="30"/>
      <c r="B13" s="1" t="s">
        <v>73</v>
      </c>
      <c r="C13" s="1">
        <v>6</v>
      </c>
      <c r="D13" s="1">
        <v>28.56</v>
      </c>
      <c r="E13" s="1">
        <v>6</v>
      </c>
      <c r="F13" s="12" t="s">
        <v>56</v>
      </c>
      <c r="G13" s="2">
        <f t="shared" si="0"/>
        <v>171.35999999999999</v>
      </c>
      <c r="H13" s="1"/>
    </row>
    <row r="14" spans="1:8" x14ac:dyDescent="0.25">
      <c r="A14" s="30"/>
      <c r="B14" s="1"/>
      <c r="C14" s="1"/>
      <c r="D14" s="1"/>
      <c r="E14" s="1"/>
      <c r="F14" s="1"/>
      <c r="G14" s="1"/>
      <c r="H14" s="1"/>
    </row>
    <row r="15" spans="1:8" x14ac:dyDescent="0.25">
      <c r="A15" s="30"/>
      <c r="B15" s="31" t="s">
        <v>7</v>
      </c>
      <c r="C15" s="32"/>
      <c r="D15" s="33"/>
      <c r="E15" s="3"/>
      <c r="F15" s="3"/>
      <c r="G15" s="14">
        <f>SUM(G10:G14)</f>
        <v>2248.5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30" t="s">
        <v>53</v>
      </c>
      <c r="B17" s="1" t="s">
        <v>106</v>
      </c>
      <c r="C17" s="1">
        <v>50</v>
      </c>
      <c r="D17" s="1">
        <v>55.08</v>
      </c>
      <c r="E17" s="1">
        <v>50</v>
      </c>
      <c r="F17" s="12" t="s">
        <v>56</v>
      </c>
      <c r="G17" s="1">
        <f>D17*E17</f>
        <v>2754</v>
      </c>
      <c r="H17" s="1"/>
    </row>
    <row r="18" spans="1:8" x14ac:dyDescent="0.25">
      <c r="A18" s="30"/>
      <c r="B18" s="1" t="s">
        <v>38</v>
      </c>
      <c r="C18" s="1">
        <v>4</v>
      </c>
      <c r="D18" s="1">
        <v>85</v>
      </c>
      <c r="E18" s="1">
        <v>4</v>
      </c>
      <c r="F18" s="12" t="s">
        <v>56</v>
      </c>
      <c r="G18" s="28">
        <f t="shared" ref="G18:G19" si="1">D18*E18</f>
        <v>340</v>
      </c>
      <c r="H18" s="1"/>
    </row>
    <row r="19" spans="1:8" x14ac:dyDescent="0.25">
      <c r="A19" s="30"/>
      <c r="B19" s="1" t="s">
        <v>107</v>
      </c>
      <c r="C19" s="1">
        <v>25</v>
      </c>
      <c r="D19" s="1">
        <v>15</v>
      </c>
      <c r="E19" s="1">
        <v>25</v>
      </c>
      <c r="F19" s="1" t="s">
        <v>110</v>
      </c>
      <c r="G19" s="28">
        <f t="shared" si="1"/>
        <v>375</v>
      </c>
      <c r="H19" s="1"/>
    </row>
    <row r="20" spans="1:8" x14ac:dyDescent="0.25">
      <c r="A20" s="30"/>
      <c r="B20" s="1"/>
      <c r="C20" s="1"/>
      <c r="D20" s="1"/>
      <c r="E20" s="3"/>
      <c r="F20" s="3"/>
      <c r="G20" s="1"/>
      <c r="H20" s="1"/>
    </row>
    <row r="21" spans="1:8" x14ac:dyDescent="0.25">
      <c r="A21" s="30"/>
      <c r="B21" s="31" t="s">
        <v>7</v>
      </c>
      <c r="C21" s="32"/>
      <c r="D21" s="33"/>
      <c r="E21" s="3"/>
      <c r="F21" s="3"/>
      <c r="G21" s="16">
        <f>SUM(G17:G20)</f>
        <v>3469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3"/>
      <c r="B23" s="12" t="s">
        <v>35</v>
      </c>
      <c r="C23" s="12">
        <v>3</v>
      </c>
      <c r="D23" s="12">
        <v>93</v>
      </c>
      <c r="E23" s="12">
        <v>3</v>
      </c>
      <c r="F23" s="12" t="s">
        <v>56</v>
      </c>
      <c r="G23" s="12">
        <f>D23*E23</f>
        <v>279</v>
      </c>
      <c r="H23" s="12" t="s">
        <v>94</v>
      </c>
    </row>
    <row r="24" spans="1:8" x14ac:dyDescent="0.25">
      <c r="A24" s="44"/>
      <c r="B24" s="12" t="s">
        <v>113</v>
      </c>
      <c r="C24" s="12">
        <v>15</v>
      </c>
      <c r="D24" s="12">
        <v>12</v>
      </c>
      <c r="E24" s="12">
        <v>15</v>
      </c>
      <c r="F24" s="12" t="s">
        <v>83</v>
      </c>
      <c r="G24" s="28">
        <f t="shared" ref="G24:G38" si="2">D24*E24</f>
        <v>180</v>
      </c>
      <c r="H24" s="12" t="s">
        <v>94</v>
      </c>
    </row>
    <row r="25" spans="1:8" x14ac:dyDescent="0.25">
      <c r="A25" s="44"/>
      <c r="B25" s="12" t="s">
        <v>114</v>
      </c>
      <c r="C25" s="12">
        <v>20</v>
      </c>
      <c r="D25" s="12">
        <v>132</v>
      </c>
      <c r="E25" s="12">
        <v>1.34</v>
      </c>
      <c r="F25" s="28" t="s">
        <v>18</v>
      </c>
      <c r="G25" s="28">
        <f t="shared" si="2"/>
        <v>176.88000000000002</v>
      </c>
      <c r="H25" s="12" t="s">
        <v>94</v>
      </c>
    </row>
    <row r="26" spans="1:8" x14ac:dyDescent="0.25">
      <c r="A26" s="44"/>
      <c r="B26" s="1" t="s">
        <v>111</v>
      </c>
      <c r="C26" s="1">
        <v>1</v>
      </c>
      <c r="D26" s="1">
        <v>4.5</v>
      </c>
      <c r="E26" s="1">
        <v>50</v>
      </c>
      <c r="F26" s="1" t="s">
        <v>22</v>
      </c>
      <c r="G26" s="28">
        <f t="shared" si="2"/>
        <v>225</v>
      </c>
      <c r="H26" s="1" t="s">
        <v>93</v>
      </c>
    </row>
    <row r="27" spans="1:8" x14ac:dyDescent="0.25">
      <c r="A27" s="44"/>
      <c r="B27" s="1" t="s">
        <v>80</v>
      </c>
      <c r="C27" s="1">
        <v>1</v>
      </c>
      <c r="D27" s="1">
        <v>60</v>
      </c>
      <c r="E27" s="1">
        <v>1</v>
      </c>
      <c r="F27" s="1" t="s">
        <v>81</v>
      </c>
      <c r="G27" s="28">
        <f t="shared" si="2"/>
        <v>60</v>
      </c>
      <c r="H27" s="12" t="s">
        <v>93</v>
      </c>
    </row>
    <row r="28" spans="1:8" x14ac:dyDescent="0.25">
      <c r="A28" s="44"/>
      <c r="B28" s="1" t="s">
        <v>112</v>
      </c>
      <c r="C28" s="1">
        <v>1</v>
      </c>
      <c r="D28" s="1">
        <v>240</v>
      </c>
      <c r="E28" s="1">
        <v>1</v>
      </c>
      <c r="F28" s="1" t="s">
        <v>65</v>
      </c>
      <c r="G28" s="28">
        <f t="shared" si="2"/>
        <v>240</v>
      </c>
      <c r="H28" s="12" t="s">
        <v>93</v>
      </c>
    </row>
    <row r="29" spans="1:8" x14ac:dyDescent="0.25">
      <c r="A29" s="44"/>
      <c r="B29" s="28" t="s">
        <v>146</v>
      </c>
      <c r="C29" s="28"/>
      <c r="D29" s="28">
        <v>225</v>
      </c>
      <c r="E29" s="28">
        <v>2</v>
      </c>
      <c r="F29" s="1" t="s">
        <v>147</v>
      </c>
      <c r="G29" s="28">
        <f t="shared" si="2"/>
        <v>450</v>
      </c>
      <c r="H29" s="1"/>
    </row>
    <row r="30" spans="1:8" x14ac:dyDescent="0.25">
      <c r="A30" s="44"/>
      <c r="B30" s="28" t="s">
        <v>148</v>
      </c>
      <c r="C30" s="28"/>
      <c r="D30" s="28">
        <v>235</v>
      </c>
      <c r="E30" s="28">
        <v>1</v>
      </c>
      <c r="F30" s="29" t="s">
        <v>147</v>
      </c>
      <c r="G30" s="28">
        <f t="shared" si="2"/>
        <v>235</v>
      </c>
      <c r="H30" s="28"/>
    </row>
    <row r="31" spans="1:8" x14ac:dyDescent="0.25">
      <c r="A31" s="44"/>
      <c r="B31" s="28" t="s">
        <v>149</v>
      </c>
      <c r="C31" s="28"/>
      <c r="D31" s="28">
        <v>181</v>
      </c>
      <c r="E31" s="28">
        <v>1</v>
      </c>
      <c r="F31" s="29" t="s">
        <v>147</v>
      </c>
      <c r="G31" s="28">
        <f t="shared" si="2"/>
        <v>181</v>
      </c>
      <c r="H31" s="28"/>
    </row>
    <row r="32" spans="1:8" x14ac:dyDescent="0.25">
      <c r="A32" s="44"/>
      <c r="B32" s="28" t="s">
        <v>150</v>
      </c>
      <c r="C32" s="28"/>
      <c r="D32" s="28">
        <v>219</v>
      </c>
      <c r="E32" s="28">
        <v>2</v>
      </c>
      <c r="F32" s="29" t="s">
        <v>147</v>
      </c>
      <c r="G32" s="28">
        <f t="shared" si="2"/>
        <v>438</v>
      </c>
      <c r="H32" s="28"/>
    </row>
    <row r="33" spans="1:8" x14ac:dyDescent="0.25">
      <c r="A33" s="44"/>
      <c r="B33" s="28" t="s">
        <v>151</v>
      </c>
      <c r="C33" s="28"/>
      <c r="D33" s="28">
        <v>75</v>
      </c>
      <c r="E33" s="28">
        <v>15</v>
      </c>
      <c r="F33" s="29" t="s">
        <v>152</v>
      </c>
      <c r="G33" s="28">
        <f t="shared" si="2"/>
        <v>1125</v>
      </c>
      <c r="H33" s="28"/>
    </row>
    <row r="34" spans="1:8" x14ac:dyDescent="0.25">
      <c r="A34" s="44"/>
      <c r="B34" s="28" t="s">
        <v>153</v>
      </c>
      <c r="C34" s="28"/>
      <c r="D34" s="28">
        <v>204</v>
      </c>
      <c r="E34" s="28">
        <v>2</v>
      </c>
      <c r="F34" s="29" t="s">
        <v>145</v>
      </c>
      <c r="G34" s="28">
        <f t="shared" si="2"/>
        <v>408</v>
      </c>
      <c r="H34" s="28"/>
    </row>
    <row r="35" spans="1:8" x14ac:dyDescent="0.25">
      <c r="A35" s="44"/>
      <c r="B35" s="28" t="s">
        <v>154</v>
      </c>
      <c r="C35" s="28"/>
      <c r="D35" s="28">
        <v>41.4</v>
      </c>
      <c r="E35" s="28">
        <v>3</v>
      </c>
      <c r="F35" s="29" t="s">
        <v>145</v>
      </c>
      <c r="G35" s="28">
        <f t="shared" si="2"/>
        <v>124.19999999999999</v>
      </c>
      <c r="H35" s="28"/>
    </row>
    <row r="36" spans="1:8" x14ac:dyDescent="0.25">
      <c r="A36" s="44"/>
      <c r="B36" s="28" t="s">
        <v>155</v>
      </c>
      <c r="C36" s="28"/>
      <c r="D36" s="28">
        <v>175</v>
      </c>
      <c r="E36" s="28">
        <v>1</v>
      </c>
      <c r="F36" s="29" t="s">
        <v>156</v>
      </c>
      <c r="G36" s="28">
        <f t="shared" si="2"/>
        <v>175</v>
      </c>
      <c r="H36" s="28"/>
    </row>
    <row r="37" spans="1:8" x14ac:dyDescent="0.25">
      <c r="A37" s="44"/>
      <c r="B37" s="28" t="s">
        <v>157</v>
      </c>
      <c r="C37" s="28"/>
      <c r="D37" s="28">
        <v>235</v>
      </c>
      <c r="E37" s="28">
        <v>2</v>
      </c>
      <c r="F37" s="29" t="s">
        <v>159</v>
      </c>
      <c r="G37" s="28">
        <f t="shared" si="2"/>
        <v>470</v>
      </c>
      <c r="H37" s="28"/>
    </row>
    <row r="38" spans="1:8" x14ac:dyDescent="0.25">
      <c r="A38" s="44"/>
      <c r="B38" s="28" t="s">
        <v>158</v>
      </c>
      <c r="C38" s="28"/>
      <c r="D38" s="28">
        <v>140</v>
      </c>
      <c r="E38" s="28">
        <v>1</v>
      </c>
      <c r="F38" s="29" t="s">
        <v>159</v>
      </c>
      <c r="G38" s="28">
        <f t="shared" si="2"/>
        <v>140</v>
      </c>
      <c r="H38" s="28"/>
    </row>
    <row r="39" spans="1:8" x14ac:dyDescent="0.25">
      <c r="A39" s="45"/>
      <c r="B39" s="31" t="s">
        <v>7</v>
      </c>
      <c r="C39" s="32"/>
      <c r="D39" s="33"/>
      <c r="E39" s="3"/>
      <c r="F39" s="3"/>
      <c r="G39" s="14">
        <f>SUM(G23:G38)</f>
        <v>4907.08</v>
      </c>
      <c r="H39" s="1"/>
    </row>
    <row r="40" spans="1:8" x14ac:dyDescent="0.25">
      <c r="A40" s="1" t="s">
        <v>11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 t="s">
        <v>6</v>
      </c>
    </row>
    <row r="41" spans="1:8" x14ac:dyDescent="0.25">
      <c r="A41" s="30" t="s">
        <v>54</v>
      </c>
      <c r="B41" s="1" t="s">
        <v>108</v>
      </c>
      <c r="C41" s="1">
        <v>4</v>
      </c>
      <c r="D41" s="1">
        <v>45.9</v>
      </c>
      <c r="E41" s="1">
        <v>4</v>
      </c>
      <c r="F41" s="1" t="s">
        <v>56</v>
      </c>
      <c r="G41" s="1">
        <f>D41*E41</f>
        <v>183.6</v>
      </c>
      <c r="H41" s="1"/>
    </row>
    <row r="42" spans="1:8" x14ac:dyDescent="0.25">
      <c r="A42" s="30"/>
      <c r="B42" s="1" t="s">
        <v>109</v>
      </c>
      <c r="C42" s="1">
        <v>4</v>
      </c>
      <c r="D42" s="1">
        <v>72</v>
      </c>
      <c r="E42" s="1">
        <v>20</v>
      </c>
      <c r="F42" s="28" t="s">
        <v>18</v>
      </c>
      <c r="G42" s="28">
        <f>D42*E42</f>
        <v>1440</v>
      </c>
      <c r="H42" s="1"/>
    </row>
    <row r="43" spans="1:8" x14ac:dyDescent="0.25">
      <c r="A43" s="30"/>
      <c r="B43" s="1"/>
      <c r="C43" s="1"/>
      <c r="D43" s="1"/>
      <c r="E43" s="1"/>
      <c r="F43" s="1"/>
      <c r="G43" s="1"/>
      <c r="H43" s="1"/>
    </row>
    <row r="44" spans="1:8" x14ac:dyDescent="0.25">
      <c r="A44" s="30"/>
      <c r="B44" s="31"/>
      <c r="C44" s="32"/>
      <c r="D44" s="33"/>
      <c r="E44" s="3"/>
      <c r="F44" s="3"/>
      <c r="G44" s="14">
        <f>SUM(G41:G43)</f>
        <v>1623.6</v>
      </c>
      <c r="H44" s="1"/>
    </row>
    <row r="45" spans="1:8" x14ac:dyDescent="0.25">
      <c r="A45" s="1" t="s">
        <v>12</v>
      </c>
      <c r="B45" s="1" t="s">
        <v>1</v>
      </c>
      <c r="C45" s="1" t="s">
        <v>2</v>
      </c>
      <c r="D45" s="1" t="s">
        <v>3</v>
      </c>
      <c r="E45" s="3" t="s">
        <v>4</v>
      </c>
      <c r="F45" s="3"/>
      <c r="G45" s="3" t="s">
        <v>5</v>
      </c>
      <c r="H45" s="1" t="s">
        <v>6</v>
      </c>
    </row>
    <row r="46" spans="1:8" x14ac:dyDescent="0.25">
      <c r="A46" s="40"/>
      <c r="B46" s="1" t="s">
        <v>143</v>
      </c>
      <c r="C46" s="1"/>
      <c r="D46" s="1">
        <v>42.24</v>
      </c>
      <c r="E46" s="1">
        <v>113.34</v>
      </c>
      <c r="F46" s="1" t="s">
        <v>145</v>
      </c>
      <c r="G46" s="2">
        <f>D46*E46</f>
        <v>4787.4816000000001</v>
      </c>
      <c r="H46" s="1"/>
    </row>
    <row r="47" spans="1:8" x14ac:dyDescent="0.25">
      <c r="A47" s="41"/>
      <c r="B47" s="1" t="s">
        <v>144</v>
      </c>
      <c r="C47" s="1"/>
      <c r="D47" s="1">
        <v>7.14</v>
      </c>
      <c r="E47" s="1">
        <v>65</v>
      </c>
      <c r="F47" s="28" t="s">
        <v>145</v>
      </c>
      <c r="G47" s="28">
        <f>D47*E47</f>
        <v>464.09999999999997</v>
      </c>
      <c r="H47" s="1"/>
    </row>
    <row r="48" spans="1:8" x14ac:dyDescent="0.25">
      <c r="A48" s="42"/>
      <c r="B48" s="31" t="s">
        <v>7</v>
      </c>
      <c r="C48" s="32"/>
      <c r="D48" s="33"/>
      <c r="E48" s="3"/>
      <c r="F48" s="3"/>
      <c r="G48" s="14">
        <f>SUM(G46:G47)</f>
        <v>5251.5816000000004</v>
      </c>
      <c r="H48" s="6"/>
    </row>
    <row r="49" spans="1:8" x14ac:dyDescent="0.25">
      <c r="A49" s="7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 t="s">
        <v>5</v>
      </c>
      <c r="H49" s="1"/>
    </row>
    <row r="50" spans="1:8" x14ac:dyDescent="0.25">
      <c r="A50" s="30"/>
      <c r="B50" s="1"/>
      <c r="C50" s="1"/>
      <c r="D50" s="1"/>
      <c r="E50" s="1"/>
      <c r="F50" s="1"/>
      <c r="G50" s="1"/>
      <c r="H50" s="1"/>
    </row>
    <row r="51" spans="1:8" x14ac:dyDescent="0.25">
      <c r="A51" s="30"/>
      <c r="B51" s="1"/>
      <c r="C51" s="1"/>
      <c r="D51" s="1"/>
      <c r="E51" s="1"/>
      <c r="F51" s="1"/>
      <c r="G51" s="1"/>
      <c r="H51" s="1"/>
    </row>
    <row r="52" spans="1:8" x14ac:dyDescent="0.25">
      <c r="A52" s="30"/>
      <c r="B52" s="1"/>
      <c r="C52" s="1"/>
      <c r="D52" s="1"/>
      <c r="E52" s="1"/>
      <c r="F52" s="1"/>
      <c r="G52" s="1"/>
      <c r="H52" s="1"/>
    </row>
    <row r="53" spans="1:8" x14ac:dyDescent="0.25">
      <c r="A53" s="30"/>
      <c r="B53" s="1"/>
      <c r="C53" s="1"/>
      <c r="D53" s="1"/>
      <c r="E53" s="1"/>
      <c r="F53" s="1"/>
      <c r="G53" s="1"/>
      <c r="H53" s="1"/>
    </row>
    <row r="54" spans="1:8" x14ac:dyDescent="0.25">
      <c r="A54" s="30"/>
      <c r="B54" s="31" t="s">
        <v>7</v>
      </c>
      <c r="C54" s="32"/>
      <c r="D54" s="33"/>
      <c r="E54" s="3"/>
      <c r="F54" s="3"/>
      <c r="G54" s="4">
        <f>SUM(G50:G53)</f>
        <v>0</v>
      </c>
      <c r="H54" s="1"/>
    </row>
    <row r="55" spans="1:8" x14ac:dyDescent="0.25">
      <c r="A55" s="1"/>
      <c r="B55" s="37" t="s">
        <v>14</v>
      </c>
      <c r="C55" s="38"/>
      <c r="D55" s="39"/>
      <c r="E55" s="8"/>
      <c r="F55" s="8"/>
      <c r="G55" s="9">
        <f>G54+G48+G44+G21+G15+G8+G39</f>
        <v>21463.061600000001</v>
      </c>
      <c r="H55" s="1"/>
    </row>
  </sheetData>
  <mergeCells count="16">
    <mergeCell ref="A50:A54"/>
    <mergeCell ref="B54:D54"/>
    <mergeCell ref="B55:D55"/>
    <mergeCell ref="B39:D39"/>
    <mergeCell ref="A41:A44"/>
    <mergeCell ref="B44:D44"/>
    <mergeCell ref="A46:A48"/>
    <mergeCell ref="B48:D48"/>
    <mergeCell ref="A23:A39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0317</vt:lpstr>
      <vt:lpstr>0318</vt:lpstr>
      <vt:lpstr>0319</vt:lpstr>
      <vt:lpstr>0320</vt:lpstr>
      <vt:lpstr>0321</vt:lpstr>
      <vt:lpstr>'0317'!Print_Area</vt:lpstr>
      <vt:lpstr>'0318'!Print_Area</vt:lpstr>
      <vt:lpstr>'0319'!Print_Area</vt:lpstr>
      <vt:lpstr>'0320'!Print_Area</vt:lpstr>
      <vt:lpstr>'0321'!Print_Area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2025-03-24T01:42:53Z</cp:lastPrinted>
  <dcterms:created xsi:type="dcterms:W3CDTF">2025-02-19T17:01:12Z</dcterms:created>
  <dcterms:modified xsi:type="dcterms:W3CDTF">2025-03-24T01:43:04Z</dcterms:modified>
</cp:coreProperties>
</file>