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3月份\"/>
    </mc:Choice>
  </mc:AlternateContent>
  <bookViews>
    <workbookView xWindow="0" yWindow="0" windowWidth="28800" windowHeight="12255" activeTab="2"/>
  </bookViews>
  <sheets>
    <sheet name="0331" sheetId="1" r:id="rId1"/>
    <sheet name="0401" sheetId="2" r:id="rId2"/>
    <sheet name="0402" sheetId="3" r:id="rId3"/>
    <sheet name="0403" sheetId="4" r:id="rId4"/>
    <sheet name="0404" sheetId="5" r:id="rId5"/>
  </sheets>
  <definedNames>
    <definedName name="_xlnm.Print_Area" localSheetId="0">'0331'!$A$1:$H$49</definedName>
    <definedName name="_xlnm.Print_Area" localSheetId="1">'0401'!$A$1:$H$48</definedName>
    <definedName name="_xlnm.Print_Area" localSheetId="2">'0402'!$A$1:$H$50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3" l="1"/>
  <c r="G32" i="3"/>
  <c r="G20" i="3"/>
  <c r="G49" i="3"/>
  <c r="G42" i="3"/>
  <c r="G27" i="3"/>
  <c r="G17" i="3"/>
  <c r="G18" i="3"/>
  <c r="G19" i="3"/>
  <c r="G16" i="3"/>
  <c r="G14" i="3"/>
  <c r="G25" i="3"/>
  <c r="G26" i="3"/>
  <c r="G28" i="3"/>
  <c r="G29" i="3"/>
  <c r="G30" i="3"/>
  <c r="G31" i="3"/>
  <c r="G14" i="2" l="1"/>
  <c r="G35" i="2"/>
  <c r="G41" i="1" l="1"/>
  <c r="G7" i="2"/>
  <c r="G32" i="2"/>
  <c r="G31" i="2"/>
  <c r="G29" i="2"/>
  <c r="G30" i="2"/>
  <c r="G33" i="1" l="1"/>
  <c r="G31" i="1"/>
  <c r="G30" i="1"/>
  <c r="G35" i="1"/>
  <c r="G4" i="1"/>
  <c r="G5" i="1"/>
  <c r="G6" i="1"/>
  <c r="G40" i="3" l="1"/>
  <c r="G39" i="3"/>
  <c r="G10" i="3"/>
  <c r="G11" i="3"/>
  <c r="G12" i="3"/>
  <c r="G9" i="3"/>
  <c r="G23" i="3"/>
  <c r="G24" i="3"/>
  <c r="G22" i="3"/>
  <c r="G35" i="3"/>
  <c r="G34" i="3"/>
  <c r="G3" i="3"/>
  <c r="G45" i="3"/>
  <c r="G46" i="3"/>
  <c r="G47" i="3"/>
  <c r="G48" i="3"/>
  <c r="G44" i="3"/>
  <c r="G25" i="2" l="1"/>
  <c r="G26" i="2"/>
  <c r="G27" i="2"/>
  <c r="G28" i="2"/>
  <c r="G24" i="2"/>
  <c r="G40" i="2"/>
  <c r="G10" i="2"/>
  <c r="G9" i="2"/>
  <c r="G17" i="2"/>
  <c r="G18" i="2"/>
  <c r="G16" i="2"/>
  <c r="G22" i="2" s="1"/>
  <c r="G34" i="2"/>
  <c r="G4" i="2"/>
  <c r="G5" i="2"/>
  <c r="G6" i="2"/>
  <c r="G3" i="2"/>
  <c r="G39" i="2"/>
  <c r="G45" i="1" l="1"/>
  <c r="G46" i="1"/>
  <c r="G17" i="1"/>
  <c r="G18" i="1"/>
  <c r="G19" i="1"/>
  <c r="G3" i="1"/>
  <c r="G7" i="1" s="1"/>
  <c r="G44" i="1" l="1"/>
  <c r="G48" i="1" s="1"/>
  <c r="G16" i="1"/>
  <c r="G20" i="1" s="1"/>
  <c r="G40" i="1"/>
  <c r="G42" i="1" s="1"/>
  <c r="G49" i="1" s="1"/>
  <c r="G29" i="1"/>
  <c r="G28" i="1"/>
  <c r="G27" i="1"/>
  <c r="G24" i="1" l="1"/>
  <c r="G25" i="1"/>
  <c r="G26" i="1"/>
  <c r="G23" i="1"/>
  <c r="G22" i="1"/>
  <c r="G10" i="1"/>
  <c r="G11" i="1"/>
  <c r="G12" i="1"/>
  <c r="G9" i="1"/>
  <c r="G14" i="1" l="1"/>
  <c r="G46" i="5"/>
  <c r="G40" i="5"/>
  <c r="G36" i="5"/>
  <c r="G22" i="5"/>
  <c r="G16" i="5"/>
  <c r="G8" i="5"/>
  <c r="G41" i="4"/>
  <c r="G35" i="4"/>
  <c r="G31" i="4"/>
  <c r="G20" i="4"/>
  <c r="G42" i="4" s="1"/>
  <c r="G14" i="4"/>
  <c r="G7" i="4"/>
  <c r="G37" i="3"/>
  <c r="G7" i="3"/>
  <c r="G47" i="2"/>
  <c r="G41" i="2"/>
  <c r="G48" i="2" s="1"/>
  <c r="G37" i="2"/>
  <c r="G38" i="1"/>
  <c r="G47" i="5" l="1"/>
</calcChain>
</file>

<file path=xl/sharedStrings.xml><?xml version="1.0" encoding="utf-8"?>
<sst xmlns="http://schemas.openxmlformats.org/spreadsheetml/2006/main" count="437" uniqueCount="135">
  <si>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</si>
  <si>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</si>
  <si>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</si>
  <si>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</si>
  <si>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</si>
  <si>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</si>
  <si>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</si>
  <si>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</si>
  <si>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</si>
  <si>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</si>
  <si>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</si>
  <si>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</si>
  <si>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</si>
  <si>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</si>
  <si>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</si>
  <si>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</si>
  <si>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</si>
  <si>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</si>
  <si>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</si>
  <si>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</si>
  <si>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</si>
  <si>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</si>
  <si>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</si>
  <si>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電訊科技中心(安康營區)     114年     3月   24日      午餐明細表</t>
    <phoneticPr fontId="2" type="noConversion"/>
  </si>
  <si>
    <t>斤</t>
    <phoneticPr fontId="2" type="noConversion"/>
  </si>
  <si>
    <t>紅蘿蔔</t>
    <phoneticPr fontId="2" type="noConversion"/>
  </si>
  <si>
    <t>4.3豆腐</t>
    <phoneticPr fontId="2" type="noConversion"/>
  </si>
  <si>
    <t>顆</t>
    <phoneticPr fontId="2" type="noConversion"/>
  </si>
  <si>
    <t>電訊科技中心(安康營區)     114年      3月   25日      午餐明細表</t>
    <phoneticPr fontId="2" type="noConversion"/>
  </si>
  <si>
    <t>薑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</si>
  <si>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</si>
  <si>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</si>
  <si>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</si>
  <si>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</si>
  <si>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紫菜蛋花湯</t>
    <phoneticPr fontId="2" type="noConversion"/>
  </si>
  <si>
    <t>小籠包</t>
    <phoneticPr fontId="2" type="noConversion"/>
  </si>
  <si>
    <t>包</t>
    <phoneticPr fontId="2" type="noConversion"/>
  </si>
  <si>
    <t>骨腿丁</t>
    <phoneticPr fontId="2" type="noConversion"/>
  </si>
  <si>
    <t>川耳</t>
    <phoneticPr fontId="2" type="noConversion"/>
  </si>
  <si>
    <t>五穀米</t>
    <phoneticPr fontId="2" type="noConversion"/>
  </si>
  <si>
    <t>米</t>
    <phoneticPr fontId="2" type="noConversion"/>
  </si>
  <si>
    <t>沙拉油</t>
    <phoneticPr fontId="2" type="noConversion"/>
  </si>
  <si>
    <t>桶</t>
    <phoneticPr fontId="2" type="noConversion"/>
  </si>
  <si>
    <t>厚片土司</t>
    <phoneticPr fontId="2" type="noConversion"/>
  </si>
  <si>
    <t>條</t>
    <phoneticPr fontId="2" type="noConversion"/>
  </si>
  <si>
    <t>電訊科技中心(安康營區)     114年      3月   26日      午餐明細表</t>
    <phoneticPr fontId="2" type="noConversion"/>
  </si>
  <si>
    <t>庫存</t>
    <phoneticPr fontId="2" type="noConversion"/>
  </si>
  <si>
    <t>蘿蔔糕</t>
    <phoneticPr fontId="2" type="noConversion"/>
  </si>
  <si>
    <t>早餐</t>
    <phoneticPr fontId="2" type="noConversion"/>
  </si>
  <si>
    <t>電訊科技中心(安康營區)     114年      3月   27日      午餐明細表</t>
    <phoneticPr fontId="2" type="noConversion"/>
  </si>
  <si>
    <t>晚餐</t>
    <phoneticPr fontId="2" type="noConversion"/>
  </si>
  <si>
    <t>電訊科技中心(安康營區)     114年      3月   28日      午餐明細表</t>
    <phoneticPr fontId="2" type="noConversion"/>
  </si>
  <si>
    <t>小貢丸</t>
    <phoneticPr fontId="2" type="noConversion"/>
  </si>
  <si>
    <t>咖哩雞</t>
    <phoneticPr fontId="2" type="noConversion"/>
  </si>
  <si>
    <t>去皮馬鈴薯</t>
    <phoneticPr fontId="2" type="noConversion"/>
  </si>
  <si>
    <t>去皮洋蔥</t>
    <phoneticPr fontId="2" type="noConversion"/>
  </si>
  <si>
    <t>荷包蛋</t>
    <phoneticPr fontId="2" type="noConversion"/>
  </si>
  <si>
    <t>雞蛋</t>
    <phoneticPr fontId="2" type="noConversion"/>
  </si>
  <si>
    <t>泰式豆腐</t>
    <phoneticPr fontId="2" type="noConversion"/>
  </si>
  <si>
    <t>檸檬汁</t>
    <phoneticPr fontId="2" type="noConversion"/>
  </si>
  <si>
    <t>瓶</t>
    <phoneticPr fontId="2" type="noConversion"/>
  </si>
  <si>
    <t>斤</t>
    <phoneticPr fontId="2" type="noConversion"/>
  </si>
  <si>
    <t>味噌貢丸湯</t>
    <phoneticPr fontId="2" type="noConversion"/>
  </si>
  <si>
    <t>味噌</t>
    <phoneticPr fontId="2" type="noConversion"/>
  </si>
  <si>
    <t>油麵</t>
    <phoneticPr fontId="2" type="noConversion"/>
  </si>
  <si>
    <t>辣椒</t>
  </si>
  <si>
    <t>鳥蛋燒肉</t>
    <phoneticPr fontId="2" type="noConversion"/>
  </si>
  <si>
    <t>鳥蛋</t>
    <phoneticPr fontId="2" type="noConversion"/>
  </si>
  <si>
    <t>粒</t>
    <phoneticPr fontId="2" type="noConversion"/>
  </si>
  <si>
    <t>白蘿蔔</t>
    <phoneticPr fontId="2" type="noConversion"/>
  </si>
  <si>
    <t>五花肉塊</t>
    <phoneticPr fontId="2" type="noConversion"/>
  </si>
  <si>
    <t>豬肉塊</t>
    <phoneticPr fontId="2" type="noConversion"/>
  </si>
  <si>
    <t>梅子地瓜</t>
    <phoneticPr fontId="2" type="noConversion"/>
  </si>
  <si>
    <t>地瓜塊</t>
    <phoneticPr fontId="2" type="noConversion"/>
  </si>
  <si>
    <t>包</t>
    <phoneticPr fontId="2" type="noConversion"/>
  </si>
  <si>
    <t>梅子粉</t>
    <phoneticPr fontId="2" type="noConversion"/>
  </si>
  <si>
    <t>絲瓜鮑菇</t>
    <phoneticPr fontId="2" type="noConversion"/>
  </si>
  <si>
    <t>去皮絲瓜</t>
    <phoneticPr fontId="2" type="noConversion"/>
  </si>
  <si>
    <t>絞肉</t>
    <phoneticPr fontId="2" type="noConversion"/>
  </si>
  <si>
    <t>斤</t>
    <phoneticPr fontId="2" type="noConversion"/>
  </si>
  <si>
    <t>冬瓜海帶結湯</t>
    <phoneticPr fontId="2" type="noConversion"/>
  </si>
  <si>
    <t>去皮冬瓜</t>
    <phoneticPr fontId="2" type="noConversion"/>
  </si>
  <si>
    <t xml:space="preserve">  海帶結</t>
    <phoneticPr fontId="2" type="noConversion"/>
  </si>
  <si>
    <t>烤雞腿</t>
    <phoneticPr fontId="2" type="noConversion"/>
  </si>
  <si>
    <t>棒腿</t>
    <phoneticPr fontId="2" type="noConversion"/>
  </si>
  <si>
    <t>青椒炒豆干</t>
    <phoneticPr fontId="2" type="noConversion"/>
  </si>
  <si>
    <t>青椒絲</t>
    <phoneticPr fontId="2" type="noConversion"/>
  </si>
  <si>
    <t>切片豆干</t>
    <phoneticPr fontId="2" type="noConversion"/>
  </si>
  <si>
    <t>去皮洋蔥</t>
    <phoneticPr fontId="2" type="noConversion"/>
  </si>
  <si>
    <t>三絲胡瓜</t>
    <phoneticPr fontId="2" type="noConversion"/>
  </si>
  <si>
    <t>胡瓜絲</t>
    <phoneticPr fontId="2" type="noConversion"/>
  </si>
  <si>
    <t>雪白菇</t>
    <phoneticPr fontId="2" type="noConversion"/>
  </si>
  <si>
    <t>木耳絲</t>
    <phoneticPr fontId="2" type="noConversion"/>
  </si>
  <si>
    <t>紅蘿蔔絲</t>
    <phoneticPr fontId="2" type="noConversion"/>
  </si>
  <si>
    <t>蔥油餅</t>
    <phoneticPr fontId="2" type="noConversion"/>
  </si>
  <si>
    <t>包</t>
    <phoneticPr fontId="2" type="noConversion"/>
  </si>
  <si>
    <t>五花肉片</t>
    <phoneticPr fontId="2" type="noConversion"/>
  </si>
  <si>
    <t>豬肉片</t>
    <phoneticPr fontId="2" type="noConversion"/>
  </si>
  <si>
    <t>中華豆腐</t>
    <phoneticPr fontId="2" type="noConversion"/>
  </si>
  <si>
    <t>去葉芹菜</t>
    <phoneticPr fontId="2" type="noConversion"/>
  </si>
  <si>
    <t>盒</t>
    <phoneticPr fontId="2" type="noConversion"/>
  </si>
  <si>
    <t>紫菜</t>
    <phoneticPr fontId="2" type="noConversion"/>
  </si>
  <si>
    <t>雞蛋</t>
    <phoneticPr fontId="2" type="noConversion"/>
  </si>
  <si>
    <t>前腿肉絲</t>
    <phoneticPr fontId="2" type="noConversion"/>
  </si>
  <si>
    <t>斤</t>
    <phoneticPr fontId="2" type="noConversion"/>
  </si>
  <si>
    <t>高麗菜</t>
    <phoneticPr fontId="2" type="noConversion"/>
  </si>
  <si>
    <t>個</t>
    <phoneticPr fontId="2" type="noConversion"/>
  </si>
  <si>
    <t>冷凍青花菜</t>
    <phoneticPr fontId="2" type="noConversion"/>
  </si>
  <si>
    <t>包</t>
    <phoneticPr fontId="2" type="noConversion"/>
  </si>
  <si>
    <t>燒雞醬</t>
    <phoneticPr fontId="2" type="noConversion"/>
  </si>
  <si>
    <t>罐</t>
    <phoneticPr fontId="2" type="noConversion"/>
  </si>
  <si>
    <t>盤</t>
    <phoneticPr fontId="2" type="noConversion"/>
  </si>
  <si>
    <t>小磨坊胡椒粉</t>
    <phoneticPr fontId="2" type="noConversion"/>
  </si>
  <si>
    <t>盒</t>
    <phoneticPr fontId="2" type="noConversion"/>
  </si>
  <si>
    <t>胡椒鹽</t>
    <phoneticPr fontId="2" type="noConversion"/>
  </si>
  <si>
    <t>雞排</t>
    <phoneticPr fontId="2" type="noConversion"/>
  </si>
  <si>
    <t>斤</t>
    <phoneticPr fontId="2" type="noConversion"/>
  </si>
  <si>
    <t>高麗菜</t>
    <phoneticPr fontId="2" type="noConversion"/>
  </si>
  <si>
    <t>芭樂</t>
    <phoneticPr fontId="2" type="noConversion"/>
  </si>
  <si>
    <t>箱</t>
    <phoneticPr fontId="2" type="noConversion"/>
  </si>
  <si>
    <t>芭樂</t>
    <phoneticPr fontId="2" type="noConversion"/>
  </si>
  <si>
    <t>箱</t>
    <phoneticPr fontId="2" type="noConversion"/>
  </si>
  <si>
    <t>厚片土司</t>
    <phoneticPr fontId="2" type="noConversion"/>
  </si>
  <si>
    <t>條</t>
    <phoneticPr fontId="2" type="noConversion"/>
  </si>
  <si>
    <t>紅茶鋁箔包</t>
    <phoneticPr fontId="2" type="noConversion"/>
  </si>
  <si>
    <t>件</t>
    <phoneticPr fontId="2" type="noConversion"/>
  </si>
  <si>
    <t>三節翅</t>
    <phoneticPr fontId="2" type="noConversion"/>
  </si>
  <si>
    <t>杏鮑菇</t>
    <phoneticPr fontId="2" type="noConversion"/>
  </si>
  <si>
    <t>斤</t>
    <phoneticPr fontId="2" type="noConversion"/>
  </si>
  <si>
    <t>油菜</t>
    <phoneticPr fontId="2" type="noConversion"/>
  </si>
  <si>
    <t>高麗菜</t>
    <phoneticPr fontId="2" type="noConversion"/>
  </si>
  <si>
    <t>立大前腿肉絲</t>
    <phoneticPr fontId="2" type="noConversion"/>
  </si>
  <si>
    <t>白蘿蔔</t>
    <phoneticPr fontId="2" type="noConversion"/>
  </si>
  <si>
    <t>油麵</t>
    <phoneticPr fontId="2" type="noConversion"/>
  </si>
  <si>
    <t>果醋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</si>
</sst>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opLeftCell="A22" workbookViewId="0">
      <selection activeCell="M51" sqref="M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23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6" t="s">
        <v>53</v>
      </c>
      <c r="B3" s="1" t="s">
        <v>37</v>
      </c>
      <c r="C3" s="1">
        <v>65</v>
      </c>
      <c r="D3" s="1">
        <v>75</v>
      </c>
      <c r="E3" s="22">
        <v>65</v>
      </c>
      <c r="F3" s="22" t="s">
        <v>17</v>
      </c>
      <c r="G3" s="23">
        <f>D3*E3</f>
        <v>4875</v>
      </c>
      <c r="H3" s="1"/>
    </row>
    <row r="4" spans="1:8" x14ac:dyDescent="0.25">
      <c r="A4" s="36"/>
      <c r="B4" s="11" t="s">
        <v>25</v>
      </c>
      <c r="C4" s="11">
        <v>6</v>
      </c>
      <c r="D4" s="11">
        <v>11.7</v>
      </c>
      <c r="E4" s="11">
        <v>6</v>
      </c>
      <c r="F4" s="11" t="s">
        <v>24</v>
      </c>
      <c r="G4" s="23">
        <f t="shared" ref="G4:G6" si="0">D4*E4</f>
        <v>70.199999999999989</v>
      </c>
      <c r="H4" s="1"/>
    </row>
    <row r="5" spans="1:8" x14ac:dyDescent="0.25">
      <c r="A5" s="36"/>
      <c r="B5" s="1" t="s">
        <v>54</v>
      </c>
      <c r="C5" s="1">
        <v>15</v>
      </c>
      <c r="D5" s="1">
        <v>30.6</v>
      </c>
      <c r="E5" s="1">
        <v>15</v>
      </c>
      <c r="F5" s="1" t="s">
        <v>24</v>
      </c>
      <c r="G5" s="23">
        <f t="shared" si="0"/>
        <v>459</v>
      </c>
      <c r="H5" s="1"/>
    </row>
    <row r="6" spans="1:8" x14ac:dyDescent="0.25">
      <c r="A6" s="36"/>
      <c r="B6" s="1" t="s">
        <v>55</v>
      </c>
      <c r="C6" s="1">
        <v>6</v>
      </c>
      <c r="D6" s="1">
        <v>28.56</v>
      </c>
      <c r="E6" s="3">
        <v>6</v>
      </c>
      <c r="F6" s="3" t="s">
        <v>61</v>
      </c>
      <c r="G6" s="23">
        <f t="shared" si="0"/>
        <v>171.35999999999999</v>
      </c>
      <c r="H6" s="1"/>
    </row>
    <row r="7" spans="1:8" x14ac:dyDescent="0.25">
      <c r="A7" s="36"/>
      <c r="B7" s="37" t="s">
        <v>7</v>
      </c>
      <c r="C7" s="38"/>
      <c r="D7" s="39"/>
      <c r="E7" s="3"/>
      <c r="F7" s="3"/>
      <c r="G7" s="15">
        <f>SUM(G3:G6)</f>
        <v>5575.5599999999995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36" t="s">
        <v>56</v>
      </c>
      <c r="B9" s="1" t="s">
        <v>57</v>
      </c>
      <c r="C9" s="1">
        <v>2</v>
      </c>
      <c r="D9" s="1">
        <v>50.4</v>
      </c>
      <c r="E9" s="1">
        <v>20</v>
      </c>
      <c r="F9" s="1" t="s">
        <v>104</v>
      </c>
      <c r="G9" s="1">
        <f>D9*E9</f>
        <v>1008</v>
      </c>
      <c r="H9" s="1"/>
    </row>
    <row r="10" spans="1:8" x14ac:dyDescent="0.25">
      <c r="A10" s="36"/>
      <c r="B10" s="1"/>
      <c r="C10" s="1"/>
      <c r="D10" s="1"/>
      <c r="E10" s="1"/>
      <c r="F10" s="1"/>
      <c r="G10" s="11">
        <f t="shared" ref="G10:G12" si="1">D10*E10</f>
        <v>0</v>
      </c>
      <c r="H10" s="1"/>
    </row>
    <row r="11" spans="1:8" x14ac:dyDescent="0.25">
      <c r="A11" s="36"/>
      <c r="B11" s="1"/>
      <c r="C11" s="1"/>
      <c r="D11" s="1"/>
      <c r="E11" s="1"/>
      <c r="F11" s="1"/>
      <c r="G11" s="11">
        <f t="shared" si="1"/>
        <v>0</v>
      </c>
      <c r="H11" s="1"/>
    </row>
    <row r="12" spans="1:8" x14ac:dyDescent="0.25">
      <c r="A12" s="36"/>
      <c r="B12" s="1"/>
      <c r="C12" s="1"/>
      <c r="D12" s="1"/>
      <c r="E12" s="1"/>
      <c r="F12" s="1"/>
      <c r="G12" s="11">
        <f t="shared" si="1"/>
        <v>0</v>
      </c>
      <c r="H12" s="1"/>
    </row>
    <row r="13" spans="1:8" x14ac:dyDescent="0.25">
      <c r="A13" s="36"/>
      <c r="B13" s="1"/>
      <c r="C13" s="1"/>
      <c r="D13" s="1"/>
      <c r="E13" s="1"/>
      <c r="F13" s="1"/>
      <c r="G13" s="1"/>
      <c r="H13" s="1"/>
    </row>
    <row r="14" spans="1:8" x14ac:dyDescent="0.25">
      <c r="A14" s="36"/>
      <c r="B14" s="37" t="s">
        <v>7</v>
      </c>
      <c r="C14" s="38"/>
      <c r="D14" s="39"/>
      <c r="E14" s="3"/>
      <c r="F14" s="3"/>
      <c r="G14" s="15">
        <f>SUM(G9:G13)</f>
        <v>1008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36" t="s">
        <v>58</v>
      </c>
      <c r="B16" s="1" t="s">
        <v>26</v>
      </c>
      <c r="C16" s="1">
        <v>7</v>
      </c>
      <c r="D16" s="1">
        <v>150</v>
      </c>
      <c r="E16" s="1">
        <v>7</v>
      </c>
      <c r="F16" s="1" t="s">
        <v>111</v>
      </c>
      <c r="G16" s="1">
        <f>D16*E16</f>
        <v>1050</v>
      </c>
      <c r="H16" s="1"/>
    </row>
    <row r="17" spans="1:8" x14ac:dyDescent="0.25">
      <c r="A17" s="36"/>
      <c r="B17" s="1" t="s">
        <v>59</v>
      </c>
      <c r="C17" s="1">
        <v>2</v>
      </c>
      <c r="D17" s="1">
        <v>225</v>
      </c>
      <c r="E17" s="1">
        <v>2</v>
      </c>
      <c r="F17" s="1" t="s">
        <v>60</v>
      </c>
      <c r="G17" s="18">
        <f t="shared" ref="G17:G19" si="2">D17*E17</f>
        <v>450</v>
      </c>
      <c r="H17" s="1"/>
    </row>
    <row r="18" spans="1:8" x14ac:dyDescent="0.25">
      <c r="A18" s="36"/>
      <c r="B18" s="1"/>
      <c r="C18" s="1"/>
      <c r="D18" s="1"/>
      <c r="E18" s="1"/>
      <c r="F18" s="1"/>
      <c r="G18" s="2">
        <f t="shared" si="2"/>
        <v>0</v>
      </c>
      <c r="H18" s="1"/>
    </row>
    <row r="19" spans="1:8" x14ac:dyDescent="0.25">
      <c r="A19" s="36"/>
      <c r="B19" s="1"/>
      <c r="C19" s="1"/>
      <c r="D19" s="1"/>
      <c r="E19" s="3"/>
      <c r="F19" s="3"/>
      <c r="G19" s="18">
        <f t="shared" si="2"/>
        <v>0</v>
      </c>
      <c r="H19" s="1"/>
    </row>
    <row r="20" spans="1:8" x14ac:dyDescent="0.25">
      <c r="A20" s="36"/>
      <c r="B20" s="37"/>
      <c r="C20" s="38"/>
      <c r="D20" s="39"/>
      <c r="E20" s="3"/>
      <c r="F20" s="3"/>
      <c r="G20" s="15">
        <f>SUM(G16:G19)</f>
        <v>1500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36"/>
      <c r="B22" s="1" t="s">
        <v>64</v>
      </c>
      <c r="C22" s="1">
        <v>8</v>
      </c>
      <c r="D22" s="1">
        <v>19.8</v>
      </c>
      <c r="E22" s="1">
        <v>8</v>
      </c>
      <c r="F22" s="1" t="s">
        <v>61</v>
      </c>
      <c r="G22" s="1">
        <f>D22*E22</f>
        <v>158.4</v>
      </c>
      <c r="H22" s="1"/>
    </row>
    <row r="23" spans="1:8" x14ac:dyDescent="0.25">
      <c r="A23" s="36"/>
      <c r="B23" s="28" t="s">
        <v>65</v>
      </c>
      <c r="C23" s="1">
        <v>2</v>
      </c>
      <c r="D23" s="1">
        <v>150</v>
      </c>
      <c r="E23" s="1">
        <v>2</v>
      </c>
      <c r="F23" s="1" t="s">
        <v>61</v>
      </c>
      <c r="G23" s="11">
        <f>D23*E23</f>
        <v>300</v>
      </c>
      <c r="H23" s="1"/>
    </row>
    <row r="24" spans="1:8" x14ac:dyDescent="0.25">
      <c r="A24" s="36"/>
      <c r="B24" s="28" t="s">
        <v>29</v>
      </c>
      <c r="C24" s="1">
        <v>1</v>
      </c>
      <c r="D24" s="1">
        <v>58.5</v>
      </c>
      <c r="E24" s="1">
        <v>1</v>
      </c>
      <c r="F24" s="1" t="s">
        <v>24</v>
      </c>
      <c r="G24" s="11">
        <f t="shared" ref="G24:G26" si="3">D24*E24</f>
        <v>58.5</v>
      </c>
      <c r="H24" s="1"/>
    </row>
    <row r="25" spans="1:8" x14ac:dyDescent="0.25">
      <c r="A25" s="36"/>
      <c r="B25" s="1" t="s">
        <v>30</v>
      </c>
      <c r="C25" s="1">
        <v>8</v>
      </c>
      <c r="D25" s="1">
        <v>81.599999999999994</v>
      </c>
      <c r="E25" s="1">
        <v>8</v>
      </c>
      <c r="F25" s="1" t="s">
        <v>24</v>
      </c>
      <c r="G25" s="2">
        <f t="shared" si="3"/>
        <v>652.79999999999995</v>
      </c>
      <c r="H25" s="1"/>
    </row>
    <row r="26" spans="1:8" x14ac:dyDescent="0.25">
      <c r="A26" s="36"/>
      <c r="B26" s="11" t="s">
        <v>31</v>
      </c>
      <c r="C26" s="11">
        <v>4</v>
      </c>
      <c r="D26" s="11">
        <v>33.299999999999997</v>
      </c>
      <c r="E26" s="11">
        <v>4</v>
      </c>
      <c r="F26" s="12" t="s">
        <v>24</v>
      </c>
      <c r="G26" s="11">
        <f t="shared" si="3"/>
        <v>133.19999999999999</v>
      </c>
      <c r="H26" s="11"/>
    </row>
    <row r="27" spans="1:8" x14ac:dyDescent="0.25">
      <c r="A27" s="36"/>
      <c r="B27" s="11" t="s">
        <v>32</v>
      </c>
      <c r="C27" s="11">
        <v>2</v>
      </c>
      <c r="D27" s="11">
        <v>50.4</v>
      </c>
      <c r="E27" s="11">
        <v>40</v>
      </c>
      <c r="F27" s="11" t="s">
        <v>17</v>
      </c>
      <c r="G27" s="2">
        <f>D27*E27</f>
        <v>2016</v>
      </c>
      <c r="H27" s="11"/>
    </row>
    <row r="28" spans="1:8" x14ac:dyDescent="0.25">
      <c r="A28" s="36"/>
      <c r="B28" s="11" t="s">
        <v>33</v>
      </c>
      <c r="C28" s="11">
        <v>4</v>
      </c>
      <c r="D28" s="11">
        <v>75</v>
      </c>
      <c r="E28" s="11">
        <v>4</v>
      </c>
      <c r="F28" s="11" t="s">
        <v>61</v>
      </c>
      <c r="G28" s="2">
        <f t="shared" ref="G28:G31" si="4">D28*E28</f>
        <v>300</v>
      </c>
      <c r="H28" s="11"/>
    </row>
    <row r="29" spans="1:8" x14ac:dyDescent="0.25">
      <c r="A29" s="36"/>
      <c r="B29" s="11" t="s">
        <v>103</v>
      </c>
      <c r="C29" s="11"/>
      <c r="D29" s="11">
        <v>99</v>
      </c>
      <c r="E29" s="11">
        <v>3</v>
      </c>
      <c r="F29" s="11" t="s">
        <v>104</v>
      </c>
      <c r="G29" s="2">
        <f t="shared" si="4"/>
        <v>297</v>
      </c>
      <c r="H29" s="11"/>
    </row>
    <row r="30" spans="1:8" x14ac:dyDescent="0.25">
      <c r="A30" s="36"/>
      <c r="B30" s="11" t="s">
        <v>107</v>
      </c>
      <c r="C30" s="11"/>
      <c r="D30" s="11">
        <v>70</v>
      </c>
      <c r="E30" s="11">
        <v>10</v>
      </c>
      <c r="F30" s="11" t="s">
        <v>108</v>
      </c>
      <c r="G30" s="2">
        <f t="shared" si="4"/>
        <v>700</v>
      </c>
      <c r="H30" s="11"/>
    </row>
    <row r="31" spans="1:8" x14ac:dyDescent="0.25">
      <c r="A31" s="36"/>
      <c r="B31" s="11" t="s">
        <v>109</v>
      </c>
      <c r="C31" s="11"/>
      <c r="D31" s="11">
        <v>110</v>
      </c>
      <c r="E31" s="11">
        <v>3</v>
      </c>
      <c r="F31" s="11" t="s">
        <v>110</v>
      </c>
      <c r="G31" s="2">
        <f t="shared" si="4"/>
        <v>330</v>
      </c>
      <c r="H31" s="11"/>
    </row>
    <row r="32" spans="1:8" x14ac:dyDescent="0.25">
      <c r="A32" s="36"/>
      <c r="B32" s="11"/>
      <c r="C32" s="13"/>
      <c r="D32" s="11"/>
      <c r="E32" s="11"/>
      <c r="F32" s="11"/>
      <c r="G32" s="2"/>
      <c r="H32" s="1"/>
    </row>
    <row r="33" spans="1:8" x14ac:dyDescent="0.25">
      <c r="A33" s="11"/>
      <c r="B33" s="37" t="s">
        <v>18</v>
      </c>
      <c r="C33" s="38"/>
      <c r="D33" s="39"/>
      <c r="E33" s="11"/>
      <c r="F33" s="11"/>
      <c r="G33" s="16">
        <f>SUM(G22:G32)</f>
        <v>4945.8999999999996</v>
      </c>
      <c r="H33" s="11"/>
    </row>
    <row r="34" spans="1:8" x14ac:dyDescent="0.25">
      <c r="A34" s="1" t="s">
        <v>11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 t="s">
        <v>5</v>
      </c>
      <c r="H34" s="1" t="s">
        <v>6</v>
      </c>
    </row>
    <row r="35" spans="1:8" x14ac:dyDescent="0.25">
      <c r="A35" s="36" t="s">
        <v>62</v>
      </c>
      <c r="B35" s="1" t="s">
        <v>52</v>
      </c>
      <c r="C35" s="1">
        <v>3</v>
      </c>
      <c r="D35" s="1">
        <v>98.4</v>
      </c>
      <c r="E35" s="1">
        <v>15</v>
      </c>
      <c r="F35" s="1" t="s">
        <v>17</v>
      </c>
      <c r="G35" s="1">
        <f>D35*E35</f>
        <v>1476</v>
      </c>
      <c r="H35" s="1"/>
    </row>
    <row r="36" spans="1:8" x14ac:dyDescent="0.25">
      <c r="A36" s="36"/>
      <c r="B36" s="1" t="s">
        <v>63</v>
      </c>
      <c r="C36" s="1"/>
      <c r="D36" s="1"/>
      <c r="E36" s="1"/>
      <c r="F36" s="1"/>
      <c r="G36" s="1"/>
      <c r="H36" s="1" t="s">
        <v>15</v>
      </c>
    </row>
    <row r="37" spans="1:8" x14ac:dyDescent="0.25">
      <c r="A37" s="36"/>
      <c r="B37" s="1"/>
      <c r="C37" s="1"/>
      <c r="D37" s="1"/>
      <c r="E37" s="1"/>
      <c r="F37" s="1"/>
      <c r="G37" s="1"/>
      <c r="H37" s="1"/>
    </row>
    <row r="38" spans="1:8" x14ac:dyDescent="0.25">
      <c r="A38" s="36"/>
      <c r="B38" s="37"/>
      <c r="C38" s="38"/>
      <c r="D38" s="39"/>
      <c r="E38" s="3"/>
      <c r="F38" s="3"/>
      <c r="G38" s="17">
        <f>SUM(G35:G37)</f>
        <v>1476</v>
      </c>
      <c r="H38" s="1"/>
    </row>
    <row r="39" spans="1:8" x14ac:dyDescent="0.25">
      <c r="A39" s="1" t="s">
        <v>12</v>
      </c>
      <c r="B39" s="1" t="s">
        <v>1</v>
      </c>
      <c r="C39" s="1" t="s">
        <v>2</v>
      </c>
      <c r="D39" s="1" t="s">
        <v>3</v>
      </c>
      <c r="E39" s="3" t="s">
        <v>4</v>
      </c>
      <c r="F39" s="3"/>
      <c r="G39" s="3" t="s">
        <v>5</v>
      </c>
      <c r="H39" s="1" t="s">
        <v>6</v>
      </c>
    </row>
    <row r="40" spans="1:8" x14ac:dyDescent="0.25">
      <c r="A40" s="46"/>
      <c r="B40" s="1" t="s">
        <v>105</v>
      </c>
      <c r="C40" s="1"/>
      <c r="D40" s="1">
        <v>7.14</v>
      </c>
      <c r="E40" s="1">
        <v>70</v>
      </c>
      <c r="F40" s="1" t="s">
        <v>104</v>
      </c>
      <c r="G40" s="2">
        <f>D40*E40</f>
        <v>499.79999999999995</v>
      </c>
      <c r="H40" s="1"/>
    </row>
    <row r="41" spans="1:8" x14ac:dyDescent="0.25">
      <c r="A41" s="47"/>
      <c r="B41" s="1" t="s">
        <v>118</v>
      </c>
      <c r="C41" s="1"/>
      <c r="D41" s="1">
        <v>1500</v>
      </c>
      <c r="E41" s="1">
        <v>2.5</v>
      </c>
      <c r="F41" s="1" t="s">
        <v>119</v>
      </c>
      <c r="G41" s="2">
        <f>D41*E41</f>
        <v>3750</v>
      </c>
      <c r="H41" s="1"/>
    </row>
    <row r="42" spans="1:8" x14ac:dyDescent="0.25">
      <c r="A42" s="48"/>
      <c r="B42" s="37" t="s">
        <v>7</v>
      </c>
      <c r="C42" s="38"/>
      <c r="D42" s="39"/>
      <c r="E42" s="3"/>
      <c r="F42" s="3"/>
      <c r="G42" s="15">
        <f>SUM(G40:G41)</f>
        <v>4249.8</v>
      </c>
      <c r="H42" s="7"/>
    </row>
    <row r="43" spans="1:8" x14ac:dyDescent="0.25">
      <c r="A43" s="8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36"/>
      <c r="B44" s="1" t="s">
        <v>35</v>
      </c>
      <c r="C44" s="1">
        <v>1</v>
      </c>
      <c r="D44" s="1">
        <v>4.5</v>
      </c>
      <c r="E44" s="1">
        <v>50</v>
      </c>
      <c r="F44" s="1" t="s">
        <v>106</v>
      </c>
      <c r="G44" s="1">
        <f>D44*E44</f>
        <v>225</v>
      </c>
      <c r="H44" s="1"/>
    </row>
    <row r="45" spans="1:8" x14ac:dyDescent="0.25">
      <c r="A45" s="36"/>
      <c r="B45" s="1"/>
      <c r="C45" s="1"/>
      <c r="D45" s="1"/>
      <c r="E45" s="1"/>
      <c r="F45" s="1"/>
      <c r="G45" s="2">
        <f>D45*E45</f>
        <v>0</v>
      </c>
      <c r="H45" s="1"/>
    </row>
    <row r="46" spans="1:8" x14ac:dyDescent="0.25">
      <c r="A46" s="36"/>
      <c r="B46" s="1"/>
      <c r="C46" s="1"/>
      <c r="D46" s="1"/>
      <c r="E46" s="1"/>
      <c r="F46" s="1"/>
      <c r="G46" s="18">
        <f t="shared" ref="G46" si="5">D46*E46</f>
        <v>0</v>
      </c>
      <c r="H46" s="1"/>
    </row>
    <row r="47" spans="1:8" x14ac:dyDescent="0.25">
      <c r="A47" s="36"/>
      <c r="B47" s="1"/>
      <c r="C47" s="1"/>
      <c r="D47" s="1"/>
      <c r="E47" s="1"/>
      <c r="F47" s="1"/>
      <c r="G47" s="1"/>
      <c r="H47" s="1"/>
    </row>
    <row r="48" spans="1:8" x14ac:dyDescent="0.25">
      <c r="A48" s="36"/>
      <c r="B48" s="37" t="s">
        <v>7</v>
      </c>
      <c r="C48" s="38"/>
      <c r="D48" s="39"/>
      <c r="E48" s="3"/>
      <c r="F48" s="3"/>
      <c r="G48" s="17">
        <f>SUM(G44:G47)</f>
        <v>225</v>
      </c>
      <c r="H48" s="1"/>
    </row>
    <row r="49" spans="1:8" x14ac:dyDescent="0.25">
      <c r="A49" s="1"/>
      <c r="B49" s="43" t="s">
        <v>14</v>
      </c>
      <c r="C49" s="44"/>
      <c r="D49" s="45"/>
      <c r="E49" s="9"/>
      <c r="F49" s="9"/>
      <c r="G49" s="10">
        <f>G48+G42+G38+G20+G14+G7+G33</f>
        <v>18980.259999999998</v>
      </c>
      <c r="H49" s="1"/>
    </row>
  </sheetData>
  <mergeCells count="16">
    <mergeCell ref="A44:A48"/>
    <mergeCell ref="B48:D48"/>
    <mergeCell ref="B49:D49"/>
    <mergeCell ref="A22:A32"/>
    <mergeCell ref="A35:A38"/>
    <mergeCell ref="B38:D38"/>
    <mergeCell ref="A40:A42"/>
    <mergeCell ref="B42:D42"/>
    <mergeCell ref="B33:D33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opLeftCell="A19" workbookViewId="0">
      <selection activeCell="L41" sqref="L4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28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6" t="s">
        <v>66</v>
      </c>
      <c r="B3" s="1" t="s">
        <v>67</v>
      </c>
      <c r="C3" s="1">
        <v>600</v>
      </c>
      <c r="D3" s="1"/>
      <c r="E3" s="33"/>
      <c r="F3" s="1" t="s">
        <v>68</v>
      </c>
      <c r="G3" s="2">
        <f>D3*E3</f>
        <v>0</v>
      </c>
      <c r="H3" s="1"/>
    </row>
    <row r="4" spans="1:8" x14ac:dyDescent="0.25">
      <c r="A4" s="36"/>
      <c r="B4" s="1" t="s">
        <v>69</v>
      </c>
      <c r="C4" s="1">
        <v>10</v>
      </c>
      <c r="D4" s="1">
        <v>8.1</v>
      </c>
      <c r="E4" s="1">
        <v>10</v>
      </c>
      <c r="F4" s="1" t="s">
        <v>19</v>
      </c>
      <c r="G4" s="2">
        <f t="shared" ref="G4:G6" si="0">D4*E4</f>
        <v>81</v>
      </c>
      <c r="H4" s="1"/>
    </row>
    <row r="5" spans="1:8" x14ac:dyDescent="0.25">
      <c r="A5" s="36"/>
      <c r="B5" s="1" t="s">
        <v>70</v>
      </c>
      <c r="C5" s="1">
        <v>25</v>
      </c>
      <c r="D5" s="1">
        <v>168</v>
      </c>
      <c r="E5" s="1">
        <v>25</v>
      </c>
      <c r="F5" s="1" t="s">
        <v>24</v>
      </c>
      <c r="G5" s="2">
        <f t="shared" si="0"/>
        <v>4200</v>
      </c>
      <c r="H5" s="1"/>
    </row>
    <row r="6" spans="1:8" x14ac:dyDescent="0.25">
      <c r="A6" s="36"/>
      <c r="B6" s="1" t="s">
        <v>71</v>
      </c>
      <c r="C6" s="1">
        <v>30</v>
      </c>
      <c r="D6" s="1">
        <v>144</v>
      </c>
      <c r="E6" s="3">
        <v>30</v>
      </c>
      <c r="F6" s="3" t="s">
        <v>24</v>
      </c>
      <c r="G6" s="2">
        <f t="shared" si="0"/>
        <v>4320</v>
      </c>
      <c r="H6" s="1"/>
    </row>
    <row r="7" spans="1:8" x14ac:dyDescent="0.25">
      <c r="A7" s="36"/>
      <c r="B7" s="37" t="s">
        <v>7</v>
      </c>
      <c r="C7" s="38"/>
      <c r="D7" s="39"/>
      <c r="E7" s="3"/>
      <c r="F7" s="3"/>
      <c r="G7" s="15">
        <f>SUM(G3:G6)</f>
        <v>8601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36" t="s">
        <v>72</v>
      </c>
      <c r="B9" s="1" t="s">
        <v>73</v>
      </c>
      <c r="C9" s="1">
        <v>45</v>
      </c>
      <c r="D9" s="1">
        <v>39.9</v>
      </c>
      <c r="E9" s="1">
        <v>45</v>
      </c>
      <c r="F9" s="1" t="s">
        <v>17</v>
      </c>
      <c r="G9" s="2">
        <f>D9*E9</f>
        <v>1795.5</v>
      </c>
      <c r="H9" s="1"/>
    </row>
    <row r="10" spans="1:8" x14ac:dyDescent="0.25">
      <c r="A10" s="36"/>
      <c r="B10" s="1" t="s">
        <v>75</v>
      </c>
      <c r="C10" s="1">
        <v>1</v>
      </c>
      <c r="D10" s="1">
        <v>150</v>
      </c>
      <c r="E10" s="1">
        <v>1</v>
      </c>
      <c r="F10" s="1" t="s">
        <v>74</v>
      </c>
      <c r="G10" s="20">
        <f>D10*E10</f>
        <v>150</v>
      </c>
      <c r="H10" s="1"/>
    </row>
    <row r="11" spans="1:8" x14ac:dyDescent="0.25">
      <c r="A11" s="36"/>
      <c r="B11" s="1"/>
      <c r="C11" s="1"/>
      <c r="D11" s="1"/>
      <c r="E11" s="1"/>
      <c r="F11" s="1"/>
      <c r="G11" s="1"/>
      <c r="H11" s="1"/>
    </row>
    <row r="12" spans="1:8" x14ac:dyDescent="0.25">
      <c r="A12" s="36"/>
      <c r="B12" s="1"/>
      <c r="C12" s="1"/>
      <c r="D12" s="1"/>
      <c r="E12" s="1"/>
      <c r="F12" s="1"/>
      <c r="G12" s="1"/>
      <c r="H12" s="1"/>
    </row>
    <row r="13" spans="1:8" x14ac:dyDescent="0.25">
      <c r="A13" s="36"/>
      <c r="B13" s="1"/>
      <c r="C13" s="1"/>
      <c r="D13" s="1"/>
      <c r="E13" s="1"/>
      <c r="F13" s="1"/>
      <c r="G13" s="1"/>
      <c r="H13" s="1"/>
    </row>
    <row r="14" spans="1:8" x14ac:dyDescent="0.25">
      <c r="A14" s="36"/>
      <c r="B14" s="37" t="s">
        <v>7</v>
      </c>
      <c r="C14" s="38"/>
      <c r="D14" s="39"/>
      <c r="E14" s="3"/>
      <c r="F14" s="3"/>
      <c r="G14" s="15">
        <f>SUM(G9:G13)</f>
        <v>1945.5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36" t="s">
        <v>76</v>
      </c>
      <c r="B16" s="1" t="s">
        <v>77</v>
      </c>
      <c r="C16" s="1">
        <v>50</v>
      </c>
      <c r="D16" s="1">
        <v>65.28</v>
      </c>
      <c r="E16" s="1">
        <v>50</v>
      </c>
      <c r="F16" s="1" t="s">
        <v>19</v>
      </c>
      <c r="G16" s="1">
        <f>D16*E16</f>
        <v>3264</v>
      </c>
      <c r="H16" s="1"/>
    </row>
    <row r="17" spans="1:8" x14ac:dyDescent="0.25">
      <c r="A17" s="36"/>
      <c r="B17" s="1" t="s">
        <v>33</v>
      </c>
      <c r="C17" s="1">
        <v>15</v>
      </c>
      <c r="D17" s="1">
        <v>75</v>
      </c>
      <c r="E17" s="1">
        <v>15</v>
      </c>
      <c r="F17" s="1" t="s">
        <v>19</v>
      </c>
      <c r="G17" s="20">
        <f t="shared" ref="G17:G18" si="1">D17*E17</f>
        <v>1125</v>
      </c>
      <c r="H17" s="1"/>
    </row>
    <row r="18" spans="1:8" x14ac:dyDescent="0.25">
      <c r="A18" s="36"/>
      <c r="B18" s="1" t="s">
        <v>38</v>
      </c>
      <c r="C18" s="1">
        <v>4</v>
      </c>
      <c r="D18" s="1">
        <v>85</v>
      </c>
      <c r="E18" s="1">
        <v>4</v>
      </c>
      <c r="F18" s="1" t="s">
        <v>19</v>
      </c>
      <c r="G18" s="20">
        <f t="shared" si="1"/>
        <v>340</v>
      </c>
      <c r="H18" s="1"/>
    </row>
    <row r="19" spans="1:8" x14ac:dyDescent="0.25">
      <c r="A19" s="36"/>
      <c r="B19" s="1"/>
      <c r="C19" s="1"/>
      <c r="D19" s="1"/>
      <c r="E19" s="3"/>
      <c r="F19" s="3"/>
      <c r="G19" s="20"/>
      <c r="H19" s="1"/>
    </row>
    <row r="20" spans="1:8" x14ac:dyDescent="0.25">
      <c r="A20" s="36"/>
      <c r="B20" s="1"/>
      <c r="C20" s="1"/>
      <c r="D20" s="1"/>
      <c r="E20" s="3"/>
      <c r="F20" s="3"/>
      <c r="G20" s="20"/>
      <c r="H20" s="1"/>
    </row>
    <row r="21" spans="1:8" x14ac:dyDescent="0.25">
      <c r="A21" s="36"/>
      <c r="B21" s="1"/>
      <c r="C21" s="1"/>
      <c r="D21" s="1"/>
      <c r="E21" s="3"/>
      <c r="F21" s="3"/>
      <c r="G21" s="1"/>
      <c r="H21" s="1"/>
    </row>
    <row r="22" spans="1:8" x14ac:dyDescent="0.25">
      <c r="A22" s="36"/>
      <c r="B22" s="37" t="s">
        <v>7</v>
      </c>
      <c r="C22" s="38"/>
      <c r="D22" s="39"/>
      <c r="E22" s="3"/>
      <c r="F22" s="3"/>
      <c r="G22" s="15">
        <f>SUM(G16:G21)</f>
        <v>4729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36"/>
      <c r="B24" s="1" t="s">
        <v>39</v>
      </c>
      <c r="C24" s="1">
        <v>20</v>
      </c>
      <c r="D24" s="1">
        <v>55</v>
      </c>
      <c r="E24" s="1">
        <v>20</v>
      </c>
      <c r="F24" s="1" t="s">
        <v>17</v>
      </c>
      <c r="G24" s="1">
        <f>D24*E24</f>
        <v>1100</v>
      </c>
      <c r="H24" s="1"/>
    </row>
    <row r="25" spans="1:8" x14ac:dyDescent="0.25">
      <c r="A25" s="36"/>
      <c r="B25" s="1" t="s">
        <v>40</v>
      </c>
      <c r="C25" s="1">
        <v>2</v>
      </c>
      <c r="D25" s="1">
        <v>29.38</v>
      </c>
      <c r="E25" s="1">
        <v>100</v>
      </c>
      <c r="F25" s="1" t="s">
        <v>17</v>
      </c>
      <c r="G25" s="20">
        <f t="shared" ref="G25:G31" si="2">D25*E25</f>
        <v>2938</v>
      </c>
      <c r="H25" s="1"/>
    </row>
    <row r="26" spans="1:8" x14ac:dyDescent="0.25">
      <c r="A26" s="36"/>
      <c r="B26" s="1" t="s">
        <v>41</v>
      </c>
      <c r="C26" s="1">
        <v>2</v>
      </c>
      <c r="D26" s="1">
        <v>1188</v>
      </c>
      <c r="E26" s="1">
        <v>2</v>
      </c>
      <c r="F26" s="1" t="s">
        <v>42</v>
      </c>
      <c r="G26" s="20">
        <f t="shared" si="2"/>
        <v>2376</v>
      </c>
      <c r="H26" s="1"/>
    </row>
    <row r="27" spans="1:8" x14ac:dyDescent="0.25">
      <c r="A27" s="36"/>
      <c r="B27" s="1" t="s">
        <v>43</v>
      </c>
      <c r="C27" s="1">
        <v>1</v>
      </c>
      <c r="D27" s="1">
        <v>60</v>
      </c>
      <c r="E27" s="1">
        <v>1</v>
      </c>
      <c r="F27" s="1" t="s">
        <v>44</v>
      </c>
      <c r="G27" s="20">
        <f t="shared" si="2"/>
        <v>60</v>
      </c>
      <c r="H27" s="1"/>
    </row>
    <row r="28" spans="1:8" x14ac:dyDescent="0.25">
      <c r="A28" s="36"/>
      <c r="B28" s="20" t="s">
        <v>78</v>
      </c>
      <c r="C28" s="20">
        <v>6</v>
      </c>
      <c r="D28" s="20">
        <v>93</v>
      </c>
      <c r="E28" s="20">
        <v>6</v>
      </c>
      <c r="F28" s="21" t="s">
        <v>79</v>
      </c>
      <c r="G28" s="20">
        <f t="shared" si="2"/>
        <v>558</v>
      </c>
      <c r="H28" s="20"/>
    </row>
    <row r="29" spans="1:8" x14ac:dyDescent="0.25">
      <c r="A29" s="36"/>
      <c r="B29" s="30" t="s">
        <v>112</v>
      </c>
      <c r="C29" s="30"/>
      <c r="D29" s="30">
        <v>110</v>
      </c>
      <c r="E29" s="31">
        <v>1</v>
      </c>
      <c r="F29" s="31" t="s">
        <v>113</v>
      </c>
      <c r="G29" s="30">
        <f t="shared" si="2"/>
        <v>110</v>
      </c>
      <c r="H29" s="30"/>
    </row>
    <row r="30" spans="1:8" x14ac:dyDescent="0.25">
      <c r="A30" s="36"/>
      <c r="B30" s="30" t="s">
        <v>114</v>
      </c>
      <c r="C30" s="30"/>
      <c r="D30" s="30">
        <v>120</v>
      </c>
      <c r="E30" s="31">
        <v>1</v>
      </c>
      <c r="F30" s="31" t="s">
        <v>113</v>
      </c>
      <c r="G30" s="30">
        <f t="shared" si="2"/>
        <v>120</v>
      </c>
      <c r="H30" s="30"/>
    </row>
    <row r="31" spans="1:8" x14ac:dyDescent="0.25">
      <c r="A31" s="36"/>
      <c r="B31" s="30" t="s">
        <v>115</v>
      </c>
      <c r="C31" s="30"/>
      <c r="D31" s="30">
        <v>66</v>
      </c>
      <c r="E31" s="31">
        <v>8.77</v>
      </c>
      <c r="F31" s="31" t="s">
        <v>116</v>
      </c>
      <c r="G31" s="31">
        <f t="shared" si="2"/>
        <v>578.81999999999994</v>
      </c>
      <c r="H31" s="30"/>
    </row>
    <row r="32" spans="1:8" x14ac:dyDescent="0.25">
      <c r="A32" s="36"/>
      <c r="B32" s="37" t="s">
        <v>7</v>
      </c>
      <c r="C32" s="38"/>
      <c r="D32" s="39"/>
      <c r="E32" s="3"/>
      <c r="F32" s="3"/>
      <c r="G32" s="15">
        <f>SUM(G24:G31)</f>
        <v>7840.82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 t="s">
        <v>6</v>
      </c>
    </row>
    <row r="34" spans="1:8" x14ac:dyDescent="0.25">
      <c r="A34" s="36" t="s">
        <v>80</v>
      </c>
      <c r="B34" s="1" t="s">
        <v>81</v>
      </c>
      <c r="C34" s="1">
        <v>25</v>
      </c>
      <c r="D34" s="1">
        <v>22.44</v>
      </c>
      <c r="E34" s="1">
        <v>25</v>
      </c>
      <c r="F34" s="1" t="s">
        <v>79</v>
      </c>
      <c r="G34" s="1">
        <f>D34*E34</f>
        <v>561</v>
      </c>
      <c r="H34" s="1"/>
    </row>
    <row r="35" spans="1:8" x14ac:dyDescent="0.25">
      <c r="A35" s="36"/>
      <c r="B35" s="1" t="s">
        <v>82</v>
      </c>
      <c r="C35" s="1">
        <v>7</v>
      </c>
      <c r="D35" s="1">
        <v>63</v>
      </c>
      <c r="E35" s="1">
        <v>7</v>
      </c>
      <c r="F35" s="1" t="s">
        <v>79</v>
      </c>
      <c r="G35" s="32">
        <f>D35*E35</f>
        <v>441</v>
      </c>
      <c r="H35" s="1"/>
    </row>
    <row r="36" spans="1:8" x14ac:dyDescent="0.25">
      <c r="A36" s="36"/>
      <c r="B36" s="1"/>
      <c r="C36" s="1"/>
      <c r="D36" s="1"/>
      <c r="E36" s="1"/>
      <c r="F36" s="1"/>
      <c r="G36" s="1"/>
      <c r="H36" s="1"/>
    </row>
    <row r="37" spans="1:8" x14ac:dyDescent="0.25">
      <c r="A37" s="36"/>
      <c r="B37" s="37"/>
      <c r="C37" s="38"/>
      <c r="D37" s="39"/>
      <c r="E37" s="3"/>
      <c r="F37" s="3"/>
      <c r="G37" s="17">
        <f>SUM(G34:G36)</f>
        <v>1002</v>
      </c>
      <c r="H37" s="1"/>
    </row>
    <row r="38" spans="1:8" x14ac:dyDescent="0.25">
      <c r="A38" s="1" t="s">
        <v>12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8" x14ac:dyDescent="0.25">
      <c r="A39" s="46"/>
      <c r="B39" s="1" t="s">
        <v>117</v>
      </c>
      <c r="C39" s="1"/>
      <c r="D39" s="1">
        <v>7.14</v>
      </c>
      <c r="E39" s="1">
        <v>70</v>
      </c>
      <c r="F39" s="1" t="s">
        <v>116</v>
      </c>
      <c r="G39" s="26">
        <f>D39*E39</f>
        <v>499.79999999999995</v>
      </c>
      <c r="H39" s="1"/>
    </row>
    <row r="40" spans="1:8" x14ac:dyDescent="0.25">
      <c r="A40" s="47"/>
      <c r="B40" s="1" t="s">
        <v>120</v>
      </c>
      <c r="C40" s="1"/>
      <c r="D40" s="1">
        <v>1500</v>
      </c>
      <c r="E40" s="1">
        <v>2.5</v>
      </c>
      <c r="F40" s="1" t="s">
        <v>121</v>
      </c>
      <c r="G40" s="26">
        <f>D40*E40</f>
        <v>3750</v>
      </c>
      <c r="H40" s="1"/>
    </row>
    <row r="41" spans="1:8" x14ac:dyDescent="0.25">
      <c r="A41" s="48"/>
      <c r="B41" s="37" t="s">
        <v>7</v>
      </c>
      <c r="C41" s="38"/>
      <c r="D41" s="39"/>
      <c r="E41" s="3"/>
      <c r="F41" s="3"/>
      <c r="G41" s="15">
        <f>SUM(G39:G40)</f>
        <v>4249.8</v>
      </c>
      <c r="H41" s="7"/>
    </row>
    <row r="42" spans="1:8" x14ac:dyDescent="0.25">
      <c r="A42" s="8" t="s">
        <v>13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 t="s">
        <v>5</v>
      </c>
      <c r="H42" s="1"/>
    </row>
    <row r="43" spans="1:8" x14ac:dyDescent="0.25">
      <c r="A43" s="36"/>
      <c r="B43" s="1"/>
      <c r="C43" s="1"/>
      <c r="D43" s="1"/>
      <c r="E43" s="1"/>
      <c r="F43" s="1"/>
      <c r="G43" s="1"/>
      <c r="H43" s="1"/>
    </row>
    <row r="44" spans="1:8" x14ac:dyDescent="0.25">
      <c r="A44" s="36"/>
      <c r="B44" s="1"/>
      <c r="C44" s="1"/>
      <c r="D44" s="1"/>
      <c r="E44" s="1"/>
      <c r="F44" s="1"/>
      <c r="G44" s="1"/>
      <c r="H44" s="1"/>
    </row>
    <row r="45" spans="1:8" x14ac:dyDescent="0.25">
      <c r="A45" s="36"/>
      <c r="B45" s="1"/>
      <c r="C45" s="1"/>
      <c r="D45" s="1"/>
      <c r="E45" s="1"/>
      <c r="F45" s="1"/>
      <c r="G45" s="1"/>
      <c r="H45" s="1"/>
    </row>
    <row r="46" spans="1:8" x14ac:dyDescent="0.25">
      <c r="A46" s="36"/>
      <c r="B46" s="1"/>
      <c r="C46" s="1"/>
      <c r="D46" s="1"/>
      <c r="E46" s="1"/>
      <c r="F46" s="1"/>
      <c r="G46" s="1"/>
      <c r="H46" s="1"/>
    </row>
    <row r="47" spans="1:8" x14ac:dyDescent="0.25">
      <c r="A47" s="36"/>
      <c r="B47" s="37" t="s">
        <v>7</v>
      </c>
      <c r="C47" s="38"/>
      <c r="D47" s="39"/>
      <c r="E47" s="3"/>
      <c r="F47" s="3"/>
      <c r="G47" s="5">
        <f>SUM(G43:G46)</f>
        <v>0</v>
      </c>
      <c r="H47" s="1"/>
    </row>
    <row r="48" spans="1:8" x14ac:dyDescent="0.25">
      <c r="A48" s="1"/>
      <c r="B48" s="43" t="s">
        <v>14</v>
      </c>
      <c r="C48" s="44"/>
      <c r="D48" s="45"/>
      <c r="E48" s="9"/>
      <c r="F48" s="9"/>
      <c r="G48" s="10">
        <f>G47+G41+G37+G22+G14+G7+G32</f>
        <v>28368.12</v>
      </c>
      <c r="H48" s="1"/>
    </row>
  </sheetData>
  <mergeCells count="16">
    <mergeCell ref="A43:A47"/>
    <mergeCell ref="B47:D47"/>
    <mergeCell ref="B48:D48"/>
    <mergeCell ref="A24:A32"/>
    <mergeCell ref="B32:D32"/>
    <mergeCell ref="A34:A37"/>
    <mergeCell ref="B37:D37"/>
    <mergeCell ref="A39:A41"/>
    <mergeCell ref="B41:D41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abSelected="1" topLeftCell="A33" workbookViewId="0">
      <selection activeCell="H50" sqref="A1:H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45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6" t="s">
        <v>83</v>
      </c>
      <c r="B3" s="1" t="s">
        <v>84</v>
      </c>
      <c r="C3" s="1">
        <v>250</v>
      </c>
      <c r="D3" s="1">
        <v>99</v>
      </c>
      <c r="E3" s="1">
        <v>62.15</v>
      </c>
      <c r="F3" s="1" t="s">
        <v>17</v>
      </c>
      <c r="G3" s="2">
        <f>D3*E3</f>
        <v>6152.8499999999995</v>
      </c>
      <c r="H3" s="1"/>
    </row>
    <row r="4" spans="1:8" x14ac:dyDescent="0.25">
      <c r="A4" s="36"/>
      <c r="B4" s="1"/>
      <c r="C4" s="1"/>
      <c r="D4" s="1"/>
      <c r="E4" s="1"/>
      <c r="F4" s="1"/>
      <c r="G4" s="1"/>
      <c r="H4" s="1"/>
    </row>
    <row r="5" spans="1:8" x14ac:dyDescent="0.25">
      <c r="A5" s="36"/>
      <c r="B5" s="1"/>
      <c r="C5" s="1"/>
      <c r="D5" s="1"/>
      <c r="E5" s="1"/>
      <c r="F5" s="1"/>
      <c r="G5" s="1"/>
      <c r="H5" s="1"/>
    </row>
    <row r="6" spans="1:8" x14ac:dyDescent="0.25">
      <c r="A6" s="36"/>
      <c r="B6" s="1"/>
      <c r="C6" s="1"/>
      <c r="D6" s="1"/>
      <c r="E6" s="3"/>
      <c r="F6" s="3"/>
      <c r="G6" s="3"/>
      <c r="H6" s="1"/>
    </row>
    <row r="7" spans="1:8" x14ac:dyDescent="0.25">
      <c r="A7" s="36"/>
      <c r="B7" s="37" t="s">
        <v>7</v>
      </c>
      <c r="C7" s="38"/>
      <c r="D7" s="39"/>
      <c r="E7" s="3"/>
      <c r="F7" s="3"/>
      <c r="G7" s="15">
        <f>SUM(G3:G6)</f>
        <v>6152.8499999999995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36" t="s">
        <v>85</v>
      </c>
      <c r="B9" s="1" t="s">
        <v>86</v>
      </c>
      <c r="C9" s="1">
        <v>28</v>
      </c>
      <c r="D9" s="1">
        <v>44.46</v>
      </c>
      <c r="E9" s="29">
        <v>28</v>
      </c>
      <c r="F9" s="1" t="s">
        <v>17</v>
      </c>
      <c r="G9" s="1">
        <f>D9*E9</f>
        <v>1244.8800000000001</v>
      </c>
      <c r="H9" s="1"/>
    </row>
    <row r="10" spans="1:8" x14ac:dyDescent="0.25">
      <c r="A10" s="36"/>
      <c r="B10" s="1" t="s">
        <v>87</v>
      </c>
      <c r="C10" s="1">
        <v>17</v>
      </c>
      <c r="D10" s="1">
        <v>43.8</v>
      </c>
      <c r="E10" s="1">
        <v>17</v>
      </c>
      <c r="F10" s="1" t="s">
        <v>17</v>
      </c>
      <c r="G10" s="24">
        <f t="shared" ref="G10:G12" si="0">D10*E10</f>
        <v>744.59999999999991</v>
      </c>
      <c r="H10" s="1"/>
    </row>
    <row r="11" spans="1:8" x14ac:dyDescent="0.25">
      <c r="A11" s="36"/>
      <c r="B11" s="1" t="s">
        <v>88</v>
      </c>
      <c r="C11" s="1">
        <v>6</v>
      </c>
      <c r="D11" s="1">
        <v>28.56</v>
      </c>
      <c r="E11" s="1">
        <v>6</v>
      </c>
      <c r="F11" s="1" t="s">
        <v>17</v>
      </c>
      <c r="G11" s="24">
        <f t="shared" si="0"/>
        <v>171.35999999999999</v>
      </c>
      <c r="H11" s="1"/>
    </row>
    <row r="12" spans="1:8" x14ac:dyDescent="0.25">
      <c r="A12" s="36"/>
      <c r="B12" s="1"/>
      <c r="C12" s="1"/>
      <c r="D12" s="1"/>
      <c r="E12" s="1"/>
      <c r="F12" s="1"/>
      <c r="G12" s="24">
        <f t="shared" si="0"/>
        <v>0</v>
      </c>
      <c r="H12" s="1"/>
    </row>
    <row r="13" spans="1:8" x14ac:dyDescent="0.25">
      <c r="A13" s="36"/>
      <c r="B13" s="1"/>
      <c r="C13" s="1"/>
      <c r="D13" s="1"/>
      <c r="E13" s="1"/>
      <c r="F13" s="1"/>
      <c r="G13" s="1"/>
      <c r="H13" s="1"/>
    </row>
    <row r="14" spans="1:8" x14ac:dyDescent="0.25">
      <c r="A14" s="36"/>
      <c r="B14" s="37" t="s">
        <v>7</v>
      </c>
      <c r="C14" s="38"/>
      <c r="D14" s="39"/>
      <c r="E14" s="3"/>
      <c r="F14" s="3"/>
      <c r="G14" s="15">
        <f>SUM(G9:G13)</f>
        <v>2160.84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36" t="s">
        <v>89</v>
      </c>
      <c r="B16" s="1" t="s">
        <v>90</v>
      </c>
      <c r="C16" s="1">
        <v>25</v>
      </c>
      <c r="D16" s="1">
        <v>26.22</v>
      </c>
      <c r="E16" s="1">
        <v>25</v>
      </c>
      <c r="F16" s="1" t="s">
        <v>17</v>
      </c>
      <c r="G16" s="1">
        <f>D16*E16</f>
        <v>655.5</v>
      </c>
      <c r="H16" s="1"/>
    </row>
    <row r="17" spans="1:8" x14ac:dyDescent="0.25">
      <c r="A17" s="36"/>
      <c r="B17" s="1" t="s">
        <v>91</v>
      </c>
      <c r="C17" s="1">
        <v>8</v>
      </c>
      <c r="D17" s="1">
        <v>82.5</v>
      </c>
      <c r="E17" s="1">
        <v>8</v>
      </c>
      <c r="F17" s="1" t="s">
        <v>79</v>
      </c>
      <c r="G17" s="34">
        <f t="shared" ref="G17:G19" si="1">D17*E17</f>
        <v>660</v>
      </c>
      <c r="H17" s="1"/>
    </row>
    <row r="18" spans="1:8" x14ac:dyDescent="0.25">
      <c r="A18" s="36"/>
      <c r="B18" s="1" t="s">
        <v>92</v>
      </c>
      <c r="C18" s="1">
        <v>4</v>
      </c>
      <c r="D18" s="1">
        <v>45</v>
      </c>
      <c r="E18" s="1">
        <v>4</v>
      </c>
      <c r="F18" s="1" t="s">
        <v>79</v>
      </c>
      <c r="G18" s="34">
        <f t="shared" si="1"/>
        <v>180</v>
      </c>
      <c r="H18" s="1"/>
    </row>
    <row r="19" spans="1:8" x14ac:dyDescent="0.25">
      <c r="A19" s="36"/>
      <c r="B19" s="1" t="s">
        <v>93</v>
      </c>
      <c r="C19" s="1">
        <v>3</v>
      </c>
      <c r="D19" s="1">
        <v>14.82</v>
      </c>
      <c r="E19" s="3">
        <v>3</v>
      </c>
      <c r="F19" s="3" t="s">
        <v>79</v>
      </c>
      <c r="G19" s="34">
        <f t="shared" si="1"/>
        <v>44.46</v>
      </c>
      <c r="H19" s="1"/>
    </row>
    <row r="20" spans="1:8" x14ac:dyDescent="0.25">
      <c r="A20" s="36"/>
      <c r="B20" s="37" t="s">
        <v>7</v>
      </c>
      <c r="C20" s="38"/>
      <c r="D20" s="39"/>
      <c r="E20" s="3"/>
      <c r="F20" s="3"/>
      <c r="G20" s="15">
        <f>SUM(G16:G19)</f>
        <v>1539.96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36"/>
      <c r="B22" s="1" t="s">
        <v>47</v>
      </c>
      <c r="C22" s="1">
        <v>1</v>
      </c>
      <c r="D22" s="1">
        <v>210</v>
      </c>
      <c r="E22" s="1">
        <v>1</v>
      </c>
      <c r="F22" s="1" t="s">
        <v>36</v>
      </c>
      <c r="G22" s="1">
        <f>D22*E22</f>
        <v>210</v>
      </c>
      <c r="H22" s="1" t="s">
        <v>48</v>
      </c>
    </row>
    <row r="23" spans="1:8" x14ac:dyDescent="0.25">
      <c r="A23" s="36"/>
      <c r="B23" s="1" t="s">
        <v>94</v>
      </c>
      <c r="C23" s="1">
        <v>1</v>
      </c>
      <c r="D23" s="1">
        <v>110</v>
      </c>
      <c r="E23" s="1">
        <v>1</v>
      </c>
      <c r="F23" s="1" t="s">
        <v>95</v>
      </c>
      <c r="G23" s="24">
        <f t="shared" ref="G23:G31" si="2">D23*E23</f>
        <v>110</v>
      </c>
      <c r="H23" s="1"/>
    </row>
    <row r="24" spans="1:8" x14ac:dyDescent="0.25">
      <c r="A24" s="36"/>
      <c r="B24" s="1" t="s">
        <v>96</v>
      </c>
      <c r="C24" s="1">
        <v>3</v>
      </c>
      <c r="D24" s="1">
        <v>168</v>
      </c>
      <c r="E24" s="1">
        <v>3</v>
      </c>
      <c r="F24" s="1" t="s">
        <v>79</v>
      </c>
      <c r="G24" s="24">
        <f t="shared" si="2"/>
        <v>504</v>
      </c>
      <c r="H24" s="1"/>
    </row>
    <row r="25" spans="1:8" x14ac:dyDescent="0.25">
      <c r="A25" s="36"/>
      <c r="B25" s="1" t="s">
        <v>97</v>
      </c>
      <c r="C25" s="1">
        <v>3</v>
      </c>
      <c r="D25" s="1">
        <v>99</v>
      </c>
      <c r="E25" s="1">
        <v>3</v>
      </c>
      <c r="F25" s="1" t="s">
        <v>79</v>
      </c>
      <c r="G25" s="34">
        <f t="shared" si="2"/>
        <v>297</v>
      </c>
      <c r="H25" s="1"/>
    </row>
    <row r="26" spans="1:8" x14ac:dyDescent="0.25">
      <c r="A26" s="36"/>
      <c r="B26" s="34" t="s">
        <v>126</v>
      </c>
      <c r="C26" s="34"/>
      <c r="D26" s="34">
        <v>78</v>
      </c>
      <c r="E26" s="34">
        <v>8.16</v>
      </c>
      <c r="F26" s="34" t="s">
        <v>17</v>
      </c>
      <c r="G26" s="34">
        <f t="shared" si="2"/>
        <v>636.48</v>
      </c>
      <c r="H26" s="34"/>
    </row>
    <row r="27" spans="1:8" x14ac:dyDescent="0.25">
      <c r="A27" s="36"/>
      <c r="B27" s="34" t="s">
        <v>127</v>
      </c>
      <c r="C27" s="34"/>
      <c r="D27" s="34">
        <v>75</v>
      </c>
      <c r="E27" s="34">
        <v>4</v>
      </c>
      <c r="F27" s="35" t="s">
        <v>128</v>
      </c>
      <c r="G27" s="34">
        <f t="shared" si="2"/>
        <v>300</v>
      </c>
      <c r="H27" s="34"/>
    </row>
    <row r="28" spans="1:8" x14ac:dyDescent="0.25">
      <c r="A28" s="36"/>
      <c r="B28" s="24" t="s">
        <v>98</v>
      </c>
      <c r="C28" s="24">
        <v>2</v>
      </c>
      <c r="D28" s="24">
        <v>16</v>
      </c>
      <c r="E28" s="24">
        <v>2</v>
      </c>
      <c r="F28" s="25" t="s">
        <v>100</v>
      </c>
      <c r="G28" s="34">
        <f t="shared" si="2"/>
        <v>32</v>
      </c>
      <c r="H28" s="24"/>
    </row>
    <row r="29" spans="1:8" x14ac:dyDescent="0.25">
      <c r="A29" s="36"/>
      <c r="B29" s="24" t="s">
        <v>99</v>
      </c>
      <c r="C29" s="24">
        <v>1</v>
      </c>
      <c r="D29" s="24">
        <v>38.76</v>
      </c>
      <c r="E29" s="24">
        <v>1</v>
      </c>
      <c r="F29" s="25" t="s">
        <v>79</v>
      </c>
      <c r="G29" s="34">
        <f t="shared" si="2"/>
        <v>38.76</v>
      </c>
      <c r="H29" s="24"/>
    </row>
    <row r="30" spans="1:8" x14ac:dyDescent="0.25">
      <c r="A30" s="36"/>
      <c r="B30" s="34" t="s">
        <v>122</v>
      </c>
      <c r="C30" s="34"/>
      <c r="D30" s="34">
        <v>60</v>
      </c>
      <c r="E30" s="34">
        <v>1</v>
      </c>
      <c r="F30" s="35" t="s">
        <v>123</v>
      </c>
      <c r="G30" s="34">
        <f t="shared" si="2"/>
        <v>60</v>
      </c>
      <c r="H30" s="34"/>
    </row>
    <row r="31" spans="1:8" x14ac:dyDescent="0.25">
      <c r="A31" s="36"/>
      <c r="B31" s="34" t="s">
        <v>124</v>
      </c>
      <c r="C31" s="34"/>
      <c r="D31" s="34">
        <v>240</v>
      </c>
      <c r="E31" s="34">
        <v>1</v>
      </c>
      <c r="F31" s="35" t="s">
        <v>125</v>
      </c>
      <c r="G31" s="34">
        <f t="shared" si="2"/>
        <v>240</v>
      </c>
      <c r="H31" s="34"/>
    </row>
    <row r="32" spans="1:8" x14ac:dyDescent="0.25">
      <c r="A32" s="36"/>
      <c r="B32" s="37" t="s">
        <v>7</v>
      </c>
      <c r="C32" s="38"/>
      <c r="D32" s="39"/>
      <c r="E32" s="3"/>
      <c r="F32" s="3"/>
      <c r="G32" s="15">
        <f>SUM(G22:G31)</f>
        <v>2428.2400000000002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 t="s">
        <v>6</v>
      </c>
    </row>
    <row r="34" spans="1:8" x14ac:dyDescent="0.25">
      <c r="A34" s="36" t="s">
        <v>34</v>
      </c>
      <c r="B34" s="1" t="s">
        <v>101</v>
      </c>
      <c r="C34" s="1"/>
      <c r="D34" s="1"/>
      <c r="E34" s="1"/>
      <c r="F34" s="13"/>
      <c r="G34" s="1">
        <f>D34*E34</f>
        <v>0</v>
      </c>
      <c r="H34" s="1"/>
    </row>
    <row r="35" spans="1:8" x14ac:dyDescent="0.25">
      <c r="A35" s="36"/>
      <c r="B35" s="1" t="s">
        <v>102</v>
      </c>
      <c r="C35" s="1"/>
      <c r="D35" s="1"/>
      <c r="E35" s="1"/>
      <c r="F35" s="1"/>
      <c r="G35" s="24">
        <f>D35*E35</f>
        <v>0</v>
      </c>
      <c r="H35" s="1" t="s">
        <v>46</v>
      </c>
    </row>
    <row r="36" spans="1:8" x14ac:dyDescent="0.25">
      <c r="A36" s="36"/>
      <c r="B36" s="1"/>
      <c r="C36" s="1"/>
      <c r="D36" s="1"/>
      <c r="E36" s="1"/>
      <c r="F36" s="1"/>
      <c r="G36" s="1"/>
      <c r="H36" s="1"/>
    </row>
    <row r="37" spans="1:8" x14ac:dyDescent="0.25">
      <c r="A37" s="36"/>
      <c r="B37" s="37" t="s">
        <v>16</v>
      </c>
      <c r="C37" s="38"/>
      <c r="D37" s="39"/>
      <c r="E37" s="3"/>
      <c r="F37" s="3"/>
      <c r="G37" s="15">
        <f>SUM(G34:G36)</f>
        <v>0</v>
      </c>
      <c r="H37" s="1"/>
    </row>
    <row r="38" spans="1:8" x14ac:dyDescent="0.25">
      <c r="A38" s="1" t="s">
        <v>12</v>
      </c>
      <c r="B38" s="1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8" x14ac:dyDescent="0.25">
      <c r="A39" s="46"/>
      <c r="B39" s="1" t="s">
        <v>129</v>
      </c>
      <c r="C39" s="1"/>
      <c r="D39" s="1">
        <v>6.3</v>
      </c>
      <c r="E39" s="1">
        <v>6</v>
      </c>
      <c r="F39" s="1" t="s">
        <v>22</v>
      </c>
      <c r="G39" s="1">
        <f>D39*E39</f>
        <v>37.799999999999997</v>
      </c>
      <c r="H39" s="1"/>
    </row>
    <row r="40" spans="1:8" x14ac:dyDescent="0.25">
      <c r="A40" s="47"/>
      <c r="B40" s="1" t="s">
        <v>130</v>
      </c>
      <c r="C40" s="1"/>
      <c r="D40" s="1">
        <v>7.14</v>
      </c>
      <c r="E40" s="1">
        <v>76</v>
      </c>
      <c r="F40" s="24" t="s">
        <v>17</v>
      </c>
      <c r="G40" s="24">
        <f>D40*E40</f>
        <v>542.64</v>
      </c>
      <c r="H40" s="1"/>
    </row>
    <row r="41" spans="1:8" x14ac:dyDescent="0.25">
      <c r="A41" s="47"/>
      <c r="B41" s="34" t="s">
        <v>134</v>
      </c>
      <c r="C41" s="34"/>
      <c r="D41" s="34"/>
      <c r="E41" s="34"/>
      <c r="F41" s="34"/>
      <c r="G41" s="35">
        <v>2500</v>
      </c>
      <c r="H41" s="34"/>
    </row>
    <row r="42" spans="1:8" x14ac:dyDescent="0.25">
      <c r="A42" s="48"/>
      <c r="B42" s="37" t="s">
        <v>7</v>
      </c>
      <c r="C42" s="38"/>
      <c r="D42" s="39"/>
      <c r="E42" s="3"/>
      <c r="F42" s="3"/>
      <c r="G42" s="15">
        <f>SUM(G39:G41)</f>
        <v>3080.44</v>
      </c>
      <c r="H42" s="7"/>
    </row>
    <row r="43" spans="1:8" x14ac:dyDescent="0.25">
      <c r="A43" s="8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6"/>
      <c r="B44" s="1" t="s">
        <v>131</v>
      </c>
      <c r="C44" s="1"/>
      <c r="D44" s="1">
        <v>99</v>
      </c>
      <c r="E44" s="1">
        <v>5</v>
      </c>
      <c r="F44" s="13" t="s">
        <v>128</v>
      </c>
      <c r="G44" s="1">
        <f>D44*E44</f>
        <v>495</v>
      </c>
      <c r="H44" s="1"/>
    </row>
    <row r="45" spans="1:8" x14ac:dyDescent="0.25">
      <c r="A45" s="47"/>
      <c r="B45" s="1" t="s">
        <v>132</v>
      </c>
      <c r="C45" s="1"/>
      <c r="D45" s="1">
        <v>8.1</v>
      </c>
      <c r="E45" s="1">
        <v>2.5</v>
      </c>
      <c r="F45" s="13" t="s">
        <v>128</v>
      </c>
      <c r="G45" s="24">
        <f t="shared" ref="G45:G48" si="3">D45*E45</f>
        <v>20.25</v>
      </c>
      <c r="H45" s="1"/>
    </row>
    <row r="46" spans="1:8" x14ac:dyDescent="0.25">
      <c r="A46" s="47"/>
      <c r="B46" s="1" t="s">
        <v>133</v>
      </c>
      <c r="C46" s="1"/>
      <c r="D46" s="1">
        <v>19.8</v>
      </c>
      <c r="E46" s="1">
        <v>3</v>
      </c>
      <c r="F46" s="13" t="s">
        <v>128</v>
      </c>
      <c r="G46" s="24">
        <f t="shared" si="3"/>
        <v>59.400000000000006</v>
      </c>
      <c r="H46" s="1"/>
    </row>
    <row r="47" spans="1:8" x14ac:dyDescent="0.25">
      <c r="A47" s="47"/>
      <c r="B47" s="1"/>
      <c r="C47" s="1"/>
      <c r="D47" s="1"/>
      <c r="E47" s="1"/>
      <c r="F47" s="13"/>
      <c r="G47" s="24">
        <f t="shared" si="3"/>
        <v>0</v>
      </c>
      <c r="H47" s="1"/>
    </row>
    <row r="48" spans="1:8" x14ac:dyDescent="0.25">
      <c r="A48" s="47"/>
      <c r="B48" s="13"/>
      <c r="C48" s="13"/>
      <c r="D48" s="14"/>
      <c r="E48" s="14"/>
      <c r="F48" s="14"/>
      <c r="G48" s="24">
        <f t="shared" si="3"/>
        <v>0</v>
      </c>
      <c r="H48" s="13"/>
    </row>
    <row r="49" spans="1:8" x14ac:dyDescent="0.25">
      <c r="A49" s="48"/>
      <c r="B49" s="37" t="s">
        <v>7</v>
      </c>
      <c r="C49" s="38"/>
      <c r="D49" s="39"/>
      <c r="E49" s="3"/>
      <c r="F49" s="3"/>
      <c r="G49" s="15">
        <f>SUM(G44:G48)</f>
        <v>574.65</v>
      </c>
      <c r="H49" s="1"/>
    </row>
    <row r="50" spans="1:8" x14ac:dyDescent="0.25">
      <c r="A50" s="13"/>
      <c r="B50" s="43" t="s">
        <v>14</v>
      </c>
      <c r="C50" s="44"/>
      <c r="D50" s="45"/>
      <c r="E50" s="9"/>
      <c r="F50" s="9"/>
      <c r="G50" s="10">
        <f>G49+G42+G37+G20+G14+G7+G32</f>
        <v>15936.98</v>
      </c>
      <c r="H50" s="1"/>
    </row>
  </sheetData>
  <mergeCells count="16">
    <mergeCell ref="B49:D49"/>
    <mergeCell ref="B50:D50"/>
    <mergeCell ref="A22:A32"/>
    <mergeCell ref="B32:D32"/>
    <mergeCell ref="A34:A37"/>
    <mergeCell ref="B37:D37"/>
    <mergeCell ref="A39:A42"/>
    <mergeCell ref="B42:D42"/>
    <mergeCell ref="A44:A4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opLeftCell="A10" workbookViewId="0">
      <selection activeCell="F34" sqref="F3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49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6"/>
      <c r="B3" s="1"/>
      <c r="C3" s="1"/>
      <c r="D3" s="1"/>
      <c r="E3" s="1"/>
      <c r="F3" s="1"/>
      <c r="G3" s="2"/>
      <c r="H3" s="1"/>
    </row>
    <row r="4" spans="1:8" x14ac:dyDescent="0.25">
      <c r="A4" s="36"/>
      <c r="B4" s="1"/>
      <c r="C4" s="1"/>
      <c r="D4" s="1"/>
      <c r="E4" s="1"/>
      <c r="F4" s="1"/>
      <c r="G4" s="1"/>
      <c r="H4" s="1"/>
    </row>
    <row r="5" spans="1:8" x14ac:dyDescent="0.25">
      <c r="A5" s="36"/>
      <c r="B5" s="1"/>
      <c r="C5" s="1"/>
      <c r="D5" s="1"/>
      <c r="E5" s="1"/>
      <c r="F5" s="1"/>
      <c r="G5" s="1"/>
      <c r="H5" s="1"/>
    </row>
    <row r="6" spans="1:8" x14ac:dyDescent="0.25">
      <c r="A6" s="36"/>
      <c r="C6" s="1"/>
      <c r="D6" s="1"/>
      <c r="E6" s="3"/>
      <c r="F6" s="3"/>
      <c r="G6" s="3"/>
      <c r="H6" s="1"/>
    </row>
    <row r="7" spans="1:8" x14ac:dyDescent="0.25">
      <c r="A7" s="36"/>
      <c r="B7" s="37" t="s">
        <v>7</v>
      </c>
      <c r="C7" s="38"/>
      <c r="D7" s="39"/>
      <c r="E7" s="3"/>
      <c r="F7" s="3"/>
      <c r="G7" s="4">
        <f>SUM(G3:G6)</f>
        <v>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36"/>
      <c r="B9" s="19"/>
      <c r="C9" s="1"/>
      <c r="D9" s="1"/>
      <c r="E9" s="1"/>
      <c r="F9" s="13"/>
      <c r="G9" s="1"/>
      <c r="H9" s="1"/>
    </row>
    <row r="10" spans="1:8" x14ac:dyDescent="0.25">
      <c r="A10" s="36"/>
      <c r="B10" s="1"/>
      <c r="C10" s="1"/>
      <c r="D10" s="1"/>
      <c r="E10" s="1"/>
      <c r="F10" s="13"/>
      <c r="G10" s="1"/>
      <c r="H10" s="1"/>
    </row>
    <row r="11" spans="1:8" x14ac:dyDescent="0.25">
      <c r="A11" s="36"/>
      <c r="B11" s="1"/>
      <c r="C11" s="1"/>
      <c r="D11" s="1"/>
      <c r="E11" s="1"/>
      <c r="F11" s="13"/>
      <c r="G11" s="1"/>
      <c r="H11" s="1"/>
    </row>
    <row r="12" spans="1:8" x14ac:dyDescent="0.25">
      <c r="A12" s="36"/>
      <c r="B12" s="1"/>
      <c r="C12" s="1"/>
      <c r="D12" s="1"/>
      <c r="E12" s="1"/>
      <c r="F12" s="13"/>
      <c r="G12" s="1"/>
      <c r="H12" s="1"/>
    </row>
    <row r="13" spans="1:8" x14ac:dyDescent="0.25">
      <c r="A13" s="36"/>
      <c r="B13" s="1"/>
      <c r="C13" s="1"/>
      <c r="D13" s="1"/>
      <c r="E13" s="1"/>
      <c r="F13" s="1"/>
      <c r="G13" s="1"/>
      <c r="H13" s="1"/>
    </row>
    <row r="14" spans="1:8" x14ac:dyDescent="0.25">
      <c r="A14" s="36"/>
      <c r="B14" s="37" t="s">
        <v>7</v>
      </c>
      <c r="C14" s="38"/>
      <c r="D14" s="39"/>
      <c r="E14" s="3"/>
      <c r="F14" s="3"/>
      <c r="G14" s="4">
        <f>SUM(G9:G13)</f>
        <v>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36"/>
      <c r="B16" s="1"/>
      <c r="C16" s="1"/>
      <c r="D16" s="1"/>
      <c r="E16" s="1"/>
      <c r="F16" s="1"/>
      <c r="G16" s="1"/>
      <c r="H16" s="1"/>
    </row>
    <row r="17" spans="1:8" x14ac:dyDescent="0.25">
      <c r="A17" s="36"/>
      <c r="B17" s="1"/>
      <c r="C17" s="1"/>
      <c r="D17" s="1"/>
      <c r="E17" s="1"/>
      <c r="F17" s="13"/>
      <c r="G17" s="1"/>
      <c r="H17" s="1"/>
    </row>
    <row r="18" spans="1:8" x14ac:dyDescent="0.25">
      <c r="A18" s="36"/>
      <c r="B18" s="1"/>
      <c r="C18" s="1"/>
      <c r="D18" s="1"/>
      <c r="E18" s="1"/>
      <c r="F18" s="1"/>
      <c r="G18" s="1"/>
      <c r="H18" s="1"/>
    </row>
    <row r="19" spans="1:8" x14ac:dyDescent="0.25">
      <c r="A19" s="36"/>
      <c r="B19" s="27"/>
      <c r="C19" s="27"/>
      <c r="D19" s="27"/>
      <c r="E19" s="27"/>
      <c r="F19" s="27"/>
      <c r="G19" s="1"/>
      <c r="H19" s="1"/>
    </row>
    <row r="20" spans="1:8" x14ac:dyDescent="0.25">
      <c r="A20" s="36"/>
      <c r="B20" s="37" t="s">
        <v>7</v>
      </c>
      <c r="C20" s="38"/>
      <c r="D20" s="39"/>
      <c r="E20" s="3"/>
      <c r="F20" s="3"/>
      <c r="G20" s="5">
        <f>SUM(G16:G19)</f>
        <v>0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36"/>
      <c r="B22" s="1"/>
      <c r="C22" s="1"/>
      <c r="D22" s="1"/>
      <c r="E22" s="1"/>
      <c r="F22" s="13"/>
      <c r="G22" s="1"/>
      <c r="H22" s="1"/>
    </row>
    <row r="23" spans="1:8" x14ac:dyDescent="0.25">
      <c r="A23" s="36"/>
      <c r="B23" s="1"/>
      <c r="C23" s="1"/>
      <c r="D23" s="1"/>
      <c r="E23" s="1"/>
      <c r="F23" s="1"/>
      <c r="G23" s="1"/>
      <c r="H23" s="1" t="s">
        <v>50</v>
      </c>
    </row>
    <row r="24" spans="1:8" x14ac:dyDescent="0.25">
      <c r="A24" s="36"/>
      <c r="B24" s="1"/>
      <c r="C24" s="1"/>
      <c r="D24" s="1"/>
      <c r="E24" s="1"/>
      <c r="F24" s="1"/>
      <c r="G24" s="1"/>
      <c r="H24" s="1"/>
    </row>
    <row r="25" spans="1:8" x14ac:dyDescent="0.25">
      <c r="A25" s="36"/>
      <c r="B25" s="1"/>
      <c r="C25" s="1"/>
      <c r="D25" s="1"/>
      <c r="E25" s="1"/>
      <c r="F25" s="1"/>
      <c r="G25" s="1"/>
      <c r="H25" s="1"/>
    </row>
    <row r="26" spans="1:8" x14ac:dyDescent="0.25">
      <c r="A26" s="36"/>
      <c r="B26" s="37" t="s">
        <v>7</v>
      </c>
      <c r="C26" s="38"/>
      <c r="D26" s="39"/>
      <c r="E26" s="3"/>
      <c r="F26" s="3"/>
      <c r="G26" s="3"/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36"/>
      <c r="B28" s="27"/>
      <c r="C28" s="27"/>
      <c r="D28" s="27"/>
      <c r="E28" s="27"/>
      <c r="G28" s="1"/>
      <c r="H28" s="1" t="s">
        <v>15</v>
      </c>
    </row>
    <row r="29" spans="1:8" x14ac:dyDescent="0.25">
      <c r="A29" s="36"/>
      <c r="B29" s="1"/>
      <c r="C29" s="1"/>
      <c r="D29" s="1"/>
      <c r="E29" s="1"/>
      <c r="F29" s="1"/>
      <c r="G29" s="1"/>
      <c r="H29" s="1"/>
    </row>
    <row r="30" spans="1:8" x14ac:dyDescent="0.25">
      <c r="A30" s="36"/>
      <c r="B30" s="1"/>
      <c r="C30" s="1"/>
      <c r="D30" s="1"/>
      <c r="E30" s="1"/>
      <c r="F30" s="1"/>
      <c r="G30" s="1"/>
      <c r="H30" s="1"/>
    </row>
    <row r="31" spans="1:8" x14ac:dyDescent="0.25">
      <c r="A31" s="36"/>
      <c r="B31" s="37"/>
      <c r="C31" s="38"/>
      <c r="D31" s="39"/>
      <c r="E31" s="3"/>
      <c r="F31" s="3"/>
      <c r="G31" s="5">
        <f>SUM(G28:G30)</f>
        <v>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46"/>
      <c r="B33" s="1"/>
      <c r="C33" s="1"/>
      <c r="D33" s="1"/>
      <c r="E33" s="1"/>
      <c r="F33" s="1"/>
      <c r="G33" s="1"/>
      <c r="H33" s="1"/>
    </row>
    <row r="34" spans="1:8" x14ac:dyDescent="0.25">
      <c r="A34" s="47"/>
      <c r="B34" s="1"/>
      <c r="C34" s="1"/>
      <c r="D34" s="1"/>
      <c r="E34" s="1"/>
      <c r="F34" s="1"/>
      <c r="G34" s="2"/>
      <c r="H34" s="1"/>
    </row>
    <row r="35" spans="1:8" x14ac:dyDescent="0.25">
      <c r="A35" s="48"/>
      <c r="B35" s="37" t="s">
        <v>7</v>
      </c>
      <c r="C35" s="38"/>
      <c r="D35" s="39"/>
      <c r="E35" s="3"/>
      <c r="F35" s="3"/>
      <c r="G35" s="4">
        <f>SUM(G33:G34)</f>
        <v>0</v>
      </c>
      <c r="H35" s="7"/>
    </row>
    <row r="36" spans="1:8" x14ac:dyDescent="0.25">
      <c r="A36" s="8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36"/>
      <c r="B37" s="1"/>
      <c r="C37" s="1"/>
      <c r="D37" s="1"/>
      <c r="E37" s="1"/>
      <c r="F37" s="1"/>
      <c r="G37" s="1"/>
      <c r="H37" s="1"/>
    </row>
    <row r="38" spans="1:8" x14ac:dyDescent="0.25">
      <c r="A38" s="36"/>
      <c r="B38" s="1"/>
      <c r="C38" s="1"/>
      <c r="D38" s="1"/>
      <c r="E38" s="1"/>
      <c r="F38" s="1"/>
      <c r="G38" s="1"/>
      <c r="H38" s="1"/>
    </row>
    <row r="39" spans="1:8" x14ac:dyDescent="0.25">
      <c r="A39" s="36"/>
      <c r="B39" s="1"/>
      <c r="C39" s="1"/>
      <c r="D39" s="1"/>
      <c r="E39" s="1"/>
      <c r="F39" s="1"/>
      <c r="G39" s="1"/>
      <c r="H39" s="1"/>
    </row>
    <row r="40" spans="1:8" x14ac:dyDescent="0.25">
      <c r="A40" s="36"/>
      <c r="B40" s="1"/>
      <c r="C40" s="1"/>
      <c r="D40" s="1"/>
      <c r="E40" s="1"/>
      <c r="F40" s="1"/>
      <c r="G40" s="1"/>
      <c r="H40" s="1"/>
    </row>
    <row r="41" spans="1:8" x14ac:dyDescent="0.25">
      <c r="A41" s="36"/>
      <c r="B41" s="37" t="s">
        <v>7</v>
      </c>
      <c r="C41" s="38"/>
      <c r="D41" s="39"/>
      <c r="E41" s="3"/>
      <c r="F41" s="3"/>
      <c r="G41" s="5">
        <f>SUM(G37:G40)</f>
        <v>0</v>
      </c>
      <c r="H41" s="1"/>
    </row>
    <row r="42" spans="1:8" x14ac:dyDescent="0.25">
      <c r="A42" s="1"/>
      <c r="B42" s="43" t="s">
        <v>14</v>
      </c>
      <c r="C42" s="44"/>
      <c r="D42" s="45"/>
      <c r="E42" s="9"/>
      <c r="F42" s="9"/>
      <c r="G42" s="10">
        <f>G41+G35+G31+G20+G14+G7</f>
        <v>0</v>
      </c>
      <c r="H42" s="1"/>
    </row>
  </sheetData>
  <mergeCells count="16"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selection activeCell="B39" sqref="B3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0" t="s">
        <v>51</v>
      </c>
      <c r="B1" s="41"/>
      <c r="C1" s="41"/>
      <c r="D1" s="41"/>
      <c r="E1" s="41"/>
      <c r="F1" s="41"/>
      <c r="G1" s="41"/>
      <c r="H1" s="4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36"/>
      <c r="B3" s="1"/>
      <c r="C3" s="1"/>
      <c r="D3" s="1"/>
      <c r="E3" s="1"/>
      <c r="F3" s="1"/>
      <c r="G3" s="2"/>
      <c r="H3" s="1"/>
    </row>
    <row r="4" spans="1:8" x14ac:dyDescent="0.25">
      <c r="A4" s="36"/>
      <c r="B4" s="1"/>
      <c r="C4" s="1"/>
      <c r="D4" s="1"/>
      <c r="E4" s="1"/>
      <c r="F4" s="1"/>
      <c r="G4" s="1"/>
      <c r="H4" s="1"/>
    </row>
    <row r="5" spans="1:8" x14ac:dyDescent="0.25">
      <c r="A5" s="36"/>
      <c r="B5" s="1"/>
      <c r="C5" s="1"/>
      <c r="D5" s="1"/>
      <c r="E5" s="1"/>
      <c r="F5" s="1"/>
      <c r="G5" s="1"/>
      <c r="H5" s="1"/>
    </row>
    <row r="6" spans="1:8" x14ac:dyDescent="0.25">
      <c r="A6" s="36"/>
      <c r="B6" s="1"/>
      <c r="C6" s="1"/>
      <c r="D6" s="1"/>
      <c r="E6" s="3"/>
      <c r="F6" s="3"/>
      <c r="G6" s="3"/>
      <c r="H6" s="1"/>
    </row>
    <row r="7" spans="1:8" x14ac:dyDescent="0.25">
      <c r="A7" s="36"/>
      <c r="B7" s="1"/>
      <c r="C7" s="1"/>
      <c r="D7" s="1"/>
      <c r="E7" s="3"/>
      <c r="F7" s="3"/>
      <c r="G7" s="3"/>
      <c r="H7" s="1"/>
    </row>
    <row r="8" spans="1:8" x14ac:dyDescent="0.25">
      <c r="A8" s="36"/>
      <c r="B8" s="37" t="s">
        <v>7</v>
      </c>
      <c r="C8" s="38"/>
      <c r="D8" s="39"/>
      <c r="E8" s="3"/>
      <c r="F8" s="3"/>
      <c r="G8" s="4">
        <f>SUM(G3:G7)</f>
        <v>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6"/>
      <c r="B10" s="27"/>
      <c r="C10" s="27"/>
      <c r="D10" s="27"/>
      <c r="E10" s="27"/>
      <c r="F10" s="27"/>
      <c r="G10" s="27"/>
      <c r="H10" s="27"/>
    </row>
    <row r="11" spans="1:8" x14ac:dyDescent="0.25">
      <c r="A11" s="47"/>
      <c r="B11" s="1"/>
      <c r="C11" s="1"/>
      <c r="D11" s="1"/>
      <c r="E11" s="1"/>
      <c r="F11" s="13"/>
      <c r="G11" s="1"/>
      <c r="H11" s="1"/>
    </row>
    <row r="12" spans="1:8" x14ac:dyDescent="0.25">
      <c r="A12" s="47"/>
      <c r="B12" s="1"/>
      <c r="C12" s="1"/>
      <c r="D12" s="1"/>
      <c r="E12" s="1"/>
      <c r="F12" s="13"/>
      <c r="G12" s="1"/>
      <c r="H12" s="1"/>
    </row>
    <row r="13" spans="1:8" x14ac:dyDescent="0.25">
      <c r="A13" s="47"/>
      <c r="B13" s="1"/>
      <c r="C13" s="1"/>
      <c r="D13" s="1"/>
      <c r="E13" s="1"/>
      <c r="F13" s="13"/>
      <c r="G13" s="1"/>
      <c r="H13" s="1"/>
    </row>
    <row r="14" spans="1:8" x14ac:dyDescent="0.25">
      <c r="A14" s="47"/>
      <c r="B14" s="1"/>
      <c r="C14" s="1"/>
      <c r="D14" s="1"/>
      <c r="E14" s="1"/>
      <c r="F14" s="13"/>
      <c r="G14" s="1"/>
      <c r="H14" s="1"/>
    </row>
    <row r="15" spans="1:8" x14ac:dyDescent="0.25">
      <c r="A15" s="47"/>
      <c r="B15" s="19"/>
      <c r="C15" s="1"/>
      <c r="D15" s="1"/>
      <c r="E15" s="1"/>
      <c r="F15" s="1"/>
      <c r="G15" s="1"/>
      <c r="H15" s="13"/>
    </row>
    <row r="16" spans="1:8" x14ac:dyDescent="0.25">
      <c r="A16" s="48"/>
      <c r="B16" s="37" t="s">
        <v>7</v>
      </c>
      <c r="C16" s="38"/>
      <c r="D16" s="39"/>
      <c r="E16" s="3"/>
      <c r="F16" s="3"/>
      <c r="G16" s="4">
        <f>SUM(G11:G15)</f>
        <v>0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36"/>
      <c r="B18" s="1"/>
      <c r="C18" s="1"/>
      <c r="D18" s="1"/>
      <c r="E18" s="1"/>
      <c r="F18" s="13"/>
      <c r="G18" s="1"/>
      <c r="H18" s="1"/>
    </row>
    <row r="19" spans="1:8" x14ac:dyDescent="0.25">
      <c r="A19" s="36"/>
      <c r="B19" s="1"/>
      <c r="C19" s="1"/>
      <c r="D19" s="1"/>
      <c r="E19" s="1"/>
      <c r="F19" s="13"/>
      <c r="G19" s="1"/>
      <c r="H19" s="1"/>
    </row>
    <row r="20" spans="1:8" x14ac:dyDescent="0.25">
      <c r="A20" s="36"/>
      <c r="B20" s="1"/>
      <c r="C20" s="1"/>
      <c r="D20" s="1"/>
      <c r="E20" s="1"/>
      <c r="F20" s="1"/>
      <c r="G20" s="1"/>
      <c r="H20" s="1"/>
    </row>
    <row r="21" spans="1:8" x14ac:dyDescent="0.25">
      <c r="A21" s="36"/>
      <c r="B21" s="1"/>
      <c r="C21" s="1"/>
      <c r="D21" s="1"/>
      <c r="E21" s="3"/>
      <c r="F21" s="3"/>
      <c r="G21" s="1"/>
      <c r="H21" s="1"/>
    </row>
    <row r="22" spans="1:8" x14ac:dyDescent="0.25">
      <c r="A22" s="36"/>
      <c r="B22" s="37" t="s">
        <v>7</v>
      </c>
      <c r="C22" s="38"/>
      <c r="D22" s="39"/>
      <c r="E22" s="3"/>
      <c r="F22" s="3"/>
      <c r="G22" s="5">
        <f>SUM(G18:G21)</f>
        <v>0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9"/>
      <c r="B24" s="19"/>
      <c r="C24" s="13"/>
      <c r="D24" s="13"/>
      <c r="E24" s="13"/>
      <c r="F24" s="13"/>
      <c r="G24" s="13"/>
      <c r="H24" s="13" t="s">
        <v>21</v>
      </c>
    </row>
    <row r="25" spans="1:8" x14ac:dyDescent="0.25">
      <c r="A25" s="50"/>
      <c r="B25" s="13"/>
      <c r="C25" s="13"/>
      <c r="D25" s="13"/>
      <c r="E25" s="13"/>
      <c r="F25" s="13"/>
      <c r="G25" s="13"/>
      <c r="H25" s="13" t="s">
        <v>21</v>
      </c>
    </row>
    <row r="26" spans="1:8" x14ac:dyDescent="0.25">
      <c r="A26" s="50"/>
      <c r="B26" s="13"/>
      <c r="C26" s="13"/>
      <c r="D26" s="13"/>
      <c r="E26" s="13"/>
      <c r="F26" s="13"/>
      <c r="G26" s="13"/>
      <c r="H26" s="1" t="s">
        <v>20</v>
      </c>
    </row>
    <row r="27" spans="1:8" x14ac:dyDescent="0.25">
      <c r="A27" s="50"/>
      <c r="B27" s="1"/>
      <c r="C27" s="1"/>
      <c r="D27" s="1"/>
      <c r="E27" s="1"/>
      <c r="F27" s="1"/>
      <c r="G27" s="1"/>
      <c r="H27" s="13" t="s">
        <v>20</v>
      </c>
    </row>
    <row r="28" spans="1:8" x14ac:dyDescent="0.25">
      <c r="A28" s="50"/>
      <c r="B28" s="1"/>
      <c r="C28" s="1"/>
      <c r="D28" s="1"/>
      <c r="E28" s="1"/>
      <c r="F28" s="1"/>
      <c r="G28" s="1"/>
      <c r="H28" s="13" t="s">
        <v>20</v>
      </c>
    </row>
    <row r="29" spans="1:8" x14ac:dyDescent="0.25">
      <c r="A29" s="50"/>
      <c r="B29" s="1"/>
      <c r="C29" s="1"/>
      <c r="D29" s="1"/>
      <c r="E29" s="1"/>
      <c r="F29" s="1"/>
      <c r="G29" s="1"/>
      <c r="H29" s="27"/>
    </row>
    <row r="30" spans="1:8" x14ac:dyDescent="0.25">
      <c r="A30" s="50"/>
      <c r="B30" s="1"/>
      <c r="C30" s="1"/>
      <c r="D30" s="1"/>
      <c r="E30" s="1"/>
      <c r="F30" s="1"/>
      <c r="G30" s="1"/>
      <c r="H30" s="1"/>
    </row>
    <row r="31" spans="1:8" x14ac:dyDescent="0.25">
      <c r="A31" s="51"/>
      <c r="B31" s="37" t="s">
        <v>7</v>
      </c>
      <c r="C31" s="38"/>
      <c r="D31" s="39"/>
      <c r="E31" s="3"/>
      <c r="F31" s="3"/>
      <c r="G31" s="3"/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36"/>
      <c r="B33" s="1"/>
      <c r="C33" s="1"/>
      <c r="D33" s="1"/>
      <c r="E33" s="1"/>
      <c r="F33" s="1"/>
      <c r="G33" s="1"/>
      <c r="H33" s="1"/>
    </row>
    <row r="34" spans="1:8" x14ac:dyDescent="0.25">
      <c r="A34" s="36"/>
      <c r="B34" s="1"/>
      <c r="C34" s="1"/>
      <c r="D34" s="1"/>
      <c r="E34" s="1"/>
      <c r="F34" s="1"/>
      <c r="G34" s="1"/>
      <c r="H34" s="1"/>
    </row>
    <row r="35" spans="1:8" x14ac:dyDescent="0.25">
      <c r="A35" s="36"/>
      <c r="B35" s="1"/>
      <c r="C35" s="1"/>
      <c r="D35" s="1"/>
      <c r="E35" s="1"/>
      <c r="F35" s="1"/>
      <c r="G35" s="1"/>
      <c r="H35" s="1"/>
    </row>
    <row r="36" spans="1:8" x14ac:dyDescent="0.25">
      <c r="A36" s="36"/>
      <c r="B36" s="37"/>
      <c r="C36" s="38"/>
      <c r="D36" s="39"/>
      <c r="E36" s="3"/>
      <c r="F36" s="3"/>
      <c r="G36" s="5">
        <f>SUM(G33:G35)</f>
        <v>0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46"/>
      <c r="B38" s="1"/>
      <c r="C38" s="1"/>
      <c r="D38" s="1"/>
      <c r="E38" s="1"/>
      <c r="F38" s="1"/>
      <c r="G38" s="1"/>
      <c r="H38" s="1"/>
    </row>
    <row r="39" spans="1:8" x14ac:dyDescent="0.25">
      <c r="A39" s="47"/>
      <c r="B39" s="1"/>
      <c r="C39" s="1"/>
      <c r="D39" s="1"/>
      <c r="E39" s="1"/>
      <c r="F39" s="1" t="s">
        <v>27</v>
      </c>
      <c r="G39" s="2"/>
      <c r="H39" s="1"/>
    </row>
    <row r="40" spans="1:8" x14ac:dyDescent="0.25">
      <c r="A40" s="48"/>
      <c r="B40" s="37" t="s">
        <v>7</v>
      </c>
      <c r="C40" s="38"/>
      <c r="D40" s="39"/>
      <c r="E40" s="3"/>
      <c r="F40" s="3"/>
      <c r="G40" s="4">
        <f>SUM(G38:G39)</f>
        <v>0</v>
      </c>
      <c r="H40" s="7"/>
    </row>
    <row r="41" spans="1:8" x14ac:dyDescent="0.25">
      <c r="A41" s="8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36"/>
      <c r="B42" s="1"/>
      <c r="C42" s="1"/>
      <c r="D42" s="1"/>
      <c r="E42" s="1"/>
      <c r="F42" s="1"/>
      <c r="G42" s="1"/>
      <c r="H42" s="1"/>
    </row>
    <row r="43" spans="1:8" x14ac:dyDescent="0.25">
      <c r="A43" s="36"/>
      <c r="B43" s="1"/>
      <c r="C43" s="1"/>
      <c r="D43" s="1"/>
      <c r="E43" s="1"/>
      <c r="F43" s="1"/>
      <c r="G43" s="1"/>
      <c r="H43" s="1"/>
    </row>
    <row r="44" spans="1:8" x14ac:dyDescent="0.25">
      <c r="A44" s="36"/>
      <c r="B44" s="1"/>
      <c r="C44" s="1"/>
      <c r="D44" s="1"/>
      <c r="E44" s="1"/>
      <c r="F44" s="1"/>
      <c r="G44" s="1"/>
      <c r="H44" s="1"/>
    </row>
    <row r="45" spans="1:8" x14ac:dyDescent="0.25">
      <c r="A45" s="36"/>
      <c r="B45" s="1"/>
      <c r="C45" s="1"/>
      <c r="D45" s="1"/>
      <c r="E45" s="1"/>
      <c r="F45" s="1"/>
      <c r="G45" s="1"/>
      <c r="H45" s="1"/>
    </row>
    <row r="46" spans="1:8" x14ac:dyDescent="0.25">
      <c r="A46" s="36"/>
      <c r="B46" s="37" t="s">
        <v>7</v>
      </c>
      <c r="C46" s="38"/>
      <c r="D46" s="39"/>
      <c r="E46" s="3"/>
      <c r="F46" s="3"/>
      <c r="G46" s="5">
        <f>SUM(G42:G45)</f>
        <v>0</v>
      </c>
      <c r="H46" s="1"/>
    </row>
    <row r="47" spans="1:8" x14ac:dyDescent="0.25">
      <c r="A47" s="1"/>
      <c r="B47" s="43" t="s">
        <v>14</v>
      </c>
      <c r="C47" s="44"/>
      <c r="D47" s="45"/>
      <c r="E47" s="9"/>
      <c r="F47" s="9"/>
      <c r="G47" s="10">
        <f>G46+G40+G36+G22+G16+G8</f>
        <v>0</v>
      </c>
      <c r="H47" s="1"/>
    </row>
  </sheetData>
  <mergeCells count="16">
    <mergeCell ref="A42:A46"/>
    <mergeCell ref="B46:D46"/>
    <mergeCell ref="B47:D47"/>
    <mergeCell ref="B31:D31"/>
    <mergeCell ref="A33:A36"/>
    <mergeCell ref="B36:D36"/>
    <mergeCell ref="A38:A40"/>
    <mergeCell ref="B40:D40"/>
    <mergeCell ref="A24:A31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3</vt:i4>
      </vt:variant>
    </vt:vector>
  </HeadingPairs>
  <TitlesOfParts>
    <vt:vector size="8" baseType="lpstr">
      <vt:lpstr>0331</vt:lpstr>
      <vt:lpstr>0401</vt:lpstr>
      <vt:lpstr>0402</vt:lpstr>
      <vt:lpstr>0403</vt:lpstr>
      <vt:lpstr>0404</vt:lpstr>
      <vt:lpstr>'0331'!Print_Area</vt:lpstr>
      <vt:lpstr>'0401'!Print_Area</vt:lpstr>
      <vt:lpstr>'0402'!Print_Area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2025-04-07T01:26:38Z</cp:lastPrinted>
  <dcterms:created xsi:type="dcterms:W3CDTF">2025-02-19T17:01:12Z</dcterms:created>
  <dcterms:modified xsi:type="dcterms:W3CDTF">2025-04-07T01:26:40Z</dcterms:modified>
</cp:coreProperties>
</file>