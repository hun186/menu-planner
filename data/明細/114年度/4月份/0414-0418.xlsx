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4月份\"/>
    </mc:Choice>
  </mc:AlternateContent>
  <bookViews>
    <workbookView xWindow="0" yWindow="0" windowWidth="28800" windowHeight="12255" activeTab="4"/>
  </bookViews>
  <sheets>
    <sheet name="0414" sheetId="1" r:id="rId1"/>
    <sheet name="0415" sheetId="2" r:id="rId2"/>
    <sheet name="0416" sheetId="3" r:id="rId3"/>
    <sheet name="0417" sheetId="4" r:id="rId4"/>
    <sheet name="0418" sheetId="5" r:id="rId5"/>
  </sheets>
  <definedNames>
    <definedName name="_xlnm.Print_Area" localSheetId="0">'0414'!$A$1:$H$50</definedName>
    <definedName name="_xlnm.Print_Area" localSheetId="1">'0415'!$A$1:$H$45</definedName>
    <definedName name="_xlnm.Print_Area" localSheetId="2">'0416'!$A$1:$H$53</definedName>
    <definedName name="_xlnm.Print_Area" localSheetId="3">'0417'!$A$1:$H$42</definedName>
    <definedName name="_xlnm.Print_Area" localSheetId="4">'0418'!$A$1:$H$54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5" l="1"/>
  <c r="G25" i="5"/>
  <c r="G26" i="5"/>
  <c r="G27" i="5"/>
  <c r="G28" i="5"/>
  <c r="G29" i="5"/>
  <c r="G30" i="5"/>
  <c r="G31" i="5"/>
  <c r="G32" i="5"/>
  <c r="G33" i="5"/>
  <c r="G34" i="5"/>
  <c r="G35" i="5"/>
  <c r="G36" i="5"/>
  <c r="G24" i="5"/>
  <c r="G37" i="5" s="1"/>
  <c r="G49" i="5"/>
  <c r="G50" i="5"/>
  <c r="G51" i="5"/>
  <c r="G52" i="5"/>
  <c r="G48" i="5"/>
  <c r="G53" i="5" s="1"/>
  <c r="G44" i="5"/>
  <c r="G46" i="5" s="1"/>
  <c r="G18" i="5"/>
  <c r="G11" i="5"/>
  <c r="G10" i="5"/>
  <c r="G16" i="5" s="1"/>
  <c r="G4" i="5"/>
  <c r="G5" i="5"/>
  <c r="G6" i="5"/>
  <c r="G3" i="5"/>
  <c r="G8" i="5" s="1"/>
  <c r="G42" i="4" l="1"/>
  <c r="G26" i="4"/>
  <c r="G23" i="4"/>
  <c r="G22" i="4"/>
  <c r="G37" i="4"/>
  <c r="G34" i="4"/>
  <c r="G14" i="4"/>
  <c r="G10" i="4"/>
  <c r="G11" i="4"/>
  <c r="G12" i="4"/>
  <c r="G9" i="4"/>
  <c r="G17" i="4"/>
  <c r="G18" i="4"/>
  <c r="G16" i="4"/>
  <c r="G33" i="4"/>
  <c r="G25" i="3"/>
  <c r="G26" i="3"/>
  <c r="G7" i="3"/>
  <c r="G14" i="3"/>
  <c r="G20" i="3"/>
  <c r="G41" i="3"/>
  <c r="G23" i="3"/>
  <c r="G24" i="3"/>
  <c r="G27" i="3"/>
  <c r="G28" i="3"/>
  <c r="G29" i="3"/>
  <c r="G30" i="3"/>
  <c r="G31" i="3"/>
  <c r="G32" i="3"/>
  <c r="G33" i="3"/>
  <c r="G34" i="3"/>
  <c r="G35" i="3"/>
  <c r="G40" i="3"/>
  <c r="G17" i="3"/>
  <c r="G4" i="3"/>
  <c r="G5" i="3"/>
  <c r="G6" i="3"/>
  <c r="G16" i="3"/>
  <c r="G36" i="3" l="1"/>
  <c r="G32" i="2"/>
  <c r="G22" i="2"/>
  <c r="G50" i="1"/>
  <c r="G42" i="1"/>
  <c r="G34" i="1"/>
  <c r="G26" i="1"/>
  <c r="G27" i="1"/>
  <c r="G28" i="1"/>
  <c r="G29" i="1"/>
  <c r="G30" i="1"/>
  <c r="G31" i="1"/>
  <c r="G32" i="1"/>
  <c r="G33" i="1"/>
  <c r="G7" i="1"/>
  <c r="G6" i="1"/>
  <c r="G4" i="1"/>
  <c r="G5" i="1"/>
  <c r="G39" i="1"/>
  <c r="G37" i="1"/>
  <c r="G36" i="1"/>
  <c r="G20" i="1"/>
  <c r="G44" i="3" l="1"/>
  <c r="G43" i="3"/>
  <c r="G10" i="3"/>
  <c r="G11" i="3"/>
  <c r="G12" i="3"/>
  <c r="G9" i="3"/>
  <c r="G22" i="3"/>
  <c r="G39" i="3"/>
  <c r="G38" i="3"/>
  <c r="G3" i="3"/>
  <c r="G48" i="3"/>
  <c r="G49" i="3"/>
  <c r="G50" i="3"/>
  <c r="G51" i="3"/>
  <c r="G47" i="3"/>
  <c r="G52" i="3" l="1"/>
  <c r="G53" i="3" s="1"/>
  <c r="G25" i="2"/>
  <c r="G24" i="2"/>
  <c r="G29" i="2" s="1"/>
  <c r="G37" i="2"/>
  <c r="G10" i="2"/>
  <c r="G9" i="2"/>
  <c r="G17" i="2"/>
  <c r="G18" i="2"/>
  <c r="G16" i="2"/>
  <c r="G31" i="2"/>
  <c r="G4" i="2"/>
  <c r="G3" i="2"/>
  <c r="G36" i="2"/>
  <c r="G14" i="2" l="1"/>
  <c r="G46" i="1"/>
  <c r="G47" i="1"/>
  <c r="G17" i="1"/>
  <c r="G3" i="1"/>
  <c r="G49" i="1" l="1"/>
  <c r="G16" i="1"/>
  <c r="G41" i="1"/>
  <c r="G43" i="1" s="1"/>
  <c r="G24" i="1" l="1"/>
  <c r="G25" i="1"/>
  <c r="G23" i="1"/>
  <c r="G22" i="1"/>
  <c r="G10" i="1"/>
  <c r="G11" i="1"/>
  <c r="G12" i="1"/>
  <c r="G9" i="1"/>
  <c r="G14" i="1" l="1"/>
  <c r="G42" i="5"/>
  <c r="G22" i="5"/>
  <c r="G41" i="4"/>
  <c r="G35" i="4"/>
  <c r="G31" i="4"/>
  <c r="G20" i="4"/>
  <c r="G7" i="4"/>
  <c r="G45" i="3"/>
  <c r="G44" i="2"/>
  <c r="G38" i="2"/>
  <c r="G34" i="2"/>
  <c r="G7" i="2"/>
  <c r="G54" i="5" l="1"/>
  <c r="G45" i="2"/>
</calcChain>
</file>

<file path=xl/sharedStrings.xml><?xml version="1.0" encoding="utf-8"?>
<sst xmlns="http://schemas.openxmlformats.org/spreadsheetml/2006/main" count="540" uniqueCount="193">
  <si>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</si>
  <si>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</si>
  <si>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</si>
  <si>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</si>
  <si>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</si>
  <si>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</si>
  <si>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</si>
  <si>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</si>
  <si>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</si>
  <si>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</si>
  <si>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</si>
  <si>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</si>
  <si>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</si>
  <si>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</si>
  <si>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</si>
  <si>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</si>
  <si>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</si>
  <si>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</si>
  <si>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</si>
  <si>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</si>
  <si>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</si>
  <si>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</si>
  <si>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</si>
  <si>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</si>
  <si>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</si>
  <si>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</si>
  <si>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</si>
  <si>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</si>
  <si>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</si>
  <si>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</si>
  <si>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</si>
  <si>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</si>
  <si>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蘿蔔糕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</si>
  <si>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</si>
  <si>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</si>
  <si>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</si>
  <si>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</si>
  <si>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味噌豆腐湯</t>
    <phoneticPr fontId="2" type="noConversion"/>
  </si>
  <si>
    <t>4.3板豆腐</t>
    <phoneticPr fontId="2" type="noConversion"/>
  </si>
  <si>
    <t>板</t>
    <phoneticPr fontId="2" type="noConversion"/>
  </si>
  <si>
    <t>鋁箔包飲料</t>
    <phoneticPr fontId="2" type="noConversion"/>
  </si>
  <si>
    <t>宮保肉片</t>
    <phoneticPr fontId="2" type="noConversion"/>
  </si>
  <si>
    <t>辣椒</t>
    <phoneticPr fontId="2" type="noConversion"/>
  </si>
  <si>
    <t>五花肉片</t>
    <phoneticPr fontId="2" type="noConversion"/>
  </si>
  <si>
    <t>豬肉片</t>
    <phoneticPr fontId="2" type="noConversion"/>
  </si>
  <si>
    <t>去皮洋蔥</t>
    <phoneticPr fontId="2" type="noConversion"/>
  </si>
  <si>
    <t>乾辣椒</t>
    <phoneticPr fontId="2" type="noConversion"/>
  </si>
  <si>
    <t>斤</t>
    <phoneticPr fontId="2" type="noConversion"/>
  </si>
  <si>
    <t>包</t>
    <phoneticPr fontId="2" type="noConversion"/>
  </si>
  <si>
    <t>三絲炒蛋</t>
    <phoneticPr fontId="2" type="noConversion"/>
  </si>
  <si>
    <t>紅蘿蔔絲</t>
    <phoneticPr fontId="2" type="noConversion"/>
  </si>
  <si>
    <t>木耳絲</t>
    <phoneticPr fontId="2" type="noConversion"/>
  </si>
  <si>
    <t>金針菇</t>
    <phoneticPr fontId="2" type="noConversion"/>
  </si>
  <si>
    <t>蛋</t>
    <phoneticPr fontId="2" type="noConversion"/>
  </si>
  <si>
    <t>薑絲海帶根</t>
    <phoneticPr fontId="2" type="noConversion"/>
  </si>
  <si>
    <t>海帶根</t>
    <phoneticPr fontId="2" type="noConversion"/>
  </si>
  <si>
    <t>薑絲</t>
    <phoneticPr fontId="2" type="noConversion"/>
  </si>
  <si>
    <t>去皮冬瓜</t>
    <phoneticPr fontId="2" type="noConversion"/>
  </si>
  <si>
    <t>小貢丸</t>
    <phoneticPr fontId="2" type="noConversion"/>
  </si>
  <si>
    <t>冬瓜貢丸湯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</si>
  <si>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</si>
  <si>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</si>
  <si>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</si>
  <si>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t>絞肉</t>
    <phoneticPr fontId="2" type="noConversion"/>
  </si>
  <si>
    <t>雞翅</t>
    <phoneticPr fontId="2" type="noConversion"/>
  </si>
  <si>
    <t>酥炸腿排</t>
    <phoneticPr fontId="2" type="noConversion"/>
  </si>
  <si>
    <t>腿排</t>
    <phoneticPr fontId="2" type="noConversion"/>
  </si>
  <si>
    <t>酥炸粉</t>
    <phoneticPr fontId="2" type="noConversion"/>
  </si>
  <si>
    <t>個</t>
    <phoneticPr fontId="2" type="noConversion"/>
  </si>
  <si>
    <t>麻婆豆腐</t>
    <phoneticPr fontId="2" type="noConversion"/>
  </si>
  <si>
    <t>胡瓜鮮菇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</si>
  <si>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</si>
  <si>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4.32豆腐</t>
    <phoneticPr fontId="2" type="noConversion"/>
  </si>
  <si>
    <t>板</t>
    <phoneticPr fontId="2" type="noConversion"/>
  </si>
  <si>
    <t>胡瓜絲</t>
    <phoneticPr fontId="2" type="noConversion"/>
  </si>
  <si>
    <t>雪白菇</t>
    <phoneticPr fontId="2" type="noConversion"/>
  </si>
  <si>
    <t>白蘿蔔排骨湯</t>
    <phoneticPr fontId="2" type="noConversion"/>
  </si>
  <si>
    <t>白蘿蔔</t>
    <phoneticPr fontId="2" type="noConversion"/>
  </si>
  <si>
    <t>軟骨排</t>
    <phoneticPr fontId="2" type="noConversion"/>
  </si>
  <si>
    <t>台式米苔目(湯)</t>
    <phoneticPr fontId="2" type="noConversion"/>
  </si>
  <si>
    <t>米苔目</t>
    <phoneticPr fontId="2" type="noConversion"/>
  </si>
  <si>
    <t>韭菜</t>
    <phoneticPr fontId="2" type="noConversion"/>
  </si>
  <si>
    <t>豆芽菜</t>
    <phoneticPr fontId="2" type="noConversion"/>
  </si>
  <si>
    <t>鹹水雞</t>
    <phoneticPr fontId="2" type="noConversion"/>
  </si>
  <si>
    <t>去葉芹菜</t>
    <phoneticPr fontId="2" type="noConversion"/>
  </si>
  <si>
    <t>油蔥酥</t>
    <phoneticPr fontId="2" type="noConversion"/>
  </si>
  <si>
    <t>乾香菇絲</t>
    <phoneticPr fontId="2" type="noConversion"/>
  </si>
  <si>
    <t>4.3豆腐</t>
    <phoneticPr fontId="2" type="noConversion"/>
  </si>
  <si>
    <t>骨腿丁</t>
    <phoneticPr fontId="2" type="noConversion"/>
  </si>
  <si>
    <t>去皮洋蔥</t>
    <phoneticPr fontId="2" type="noConversion"/>
  </si>
  <si>
    <t>玉米筍罐頭</t>
    <phoneticPr fontId="2" type="noConversion"/>
  </si>
  <si>
    <t>杏鮑菇</t>
    <phoneticPr fontId="2" type="noConversion"/>
  </si>
  <si>
    <t>斤</t>
    <phoneticPr fontId="2" type="noConversion"/>
  </si>
  <si>
    <t>罐</t>
    <phoneticPr fontId="2" type="noConversion"/>
  </si>
  <si>
    <t>燒雞醬</t>
    <phoneticPr fontId="2" type="noConversion"/>
  </si>
  <si>
    <t>檸檬汁</t>
    <phoneticPr fontId="2" type="noConversion"/>
  </si>
  <si>
    <t>花椒油</t>
    <phoneticPr fontId="2" type="noConversion"/>
  </si>
  <si>
    <t>瓶</t>
    <phoneticPr fontId="2" type="noConversion"/>
  </si>
  <si>
    <t>烤雞腿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</si>
  <si>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</si>
  <si>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玉米絞肉</t>
    <phoneticPr fontId="2" type="noConversion"/>
  </si>
  <si>
    <t>絲瓜寬粉</t>
    <phoneticPr fontId="2" type="noConversion"/>
  </si>
  <si>
    <t>味噌</t>
    <phoneticPr fontId="2" type="noConversion"/>
  </si>
  <si>
    <t>棒腿</t>
    <phoneticPr fontId="2" type="noConversion"/>
  </si>
  <si>
    <t>冷凍玉米粒</t>
    <phoneticPr fontId="2" type="noConversion"/>
  </si>
  <si>
    <t>絞肉</t>
    <phoneticPr fontId="2" type="noConversion"/>
  </si>
  <si>
    <t>去皮絲瓜</t>
    <phoneticPr fontId="2" type="noConversion"/>
  </si>
  <si>
    <t>紅蘿蔔絲</t>
    <phoneticPr fontId="2" type="noConversion"/>
  </si>
  <si>
    <t>寬冬粉</t>
    <phoneticPr fontId="2" type="noConversion"/>
  </si>
  <si>
    <t>冷凍洋芋丁</t>
    <phoneticPr fontId="2" type="noConversion"/>
  </si>
  <si>
    <t>包</t>
    <phoneticPr fontId="2" type="noConversion"/>
  </si>
  <si>
    <t>糖醋排骨</t>
    <phoneticPr fontId="2" type="noConversion"/>
  </si>
  <si>
    <t>南瓜蒸蛋</t>
    <phoneticPr fontId="2" type="noConversion"/>
  </si>
  <si>
    <t>涼拌茄子</t>
    <phoneticPr fontId="2" type="noConversion"/>
  </si>
  <si>
    <t>紅豆湯</t>
    <phoneticPr fontId="2" type="noConversion"/>
  </si>
  <si>
    <t>紅豆</t>
    <phoneticPr fontId="2" type="noConversion"/>
  </si>
  <si>
    <t>小排</t>
    <phoneticPr fontId="2" type="noConversion"/>
  </si>
  <si>
    <t>蛋</t>
    <phoneticPr fontId="2" type="noConversion"/>
  </si>
  <si>
    <t>去皮南瓜片</t>
    <phoneticPr fontId="2" type="noConversion"/>
  </si>
  <si>
    <t>紅椒</t>
    <phoneticPr fontId="2" type="noConversion"/>
  </si>
  <si>
    <t>黃椒</t>
    <phoneticPr fontId="2" type="noConversion"/>
  </si>
  <si>
    <t>茄子</t>
    <phoneticPr fontId="2" type="noConversion"/>
  </si>
  <si>
    <t>滷蛋</t>
    <phoneticPr fontId="2" type="noConversion"/>
  </si>
  <si>
    <t>大四角油豆腐</t>
    <phoneticPr fontId="2" type="noConversion"/>
  </si>
  <si>
    <t>粒</t>
    <phoneticPr fontId="2" type="noConversion"/>
  </si>
  <si>
    <t>電訊科技中心(安康營區)     114年     4月   14日      午餐明細表</t>
    <phoneticPr fontId="2" type="noConversion"/>
  </si>
  <si>
    <t>電訊科技中心(安康營區)     114年      4月   15日      午餐明細表</t>
    <phoneticPr fontId="2" type="noConversion"/>
  </si>
  <si>
    <t>電訊科技中心(安康營區)     114年      4月   16日      午餐明細表</t>
    <phoneticPr fontId="2" type="noConversion"/>
  </si>
  <si>
    <t>電訊科技中心(安康營區)     114年      4月   17日      午餐明細表</t>
    <phoneticPr fontId="2" type="noConversion"/>
  </si>
  <si>
    <t>電訊科技中心(安康營區)     114年      4月   18日      午餐明細表</t>
    <phoneticPr fontId="2" type="noConversion"/>
  </si>
  <si>
    <t>番茄醬</t>
    <phoneticPr fontId="2" type="noConversion"/>
  </si>
  <si>
    <t>桶</t>
    <phoneticPr fontId="2" type="noConversion"/>
  </si>
  <si>
    <t>斤</t>
    <phoneticPr fontId="2" type="noConversion"/>
  </si>
  <si>
    <t>高麗菜</t>
    <phoneticPr fontId="2" type="noConversion"/>
  </si>
  <si>
    <t>無骨雞腿肉</t>
    <phoneticPr fontId="2" type="noConversion"/>
  </si>
  <si>
    <t>豆花</t>
    <phoneticPr fontId="2" type="noConversion"/>
  </si>
  <si>
    <t>個</t>
    <phoneticPr fontId="2" type="noConversion"/>
  </si>
  <si>
    <t>鵝白菜</t>
    <phoneticPr fontId="2" type="noConversion"/>
  </si>
  <si>
    <t>木瓜</t>
    <phoneticPr fontId="2" type="noConversion"/>
  </si>
  <si>
    <t>盤</t>
    <phoneticPr fontId="2" type="noConversion"/>
  </si>
  <si>
    <t>高麗菜</t>
    <phoneticPr fontId="2" type="noConversion"/>
  </si>
  <si>
    <t>蒜泥</t>
    <phoneticPr fontId="2" type="noConversion"/>
  </si>
  <si>
    <t>蒜泥豆腐</t>
    <phoneticPr fontId="2" type="noConversion"/>
  </si>
  <si>
    <t>斤</t>
    <phoneticPr fontId="2" type="noConversion"/>
  </si>
  <si>
    <t>金蘭醬油</t>
    <phoneticPr fontId="2" type="noConversion"/>
  </si>
  <si>
    <t>桶</t>
    <phoneticPr fontId="2" type="noConversion"/>
  </si>
  <si>
    <t>油膏</t>
    <phoneticPr fontId="2" type="noConversion"/>
  </si>
  <si>
    <t>味噌</t>
    <phoneticPr fontId="2" type="noConversion"/>
  </si>
  <si>
    <t>件</t>
    <phoneticPr fontId="2" type="noConversion"/>
  </si>
  <si>
    <t>素蠔油</t>
    <phoneticPr fontId="2" type="noConversion"/>
  </si>
  <si>
    <t>大黃瓜</t>
    <phoneticPr fontId="2" type="noConversion"/>
  </si>
  <si>
    <t>鮮木耳</t>
    <phoneticPr fontId="2" type="noConversion"/>
  </si>
  <si>
    <t>紅蘿蔔</t>
    <phoneticPr fontId="2" type="noConversion"/>
  </si>
  <si>
    <t>三色豆</t>
    <phoneticPr fontId="2" type="noConversion"/>
  </si>
  <si>
    <t>包</t>
    <phoneticPr fontId="2" type="noConversion"/>
  </si>
  <si>
    <t>冷凍青花菜</t>
    <phoneticPr fontId="2" type="noConversion"/>
  </si>
  <si>
    <t>味素</t>
    <phoneticPr fontId="2" type="noConversion"/>
  </si>
  <si>
    <t>盒</t>
    <phoneticPr fontId="2" type="noConversion"/>
  </si>
  <si>
    <t>吐絲火腿片</t>
    <phoneticPr fontId="2" type="noConversion"/>
  </si>
  <si>
    <t>桂冠沙拉</t>
    <phoneticPr fontId="2" type="noConversion"/>
  </si>
  <si>
    <t>素肉排</t>
    <phoneticPr fontId="2" type="noConversion"/>
  </si>
  <si>
    <t>前腿肉片</t>
    <phoneticPr fontId="2" type="noConversion"/>
  </si>
  <si>
    <t>帶皮五花肉</t>
    <phoneticPr fontId="2" type="noConversion"/>
  </si>
  <si>
    <t>鳳梨</t>
    <phoneticPr fontId="2" type="noConversion"/>
  </si>
  <si>
    <t>素蹄膀</t>
    <phoneticPr fontId="2" type="noConversion"/>
  </si>
  <si>
    <t>葵花油</t>
    <phoneticPr fontId="2" type="noConversion"/>
  </si>
  <si>
    <t>油菜</t>
    <phoneticPr fontId="2" type="noConversion"/>
  </si>
  <si>
    <t>油麵</t>
    <phoneticPr fontId="2" type="noConversion"/>
  </si>
  <si>
    <t>斤</t>
    <phoneticPr fontId="2" type="noConversion"/>
  </si>
  <si>
    <t>高麗菜</t>
    <phoneticPr fontId="2" type="noConversion"/>
  </si>
  <si>
    <t>味霖</t>
    <phoneticPr fontId="2" type="noConversion"/>
  </si>
  <si>
    <t>桶</t>
    <phoneticPr fontId="2" type="noConversion"/>
  </si>
  <si>
    <t>鹽</t>
    <phoneticPr fontId="2" type="noConversion"/>
  </si>
  <si>
    <t>包</t>
    <phoneticPr fontId="2" type="noConversion"/>
  </si>
  <si>
    <t>沙茶醬</t>
    <phoneticPr fontId="2" type="noConversion"/>
  </si>
  <si>
    <t>沙拉油</t>
    <phoneticPr fontId="2" type="noConversion"/>
  </si>
  <si>
    <t>香油</t>
    <phoneticPr fontId="2" type="noConversion"/>
  </si>
  <si>
    <t>炸豆包</t>
    <phoneticPr fontId="2" type="noConversion"/>
  </si>
  <si>
    <t>片</t>
    <phoneticPr fontId="2" type="noConversion"/>
  </si>
  <si>
    <t>青椒</t>
    <phoneticPr fontId="2" type="noConversion"/>
  </si>
  <si>
    <t>前腿肉絲</t>
    <phoneticPr fontId="2" type="noConversion"/>
  </si>
  <si>
    <t>蒜仁</t>
    <phoneticPr fontId="2" type="noConversion"/>
  </si>
  <si>
    <t>鍋貼</t>
    <phoneticPr fontId="2" type="noConversion"/>
  </si>
  <si>
    <t>個</t>
    <phoneticPr fontId="2" type="noConversion"/>
  </si>
  <si>
    <t>胡椒粉</t>
    <phoneticPr fontId="2" type="noConversion"/>
  </si>
  <si>
    <t>盒</t>
    <phoneticPr fontId="2" type="noConversion"/>
  </si>
  <si>
    <t>胡椒鹽</t>
    <phoneticPr fontId="2" type="noConversion"/>
  </si>
  <si>
    <t>鮮奶</t>
    <phoneticPr fontId="2" type="noConversion"/>
  </si>
  <si>
    <t>瓶</t>
    <phoneticPr fontId="2" type="noConversion"/>
  </si>
  <si>
    <t>玉米片</t>
    <phoneticPr fontId="2" type="noConversion"/>
  </si>
  <si>
    <t>辣椒</t>
    <phoneticPr fontId="2" type="noConversion"/>
  </si>
  <si>
    <t>洗選蛋</t>
    <phoneticPr fontId="2" type="noConversion"/>
  </si>
  <si>
    <t>鳳梨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</si>
</sst>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125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41</v>
      </c>
      <c r="B3" s="1" t="s">
        <v>43</v>
      </c>
      <c r="C3" s="1">
        <v>20</v>
      </c>
      <c r="D3" s="1">
        <v>168</v>
      </c>
      <c r="E3" s="22">
        <v>20</v>
      </c>
      <c r="F3" s="22" t="s">
        <v>47</v>
      </c>
      <c r="G3" s="23">
        <f>D3*E3</f>
        <v>3360</v>
      </c>
      <c r="H3" s="1"/>
    </row>
    <row r="4" spans="1:8" x14ac:dyDescent="0.25">
      <c r="A4" s="46"/>
      <c r="B4" s="11" t="s">
        <v>44</v>
      </c>
      <c r="C4" s="11">
        <v>30</v>
      </c>
      <c r="D4" s="11">
        <v>99</v>
      </c>
      <c r="E4" s="11">
        <v>30</v>
      </c>
      <c r="F4" s="11" t="s">
        <v>47</v>
      </c>
      <c r="G4" s="23">
        <f t="shared" ref="G4:G6" si="0">D4*E4</f>
        <v>2970</v>
      </c>
      <c r="H4" s="1"/>
    </row>
    <row r="5" spans="1:8" x14ac:dyDescent="0.25">
      <c r="A5" s="46"/>
      <c r="B5" s="1" t="s">
        <v>45</v>
      </c>
      <c r="C5" s="1">
        <v>6</v>
      </c>
      <c r="D5" s="1">
        <v>28.56</v>
      </c>
      <c r="E5" s="1">
        <v>6</v>
      </c>
      <c r="F5" s="1" t="s">
        <v>47</v>
      </c>
      <c r="G5" s="23">
        <f t="shared" si="0"/>
        <v>171.35999999999999</v>
      </c>
      <c r="H5" s="1"/>
    </row>
    <row r="6" spans="1:8" x14ac:dyDescent="0.25">
      <c r="A6" s="46"/>
      <c r="B6" s="1" t="s">
        <v>46</v>
      </c>
      <c r="C6" s="1">
        <v>1</v>
      </c>
      <c r="D6" s="1">
        <v>350</v>
      </c>
      <c r="E6" s="3">
        <v>1</v>
      </c>
      <c r="F6" s="3" t="s">
        <v>48</v>
      </c>
      <c r="G6" s="23">
        <f t="shared" si="0"/>
        <v>350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5">
        <f>SUM(G3:G6)</f>
        <v>6851.36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49</v>
      </c>
      <c r="B9" s="1" t="s">
        <v>50</v>
      </c>
      <c r="C9" s="1">
        <v>5</v>
      </c>
      <c r="D9" s="1">
        <v>18.239999999999998</v>
      </c>
      <c r="E9" s="1">
        <v>5</v>
      </c>
      <c r="F9" s="1" t="s">
        <v>47</v>
      </c>
      <c r="G9" s="1">
        <f>D9*E9</f>
        <v>91.199999999999989</v>
      </c>
      <c r="H9" s="1"/>
    </row>
    <row r="10" spans="1:8" x14ac:dyDescent="0.25">
      <c r="A10" s="46"/>
      <c r="B10" s="1" t="s">
        <v>51</v>
      </c>
      <c r="C10" s="1">
        <v>8</v>
      </c>
      <c r="D10" s="1">
        <v>45</v>
      </c>
      <c r="E10" s="1">
        <v>8</v>
      </c>
      <c r="F10" s="1" t="s">
        <v>47</v>
      </c>
      <c r="G10" s="11">
        <f t="shared" ref="G10:G12" si="1">D10*E10</f>
        <v>360</v>
      </c>
      <c r="H10" s="1"/>
    </row>
    <row r="11" spans="1:8" x14ac:dyDescent="0.25">
      <c r="A11" s="46"/>
      <c r="B11" s="1" t="s">
        <v>52</v>
      </c>
      <c r="C11" s="1">
        <v>8</v>
      </c>
      <c r="D11" s="1">
        <v>45</v>
      </c>
      <c r="E11" s="1">
        <v>8</v>
      </c>
      <c r="F11" s="1" t="s">
        <v>47</v>
      </c>
      <c r="G11" s="11">
        <f t="shared" si="1"/>
        <v>360</v>
      </c>
      <c r="H11" s="1"/>
    </row>
    <row r="12" spans="1:8" x14ac:dyDescent="0.25">
      <c r="A12" s="46"/>
      <c r="B12" s="1" t="s">
        <v>53</v>
      </c>
      <c r="C12" s="1">
        <v>1</v>
      </c>
      <c r="D12" s="1">
        <v>50.4</v>
      </c>
      <c r="E12" s="1">
        <v>20</v>
      </c>
      <c r="F12" s="1" t="s">
        <v>17</v>
      </c>
      <c r="G12" s="11">
        <f t="shared" si="1"/>
        <v>1008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5">
        <f>SUM(G9:G13)</f>
        <v>1819.2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54</v>
      </c>
      <c r="B16" s="1" t="s">
        <v>55</v>
      </c>
      <c r="C16" s="1">
        <v>25</v>
      </c>
      <c r="D16" s="1">
        <v>57</v>
      </c>
      <c r="E16" s="1">
        <v>25</v>
      </c>
      <c r="F16" s="1" t="s">
        <v>47</v>
      </c>
      <c r="G16" s="1">
        <f>D16*E16</f>
        <v>1425</v>
      </c>
      <c r="H16" s="1"/>
    </row>
    <row r="17" spans="1:8" x14ac:dyDescent="0.25">
      <c r="A17" s="46"/>
      <c r="B17" s="1" t="s">
        <v>56</v>
      </c>
      <c r="C17" s="1">
        <v>1</v>
      </c>
      <c r="D17" s="1">
        <v>74.099999999999994</v>
      </c>
      <c r="E17" s="1">
        <v>1</v>
      </c>
      <c r="F17" s="1" t="s">
        <v>47</v>
      </c>
      <c r="G17" s="18">
        <f t="shared" ref="G17" si="2">D17*E17</f>
        <v>74.099999999999994</v>
      </c>
      <c r="H17" s="1"/>
    </row>
    <row r="18" spans="1:8" x14ac:dyDescent="0.25">
      <c r="A18" s="46"/>
      <c r="B18" s="1"/>
      <c r="C18" s="1"/>
      <c r="D18" s="1"/>
      <c r="E18" s="1"/>
      <c r="F18" s="1"/>
      <c r="G18" s="2"/>
      <c r="H18" s="1"/>
    </row>
    <row r="19" spans="1:8" x14ac:dyDescent="0.25">
      <c r="A19" s="46"/>
      <c r="B19" s="1"/>
      <c r="C19" s="1"/>
      <c r="D19" s="1"/>
      <c r="E19" s="3"/>
      <c r="F19" s="3"/>
      <c r="G19" s="18"/>
      <c r="H19" s="1"/>
    </row>
    <row r="20" spans="1:8" x14ac:dyDescent="0.25">
      <c r="A20" s="46"/>
      <c r="B20" s="43"/>
      <c r="C20" s="44"/>
      <c r="D20" s="45"/>
      <c r="E20" s="3"/>
      <c r="F20" s="3"/>
      <c r="G20" s="15">
        <f>SUM(G16:G19)</f>
        <v>1499.1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42</v>
      </c>
      <c r="C22" s="1">
        <v>2</v>
      </c>
      <c r="D22" s="1">
        <v>150</v>
      </c>
      <c r="E22" s="1">
        <v>2</v>
      </c>
      <c r="F22" s="1" t="s">
        <v>47</v>
      </c>
      <c r="G22" s="1">
        <f>D22*E22</f>
        <v>300</v>
      </c>
      <c r="H22" s="1"/>
    </row>
    <row r="23" spans="1:8" x14ac:dyDescent="0.25">
      <c r="A23" s="48"/>
      <c r="B23" s="28" t="s">
        <v>60</v>
      </c>
      <c r="C23" s="1" t="s">
        <v>61</v>
      </c>
      <c r="D23" s="1">
        <v>58.5</v>
      </c>
      <c r="E23" s="1">
        <v>0.5</v>
      </c>
      <c r="F23" s="1" t="s">
        <v>35</v>
      </c>
      <c r="G23" s="11">
        <f>D23*E23</f>
        <v>29.25</v>
      </c>
      <c r="H23" s="1"/>
    </row>
    <row r="24" spans="1:8" x14ac:dyDescent="0.25">
      <c r="A24" s="48"/>
      <c r="B24" s="28" t="s">
        <v>23</v>
      </c>
      <c r="C24" s="1">
        <v>8</v>
      </c>
      <c r="D24" s="1">
        <v>51.2</v>
      </c>
      <c r="E24" s="1">
        <v>8</v>
      </c>
      <c r="F24" s="1" t="s">
        <v>22</v>
      </c>
      <c r="G24" s="11">
        <f t="shared" ref="G24:G33" si="3">D24*E24</f>
        <v>409.6</v>
      </c>
      <c r="H24" s="1"/>
    </row>
    <row r="25" spans="1:8" x14ac:dyDescent="0.25">
      <c r="A25" s="48"/>
      <c r="B25" s="1" t="s">
        <v>24</v>
      </c>
      <c r="C25" s="1">
        <v>6</v>
      </c>
      <c r="D25" s="1">
        <v>34.200000000000003</v>
      </c>
      <c r="E25" s="1">
        <v>4</v>
      </c>
      <c r="F25" s="1" t="s">
        <v>22</v>
      </c>
      <c r="G25" s="2">
        <f t="shared" si="3"/>
        <v>136.80000000000001</v>
      </c>
      <c r="H25" s="1"/>
    </row>
    <row r="26" spans="1:8" x14ac:dyDescent="0.25">
      <c r="A26" s="48"/>
      <c r="B26" s="11" t="s">
        <v>25</v>
      </c>
      <c r="C26" s="11">
        <v>2</v>
      </c>
      <c r="D26" s="11">
        <v>50.4</v>
      </c>
      <c r="E26" s="11">
        <v>20</v>
      </c>
      <c r="F26" s="12" t="s">
        <v>17</v>
      </c>
      <c r="G26" s="2">
        <f t="shared" si="3"/>
        <v>1008</v>
      </c>
      <c r="H26" s="11"/>
    </row>
    <row r="27" spans="1:8" x14ac:dyDescent="0.25">
      <c r="A27" s="48"/>
      <c r="B27" s="11" t="s">
        <v>134</v>
      </c>
      <c r="C27" s="11"/>
      <c r="D27" s="11">
        <v>168</v>
      </c>
      <c r="E27" s="11">
        <v>2.5</v>
      </c>
      <c r="F27" s="11" t="s">
        <v>132</v>
      </c>
      <c r="G27" s="2">
        <f t="shared" si="3"/>
        <v>420</v>
      </c>
      <c r="H27" s="11"/>
    </row>
    <row r="28" spans="1:8" x14ac:dyDescent="0.25">
      <c r="A28" s="48"/>
      <c r="B28" s="11" t="s">
        <v>62</v>
      </c>
      <c r="C28" s="11">
        <v>8</v>
      </c>
      <c r="D28" s="11">
        <v>19.8</v>
      </c>
      <c r="E28" s="11">
        <v>8</v>
      </c>
      <c r="F28" s="11" t="s">
        <v>47</v>
      </c>
      <c r="G28" s="2">
        <f t="shared" si="3"/>
        <v>158.4</v>
      </c>
      <c r="H28" s="11"/>
    </row>
    <row r="29" spans="1:8" x14ac:dyDescent="0.25">
      <c r="A29" s="48"/>
      <c r="B29" s="11" t="s">
        <v>63</v>
      </c>
      <c r="C29" s="11">
        <v>8</v>
      </c>
      <c r="D29" s="11">
        <v>93</v>
      </c>
      <c r="E29" s="11">
        <v>8</v>
      </c>
      <c r="F29" s="11" t="s">
        <v>47</v>
      </c>
      <c r="G29" s="2">
        <f t="shared" si="3"/>
        <v>744</v>
      </c>
      <c r="H29" s="11"/>
    </row>
    <row r="30" spans="1:8" x14ac:dyDescent="0.25">
      <c r="A30" s="48"/>
      <c r="B30" s="11" t="s">
        <v>64</v>
      </c>
      <c r="C30" s="11">
        <v>30</v>
      </c>
      <c r="D30" s="11">
        <v>78</v>
      </c>
      <c r="E30" s="11">
        <v>6.05</v>
      </c>
      <c r="F30" s="11" t="s">
        <v>17</v>
      </c>
      <c r="G30" s="2">
        <f t="shared" si="3"/>
        <v>471.9</v>
      </c>
      <c r="H30" s="11"/>
    </row>
    <row r="31" spans="1:8" x14ac:dyDescent="0.25">
      <c r="A31" s="48"/>
      <c r="B31" s="33" t="s">
        <v>26</v>
      </c>
      <c r="C31" s="33">
        <v>1</v>
      </c>
      <c r="D31" s="33">
        <v>4.5</v>
      </c>
      <c r="E31" s="33">
        <v>50</v>
      </c>
      <c r="F31" s="33" t="s">
        <v>68</v>
      </c>
      <c r="G31" s="2">
        <f t="shared" si="3"/>
        <v>225</v>
      </c>
      <c r="H31" s="11"/>
    </row>
    <row r="32" spans="1:8" x14ac:dyDescent="0.25">
      <c r="A32" s="48"/>
      <c r="B32" s="30" t="s">
        <v>40</v>
      </c>
      <c r="C32" s="30">
        <v>1</v>
      </c>
      <c r="D32" s="30">
        <v>240</v>
      </c>
      <c r="E32" s="30">
        <v>1</v>
      </c>
      <c r="F32" s="30" t="s">
        <v>36</v>
      </c>
      <c r="G32" s="2">
        <f t="shared" si="3"/>
        <v>240</v>
      </c>
      <c r="H32" s="1"/>
    </row>
    <row r="33" spans="1:8" x14ac:dyDescent="0.25">
      <c r="A33" s="48"/>
      <c r="B33" s="33" t="s">
        <v>130</v>
      </c>
      <c r="C33" s="33"/>
      <c r="D33" s="33">
        <v>219</v>
      </c>
      <c r="E33" s="33">
        <v>1</v>
      </c>
      <c r="F33" s="33" t="s">
        <v>131</v>
      </c>
      <c r="G33" s="2">
        <f t="shared" si="3"/>
        <v>219</v>
      </c>
      <c r="H33" s="33"/>
    </row>
    <row r="34" spans="1:8" x14ac:dyDescent="0.25">
      <c r="A34" s="49"/>
      <c r="B34" s="43" t="s">
        <v>18</v>
      </c>
      <c r="C34" s="44"/>
      <c r="D34" s="45"/>
      <c r="E34" s="30"/>
      <c r="F34" s="30"/>
      <c r="G34" s="16">
        <f>SUM(G22:G32)</f>
        <v>4142.9500000000007</v>
      </c>
      <c r="H34" s="11"/>
    </row>
    <row r="35" spans="1:8" x14ac:dyDescent="0.25">
      <c r="A35" s="1" t="s">
        <v>11</v>
      </c>
      <c r="B35" s="30" t="s">
        <v>1</v>
      </c>
      <c r="C35" s="30" t="s">
        <v>2</v>
      </c>
      <c r="D35" s="30" t="s">
        <v>3</v>
      </c>
      <c r="E35" s="30" t="s">
        <v>4</v>
      </c>
      <c r="F35" s="30"/>
      <c r="G35" s="1" t="s">
        <v>5</v>
      </c>
      <c r="H35" s="1" t="s">
        <v>6</v>
      </c>
    </row>
    <row r="36" spans="1:8" x14ac:dyDescent="0.25">
      <c r="A36" s="46" t="s">
        <v>59</v>
      </c>
      <c r="B36" s="30" t="s">
        <v>57</v>
      </c>
      <c r="C36" s="30">
        <v>20</v>
      </c>
      <c r="D36" s="30">
        <v>22.44</v>
      </c>
      <c r="E36" s="30">
        <v>20</v>
      </c>
      <c r="F36" s="30" t="s">
        <v>47</v>
      </c>
      <c r="G36" s="2">
        <f>D36*E36</f>
        <v>448.8</v>
      </c>
      <c r="H36" s="1"/>
    </row>
    <row r="37" spans="1:8" x14ac:dyDescent="0.25">
      <c r="A37" s="46"/>
      <c r="B37" s="30" t="s">
        <v>58</v>
      </c>
      <c r="C37" s="30">
        <v>3</v>
      </c>
      <c r="D37" s="30">
        <v>98.4</v>
      </c>
      <c r="E37" s="30">
        <v>15</v>
      </c>
      <c r="F37" s="30" t="s">
        <v>17</v>
      </c>
      <c r="G37" s="2">
        <f>D37*E37</f>
        <v>1476</v>
      </c>
      <c r="H37" s="1" t="s">
        <v>15</v>
      </c>
    </row>
    <row r="38" spans="1:8" x14ac:dyDescent="0.25">
      <c r="A38" s="46"/>
      <c r="B38" s="30"/>
      <c r="C38" s="30"/>
      <c r="D38" s="30"/>
      <c r="E38" s="30"/>
      <c r="F38" s="30"/>
      <c r="G38" s="1"/>
      <c r="H38" s="1"/>
    </row>
    <row r="39" spans="1:8" x14ac:dyDescent="0.25">
      <c r="A39" s="46"/>
      <c r="B39" s="43"/>
      <c r="C39" s="44"/>
      <c r="D39" s="45"/>
      <c r="E39" s="31"/>
      <c r="F39" s="31"/>
      <c r="G39" s="15">
        <f>SUM(G36:G38)</f>
        <v>1924.8</v>
      </c>
      <c r="H39" s="1"/>
    </row>
    <row r="40" spans="1:8" x14ac:dyDescent="0.25">
      <c r="A40" s="1" t="s">
        <v>12</v>
      </c>
      <c r="B40" s="30" t="s">
        <v>1</v>
      </c>
      <c r="C40" s="30" t="s">
        <v>2</v>
      </c>
      <c r="D40" s="30" t="s">
        <v>3</v>
      </c>
      <c r="E40" s="31" t="s">
        <v>4</v>
      </c>
      <c r="F40" s="31"/>
      <c r="G40" s="3" t="s">
        <v>5</v>
      </c>
      <c r="H40" s="1" t="s">
        <v>6</v>
      </c>
    </row>
    <row r="41" spans="1:8" x14ac:dyDescent="0.25">
      <c r="A41" s="47"/>
      <c r="B41" s="1" t="s">
        <v>133</v>
      </c>
      <c r="C41" s="1"/>
      <c r="D41" s="1">
        <v>5.0999999999999996</v>
      </c>
      <c r="E41" s="1">
        <v>70</v>
      </c>
      <c r="F41" s="1" t="s">
        <v>132</v>
      </c>
      <c r="G41" s="2">
        <f>D41*E41</f>
        <v>357</v>
      </c>
      <c r="H41" s="1"/>
    </row>
    <row r="42" spans="1:8" x14ac:dyDescent="0.25">
      <c r="A42" s="48"/>
      <c r="B42" s="1" t="s">
        <v>135</v>
      </c>
      <c r="C42" s="1"/>
      <c r="D42" s="1">
        <v>10</v>
      </c>
      <c r="E42" s="1">
        <v>270</v>
      </c>
      <c r="F42" s="1" t="s">
        <v>136</v>
      </c>
      <c r="G42" s="2">
        <f>D42*E42</f>
        <v>2700</v>
      </c>
      <c r="H42" s="1"/>
    </row>
    <row r="43" spans="1:8" x14ac:dyDescent="0.25">
      <c r="A43" s="49"/>
      <c r="B43" s="43" t="s">
        <v>7</v>
      </c>
      <c r="C43" s="44"/>
      <c r="D43" s="45"/>
      <c r="E43" s="3"/>
      <c r="F43" s="3"/>
      <c r="G43" s="15">
        <f>SUM(G41:G42)</f>
        <v>3057</v>
      </c>
      <c r="H43" s="7"/>
    </row>
    <row r="44" spans="1:8" x14ac:dyDescent="0.25">
      <c r="A44" s="8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6"/>
      <c r="B45" s="1"/>
      <c r="C45" s="1"/>
      <c r="D45" s="1"/>
      <c r="E45" s="1"/>
      <c r="F45" s="1"/>
      <c r="G45" s="1"/>
      <c r="H45" s="1"/>
    </row>
    <row r="46" spans="1:8" x14ac:dyDescent="0.25">
      <c r="A46" s="46"/>
      <c r="B46" s="1"/>
      <c r="C46" s="1"/>
      <c r="D46" s="1"/>
      <c r="E46" s="1"/>
      <c r="F46" s="1"/>
      <c r="G46" s="2">
        <f>D46*E46</f>
        <v>0</v>
      </c>
      <c r="H46" s="1"/>
    </row>
    <row r="47" spans="1:8" x14ac:dyDescent="0.25">
      <c r="A47" s="46"/>
      <c r="B47" s="1"/>
      <c r="C47" s="1"/>
      <c r="D47" s="1"/>
      <c r="E47" s="1"/>
      <c r="F47" s="1"/>
      <c r="G47" s="18">
        <f>D47*E47</f>
        <v>0</v>
      </c>
      <c r="H47" s="1"/>
    </row>
    <row r="48" spans="1:8" x14ac:dyDescent="0.25">
      <c r="A48" s="46"/>
      <c r="B48" s="1"/>
      <c r="C48" s="1"/>
      <c r="D48" s="1"/>
      <c r="E48" s="1"/>
      <c r="F48" s="1"/>
      <c r="G48" s="1"/>
      <c r="H48" s="1"/>
    </row>
    <row r="49" spans="1:8" x14ac:dyDescent="0.25">
      <c r="A49" s="46"/>
      <c r="B49" s="43" t="s">
        <v>7</v>
      </c>
      <c r="C49" s="44"/>
      <c r="D49" s="45"/>
      <c r="E49" s="3"/>
      <c r="F49" s="3"/>
      <c r="G49" s="17">
        <f>SUM(G45:G48)</f>
        <v>0</v>
      </c>
      <c r="H49" s="1"/>
    </row>
    <row r="50" spans="1:8" x14ac:dyDescent="0.25">
      <c r="A50" s="1"/>
      <c r="B50" s="40" t="s">
        <v>14</v>
      </c>
      <c r="C50" s="41"/>
      <c r="D50" s="42"/>
      <c r="E50" s="9"/>
      <c r="F50" s="9"/>
      <c r="G50" s="10">
        <f>G49+G43+G39+G20+G14+G7+G34</f>
        <v>19294.41</v>
      </c>
      <c r="H50" s="1"/>
    </row>
  </sheetData>
  <mergeCells count="16">
    <mergeCell ref="B20:D20"/>
    <mergeCell ref="A1:H1"/>
    <mergeCell ref="A3:A7"/>
    <mergeCell ref="B7:D7"/>
    <mergeCell ref="A9:A14"/>
    <mergeCell ref="B14:D14"/>
    <mergeCell ref="A45:A49"/>
    <mergeCell ref="A36:A39"/>
    <mergeCell ref="A41:A43"/>
    <mergeCell ref="A16:A20"/>
    <mergeCell ref="A22:A34"/>
    <mergeCell ref="B50:D50"/>
    <mergeCell ref="B49:D49"/>
    <mergeCell ref="B43:D43"/>
    <mergeCell ref="B39:D39"/>
    <mergeCell ref="B34:D34"/>
  </mergeCells>
  <phoneticPr fontId="2" type="noConversion"/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126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65</v>
      </c>
      <c r="B3" s="1" t="s">
        <v>66</v>
      </c>
      <c r="C3" s="1">
        <v>260</v>
      </c>
      <c r="D3" s="1">
        <v>66</v>
      </c>
      <c r="E3" s="1">
        <v>66.849999999999994</v>
      </c>
      <c r="F3" s="1" t="s">
        <v>17</v>
      </c>
      <c r="G3" s="2">
        <f>D3*E3</f>
        <v>4412.0999999999995</v>
      </c>
      <c r="H3" s="1"/>
    </row>
    <row r="4" spans="1:8" x14ac:dyDescent="0.25">
      <c r="A4" s="46"/>
      <c r="B4" s="1" t="s">
        <v>67</v>
      </c>
      <c r="C4" s="1">
        <v>5</v>
      </c>
      <c r="D4" s="1">
        <v>93</v>
      </c>
      <c r="E4" s="1">
        <v>5</v>
      </c>
      <c r="F4" s="1" t="s">
        <v>48</v>
      </c>
      <c r="G4" s="2">
        <f t="shared" ref="G4" si="0">D4*E4</f>
        <v>465</v>
      </c>
      <c r="H4" s="1"/>
    </row>
    <row r="5" spans="1:8" x14ac:dyDescent="0.25">
      <c r="A5" s="46"/>
      <c r="B5" s="1"/>
      <c r="C5" s="1"/>
      <c r="D5" s="1"/>
      <c r="E5" s="1"/>
      <c r="F5" s="1"/>
      <c r="G5" s="2"/>
      <c r="H5" s="1"/>
    </row>
    <row r="6" spans="1:8" x14ac:dyDescent="0.25">
      <c r="A6" s="46"/>
      <c r="B6" s="1"/>
      <c r="C6" s="1"/>
      <c r="D6" s="1"/>
      <c r="E6" s="3"/>
      <c r="F6" s="3"/>
      <c r="G6" s="2"/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5">
        <f>SUM(G3:G6)</f>
        <v>4877.0999999999995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69</v>
      </c>
      <c r="B9" s="1" t="s">
        <v>72</v>
      </c>
      <c r="C9" s="1">
        <v>6</v>
      </c>
      <c r="D9" s="1">
        <v>150</v>
      </c>
      <c r="E9" s="1">
        <v>6</v>
      </c>
      <c r="F9" s="1" t="s">
        <v>73</v>
      </c>
      <c r="G9" s="1">
        <f>D9*E9</f>
        <v>900</v>
      </c>
      <c r="H9" s="1"/>
    </row>
    <row r="10" spans="1:8" x14ac:dyDescent="0.25">
      <c r="A10" s="46"/>
      <c r="B10" s="1" t="s">
        <v>63</v>
      </c>
      <c r="C10" s="1">
        <v>15</v>
      </c>
      <c r="D10" s="1">
        <v>93</v>
      </c>
      <c r="E10" s="1">
        <v>15</v>
      </c>
      <c r="F10" s="1" t="s">
        <v>47</v>
      </c>
      <c r="G10" s="20">
        <f>D10*E10</f>
        <v>1395</v>
      </c>
      <c r="H10" s="1"/>
    </row>
    <row r="11" spans="1:8" x14ac:dyDescent="0.25">
      <c r="A11" s="46"/>
      <c r="B11" s="1"/>
      <c r="C11" s="1"/>
      <c r="D11" s="1"/>
      <c r="E11" s="1"/>
      <c r="F11" s="1"/>
      <c r="G11" s="1"/>
      <c r="H11" s="1"/>
    </row>
    <row r="12" spans="1:8" x14ac:dyDescent="0.25">
      <c r="A12" s="46"/>
      <c r="B12" s="1"/>
      <c r="C12" s="1"/>
      <c r="D12" s="1"/>
      <c r="E12" s="1"/>
      <c r="F12" s="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5">
        <f>SUM(G9:G13)</f>
        <v>2295</v>
      </c>
      <c r="H14" s="1"/>
    </row>
    <row r="15" spans="1:8" x14ac:dyDescent="0.25">
      <c r="A15" s="30" t="s">
        <v>71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70</v>
      </c>
      <c r="B16" s="1" t="s">
        <v>74</v>
      </c>
      <c r="C16" s="1">
        <v>30</v>
      </c>
      <c r="D16" s="1">
        <v>20.52</v>
      </c>
      <c r="E16" s="1">
        <v>30</v>
      </c>
      <c r="F16" s="1" t="s">
        <v>47</v>
      </c>
      <c r="G16" s="1">
        <f>D16*E16</f>
        <v>615.6</v>
      </c>
      <c r="H16" s="1"/>
    </row>
    <row r="17" spans="1:8" x14ac:dyDescent="0.25">
      <c r="A17" s="46"/>
      <c r="B17" s="1" t="s">
        <v>75</v>
      </c>
      <c r="C17" s="1">
        <v>8</v>
      </c>
      <c r="D17" s="1">
        <v>75</v>
      </c>
      <c r="E17" s="1">
        <v>8</v>
      </c>
      <c r="F17" s="1" t="s">
        <v>47</v>
      </c>
      <c r="G17" s="20">
        <f t="shared" ref="G17:G18" si="1">D17*E17</f>
        <v>600</v>
      </c>
      <c r="H17" s="1"/>
    </row>
    <row r="18" spans="1:8" x14ac:dyDescent="0.25">
      <c r="A18" s="46"/>
      <c r="B18" s="1" t="s">
        <v>50</v>
      </c>
      <c r="C18" s="1">
        <v>3</v>
      </c>
      <c r="D18" s="1">
        <v>18.239999999999998</v>
      </c>
      <c r="E18" s="1">
        <v>3</v>
      </c>
      <c r="F18" s="1" t="s">
        <v>47</v>
      </c>
      <c r="G18" s="20">
        <f t="shared" si="1"/>
        <v>54.72</v>
      </c>
      <c r="H18" s="1"/>
    </row>
    <row r="19" spans="1:8" x14ac:dyDescent="0.25">
      <c r="A19" s="46"/>
      <c r="B19" s="1"/>
      <c r="C19" s="1"/>
      <c r="D19" s="1"/>
      <c r="E19" s="3"/>
      <c r="F19" s="3"/>
      <c r="G19" s="20"/>
      <c r="H19" s="1"/>
    </row>
    <row r="20" spans="1:8" x14ac:dyDescent="0.25">
      <c r="A20" s="46"/>
      <c r="B20" s="1"/>
      <c r="C20" s="1"/>
      <c r="D20" s="1"/>
      <c r="E20" s="3"/>
      <c r="F20" s="3"/>
      <c r="G20" s="20"/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5">
        <f>SUM(G16:G21)</f>
        <v>1270.32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28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46"/>
      <c r="B25" s="1" t="s">
        <v>29</v>
      </c>
      <c r="C25" s="1">
        <v>2</v>
      </c>
      <c r="D25" s="1">
        <v>1188</v>
      </c>
      <c r="E25" s="1">
        <v>2</v>
      </c>
      <c r="F25" s="1" t="s">
        <v>30</v>
      </c>
      <c r="G25" s="20">
        <f>D25*E25</f>
        <v>2376</v>
      </c>
      <c r="H25" s="1"/>
    </row>
    <row r="26" spans="1:8" x14ac:dyDescent="0.25">
      <c r="A26" s="46"/>
      <c r="B26" s="36"/>
      <c r="C26" s="36"/>
      <c r="D26" s="36"/>
      <c r="E26" s="36"/>
      <c r="F26" s="36"/>
      <c r="G26" s="36"/>
      <c r="H26" s="1"/>
    </row>
    <row r="27" spans="1:8" x14ac:dyDescent="0.25">
      <c r="A27" s="46"/>
      <c r="B27" s="33"/>
      <c r="C27" s="33"/>
      <c r="D27" s="33"/>
      <c r="E27" s="33"/>
      <c r="F27" s="33"/>
      <c r="G27" s="33"/>
      <c r="H27" s="1"/>
    </row>
    <row r="28" spans="1:8" x14ac:dyDescent="0.25">
      <c r="A28" s="46"/>
      <c r="B28" s="20"/>
      <c r="C28" s="20"/>
      <c r="D28" s="20"/>
      <c r="E28" s="20"/>
      <c r="F28" s="21"/>
      <c r="G28" s="20"/>
      <c r="H28" s="20"/>
    </row>
    <row r="29" spans="1:8" x14ac:dyDescent="0.25">
      <c r="A29" s="46"/>
      <c r="B29" s="43" t="s">
        <v>7</v>
      </c>
      <c r="C29" s="44"/>
      <c r="D29" s="45"/>
      <c r="E29" s="3"/>
      <c r="F29" s="3"/>
      <c r="G29" s="17">
        <f>SUM(G24:G28)</f>
        <v>3476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6" t="s">
        <v>76</v>
      </c>
      <c r="B31" s="1" t="s">
        <v>77</v>
      </c>
      <c r="C31" s="1">
        <v>15</v>
      </c>
      <c r="D31" s="1">
        <v>7.2</v>
      </c>
      <c r="E31" s="1">
        <v>15</v>
      </c>
      <c r="F31" s="1" t="s">
        <v>47</v>
      </c>
      <c r="G31" s="1">
        <f>D31*E31</f>
        <v>108</v>
      </c>
      <c r="H31" s="1"/>
    </row>
    <row r="32" spans="1:8" x14ac:dyDescent="0.25">
      <c r="A32" s="46"/>
      <c r="B32" s="1" t="s">
        <v>78</v>
      </c>
      <c r="C32" s="1">
        <v>15</v>
      </c>
      <c r="D32" s="1">
        <v>150</v>
      </c>
      <c r="E32" s="1">
        <v>15</v>
      </c>
      <c r="F32" s="1" t="s">
        <v>47</v>
      </c>
      <c r="G32" s="33">
        <f>D32*E32</f>
        <v>2250</v>
      </c>
      <c r="H32" s="1"/>
    </row>
    <row r="33" spans="1:8" x14ac:dyDescent="0.25">
      <c r="A33" s="46"/>
      <c r="B33" s="1"/>
      <c r="C33" s="1"/>
      <c r="D33" s="1"/>
      <c r="E33" s="1"/>
      <c r="F33" s="1"/>
      <c r="G33" s="1"/>
      <c r="H33" s="1"/>
    </row>
    <row r="34" spans="1:8" x14ac:dyDescent="0.25">
      <c r="A34" s="46"/>
      <c r="B34" s="43"/>
      <c r="C34" s="44"/>
      <c r="D34" s="45"/>
      <c r="E34" s="3"/>
      <c r="F34" s="3"/>
      <c r="G34" s="17">
        <f>SUM(G31:G33)</f>
        <v>2358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7"/>
      <c r="B36" s="1" t="s">
        <v>137</v>
      </c>
      <c r="C36" s="1"/>
      <c r="D36" s="1">
        <v>9.9</v>
      </c>
      <c r="E36" s="1">
        <v>70</v>
      </c>
      <c r="F36" s="1" t="s">
        <v>132</v>
      </c>
      <c r="G36" s="26">
        <f>D36*E36</f>
        <v>693</v>
      </c>
      <c r="H36" s="1"/>
    </row>
    <row r="37" spans="1:8" x14ac:dyDescent="0.25">
      <c r="A37" s="48"/>
      <c r="B37" s="1"/>
      <c r="C37" s="1"/>
      <c r="D37" s="1"/>
      <c r="E37" s="1"/>
      <c r="F37" s="1"/>
      <c r="G37" s="26">
        <f>D37*E37</f>
        <v>0</v>
      </c>
      <c r="H37" s="1"/>
    </row>
    <row r="38" spans="1:8" x14ac:dyDescent="0.25">
      <c r="A38" s="49"/>
      <c r="B38" s="43" t="s">
        <v>7</v>
      </c>
      <c r="C38" s="44"/>
      <c r="D38" s="45"/>
      <c r="E38" s="3"/>
      <c r="F38" s="3"/>
      <c r="G38" s="15">
        <f>SUM(G36:G37)</f>
        <v>693</v>
      </c>
      <c r="H38" s="7"/>
    </row>
    <row r="39" spans="1:8" x14ac:dyDescent="0.25">
      <c r="A39" s="8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6"/>
      <c r="B40" s="1"/>
      <c r="C40" s="1"/>
      <c r="D40" s="1"/>
      <c r="E40" s="1"/>
      <c r="F40" s="1"/>
      <c r="G40" s="1"/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1"/>
      <c r="C43" s="1"/>
      <c r="D43" s="1"/>
      <c r="E43" s="1"/>
      <c r="F43" s="1"/>
      <c r="G43" s="1"/>
      <c r="H43" s="1"/>
    </row>
    <row r="44" spans="1:8" x14ac:dyDescent="0.25">
      <c r="A44" s="46"/>
      <c r="B44" s="43" t="s">
        <v>7</v>
      </c>
      <c r="C44" s="44"/>
      <c r="D44" s="45"/>
      <c r="E44" s="3"/>
      <c r="F44" s="3"/>
      <c r="G44" s="5">
        <f>SUM(G40:G43)</f>
        <v>0</v>
      </c>
      <c r="H44" s="1"/>
    </row>
    <row r="45" spans="1:8" x14ac:dyDescent="0.25">
      <c r="A45" s="1"/>
      <c r="B45" s="40" t="s">
        <v>14</v>
      </c>
      <c r="C45" s="41"/>
      <c r="D45" s="42"/>
      <c r="E45" s="9"/>
      <c r="F45" s="9"/>
      <c r="G45" s="10">
        <f>G44+G38+G34+G22+G14+G7+G29</f>
        <v>14969.419999999998</v>
      </c>
      <c r="H45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36" workbookViewId="0">
      <selection activeCell="H53" sqref="A1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127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79</v>
      </c>
      <c r="B3" s="1" t="s">
        <v>80</v>
      </c>
      <c r="C3" s="1">
        <v>60</v>
      </c>
      <c r="D3" s="1">
        <v>30</v>
      </c>
      <c r="E3" s="1">
        <v>60</v>
      </c>
      <c r="F3" s="1" t="s">
        <v>47</v>
      </c>
      <c r="G3" s="2">
        <f>D3*E3</f>
        <v>1800</v>
      </c>
      <c r="H3" s="1"/>
    </row>
    <row r="4" spans="1:8" x14ac:dyDescent="0.25">
      <c r="A4" s="46"/>
      <c r="B4" s="1" t="s">
        <v>81</v>
      </c>
      <c r="C4" s="1">
        <v>3</v>
      </c>
      <c r="D4" s="1">
        <v>31.5</v>
      </c>
      <c r="E4" s="1">
        <v>3</v>
      </c>
      <c r="F4" s="1" t="s">
        <v>47</v>
      </c>
      <c r="G4" s="2">
        <f t="shared" ref="G4:G6" si="0">D4*E4</f>
        <v>94.5</v>
      </c>
      <c r="H4" s="1"/>
    </row>
    <row r="5" spans="1:8" x14ac:dyDescent="0.25">
      <c r="A5" s="46"/>
      <c r="B5" s="1" t="s">
        <v>63</v>
      </c>
      <c r="C5" s="1">
        <v>15</v>
      </c>
      <c r="D5" s="1">
        <v>93</v>
      </c>
      <c r="E5" s="1">
        <v>15</v>
      </c>
      <c r="F5" s="1" t="s">
        <v>47</v>
      </c>
      <c r="G5" s="2">
        <f t="shared" si="0"/>
        <v>1395</v>
      </c>
      <c r="H5" s="1"/>
    </row>
    <row r="6" spans="1:8" x14ac:dyDescent="0.25">
      <c r="A6" s="46"/>
      <c r="B6" s="1" t="s">
        <v>82</v>
      </c>
      <c r="C6" s="1">
        <v>8</v>
      </c>
      <c r="D6" s="1">
        <v>11.7</v>
      </c>
      <c r="E6" s="3">
        <v>8</v>
      </c>
      <c r="F6" s="3" t="s">
        <v>47</v>
      </c>
      <c r="G6" s="2">
        <f t="shared" si="0"/>
        <v>93.6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5">
        <f>SUM(G3:G6)</f>
        <v>3383.1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83</v>
      </c>
      <c r="B9" s="1" t="s">
        <v>88</v>
      </c>
      <c r="C9" s="1">
        <v>65</v>
      </c>
      <c r="D9" s="1">
        <v>75</v>
      </c>
      <c r="E9" s="29">
        <v>65</v>
      </c>
      <c r="F9" s="1" t="s">
        <v>92</v>
      </c>
      <c r="G9" s="1">
        <f>D9*E9</f>
        <v>4875</v>
      </c>
      <c r="H9" s="1"/>
    </row>
    <row r="10" spans="1:8" x14ac:dyDescent="0.25">
      <c r="A10" s="46"/>
      <c r="B10" s="1" t="s">
        <v>89</v>
      </c>
      <c r="C10" s="1">
        <v>6</v>
      </c>
      <c r="D10" s="1">
        <v>28.56</v>
      </c>
      <c r="E10" s="1">
        <v>6</v>
      </c>
      <c r="F10" s="1" t="s">
        <v>92</v>
      </c>
      <c r="G10" s="2">
        <f t="shared" ref="G10:G12" si="1">D10*E10</f>
        <v>171.35999999999999</v>
      </c>
      <c r="H10" s="1"/>
    </row>
    <row r="11" spans="1:8" x14ac:dyDescent="0.25">
      <c r="A11" s="46"/>
      <c r="B11" s="1" t="s">
        <v>90</v>
      </c>
      <c r="C11" s="1">
        <v>4</v>
      </c>
      <c r="D11" s="1">
        <v>220</v>
      </c>
      <c r="E11" s="1">
        <v>4</v>
      </c>
      <c r="F11" s="1" t="s">
        <v>93</v>
      </c>
      <c r="G11" s="24">
        <f t="shared" si="1"/>
        <v>880</v>
      </c>
      <c r="H11" s="1"/>
    </row>
    <row r="12" spans="1:8" x14ac:dyDescent="0.25">
      <c r="A12" s="46"/>
      <c r="B12" s="1" t="s">
        <v>91</v>
      </c>
      <c r="C12" s="1">
        <v>8</v>
      </c>
      <c r="D12" s="1">
        <v>75</v>
      </c>
      <c r="E12" s="1">
        <v>8</v>
      </c>
      <c r="F12" s="1" t="s">
        <v>92</v>
      </c>
      <c r="G12" s="24">
        <f t="shared" si="1"/>
        <v>600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5">
        <f>SUM(G9:G13)</f>
        <v>6526.36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142</v>
      </c>
      <c r="B16" s="1" t="s">
        <v>87</v>
      </c>
      <c r="C16" s="1">
        <v>7</v>
      </c>
      <c r="D16" s="1">
        <v>150</v>
      </c>
      <c r="E16" s="1">
        <v>7</v>
      </c>
      <c r="F16" s="1" t="s">
        <v>139</v>
      </c>
      <c r="G16" s="1">
        <f>D16*E16</f>
        <v>1050</v>
      </c>
      <c r="H16" s="1"/>
    </row>
    <row r="17" spans="1:8" x14ac:dyDescent="0.25">
      <c r="A17" s="46"/>
      <c r="B17" s="1" t="s">
        <v>141</v>
      </c>
      <c r="C17" s="1"/>
      <c r="D17" s="1">
        <v>68.400000000000006</v>
      </c>
      <c r="E17" s="1">
        <v>2</v>
      </c>
      <c r="F17" s="1" t="s">
        <v>143</v>
      </c>
      <c r="G17" s="2">
        <f>D17*E17</f>
        <v>136.80000000000001</v>
      </c>
      <c r="H17" s="1"/>
    </row>
    <row r="18" spans="1:8" x14ac:dyDescent="0.25">
      <c r="A18" s="46"/>
      <c r="B18" s="1"/>
      <c r="C18" s="1"/>
      <c r="D18" s="1"/>
      <c r="E18" s="1"/>
      <c r="F18" s="1"/>
      <c r="G18" s="1"/>
      <c r="H18" s="1"/>
    </row>
    <row r="19" spans="1:8" x14ac:dyDescent="0.25">
      <c r="A19" s="46"/>
      <c r="B19" s="1"/>
      <c r="C19" s="1"/>
      <c r="D19" s="1"/>
      <c r="E19" s="3"/>
      <c r="F19" s="3"/>
      <c r="G19" s="1"/>
      <c r="H19" s="1"/>
    </row>
    <row r="20" spans="1:8" x14ac:dyDescent="0.25">
      <c r="A20" s="46"/>
      <c r="B20" s="43" t="s">
        <v>7</v>
      </c>
      <c r="C20" s="44"/>
      <c r="D20" s="45"/>
      <c r="E20" s="3"/>
      <c r="F20" s="3"/>
      <c r="G20" s="15">
        <f>SUM(G16:G19)</f>
        <v>1186.8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32</v>
      </c>
      <c r="C22" s="1">
        <v>1</v>
      </c>
      <c r="D22" s="1">
        <v>210</v>
      </c>
      <c r="E22" s="1">
        <v>1</v>
      </c>
      <c r="F22" s="1" t="s">
        <v>27</v>
      </c>
      <c r="G22" s="1">
        <f>D22*E22</f>
        <v>210</v>
      </c>
      <c r="H22" s="1" t="s">
        <v>33</v>
      </c>
    </row>
    <row r="23" spans="1:8" x14ac:dyDescent="0.25">
      <c r="A23" s="46"/>
      <c r="B23" s="1" t="s">
        <v>94</v>
      </c>
      <c r="C23" s="1">
        <v>3</v>
      </c>
      <c r="D23" s="1">
        <v>110</v>
      </c>
      <c r="E23" s="1">
        <v>3</v>
      </c>
      <c r="F23" s="1" t="s">
        <v>97</v>
      </c>
      <c r="G23" s="35">
        <f t="shared" ref="G23:G35" si="2">D23*E23</f>
        <v>330</v>
      </c>
      <c r="H23" s="1"/>
    </row>
    <row r="24" spans="1:8" x14ac:dyDescent="0.25">
      <c r="A24" s="46"/>
      <c r="B24" s="1" t="s">
        <v>95</v>
      </c>
      <c r="C24" s="1">
        <v>2</v>
      </c>
      <c r="D24" s="1">
        <v>225</v>
      </c>
      <c r="E24" s="1">
        <v>2</v>
      </c>
      <c r="F24" s="1" t="s">
        <v>97</v>
      </c>
      <c r="G24" s="35">
        <f t="shared" si="2"/>
        <v>450</v>
      </c>
      <c r="H24" s="1"/>
    </row>
    <row r="25" spans="1:8" x14ac:dyDescent="0.25">
      <c r="A25" s="46"/>
      <c r="B25" s="35" t="s">
        <v>161</v>
      </c>
      <c r="C25" s="35"/>
      <c r="D25" s="35">
        <v>99</v>
      </c>
      <c r="E25" s="35">
        <v>6</v>
      </c>
      <c r="F25" s="35" t="s">
        <v>143</v>
      </c>
      <c r="G25" s="35">
        <f t="shared" si="2"/>
        <v>594</v>
      </c>
      <c r="H25" s="35"/>
    </row>
    <row r="26" spans="1:8" x14ac:dyDescent="0.25">
      <c r="A26" s="46"/>
      <c r="B26" s="1" t="s">
        <v>96</v>
      </c>
      <c r="C26" s="1">
        <v>2</v>
      </c>
      <c r="D26" s="1">
        <v>325</v>
      </c>
      <c r="E26" s="1">
        <v>2</v>
      </c>
      <c r="F26" s="1" t="s">
        <v>97</v>
      </c>
      <c r="G26" s="35">
        <f t="shared" si="2"/>
        <v>650</v>
      </c>
      <c r="H26" s="1"/>
    </row>
    <row r="27" spans="1:8" x14ac:dyDescent="0.25">
      <c r="A27" s="46"/>
      <c r="B27" s="24" t="s">
        <v>159</v>
      </c>
      <c r="C27" s="24"/>
      <c r="D27" s="24">
        <v>75</v>
      </c>
      <c r="E27" s="24">
        <v>1</v>
      </c>
      <c r="F27" s="25" t="s">
        <v>27</v>
      </c>
      <c r="G27" s="35">
        <f t="shared" si="2"/>
        <v>75</v>
      </c>
      <c r="H27" s="24"/>
    </row>
    <row r="28" spans="1:8" x14ac:dyDescent="0.25">
      <c r="A28" s="46"/>
      <c r="B28" s="35" t="s">
        <v>155</v>
      </c>
      <c r="C28" s="35"/>
      <c r="D28" s="35">
        <v>70</v>
      </c>
      <c r="E28" s="35">
        <v>10</v>
      </c>
      <c r="F28" s="34" t="s">
        <v>154</v>
      </c>
      <c r="G28" s="35">
        <f t="shared" si="2"/>
        <v>700</v>
      </c>
      <c r="H28" s="35"/>
    </row>
    <row r="29" spans="1:8" x14ac:dyDescent="0.25">
      <c r="A29" s="46"/>
      <c r="B29" s="35" t="s">
        <v>156</v>
      </c>
      <c r="C29" s="35"/>
      <c r="D29" s="35">
        <v>235</v>
      </c>
      <c r="E29" s="35">
        <v>3</v>
      </c>
      <c r="F29" s="34" t="s">
        <v>157</v>
      </c>
      <c r="G29" s="35">
        <f t="shared" si="2"/>
        <v>705</v>
      </c>
      <c r="H29" s="35"/>
    </row>
    <row r="30" spans="1:8" x14ac:dyDescent="0.25">
      <c r="A30" s="46"/>
      <c r="B30" s="35" t="s">
        <v>158</v>
      </c>
      <c r="C30" s="35"/>
      <c r="D30" s="35">
        <v>540</v>
      </c>
      <c r="E30" s="35">
        <v>1</v>
      </c>
      <c r="F30" s="34" t="s">
        <v>154</v>
      </c>
      <c r="G30" s="35">
        <f t="shared" si="2"/>
        <v>540</v>
      </c>
      <c r="H30" s="35"/>
    </row>
    <row r="31" spans="1:8" x14ac:dyDescent="0.25">
      <c r="A31" s="46"/>
      <c r="B31" s="24" t="s">
        <v>160</v>
      </c>
      <c r="C31" s="24"/>
      <c r="D31" s="24">
        <v>140</v>
      </c>
      <c r="E31" s="24">
        <v>5</v>
      </c>
      <c r="F31" s="25" t="s">
        <v>92</v>
      </c>
      <c r="G31" s="35">
        <f t="shared" si="2"/>
        <v>700</v>
      </c>
      <c r="H31" s="24"/>
    </row>
    <row r="32" spans="1:8" x14ac:dyDescent="0.25">
      <c r="A32" s="46"/>
      <c r="B32" s="35" t="s">
        <v>144</v>
      </c>
      <c r="C32" s="35"/>
      <c r="D32" s="35">
        <v>225</v>
      </c>
      <c r="E32" s="35">
        <v>2</v>
      </c>
      <c r="F32" s="35" t="s">
        <v>145</v>
      </c>
      <c r="G32" s="35">
        <f t="shared" si="2"/>
        <v>450</v>
      </c>
      <c r="H32" s="35"/>
    </row>
    <row r="33" spans="1:8" x14ac:dyDescent="0.25">
      <c r="A33" s="46"/>
      <c r="B33" s="35" t="s">
        <v>146</v>
      </c>
      <c r="C33" s="35"/>
      <c r="D33" s="35">
        <v>235</v>
      </c>
      <c r="E33" s="35">
        <v>2</v>
      </c>
      <c r="F33" s="35" t="s">
        <v>145</v>
      </c>
      <c r="G33" s="35">
        <f t="shared" si="2"/>
        <v>470</v>
      </c>
      <c r="H33" s="35"/>
    </row>
    <row r="34" spans="1:8" x14ac:dyDescent="0.25">
      <c r="A34" s="46"/>
      <c r="B34" s="35" t="s">
        <v>147</v>
      </c>
      <c r="C34" s="35"/>
      <c r="D34" s="35">
        <v>175</v>
      </c>
      <c r="E34" s="35">
        <v>1</v>
      </c>
      <c r="F34" s="35" t="s">
        <v>148</v>
      </c>
      <c r="G34" s="35">
        <f t="shared" si="2"/>
        <v>175</v>
      </c>
      <c r="H34" s="35"/>
    </row>
    <row r="35" spans="1:8" x14ac:dyDescent="0.25">
      <c r="A35" s="46"/>
      <c r="B35" s="35" t="s">
        <v>149</v>
      </c>
      <c r="C35" s="35"/>
      <c r="D35" s="35">
        <v>291</v>
      </c>
      <c r="E35" s="35">
        <v>2</v>
      </c>
      <c r="F35" s="35" t="s">
        <v>145</v>
      </c>
      <c r="G35" s="35">
        <f t="shared" si="2"/>
        <v>582</v>
      </c>
      <c r="H35" s="35"/>
    </row>
    <row r="36" spans="1:8" x14ac:dyDescent="0.25">
      <c r="A36" s="46"/>
      <c r="B36" s="43" t="s">
        <v>7</v>
      </c>
      <c r="C36" s="44"/>
      <c r="D36" s="45"/>
      <c r="E36" s="3"/>
      <c r="F36" s="3"/>
      <c r="G36" s="17">
        <f>SUM(G22:G35)</f>
        <v>6631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46" t="s">
        <v>79</v>
      </c>
      <c r="B38" s="1" t="s">
        <v>84</v>
      </c>
      <c r="C38" s="1">
        <v>5</v>
      </c>
      <c r="D38" s="1">
        <v>32.64</v>
      </c>
      <c r="E38" s="1">
        <v>5</v>
      </c>
      <c r="F38" s="13" t="s">
        <v>47</v>
      </c>
      <c r="G38" s="1">
        <f>D38*E38</f>
        <v>163.19999999999999</v>
      </c>
      <c r="H38" s="1"/>
    </row>
    <row r="39" spans="1:8" x14ac:dyDescent="0.25">
      <c r="A39" s="46"/>
      <c r="B39" s="1" t="s">
        <v>85</v>
      </c>
      <c r="C39" s="1">
        <v>1</v>
      </c>
      <c r="D39" s="1">
        <v>75</v>
      </c>
      <c r="E39" s="1">
        <v>1</v>
      </c>
      <c r="F39" s="1" t="s">
        <v>48</v>
      </c>
      <c r="G39" s="24">
        <f>D39*E39</f>
        <v>75</v>
      </c>
      <c r="H39" s="1" t="s">
        <v>31</v>
      </c>
    </row>
    <row r="40" spans="1:8" x14ac:dyDescent="0.25">
      <c r="A40" s="46"/>
      <c r="B40" s="1" t="s">
        <v>86</v>
      </c>
      <c r="C40" s="1" t="s">
        <v>61</v>
      </c>
      <c r="D40" s="1">
        <v>660</v>
      </c>
      <c r="E40" s="1">
        <v>0.5</v>
      </c>
      <c r="F40" s="1" t="s">
        <v>47</v>
      </c>
      <c r="G40" s="35">
        <f>D40*E40</f>
        <v>330</v>
      </c>
      <c r="H40" s="1"/>
    </row>
    <row r="41" spans="1:8" x14ac:dyDescent="0.25">
      <c r="A41" s="46"/>
      <c r="B41" s="43" t="s">
        <v>16</v>
      </c>
      <c r="C41" s="44"/>
      <c r="D41" s="45"/>
      <c r="E41" s="3"/>
      <c r="F41" s="3"/>
      <c r="G41" s="15">
        <f>SUM(G38:G40)</f>
        <v>568.20000000000005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47"/>
      <c r="B43" s="1" t="s">
        <v>140</v>
      </c>
      <c r="C43" s="1"/>
      <c r="D43" s="1">
        <v>5.0999999999999996</v>
      </c>
      <c r="E43" s="1">
        <v>70</v>
      </c>
      <c r="F43" s="1" t="s">
        <v>21</v>
      </c>
      <c r="G43" s="1">
        <f>D43*E43</f>
        <v>357</v>
      </c>
      <c r="H43" s="1"/>
    </row>
    <row r="44" spans="1:8" x14ac:dyDescent="0.25">
      <c r="A44" s="48"/>
      <c r="B44" s="1" t="s">
        <v>138</v>
      </c>
      <c r="C44" s="1"/>
      <c r="D44" s="1">
        <v>52.8</v>
      </c>
      <c r="E44" s="1">
        <v>71.67</v>
      </c>
      <c r="F44" s="24" t="s">
        <v>17</v>
      </c>
      <c r="G44" s="2">
        <f>D44*E44</f>
        <v>3784.1759999999999</v>
      </c>
      <c r="H44" s="1"/>
    </row>
    <row r="45" spans="1:8" x14ac:dyDescent="0.25">
      <c r="A45" s="49"/>
      <c r="B45" s="43" t="s">
        <v>7</v>
      </c>
      <c r="C45" s="44"/>
      <c r="D45" s="45"/>
      <c r="E45" s="3"/>
      <c r="F45" s="3"/>
      <c r="G45" s="15">
        <f>SUM(G43:G44)</f>
        <v>4141.1759999999995</v>
      </c>
      <c r="H45" s="7"/>
    </row>
    <row r="46" spans="1:8" x14ac:dyDescent="0.25">
      <c r="A46" s="8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7"/>
      <c r="B47" s="1" t="s">
        <v>150</v>
      </c>
      <c r="C47" s="1"/>
      <c r="D47" s="1">
        <v>18</v>
      </c>
      <c r="E47" s="1">
        <v>2</v>
      </c>
      <c r="F47" s="13" t="s">
        <v>143</v>
      </c>
      <c r="G47" s="1">
        <f>D47*E47</f>
        <v>36</v>
      </c>
      <c r="H47" s="1"/>
    </row>
    <row r="48" spans="1:8" x14ac:dyDescent="0.25">
      <c r="A48" s="48"/>
      <c r="B48" s="1" t="s">
        <v>151</v>
      </c>
      <c r="C48" s="1"/>
      <c r="D48" s="1">
        <v>85</v>
      </c>
      <c r="E48" s="1">
        <v>1</v>
      </c>
      <c r="F48" s="13" t="s">
        <v>143</v>
      </c>
      <c r="G48" s="24">
        <f t="shared" ref="G48:G51" si="3">D48*E48</f>
        <v>85</v>
      </c>
      <c r="H48" s="1"/>
    </row>
    <row r="49" spans="1:8" x14ac:dyDescent="0.25">
      <c r="A49" s="48"/>
      <c r="B49" s="1" t="s">
        <v>152</v>
      </c>
      <c r="C49" s="1"/>
      <c r="D49" s="1">
        <v>14.4</v>
      </c>
      <c r="E49" s="1">
        <v>2</v>
      </c>
      <c r="F49" s="13" t="s">
        <v>143</v>
      </c>
      <c r="G49" s="2">
        <f t="shared" si="3"/>
        <v>28.8</v>
      </c>
      <c r="H49" s="1"/>
    </row>
    <row r="50" spans="1:8" x14ac:dyDescent="0.25">
      <c r="A50" s="48"/>
      <c r="B50" s="1" t="s">
        <v>153</v>
      </c>
      <c r="C50" s="1"/>
      <c r="D50" s="1">
        <v>50</v>
      </c>
      <c r="E50" s="1">
        <v>5</v>
      </c>
      <c r="F50" s="13" t="s">
        <v>154</v>
      </c>
      <c r="G50" s="24">
        <f t="shared" si="3"/>
        <v>250</v>
      </c>
      <c r="H50" s="1"/>
    </row>
    <row r="51" spans="1:8" x14ac:dyDescent="0.25">
      <c r="A51" s="48"/>
      <c r="B51" s="13" t="s">
        <v>162</v>
      </c>
      <c r="C51" s="13"/>
      <c r="D51" s="14">
        <v>168</v>
      </c>
      <c r="E51" s="14">
        <v>3</v>
      </c>
      <c r="F51" s="14" t="s">
        <v>143</v>
      </c>
      <c r="G51" s="24">
        <f t="shared" si="3"/>
        <v>504</v>
      </c>
      <c r="H51" s="13"/>
    </row>
    <row r="52" spans="1:8" x14ac:dyDescent="0.25">
      <c r="A52" s="49"/>
      <c r="B52" s="43" t="s">
        <v>7</v>
      </c>
      <c r="C52" s="44"/>
      <c r="D52" s="45"/>
      <c r="E52" s="3"/>
      <c r="F52" s="3"/>
      <c r="G52" s="15">
        <f>SUM(G47:G51)</f>
        <v>903.8</v>
      </c>
      <c r="H52" s="1"/>
    </row>
    <row r="53" spans="1:8" x14ac:dyDescent="0.25">
      <c r="A53" s="13"/>
      <c r="B53" s="40" t="s">
        <v>14</v>
      </c>
      <c r="C53" s="41"/>
      <c r="D53" s="42"/>
      <c r="E53" s="9"/>
      <c r="F53" s="9"/>
      <c r="G53" s="10">
        <f>G52+G45+G41+G20+G14+G7+G36</f>
        <v>23340.435999999998</v>
      </c>
      <c r="H5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B52:D52"/>
    <mergeCell ref="B53:D53"/>
    <mergeCell ref="A22:A36"/>
    <mergeCell ref="B36:D36"/>
    <mergeCell ref="A38:A41"/>
    <mergeCell ref="B41:D41"/>
    <mergeCell ref="A43:A45"/>
    <mergeCell ref="B45:D45"/>
    <mergeCell ref="A47:A52"/>
  </mergeCells>
  <phoneticPr fontId="2" type="noConversion"/>
  <pageMargins left="0.7" right="0.7" top="0.75" bottom="0.75" header="0.3" footer="0.3"/>
  <pageSetup paperSize="9" scale="8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128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98</v>
      </c>
      <c r="B3" s="1" t="s">
        <v>103</v>
      </c>
      <c r="C3" s="1">
        <v>270</v>
      </c>
      <c r="D3" s="1">
        <v>99</v>
      </c>
      <c r="E3" s="1"/>
      <c r="F3" s="1" t="s">
        <v>17</v>
      </c>
      <c r="G3" s="16"/>
      <c r="H3" s="1"/>
    </row>
    <row r="4" spans="1:8" x14ac:dyDescent="0.25">
      <c r="A4" s="46"/>
      <c r="B4" s="1"/>
      <c r="C4" s="1"/>
      <c r="D4" s="1"/>
      <c r="E4" s="1"/>
      <c r="F4" s="1"/>
      <c r="G4" s="1"/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9"/>
      <c r="C6" s="1"/>
      <c r="D6" s="1"/>
      <c r="E6" s="3"/>
      <c r="F6" s="3"/>
      <c r="G6" s="3"/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4">
        <f>SUM(G3:G6)</f>
        <v>0</v>
      </c>
      <c r="H7" s="1"/>
    </row>
    <row r="8" spans="1:8" x14ac:dyDescent="0.25">
      <c r="A8" s="32" t="s">
        <v>99</v>
      </c>
      <c r="B8" s="1" t="s">
        <v>1</v>
      </c>
      <c r="C8" s="1" t="s">
        <v>2</v>
      </c>
      <c r="D8" s="32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100</v>
      </c>
      <c r="B9" s="19" t="s">
        <v>89</v>
      </c>
      <c r="C9" s="1">
        <v>10</v>
      </c>
      <c r="D9" s="1">
        <v>28.56</v>
      </c>
      <c r="E9" s="1">
        <v>10</v>
      </c>
      <c r="F9" s="13" t="s">
        <v>92</v>
      </c>
      <c r="G9" s="1">
        <f>D9*E9</f>
        <v>285.59999999999997</v>
      </c>
      <c r="H9" s="1"/>
    </row>
    <row r="10" spans="1:8" x14ac:dyDescent="0.25">
      <c r="A10" s="46"/>
      <c r="B10" s="1" t="s">
        <v>104</v>
      </c>
      <c r="C10" s="1">
        <v>1</v>
      </c>
      <c r="D10" s="1">
        <v>75</v>
      </c>
      <c r="E10" s="1">
        <v>15</v>
      </c>
      <c r="F10" s="13" t="s">
        <v>27</v>
      </c>
      <c r="G10" s="35">
        <f t="shared" ref="G10:G12" si="0">D10*E10</f>
        <v>1125</v>
      </c>
      <c r="H10" s="1"/>
    </row>
    <row r="11" spans="1:8" x14ac:dyDescent="0.25">
      <c r="A11" s="46"/>
      <c r="B11" s="1" t="s">
        <v>105</v>
      </c>
      <c r="C11" s="1">
        <v>15</v>
      </c>
      <c r="D11" s="1">
        <v>93</v>
      </c>
      <c r="E11" s="1">
        <v>15</v>
      </c>
      <c r="F11" s="13" t="s">
        <v>92</v>
      </c>
      <c r="G11" s="35">
        <f t="shared" si="0"/>
        <v>1395</v>
      </c>
      <c r="H11" s="1"/>
    </row>
    <row r="12" spans="1:8" x14ac:dyDescent="0.25">
      <c r="A12" s="46"/>
      <c r="B12" s="1" t="s">
        <v>109</v>
      </c>
      <c r="C12" s="1">
        <v>8</v>
      </c>
      <c r="D12" s="1">
        <v>100</v>
      </c>
      <c r="E12" s="1">
        <v>8</v>
      </c>
      <c r="F12" s="13" t="s">
        <v>110</v>
      </c>
      <c r="G12" s="35">
        <f t="shared" si="0"/>
        <v>800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5">
        <f>SUM(G9:G13)</f>
        <v>3605.6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101</v>
      </c>
      <c r="B16" s="1" t="s">
        <v>106</v>
      </c>
      <c r="C16" s="1">
        <v>50</v>
      </c>
      <c r="D16" s="1">
        <v>23.46</v>
      </c>
      <c r="E16" s="1">
        <v>50</v>
      </c>
      <c r="F16" s="1" t="s">
        <v>92</v>
      </c>
      <c r="G16" s="1">
        <f>D16*E16</f>
        <v>1173</v>
      </c>
      <c r="H16" s="1"/>
    </row>
    <row r="17" spans="1:8" x14ac:dyDescent="0.25">
      <c r="A17" s="46"/>
      <c r="B17" s="1" t="s">
        <v>107</v>
      </c>
      <c r="C17" s="1">
        <v>3</v>
      </c>
      <c r="D17" s="1">
        <v>18.239999999999998</v>
      </c>
      <c r="E17" s="1">
        <v>3</v>
      </c>
      <c r="F17" s="13" t="s">
        <v>92</v>
      </c>
      <c r="G17" s="35">
        <f t="shared" ref="G17:G18" si="1">D17*E17</f>
        <v>54.72</v>
      </c>
      <c r="H17" s="1"/>
    </row>
    <row r="18" spans="1:8" x14ac:dyDescent="0.25">
      <c r="A18" s="46"/>
      <c r="B18" s="1" t="s">
        <v>108</v>
      </c>
      <c r="C18" s="1">
        <v>3</v>
      </c>
      <c r="D18" s="1">
        <v>93</v>
      </c>
      <c r="E18" s="1">
        <v>5</v>
      </c>
      <c r="F18" s="1" t="s">
        <v>92</v>
      </c>
      <c r="G18" s="35">
        <f t="shared" si="1"/>
        <v>465</v>
      </c>
      <c r="H18" s="1"/>
    </row>
    <row r="19" spans="1:8" x14ac:dyDescent="0.25">
      <c r="A19" s="46"/>
      <c r="B19" s="27"/>
      <c r="C19" s="27"/>
      <c r="D19" s="27"/>
      <c r="E19" s="27"/>
      <c r="F19" s="27"/>
      <c r="G19" s="1"/>
      <c r="H19" s="1"/>
    </row>
    <row r="20" spans="1:8" x14ac:dyDescent="0.25">
      <c r="A20" s="46"/>
      <c r="B20" s="43" t="s">
        <v>7</v>
      </c>
      <c r="C20" s="44"/>
      <c r="D20" s="45"/>
      <c r="E20" s="3"/>
      <c r="F20" s="3"/>
      <c r="G20" s="15">
        <f>SUM(G16:G19)</f>
        <v>1692.72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35" t="s">
        <v>165</v>
      </c>
      <c r="C22" s="35"/>
      <c r="D22" s="35">
        <v>290</v>
      </c>
      <c r="E22" s="35">
        <v>1</v>
      </c>
      <c r="F22" s="35" t="s">
        <v>145</v>
      </c>
      <c r="G22" s="1">
        <f>D22*E22</f>
        <v>290</v>
      </c>
      <c r="H22" s="1"/>
    </row>
    <row r="23" spans="1:8" x14ac:dyDescent="0.25">
      <c r="A23" s="46"/>
      <c r="B23" s="1" t="s">
        <v>164</v>
      </c>
      <c r="C23" s="1"/>
      <c r="D23" s="1">
        <v>185</v>
      </c>
      <c r="E23" s="1">
        <v>2</v>
      </c>
      <c r="F23" s="1" t="s">
        <v>154</v>
      </c>
      <c r="G23" s="35">
        <f>D23*E23</f>
        <v>370</v>
      </c>
      <c r="H23" s="1" t="s">
        <v>34</v>
      </c>
    </row>
    <row r="24" spans="1:8" x14ac:dyDescent="0.25">
      <c r="A24" s="46"/>
      <c r="B24" s="1"/>
      <c r="C24" s="1"/>
      <c r="D24" s="1"/>
      <c r="E24" s="1"/>
      <c r="F24" s="1"/>
      <c r="G24" s="1"/>
      <c r="H24" s="1"/>
    </row>
    <row r="25" spans="1:8" x14ac:dyDescent="0.25">
      <c r="A25" s="46"/>
      <c r="B25" s="1"/>
      <c r="C25" s="1"/>
      <c r="D25" s="1"/>
      <c r="E25" s="1"/>
      <c r="F25" s="1"/>
      <c r="G25" s="1"/>
      <c r="H25" s="1"/>
    </row>
    <row r="26" spans="1:8" x14ac:dyDescent="0.25">
      <c r="A26" s="46"/>
      <c r="B26" s="43" t="s">
        <v>7</v>
      </c>
      <c r="C26" s="44"/>
      <c r="D26" s="45"/>
      <c r="E26" s="3"/>
      <c r="F26" s="3"/>
      <c r="G26" s="17">
        <f>SUM(G22:G25)</f>
        <v>660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6" t="s">
        <v>37</v>
      </c>
      <c r="B28" s="27" t="s">
        <v>38</v>
      </c>
      <c r="C28" s="27">
        <v>3</v>
      </c>
      <c r="D28" s="27"/>
      <c r="E28" s="27" t="s">
        <v>39</v>
      </c>
      <c r="G28" s="1"/>
      <c r="H28" s="1" t="s">
        <v>15</v>
      </c>
    </row>
    <row r="29" spans="1:8" x14ac:dyDescent="0.25">
      <c r="A29" s="46"/>
      <c r="B29" s="1" t="s">
        <v>102</v>
      </c>
      <c r="C29" s="1"/>
      <c r="D29" s="1"/>
      <c r="E29" s="1"/>
      <c r="F29" s="1"/>
      <c r="G29" s="1"/>
      <c r="H29" s="1"/>
    </row>
    <row r="30" spans="1:8" x14ac:dyDescent="0.25">
      <c r="A30" s="46"/>
      <c r="B30" s="1"/>
      <c r="C30" s="1"/>
      <c r="D30" s="1"/>
      <c r="E30" s="1"/>
      <c r="F30" s="1"/>
      <c r="G30" s="1"/>
      <c r="H30" s="1"/>
    </row>
    <row r="31" spans="1:8" x14ac:dyDescent="0.25">
      <c r="A31" s="46"/>
      <c r="B31" s="43"/>
      <c r="C31" s="44"/>
      <c r="D31" s="45"/>
      <c r="E31" s="3"/>
      <c r="F31" s="3"/>
      <c r="G31" s="5">
        <f>SUM(G28:G30)</f>
        <v>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7"/>
      <c r="B33" s="1" t="s">
        <v>163</v>
      </c>
      <c r="C33" s="1"/>
      <c r="D33" s="1">
        <v>43.2</v>
      </c>
      <c r="E33" s="1">
        <v>123.84</v>
      </c>
      <c r="F33" s="1" t="s">
        <v>143</v>
      </c>
      <c r="G33" s="2">
        <f>D33*E33</f>
        <v>5349.8880000000008</v>
      </c>
      <c r="H33" s="1"/>
    </row>
    <row r="34" spans="1:8" x14ac:dyDescent="0.25">
      <c r="A34" s="48"/>
      <c r="B34" s="1" t="s">
        <v>166</v>
      </c>
      <c r="C34" s="1"/>
      <c r="D34" s="1">
        <v>7.2</v>
      </c>
      <c r="E34" s="1">
        <v>70</v>
      </c>
      <c r="F34" s="1" t="s">
        <v>143</v>
      </c>
      <c r="G34" s="2">
        <f>D34*E34</f>
        <v>504</v>
      </c>
      <c r="H34" s="1"/>
    </row>
    <row r="35" spans="1:8" x14ac:dyDescent="0.25">
      <c r="A35" s="49"/>
      <c r="B35" s="43" t="s">
        <v>7</v>
      </c>
      <c r="C35" s="44"/>
      <c r="D35" s="45"/>
      <c r="E35" s="3"/>
      <c r="F35" s="3"/>
      <c r="G35" s="15">
        <f>SUM(G33:G34)</f>
        <v>5853.8880000000008</v>
      </c>
      <c r="H35" s="7"/>
    </row>
    <row r="36" spans="1:8" x14ac:dyDescent="0.25">
      <c r="A36" s="8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6"/>
      <c r="B37" s="1" t="s">
        <v>167</v>
      </c>
      <c r="C37" s="1"/>
      <c r="D37" s="1">
        <v>19.8</v>
      </c>
      <c r="E37" s="1">
        <v>2</v>
      </c>
      <c r="F37" s="1" t="s">
        <v>143</v>
      </c>
      <c r="G37" s="1">
        <f>D37*E37</f>
        <v>39.6</v>
      </c>
      <c r="H37" s="1"/>
    </row>
    <row r="38" spans="1:8" x14ac:dyDescent="0.25">
      <c r="A38" s="46"/>
      <c r="B38" s="1"/>
      <c r="C38" s="1"/>
      <c r="D38" s="1"/>
      <c r="E38" s="1"/>
      <c r="F38" s="1"/>
      <c r="G38" s="1"/>
      <c r="H38" s="1"/>
    </row>
    <row r="39" spans="1:8" x14ac:dyDescent="0.25">
      <c r="A39" s="46"/>
      <c r="B39" s="1"/>
      <c r="C39" s="1"/>
      <c r="D39" s="1"/>
      <c r="E39" s="1"/>
      <c r="F39" s="1"/>
      <c r="G39" s="1"/>
      <c r="H39" s="1"/>
    </row>
    <row r="40" spans="1:8" x14ac:dyDescent="0.25">
      <c r="A40" s="46"/>
      <c r="B40" s="1"/>
      <c r="C40" s="1"/>
      <c r="D40" s="1"/>
      <c r="E40" s="1"/>
      <c r="F40" s="1"/>
      <c r="G40" s="1"/>
      <c r="H40" s="1"/>
    </row>
    <row r="41" spans="1:8" x14ac:dyDescent="0.25">
      <c r="A41" s="46"/>
      <c r="B41" s="43" t="s">
        <v>7</v>
      </c>
      <c r="C41" s="44"/>
      <c r="D41" s="45"/>
      <c r="E41" s="3"/>
      <c r="F41" s="3"/>
      <c r="G41" s="15">
        <f>SUM(G37:G40)</f>
        <v>39.6</v>
      </c>
      <c r="H41" s="1"/>
    </row>
    <row r="42" spans="1:8" x14ac:dyDescent="0.25">
      <c r="A42" s="1"/>
      <c r="B42" s="40" t="s">
        <v>14</v>
      </c>
      <c r="C42" s="41"/>
      <c r="D42" s="42"/>
      <c r="E42" s="9"/>
      <c r="F42" s="9"/>
      <c r="G42" s="10">
        <f>G41+G35+G31+G20+G14+G7+G26</f>
        <v>11851.808000000001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abSelected="1" topLeftCell="A28" workbookViewId="0">
      <selection activeCell="I52" sqref="I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129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111</v>
      </c>
      <c r="B3" s="1" t="s">
        <v>116</v>
      </c>
      <c r="C3" s="1">
        <v>55</v>
      </c>
      <c r="D3" s="1">
        <v>126</v>
      </c>
      <c r="E3" s="1">
        <v>55</v>
      </c>
      <c r="F3" s="1" t="s">
        <v>92</v>
      </c>
      <c r="G3" s="2">
        <f>D3*E3</f>
        <v>6930</v>
      </c>
      <c r="H3" s="1"/>
    </row>
    <row r="4" spans="1:8" x14ac:dyDescent="0.25">
      <c r="A4" s="46"/>
      <c r="B4" s="1" t="s">
        <v>89</v>
      </c>
      <c r="C4" s="1">
        <v>8</v>
      </c>
      <c r="D4" s="1">
        <v>25.5</v>
      </c>
      <c r="E4" s="1">
        <v>8</v>
      </c>
      <c r="F4" s="1" t="s">
        <v>92</v>
      </c>
      <c r="G4" s="2">
        <f t="shared" ref="G4:G6" si="0">D4*E4</f>
        <v>204</v>
      </c>
      <c r="H4" s="1"/>
    </row>
    <row r="5" spans="1:8" x14ac:dyDescent="0.25">
      <c r="A5" s="46"/>
      <c r="B5" s="1" t="s">
        <v>119</v>
      </c>
      <c r="C5" s="1">
        <v>5</v>
      </c>
      <c r="D5" s="1">
        <v>68.400000000000006</v>
      </c>
      <c r="E5" s="1">
        <v>5</v>
      </c>
      <c r="F5" s="1" t="s">
        <v>92</v>
      </c>
      <c r="G5" s="2">
        <f t="shared" si="0"/>
        <v>342</v>
      </c>
      <c r="H5" s="1"/>
    </row>
    <row r="6" spans="1:8" x14ac:dyDescent="0.25">
      <c r="A6" s="46"/>
      <c r="B6" s="1" t="s">
        <v>120</v>
      </c>
      <c r="C6" s="1">
        <v>5</v>
      </c>
      <c r="D6" s="1">
        <v>68.400000000000006</v>
      </c>
      <c r="E6" s="3">
        <v>5</v>
      </c>
      <c r="F6" s="3" t="s">
        <v>92</v>
      </c>
      <c r="G6" s="2">
        <f t="shared" si="0"/>
        <v>342</v>
      </c>
      <c r="H6" s="1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3" t="s">
        <v>7</v>
      </c>
      <c r="C8" s="44"/>
      <c r="D8" s="45"/>
      <c r="E8" s="3"/>
      <c r="F8" s="3"/>
      <c r="G8" s="15">
        <f>SUM(G3:G7)</f>
        <v>7818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7" t="s">
        <v>112</v>
      </c>
      <c r="B10" s="27" t="s">
        <v>117</v>
      </c>
      <c r="C10" s="27"/>
      <c r="D10" s="27">
        <v>50.4</v>
      </c>
      <c r="E10" s="38">
        <v>20</v>
      </c>
      <c r="F10" s="38" t="s">
        <v>168</v>
      </c>
      <c r="G10" s="27">
        <f>D10*E10</f>
        <v>1008</v>
      </c>
      <c r="H10" s="27"/>
    </row>
    <row r="11" spans="1:8" x14ac:dyDescent="0.25">
      <c r="A11" s="48"/>
      <c r="B11" s="1" t="s">
        <v>118</v>
      </c>
      <c r="C11" s="1"/>
      <c r="D11" s="1">
        <v>27.36</v>
      </c>
      <c r="E11" s="1">
        <v>20</v>
      </c>
      <c r="F11" s="13" t="s">
        <v>168</v>
      </c>
      <c r="G11" s="38">
        <f>D11*E11</f>
        <v>547.20000000000005</v>
      </c>
      <c r="H11" s="1"/>
    </row>
    <row r="12" spans="1:8" x14ac:dyDescent="0.25">
      <c r="A12" s="48"/>
      <c r="B12" s="1"/>
      <c r="C12" s="1"/>
      <c r="D12" s="1"/>
      <c r="E12" s="1"/>
      <c r="F12" s="13"/>
      <c r="G12" s="1"/>
      <c r="H12" s="1"/>
    </row>
    <row r="13" spans="1:8" x14ac:dyDescent="0.25">
      <c r="A13" s="48"/>
      <c r="B13" s="1"/>
      <c r="C13" s="1"/>
      <c r="D13" s="1"/>
      <c r="E13" s="1"/>
      <c r="F13" s="13"/>
      <c r="G13" s="1"/>
      <c r="H13" s="1"/>
    </row>
    <row r="14" spans="1:8" x14ac:dyDescent="0.25">
      <c r="A14" s="48"/>
      <c r="B14" s="1"/>
      <c r="C14" s="1"/>
      <c r="D14" s="1"/>
      <c r="E14" s="1"/>
      <c r="F14" s="13"/>
      <c r="G14" s="1"/>
      <c r="H14" s="1"/>
    </row>
    <row r="15" spans="1:8" x14ac:dyDescent="0.25">
      <c r="A15" s="48"/>
      <c r="B15" s="19"/>
      <c r="C15" s="1"/>
      <c r="D15" s="1"/>
      <c r="E15" s="1"/>
      <c r="F15" s="1"/>
      <c r="G15" s="1"/>
      <c r="H15" s="13"/>
    </row>
    <row r="16" spans="1:8" x14ac:dyDescent="0.25">
      <c r="A16" s="49"/>
      <c r="B16" s="43" t="s">
        <v>7</v>
      </c>
      <c r="C16" s="44"/>
      <c r="D16" s="45"/>
      <c r="E16" s="3"/>
      <c r="F16" s="3"/>
      <c r="G16" s="15">
        <f>SUM(G10:G15)</f>
        <v>1555.2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6" t="s">
        <v>113</v>
      </c>
      <c r="B18" s="1" t="s">
        <v>121</v>
      </c>
      <c r="C18" s="1">
        <v>50</v>
      </c>
      <c r="D18" s="1">
        <v>24.3</v>
      </c>
      <c r="E18" s="1">
        <v>50</v>
      </c>
      <c r="F18" s="13" t="s">
        <v>92</v>
      </c>
      <c r="G18" s="1">
        <f>D18*E18</f>
        <v>1215</v>
      </c>
      <c r="H18" s="1"/>
    </row>
    <row r="19" spans="1:8" x14ac:dyDescent="0.25">
      <c r="A19" s="46"/>
      <c r="B19" s="1"/>
      <c r="C19" s="1"/>
      <c r="D19" s="1"/>
      <c r="E19" s="1"/>
      <c r="F19" s="13"/>
      <c r="G19" s="1"/>
      <c r="H19" s="1"/>
    </row>
    <row r="20" spans="1:8" x14ac:dyDescent="0.25">
      <c r="A20" s="46"/>
      <c r="B20" s="1"/>
      <c r="C20" s="1"/>
      <c r="D20" s="1"/>
      <c r="E20" s="1"/>
      <c r="F20" s="1"/>
      <c r="G20" s="1"/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7">
        <f>SUM(G18:G21)</f>
        <v>1215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3"/>
      <c r="B24" s="19" t="s">
        <v>122</v>
      </c>
      <c r="C24" s="13">
        <v>25</v>
      </c>
      <c r="D24" s="13">
        <v>10</v>
      </c>
      <c r="E24" s="13">
        <v>25</v>
      </c>
      <c r="F24" s="13" t="s">
        <v>124</v>
      </c>
      <c r="G24" s="13">
        <f>D24*E24</f>
        <v>250</v>
      </c>
      <c r="H24" s="13" t="s">
        <v>20</v>
      </c>
    </row>
    <row r="25" spans="1:8" x14ac:dyDescent="0.25">
      <c r="A25" s="54"/>
      <c r="B25" s="13" t="s">
        <v>123</v>
      </c>
      <c r="C25" s="13">
        <v>25</v>
      </c>
      <c r="D25" s="13">
        <v>52.8</v>
      </c>
      <c r="E25" s="39"/>
      <c r="F25" s="13" t="s">
        <v>17</v>
      </c>
      <c r="G25" s="38">
        <f t="shared" ref="G25:G36" si="1">D25*E25</f>
        <v>0</v>
      </c>
      <c r="H25" s="13" t="s">
        <v>20</v>
      </c>
    </row>
    <row r="26" spans="1:8" x14ac:dyDescent="0.25">
      <c r="A26" s="54"/>
      <c r="B26" s="13" t="s">
        <v>170</v>
      </c>
      <c r="C26" s="13"/>
      <c r="D26" s="13">
        <v>181</v>
      </c>
      <c r="E26" s="13">
        <v>2</v>
      </c>
      <c r="F26" s="13" t="s">
        <v>171</v>
      </c>
      <c r="G26" s="38">
        <f t="shared" si="1"/>
        <v>362</v>
      </c>
      <c r="H26" s="1" t="s">
        <v>19</v>
      </c>
    </row>
    <row r="27" spans="1:8" x14ac:dyDescent="0.25">
      <c r="A27" s="54"/>
      <c r="B27" s="1" t="s">
        <v>172</v>
      </c>
      <c r="C27" s="1"/>
      <c r="D27" s="1">
        <v>363</v>
      </c>
      <c r="E27" s="1">
        <v>1</v>
      </c>
      <c r="F27" s="1" t="s">
        <v>173</v>
      </c>
      <c r="G27" s="38">
        <f t="shared" si="1"/>
        <v>363</v>
      </c>
      <c r="H27" s="13" t="s">
        <v>19</v>
      </c>
    </row>
    <row r="28" spans="1:8" x14ac:dyDescent="0.25">
      <c r="A28" s="54"/>
      <c r="B28" s="1" t="s">
        <v>174</v>
      </c>
      <c r="C28" s="1"/>
      <c r="D28" s="1">
        <v>613</v>
      </c>
      <c r="E28" s="1">
        <v>1</v>
      </c>
      <c r="F28" s="1" t="s">
        <v>171</v>
      </c>
      <c r="G28" s="38">
        <f t="shared" si="1"/>
        <v>613</v>
      </c>
      <c r="H28" s="13" t="s">
        <v>19</v>
      </c>
    </row>
    <row r="29" spans="1:8" x14ac:dyDescent="0.25">
      <c r="A29" s="54"/>
      <c r="B29" s="1" t="s">
        <v>175</v>
      </c>
      <c r="C29" s="1"/>
      <c r="D29" s="1">
        <v>1188</v>
      </c>
      <c r="E29" s="38">
        <v>1</v>
      </c>
      <c r="F29" s="38" t="s">
        <v>171</v>
      </c>
      <c r="G29" s="38">
        <f t="shared" si="1"/>
        <v>1188</v>
      </c>
      <c r="H29" s="27"/>
    </row>
    <row r="30" spans="1:8" x14ac:dyDescent="0.25">
      <c r="A30" s="54"/>
      <c r="B30" s="1" t="s">
        <v>176</v>
      </c>
      <c r="C30" s="1"/>
      <c r="D30" s="1">
        <v>339</v>
      </c>
      <c r="E30" s="38">
        <v>1</v>
      </c>
      <c r="F30" s="38" t="s">
        <v>171</v>
      </c>
      <c r="G30" s="38">
        <f t="shared" si="1"/>
        <v>339</v>
      </c>
      <c r="H30" s="1"/>
    </row>
    <row r="31" spans="1:8" x14ac:dyDescent="0.25">
      <c r="A31" s="54"/>
      <c r="B31" s="38" t="s">
        <v>177</v>
      </c>
      <c r="C31" s="38"/>
      <c r="D31" s="39"/>
      <c r="E31" s="38">
        <v>20</v>
      </c>
      <c r="F31" s="37" t="s">
        <v>178</v>
      </c>
      <c r="G31" s="38">
        <f t="shared" si="1"/>
        <v>0</v>
      </c>
      <c r="H31" s="38"/>
    </row>
    <row r="32" spans="1:8" x14ac:dyDescent="0.25">
      <c r="A32" s="54"/>
      <c r="B32" s="38" t="s">
        <v>179</v>
      </c>
      <c r="C32" s="38"/>
      <c r="D32" s="38">
        <v>39.9</v>
      </c>
      <c r="E32" s="38">
        <v>2</v>
      </c>
      <c r="F32" s="37" t="s">
        <v>168</v>
      </c>
      <c r="G32" s="38">
        <f t="shared" si="1"/>
        <v>79.8</v>
      </c>
      <c r="H32" s="38"/>
    </row>
    <row r="33" spans="1:8" x14ac:dyDescent="0.25">
      <c r="A33" s="54"/>
      <c r="B33" s="38" t="s">
        <v>180</v>
      </c>
      <c r="C33" s="38"/>
      <c r="D33" s="38">
        <v>99</v>
      </c>
      <c r="E33" s="38">
        <v>1</v>
      </c>
      <c r="F33" s="37" t="s">
        <v>168</v>
      </c>
      <c r="G33" s="38">
        <f t="shared" si="1"/>
        <v>99</v>
      </c>
      <c r="H33" s="38"/>
    </row>
    <row r="34" spans="1:8" x14ac:dyDescent="0.25">
      <c r="A34" s="54"/>
      <c r="B34" s="38" t="s">
        <v>181</v>
      </c>
      <c r="C34" s="38"/>
      <c r="D34" s="38">
        <v>61.2</v>
      </c>
      <c r="E34" s="38">
        <v>3</v>
      </c>
      <c r="F34" s="37" t="s">
        <v>168</v>
      </c>
      <c r="G34" s="38">
        <f t="shared" si="1"/>
        <v>183.60000000000002</v>
      </c>
      <c r="H34" s="38"/>
    </row>
    <row r="35" spans="1:8" x14ac:dyDescent="0.25">
      <c r="A35" s="54"/>
      <c r="B35" s="38" t="s">
        <v>190</v>
      </c>
      <c r="C35" s="38"/>
      <c r="D35" s="38">
        <v>150</v>
      </c>
      <c r="E35" s="38">
        <v>1</v>
      </c>
      <c r="F35" s="38" t="s">
        <v>168</v>
      </c>
      <c r="G35" s="38">
        <f t="shared" si="1"/>
        <v>150</v>
      </c>
      <c r="H35" s="38"/>
    </row>
    <row r="36" spans="1:8" x14ac:dyDescent="0.25">
      <c r="A36" s="54"/>
      <c r="B36" s="38" t="s">
        <v>191</v>
      </c>
      <c r="C36" s="38"/>
      <c r="D36" s="38">
        <v>50.4</v>
      </c>
      <c r="E36" s="38">
        <v>20</v>
      </c>
      <c r="F36" s="38" t="s">
        <v>168</v>
      </c>
      <c r="G36" s="38">
        <f t="shared" si="1"/>
        <v>1008</v>
      </c>
      <c r="H36" s="38"/>
    </row>
    <row r="37" spans="1:8" x14ac:dyDescent="0.25">
      <c r="A37" s="55"/>
      <c r="B37" s="43" t="s">
        <v>7</v>
      </c>
      <c r="C37" s="44"/>
      <c r="D37" s="45"/>
      <c r="E37" s="3"/>
      <c r="F37" s="3"/>
      <c r="G37" s="17">
        <f>SUM(G24:G36)</f>
        <v>4635.3999999999996</v>
      </c>
      <c r="H37" s="1"/>
    </row>
    <row r="38" spans="1:8" x14ac:dyDescent="0.25">
      <c r="A38" s="1" t="s">
        <v>11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 t="s">
        <v>6</v>
      </c>
    </row>
    <row r="39" spans="1:8" x14ac:dyDescent="0.25">
      <c r="A39" s="46" t="s">
        <v>114</v>
      </c>
      <c r="B39" s="1" t="s">
        <v>115</v>
      </c>
      <c r="C39" s="1"/>
      <c r="D39" s="1"/>
      <c r="E39" s="1"/>
      <c r="F39" s="1"/>
      <c r="G39" s="1"/>
      <c r="H39" s="1"/>
    </row>
    <row r="40" spans="1:8" x14ac:dyDescent="0.25">
      <c r="A40" s="46"/>
      <c r="B40" s="1"/>
      <c r="C40" s="1"/>
      <c r="D40" s="1"/>
      <c r="E40" s="1"/>
      <c r="F40" s="1"/>
      <c r="G40" s="1"/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43"/>
      <c r="C42" s="44"/>
      <c r="D42" s="45"/>
      <c r="E42" s="3"/>
      <c r="F42" s="3"/>
      <c r="G42" s="5">
        <f>SUM(G39:G41)</f>
        <v>0</v>
      </c>
      <c r="H42" s="1"/>
    </row>
    <row r="43" spans="1:8" x14ac:dyDescent="0.25">
      <c r="A43" s="1" t="s">
        <v>12</v>
      </c>
      <c r="B43" s="1" t="s">
        <v>1</v>
      </c>
      <c r="C43" s="1" t="s">
        <v>2</v>
      </c>
      <c r="D43" s="1" t="s">
        <v>3</v>
      </c>
      <c r="E43" s="3" t="s">
        <v>4</v>
      </c>
      <c r="F43" s="3"/>
      <c r="G43" s="3" t="s">
        <v>5</v>
      </c>
      <c r="H43" s="1" t="s">
        <v>6</v>
      </c>
    </row>
    <row r="44" spans="1:8" x14ac:dyDescent="0.25">
      <c r="A44" s="47"/>
      <c r="B44" s="1" t="s">
        <v>169</v>
      </c>
      <c r="C44" s="1"/>
      <c r="D44" s="1">
        <v>9.18</v>
      </c>
      <c r="E44" s="1">
        <v>70</v>
      </c>
      <c r="F44" s="1" t="s">
        <v>168</v>
      </c>
      <c r="G44" s="2">
        <f>D44*E44</f>
        <v>642.6</v>
      </c>
      <c r="H44" s="1"/>
    </row>
    <row r="45" spans="1:8" x14ac:dyDescent="0.25">
      <c r="A45" s="48"/>
      <c r="B45" s="38" t="s">
        <v>192</v>
      </c>
      <c r="C45" s="38"/>
      <c r="D45" s="38">
        <v>117.67</v>
      </c>
      <c r="E45" s="38">
        <v>41.28</v>
      </c>
      <c r="F45" s="38" t="s">
        <v>168</v>
      </c>
      <c r="G45" s="2">
        <f>D45*E45</f>
        <v>4857.4175999999998</v>
      </c>
      <c r="H45" s="38"/>
    </row>
    <row r="46" spans="1:8" x14ac:dyDescent="0.25">
      <c r="A46" s="49"/>
      <c r="B46" s="43" t="s">
        <v>7</v>
      </c>
      <c r="C46" s="44"/>
      <c r="D46" s="45"/>
      <c r="E46" s="3"/>
      <c r="F46" s="3"/>
      <c r="G46" s="15">
        <f>SUM(G44:G45)</f>
        <v>5500.0176000000001</v>
      </c>
      <c r="H46" s="7"/>
    </row>
    <row r="47" spans="1:8" x14ac:dyDescent="0.25">
      <c r="A47" s="8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46"/>
      <c r="B48" s="1" t="s">
        <v>182</v>
      </c>
      <c r="C48" s="1"/>
      <c r="D48" s="1">
        <v>4.5</v>
      </c>
      <c r="E48" s="1">
        <v>50</v>
      </c>
      <c r="F48" s="1" t="s">
        <v>183</v>
      </c>
      <c r="G48" s="1">
        <f>D48*E48</f>
        <v>225</v>
      </c>
      <c r="H48" s="1"/>
    </row>
    <row r="49" spans="1:8" x14ac:dyDescent="0.25">
      <c r="A49" s="46"/>
      <c r="B49" s="1" t="s">
        <v>184</v>
      </c>
      <c r="C49" s="1"/>
      <c r="D49" s="1">
        <v>110</v>
      </c>
      <c r="E49" s="1">
        <v>1</v>
      </c>
      <c r="F49" s="1" t="s">
        <v>185</v>
      </c>
      <c r="G49" s="38">
        <f t="shared" ref="G49:G52" si="2">D49*E49</f>
        <v>110</v>
      </c>
      <c r="H49" s="1"/>
    </row>
    <row r="50" spans="1:8" x14ac:dyDescent="0.25">
      <c r="A50" s="46"/>
      <c r="B50" s="1" t="s">
        <v>186</v>
      </c>
      <c r="C50" s="1"/>
      <c r="D50" s="1">
        <v>120</v>
      </c>
      <c r="E50" s="1">
        <v>1</v>
      </c>
      <c r="F50" s="1" t="s">
        <v>185</v>
      </c>
      <c r="G50" s="38">
        <f t="shared" si="2"/>
        <v>120</v>
      </c>
      <c r="H50" s="1"/>
    </row>
    <row r="51" spans="1:8" x14ac:dyDescent="0.25">
      <c r="A51" s="46"/>
      <c r="B51" s="1" t="s">
        <v>187</v>
      </c>
      <c r="C51" s="1"/>
      <c r="D51" s="1">
        <v>120</v>
      </c>
      <c r="E51" s="1">
        <v>1</v>
      </c>
      <c r="F51" s="1" t="s">
        <v>188</v>
      </c>
      <c r="G51" s="38">
        <f t="shared" si="2"/>
        <v>120</v>
      </c>
      <c r="H51" s="1"/>
    </row>
    <row r="52" spans="1:8" x14ac:dyDescent="0.25">
      <c r="A52" s="46"/>
      <c r="B52" s="38" t="s">
        <v>189</v>
      </c>
      <c r="C52" s="38"/>
      <c r="D52" s="38">
        <v>170</v>
      </c>
      <c r="E52" s="38">
        <v>1</v>
      </c>
      <c r="F52" s="38" t="s">
        <v>185</v>
      </c>
      <c r="G52" s="38">
        <f t="shared" si="2"/>
        <v>170</v>
      </c>
      <c r="H52" s="38"/>
    </row>
    <row r="53" spans="1:8" x14ac:dyDescent="0.25">
      <c r="A53" s="46"/>
      <c r="B53" s="43" t="s">
        <v>7</v>
      </c>
      <c r="C53" s="44"/>
      <c r="D53" s="45"/>
      <c r="E53" s="3"/>
      <c r="F53" s="3"/>
      <c r="G53" s="17">
        <f>SUM(G48:G52)</f>
        <v>745</v>
      </c>
      <c r="H53" s="1"/>
    </row>
    <row r="54" spans="1:8" x14ac:dyDescent="0.25">
      <c r="A54" s="1"/>
      <c r="B54" s="40" t="s">
        <v>14</v>
      </c>
      <c r="C54" s="41"/>
      <c r="D54" s="42"/>
      <c r="E54" s="9"/>
      <c r="F54" s="9"/>
      <c r="G54" s="10">
        <f>G53+G46+G42+G22+G16+G8+G37</f>
        <v>21468.617599999998</v>
      </c>
      <c r="H54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8:A53"/>
    <mergeCell ref="B53:D53"/>
    <mergeCell ref="B54:D54"/>
    <mergeCell ref="B37:D37"/>
    <mergeCell ref="A39:A42"/>
    <mergeCell ref="B42:D42"/>
    <mergeCell ref="A44:A46"/>
    <mergeCell ref="B46:D46"/>
    <mergeCell ref="A24:A37"/>
  </mergeCells>
  <phoneticPr fontId="2" type="noConversion"/>
  <pageMargins left="0.7" right="0.7" top="0.75" bottom="0.75" header="0.3" footer="0.3"/>
  <pageSetup paperSize="9" scale="8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0414</vt:lpstr>
      <vt:lpstr>0415</vt:lpstr>
      <vt:lpstr>0416</vt:lpstr>
      <vt:lpstr>0417</vt:lpstr>
      <vt:lpstr>0418</vt:lpstr>
      <vt:lpstr>'0414'!Print_Area</vt:lpstr>
      <vt:lpstr>'0415'!Print_Area</vt:lpstr>
      <vt:lpstr>'0416'!Print_Area</vt:lpstr>
      <vt:lpstr>'0417'!Print_Area</vt:lpstr>
      <vt:lpstr>'0418'!Print_Area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2025-04-18T04:19:42Z</cp:lastPrinted>
  <dcterms:created xsi:type="dcterms:W3CDTF">2025-02-19T17:01:12Z</dcterms:created>
  <dcterms:modified xsi:type="dcterms:W3CDTF">2025-04-18T04:24:02Z</dcterms:modified>
</cp:coreProperties>
</file>