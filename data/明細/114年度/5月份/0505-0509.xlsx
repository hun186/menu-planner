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4年度\5月份\"/>
    </mc:Choice>
  </mc:AlternateContent>
  <bookViews>
    <workbookView xWindow="0" yWindow="0" windowWidth="28800" windowHeight="12255" activeTab="4"/>
  </bookViews>
  <sheets>
    <sheet name="0505" sheetId="1" r:id="rId1"/>
    <sheet name="0506" sheetId="2" r:id="rId2"/>
    <sheet name="0507" sheetId="3" r:id="rId3"/>
    <sheet name="0508" sheetId="4" r:id="rId4"/>
    <sheet name="0509" sheetId="5" r:id="rId5"/>
  </sheets>
  <definedNames>
    <definedName name="_xlnm.Print_Area" localSheetId="0">'0505'!$A$1:$H$49</definedName>
    <definedName name="_xlnm.Print_Area" localSheetId="1">'0506'!$A$1:$H$45</definedName>
    <definedName name="_xlnm.Print_Area" localSheetId="2">'0507'!$A$1:$H$53</definedName>
    <definedName name="_xlnm.Print_Area" localSheetId="3">'0508'!$A$1:$H$43</definedName>
    <definedName name="_xlnm.Print_Area" localSheetId="4">'0509'!$A$1:$H$54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5" l="1"/>
  <c r="G50" i="5"/>
  <c r="G49" i="5"/>
  <c r="G38" i="5"/>
  <c r="G37" i="5"/>
  <c r="G36" i="5"/>
  <c r="G35" i="5"/>
  <c r="G34" i="5"/>
  <c r="G41" i="5"/>
  <c r="G27" i="5"/>
  <c r="G46" i="5"/>
  <c r="G22" i="5"/>
  <c r="G19" i="5"/>
  <c r="G20" i="5"/>
  <c r="G21" i="5"/>
  <c r="G18" i="5"/>
  <c r="G16" i="5"/>
  <c r="G11" i="5"/>
  <c r="G12" i="5"/>
  <c r="G13" i="5"/>
  <c r="G10" i="5"/>
  <c r="G3" i="5"/>
  <c r="G26" i="5"/>
  <c r="G28" i="5"/>
  <c r="G25" i="5"/>
  <c r="G29" i="5"/>
  <c r="G30" i="5"/>
  <c r="G31" i="5"/>
  <c r="G32" i="5"/>
  <c r="G33" i="5"/>
  <c r="G24" i="5"/>
  <c r="G43" i="4"/>
  <c r="G36" i="4"/>
  <c r="G45" i="5"/>
  <c r="G39" i="4" l="1"/>
  <c r="G38" i="4"/>
  <c r="G10" i="4"/>
  <c r="G9" i="4"/>
  <c r="G29" i="4"/>
  <c r="G23" i="4"/>
  <c r="G24" i="4"/>
  <c r="G25" i="4"/>
  <c r="G26" i="4"/>
  <c r="G34" i="4"/>
  <c r="G22" i="4"/>
  <c r="G27" i="4" s="1"/>
  <c r="G17" i="4"/>
  <c r="G18" i="4"/>
  <c r="G16" i="4"/>
  <c r="G4" i="4"/>
  <c r="G5" i="4"/>
  <c r="G3" i="4"/>
  <c r="G53" i="3" l="1"/>
  <c r="G28" i="3"/>
  <c r="G42" i="3"/>
  <c r="G43" i="3"/>
  <c r="G44" i="3"/>
  <c r="G45" i="3"/>
  <c r="G46" i="3"/>
  <c r="G47" i="3"/>
  <c r="G48" i="3"/>
  <c r="G49" i="3"/>
  <c r="G50" i="3"/>
  <c r="G51" i="3"/>
  <c r="G30" i="3" l="1"/>
  <c r="G20" i="3"/>
  <c r="G17" i="3"/>
  <c r="G18" i="3"/>
  <c r="G19" i="3"/>
  <c r="G21" i="3"/>
  <c r="G16" i="3"/>
  <c r="G31" i="3"/>
  <c r="G32" i="3"/>
  <c r="G33" i="3"/>
  <c r="G34" i="3"/>
  <c r="G4" i="3"/>
  <c r="G5" i="3"/>
  <c r="G6" i="3"/>
  <c r="G35" i="3" l="1"/>
  <c r="G22" i="3"/>
  <c r="G11" i="2"/>
  <c r="G27" i="2"/>
  <c r="G14" i="1" l="1"/>
  <c r="G30" i="1"/>
  <c r="G33" i="1"/>
  <c r="G49" i="1" s="1"/>
  <c r="G36" i="1"/>
  <c r="G26" i="1"/>
  <c r="G4" i="1"/>
  <c r="G5" i="1"/>
  <c r="G41" i="3" l="1"/>
  <c r="G10" i="3"/>
  <c r="G9" i="3"/>
  <c r="G27" i="3"/>
  <c r="G24" i="3"/>
  <c r="G25" i="3"/>
  <c r="G26" i="3"/>
  <c r="G38" i="3"/>
  <c r="G37" i="3"/>
  <c r="G39" i="3" s="1"/>
  <c r="G3" i="3"/>
  <c r="G7" i="3" s="1"/>
  <c r="G52" i="3" l="1"/>
  <c r="G25" i="2"/>
  <c r="G26" i="2"/>
  <c r="G24" i="2"/>
  <c r="G37" i="2"/>
  <c r="G10" i="2"/>
  <c r="G9" i="2"/>
  <c r="G17" i="2"/>
  <c r="G18" i="2"/>
  <c r="G16" i="2"/>
  <c r="G31" i="2"/>
  <c r="G4" i="2"/>
  <c r="G5" i="2"/>
  <c r="G3" i="2"/>
  <c r="G36" i="2"/>
  <c r="G14" i="2" l="1"/>
  <c r="G29" i="2"/>
  <c r="G22" i="2"/>
  <c r="G17" i="1"/>
  <c r="G3" i="1"/>
  <c r="G48" i="1" l="1"/>
  <c r="G16" i="1"/>
  <c r="G20" i="1" s="1"/>
  <c r="G40" i="1"/>
  <c r="G42" i="1" s="1"/>
  <c r="G29" i="1"/>
  <c r="G28" i="1"/>
  <c r="G27" i="1"/>
  <c r="G24" i="1" l="1"/>
  <c r="G25" i="1"/>
  <c r="G23" i="1"/>
  <c r="G22" i="1"/>
  <c r="G10" i="1"/>
  <c r="G11" i="1"/>
  <c r="G12" i="1"/>
  <c r="G9" i="1"/>
  <c r="G53" i="5" l="1"/>
  <c r="G47" i="5"/>
  <c r="G43" i="5"/>
  <c r="G8" i="5"/>
  <c r="G42" i="4"/>
  <c r="G32" i="4"/>
  <c r="G20" i="4"/>
  <c r="G14" i="4"/>
  <c r="G7" i="4"/>
  <c r="G14" i="3"/>
  <c r="G44" i="2"/>
  <c r="G38" i="2"/>
  <c r="G34" i="2"/>
  <c r="G7" i="2"/>
  <c r="G45" i="2" s="1"/>
  <c r="G38" i="1"/>
  <c r="G7" i="1"/>
</calcChain>
</file>

<file path=xl/sharedStrings.xml><?xml version="1.0" encoding="utf-8"?>
<sst xmlns="http://schemas.openxmlformats.org/spreadsheetml/2006/main" count="545" uniqueCount="198">
  <si>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</si>
  <si>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</si>
  <si>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</si>
  <si>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</si>
  <si>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訂貨數量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</si>
  <si>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</si>
  <si>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</si>
  <si>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</si>
  <si>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</si>
  <si>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</si>
  <si>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</si>
  <si>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</si>
  <si>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</si>
  <si>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</si>
  <si>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</si>
  <si>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庫存</t>
    <phoneticPr fontId="2" type="noConversion"/>
  </si>
  <si>
    <t>合      計</t>
    <phoneticPr fontId="2" type="noConversion"/>
  </si>
  <si>
    <t>斤</t>
    <phoneticPr fontId="2" type="noConversion"/>
  </si>
  <si>
    <t>合      計</t>
    <phoneticPr fontId="2" type="noConversion"/>
  </si>
  <si>
    <t>斤</t>
    <phoneticPr fontId="2" type="noConversion"/>
  </si>
  <si>
    <t>斤</t>
    <phoneticPr fontId="2" type="noConversion"/>
  </si>
  <si>
    <t>電訊科技中心(安康營區)     114年      3月   25日      午餐明細表</t>
    <phoneticPr fontId="2" type="noConversion"/>
  </si>
  <si>
    <t>蒜仁</t>
    <phoneticPr fontId="2" type="noConversion"/>
  </si>
  <si>
    <t>蛋</t>
    <phoneticPr fontId="2" type="noConversion"/>
  </si>
  <si>
    <t>杏鮑菇</t>
    <phoneticPr fontId="2" type="noConversion"/>
  </si>
  <si>
    <t>小籠包</t>
    <phoneticPr fontId="2" type="noConversion"/>
  </si>
  <si>
    <t>五穀米</t>
    <phoneticPr fontId="2" type="noConversion"/>
  </si>
  <si>
    <t>米</t>
    <phoneticPr fontId="2" type="noConversion"/>
  </si>
  <si>
    <t>沙拉油</t>
    <phoneticPr fontId="2" type="noConversion"/>
  </si>
  <si>
    <t>桶</t>
    <phoneticPr fontId="2" type="noConversion"/>
  </si>
  <si>
    <t>電訊科技中心(安康營區)     114年      3月   26日      午餐明細表</t>
    <phoneticPr fontId="2" type="noConversion"/>
  </si>
  <si>
    <t>庫存</t>
    <phoneticPr fontId="2" type="noConversion"/>
  </si>
  <si>
    <t>晚餐</t>
    <phoneticPr fontId="2" type="noConversion"/>
  </si>
  <si>
    <t>斤</t>
    <phoneticPr fontId="2" type="noConversion"/>
  </si>
  <si>
    <t>箱</t>
    <phoneticPr fontId="2" type="noConversion"/>
  </si>
  <si>
    <t>鋁箔包飲料</t>
    <phoneticPr fontId="2" type="noConversion"/>
  </si>
  <si>
    <t>辣椒</t>
    <phoneticPr fontId="2" type="noConversion"/>
  </si>
  <si>
    <t>斤</t>
    <phoneticPr fontId="2" type="noConversion"/>
  </si>
  <si>
    <t>薑</t>
    <phoneticPr fontId="2" type="noConversion"/>
  </si>
  <si>
    <t>半</t>
    <phoneticPr fontId="2" type="noConversion"/>
  </si>
  <si>
    <t>油麵</t>
    <phoneticPr fontId="2" type="noConversion"/>
  </si>
  <si>
    <t>雞翅</t>
    <phoneticPr fontId="2" type="noConversion"/>
  </si>
  <si>
    <r>
      <t>菜名(</t>
    </r>
    <r>
      <rPr>
        <sz val="12"/>
        <color theme="9" tint="-0.249977111117893"/>
        <rFont val="標楷體"/>
        <family val="4"/>
        <charset val="136"/>
      </rPr>
      <t>配2</t>
    </r>
    <r>
      <rPr>
        <sz val="12"/>
        <color theme="1"/>
        <rFont val="標楷體"/>
        <family val="4"/>
        <charset val="136"/>
      </rPr>
      <t>)</t>
    </r>
    <phoneticPr fontId="2" type="noConversion"/>
  </si>
  <si>
    <t>泡菜肉片</t>
    <phoneticPr fontId="2" type="noConversion"/>
  </si>
  <si>
    <t>芽菜炒肉絲</t>
    <phoneticPr fontId="2" type="noConversion"/>
  </si>
  <si>
    <t>蔥花蛋</t>
    <phoneticPr fontId="2" type="noConversion"/>
  </si>
  <si>
    <t>豬肉片</t>
    <phoneticPr fontId="2" type="noConversion"/>
  </si>
  <si>
    <t>五花肉片</t>
    <phoneticPr fontId="2" type="noConversion"/>
  </si>
  <si>
    <t>韓式泡菜</t>
    <phoneticPr fontId="2" type="noConversion"/>
  </si>
  <si>
    <t>斤</t>
  </si>
  <si>
    <t>斤</t>
    <phoneticPr fontId="2" type="noConversion"/>
  </si>
  <si>
    <t>豆芽菜</t>
    <phoneticPr fontId="2" type="noConversion"/>
  </si>
  <si>
    <t>豬肉絲</t>
    <phoneticPr fontId="2" type="noConversion"/>
  </si>
  <si>
    <t>紅蘿蔔絲</t>
    <phoneticPr fontId="2" type="noConversion"/>
  </si>
  <si>
    <t>木耳絲</t>
    <phoneticPr fontId="2" type="noConversion"/>
  </si>
  <si>
    <t>青蔥</t>
    <phoneticPr fontId="2" type="noConversion"/>
  </si>
  <si>
    <t>雞蛋</t>
    <phoneticPr fontId="2" type="noConversion"/>
  </si>
  <si>
    <t>件</t>
    <phoneticPr fontId="2" type="noConversion"/>
  </si>
  <si>
    <t>味噌豆腐湯</t>
    <phoneticPr fontId="2" type="noConversion"/>
  </si>
  <si>
    <t>味噌</t>
    <phoneticPr fontId="2" type="noConversion"/>
  </si>
  <si>
    <t>4.3豆腐</t>
    <phoneticPr fontId="2" type="noConversion"/>
  </si>
  <si>
    <t>板</t>
    <phoneticPr fontId="2" type="noConversion"/>
  </si>
  <si>
    <t>三杯雞</t>
    <phoneticPr fontId="2" type="noConversion"/>
  </si>
  <si>
    <t>玉米洋芋</t>
    <phoneticPr fontId="2" type="noConversion"/>
  </si>
  <si>
    <t>小黃瓜素腰花</t>
    <phoneticPr fontId="2" type="noConversion"/>
  </si>
  <si>
    <t>骨腿丁</t>
    <phoneticPr fontId="2" type="noConversion"/>
  </si>
  <si>
    <t>薑</t>
    <phoneticPr fontId="2" type="noConversion"/>
  </si>
  <si>
    <t>九層塔</t>
    <phoneticPr fontId="2" type="noConversion"/>
  </si>
  <si>
    <t>冷凍玉米粒</t>
    <phoneticPr fontId="2" type="noConversion"/>
  </si>
  <si>
    <t>冷凍洋芋丁</t>
    <phoneticPr fontId="2" type="noConversion"/>
  </si>
  <si>
    <t>豆乾丁</t>
    <phoneticPr fontId="2" type="noConversion"/>
  </si>
  <si>
    <t>小黃瓜</t>
    <phoneticPr fontId="2" type="noConversion"/>
  </si>
  <si>
    <t>素腰花</t>
    <phoneticPr fontId="2" type="noConversion"/>
  </si>
  <si>
    <t>川耳</t>
    <phoneticPr fontId="2" type="noConversion"/>
  </si>
  <si>
    <t>包</t>
    <phoneticPr fontId="2" type="noConversion"/>
  </si>
  <si>
    <t>蘿蔔玉米湯</t>
    <phoneticPr fontId="2" type="noConversion"/>
  </si>
  <si>
    <t>白蘿蔔</t>
    <phoneticPr fontId="2" type="noConversion"/>
  </si>
  <si>
    <t>去殼玉米</t>
    <phoneticPr fontId="2" type="noConversion"/>
  </si>
  <si>
    <t>番茄肉醬麵</t>
    <phoneticPr fontId="2" type="noConversion"/>
  </si>
  <si>
    <t>薯條雞塊</t>
    <phoneticPr fontId="2" type="noConversion"/>
  </si>
  <si>
    <t>自製蛋塔</t>
    <phoneticPr fontId="2" type="noConversion"/>
  </si>
  <si>
    <t>螺旋麵</t>
    <phoneticPr fontId="2" type="noConversion"/>
  </si>
  <si>
    <t>絞肉</t>
    <phoneticPr fontId="2" type="noConversion"/>
  </si>
  <si>
    <t>番茄糊</t>
    <phoneticPr fontId="2" type="noConversion"/>
  </si>
  <si>
    <t>牛番茄</t>
    <phoneticPr fontId="2" type="noConversion"/>
  </si>
  <si>
    <t>桶</t>
    <phoneticPr fontId="2" type="noConversion"/>
  </si>
  <si>
    <t>薯條</t>
    <phoneticPr fontId="2" type="noConversion"/>
  </si>
  <si>
    <t>雞塊</t>
    <phoneticPr fontId="2" type="noConversion"/>
  </si>
  <si>
    <t>蛋塔皮</t>
    <phoneticPr fontId="2" type="noConversion"/>
  </si>
  <si>
    <t>鮮奶油</t>
    <phoneticPr fontId="2" type="noConversion"/>
  </si>
  <si>
    <t>牛奶</t>
    <phoneticPr fontId="2" type="noConversion"/>
  </si>
  <si>
    <t>煉乳</t>
    <phoneticPr fontId="2" type="noConversion"/>
  </si>
  <si>
    <t>白砂糖</t>
    <phoneticPr fontId="2" type="noConversion"/>
  </si>
  <si>
    <t>無鹽奶油</t>
    <phoneticPr fontId="2" type="noConversion"/>
  </si>
  <si>
    <t>瓶</t>
    <phoneticPr fontId="2" type="noConversion"/>
  </si>
  <si>
    <t>條</t>
    <phoneticPr fontId="2" type="noConversion"/>
  </si>
  <si>
    <t>去皮洋蔥</t>
    <phoneticPr fontId="2" type="noConversion"/>
  </si>
  <si>
    <t>紅蘿蔔</t>
    <phoneticPr fontId="2" type="noConversion"/>
  </si>
  <si>
    <t>西洋芹</t>
    <phoneticPr fontId="2" type="noConversion"/>
  </si>
  <si>
    <t>冷凍青花菜</t>
    <phoneticPr fontId="2" type="noConversion"/>
  </si>
  <si>
    <t>紅椒</t>
    <phoneticPr fontId="2" type="noConversion"/>
  </si>
  <si>
    <t>黃椒</t>
    <phoneticPr fontId="2" type="noConversion"/>
  </si>
  <si>
    <t>玉米筍</t>
    <phoneticPr fontId="2" type="noConversion"/>
  </si>
  <si>
    <t>馬鈴薯</t>
    <phoneticPr fontId="2" type="noConversion"/>
  </si>
  <si>
    <t>大骨高湯粉</t>
    <phoneticPr fontId="2" type="noConversion"/>
  </si>
  <si>
    <t>熟烏龍麵</t>
    <phoneticPr fontId="2" type="noConversion"/>
  </si>
  <si>
    <t>罐</t>
    <phoneticPr fontId="2" type="noConversion"/>
  </si>
  <si>
    <t>紅燒豬腳</t>
    <phoneticPr fontId="2" type="noConversion"/>
  </si>
  <si>
    <t>泰式豆腐</t>
    <phoneticPr fontId="2" type="noConversion"/>
  </si>
  <si>
    <t>胡瓜菇菇</t>
    <phoneticPr fontId="2" type="noConversion"/>
  </si>
  <si>
    <t>豬腳丁</t>
    <phoneticPr fontId="2" type="noConversion"/>
  </si>
  <si>
    <t>燒雞醬</t>
    <phoneticPr fontId="2" type="noConversion"/>
  </si>
  <si>
    <t>胡瓜絲</t>
    <phoneticPr fontId="2" type="noConversion"/>
  </si>
  <si>
    <t>雪白菇</t>
    <phoneticPr fontId="2" type="noConversion"/>
  </si>
  <si>
    <t>腿排</t>
    <phoneticPr fontId="2" type="noConversion"/>
  </si>
  <si>
    <t>個</t>
    <phoneticPr fontId="2" type="noConversion"/>
  </si>
  <si>
    <t>炸雞腿</t>
    <phoneticPr fontId="2" type="noConversion"/>
  </si>
  <si>
    <t>絲瓜油條</t>
    <phoneticPr fontId="2" type="noConversion"/>
  </si>
  <si>
    <t>芹香甜不辣</t>
    <phoneticPr fontId="2" type="noConversion"/>
  </si>
  <si>
    <t>棒腿</t>
    <phoneticPr fontId="2" type="noConversion"/>
  </si>
  <si>
    <t>去皮絲瓜</t>
    <phoneticPr fontId="2" type="noConversion"/>
  </si>
  <si>
    <t>去葉芹菜</t>
    <phoneticPr fontId="2" type="noConversion"/>
  </si>
  <si>
    <t>甜不辣條</t>
    <phoneticPr fontId="2" type="noConversion"/>
  </si>
  <si>
    <t>肉絲</t>
    <phoneticPr fontId="2" type="noConversion"/>
  </si>
  <si>
    <t>滷蛋</t>
  </si>
  <si>
    <t>香腸</t>
    <phoneticPr fontId="2" type="noConversion"/>
  </si>
  <si>
    <t>粒</t>
    <phoneticPr fontId="2" type="noConversion"/>
  </si>
  <si>
    <t>金針肉絲湯</t>
    <phoneticPr fontId="2" type="noConversion"/>
  </si>
  <si>
    <t>金針花</t>
    <phoneticPr fontId="2" type="noConversion"/>
  </si>
  <si>
    <t>高麗菜</t>
    <phoneticPr fontId="2" type="noConversion"/>
  </si>
  <si>
    <t>斤</t>
    <phoneticPr fontId="2" type="noConversion"/>
  </si>
  <si>
    <t>木瓜</t>
    <phoneticPr fontId="2" type="noConversion"/>
  </si>
  <si>
    <t>庫存</t>
    <phoneticPr fontId="2" type="noConversion"/>
  </si>
  <si>
    <t>電訊科技中心(安康營區)     114年     5月   5日      午餐明細表</t>
    <phoneticPr fontId="2" type="noConversion"/>
  </si>
  <si>
    <t>鳳梨</t>
    <phoneticPr fontId="2" type="noConversion"/>
  </si>
  <si>
    <t>顆</t>
    <phoneticPr fontId="2" type="noConversion"/>
  </si>
  <si>
    <t>鵝白菜</t>
    <phoneticPr fontId="2" type="noConversion"/>
  </si>
  <si>
    <t>斤</t>
    <phoneticPr fontId="2" type="noConversion"/>
  </si>
  <si>
    <t>香軟排塊</t>
    <phoneticPr fontId="2" type="noConversion"/>
  </si>
  <si>
    <t>蘋果</t>
    <phoneticPr fontId="2" type="noConversion"/>
  </si>
  <si>
    <t>個</t>
    <phoneticPr fontId="2" type="noConversion"/>
  </si>
  <si>
    <t>去皮洋蔥</t>
    <phoneticPr fontId="2" type="noConversion"/>
  </si>
  <si>
    <t>斤</t>
    <phoneticPr fontId="2" type="noConversion"/>
  </si>
  <si>
    <t>高麗菜</t>
    <phoneticPr fontId="2" type="noConversion"/>
  </si>
  <si>
    <t>合      計</t>
    <phoneticPr fontId="2" type="noConversion"/>
  </si>
  <si>
    <t>乾海芽</t>
    <phoneticPr fontId="2" type="noConversion"/>
  </si>
  <si>
    <t>胡椒鹽</t>
    <phoneticPr fontId="2" type="noConversion"/>
  </si>
  <si>
    <t>盒</t>
    <phoneticPr fontId="2" type="noConversion"/>
  </si>
  <si>
    <t>無骨豬排</t>
    <phoneticPr fontId="2" type="noConversion"/>
  </si>
  <si>
    <t>件</t>
    <phoneticPr fontId="2" type="noConversion"/>
  </si>
  <si>
    <t>起司豬排</t>
    <phoneticPr fontId="2" type="noConversion"/>
  </si>
  <si>
    <t>味噌</t>
    <phoneticPr fontId="2" type="noConversion"/>
  </si>
  <si>
    <t>胡椒粉</t>
    <phoneticPr fontId="2" type="noConversion"/>
  </si>
  <si>
    <t>盒</t>
    <phoneticPr fontId="2" type="noConversion"/>
  </si>
  <si>
    <t>香油</t>
    <phoneticPr fontId="2" type="noConversion"/>
  </si>
  <si>
    <t>桶</t>
    <phoneticPr fontId="2" type="noConversion"/>
  </si>
  <si>
    <t>包</t>
    <phoneticPr fontId="2" type="noConversion"/>
  </si>
  <si>
    <t>洗選蛋</t>
    <phoneticPr fontId="2" type="noConversion"/>
  </si>
  <si>
    <t>大西瓜</t>
    <phoneticPr fontId="2" type="noConversion"/>
  </si>
  <si>
    <t>青花玉米筍</t>
    <phoneticPr fontId="2" type="noConversion"/>
  </si>
  <si>
    <t>洋蔥蔬菜湯</t>
    <phoneticPr fontId="2" type="noConversion"/>
  </si>
  <si>
    <t>電訊科技中心(安康營區)     114年     5月 8日      午餐明細表</t>
    <phoneticPr fontId="2" type="noConversion"/>
  </si>
  <si>
    <t>個</t>
    <phoneticPr fontId="2" type="noConversion"/>
  </si>
  <si>
    <t>綠豆湯</t>
    <phoneticPr fontId="2" type="noConversion"/>
  </si>
  <si>
    <t>綠豆</t>
    <phoneticPr fontId="2" type="noConversion"/>
  </si>
  <si>
    <t>生香菇</t>
    <phoneticPr fontId="2" type="noConversion"/>
  </si>
  <si>
    <t>斤</t>
    <phoneticPr fontId="2" type="noConversion"/>
  </si>
  <si>
    <t>高麗菜</t>
    <phoneticPr fontId="2" type="noConversion"/>
  </si>
  <si>
    <t>蒜仁</t>
    <phoneticPr fontId="2" type="noConversion"/>
  </si>
  <si>
    <t>青蔥</t>
    <phoneticPr fontId="2" type="noConversion"/>
  </si>
  <si>
    <t>沙拉油</t>
    <phoneticPr fontId="2" type="noConversion"/>
  </si>
  <si>
    <t>桶</t>
    <phoneticPr fontId="2" type="noConversion"/>
  </si>
  <si>
    <t>鮮奶油</t>
    <phoneticPr fontId="2" type="noConversion"/>
  </si>
  <si>
    <t>瓶</t>
    <phoneticPr fontId="2" type="noConversion"/>
  </si>
  <si>
    <t>鮮奶</t>
    <phoneticPr fontId="2" type="noConversion"/>
  </si>
  <si>
    <t>番茄醬</t>
    <phoneticPr fontId="2" type="noConversion"/>
  </si>
  <si>
    <t>桶</t>
    <phoneticPr fontId="2" type="noConversion"/>
  </si>
  <si>
    <t>黑胡椒醬</t>
    <phoneticPr fontId="2" type="noConversion"/>
  </si>
  <si>
    <t>黑麻油</t>
    <phoneticPr fontId="2" type="noConversion"/>
  </si>
  <si>
    <t>花生醬</t>
    <phoneticPr fontId="2" type="noConversion"/>
  </si>
  <si>
    <t>蒜仁</t>
    <phoneticPr fontId="2" type="noConversion"/>
  </si>
  <si>
    <t>斤</t>
    <phoneticPr fontId="2" type="noConversion"/>
  </si>
  <si>
    <t>味素</t>
    <phoneticPr fontId="2" type="noConversion"/>
  </si>
  <si>
    <t>盒</t>
    <phoneticPr fontId="2" type="noConversion"/>
  </si>
  <si>
    <t>老油條</t>
    <phoneticPr fontId="2" type="noConversion"/>
  </si>
  <si>
    <t>條</t>
    <phoneticPr fontId="2" type="noConversion"/>
  </si>
  <si>
    <t>馬鈴薯</t>
    <phoneticPr fontId="2" type="noConversion"/>
  </si>
  <si>
    <t>豆干</t>
    <phoneticPr fontId="2" type="noConversion"/>
  </si>
  <si>
    <t>油菜</t>
    <phoneticPr fontId="2" type="noConversion"/>
  </si>
  <si>
    <t>鳳梨</t>
    <phoneticPr fontId="2" type="noConversion"/>
  </si>
  <si>
    <t>酥炸粉</t>
    <phoneticPr fontId="2" type="noConversion"/>
  </si>
  <si>
    <t>包</t>
    <phoneticPr fontId="2" type="noConversion"/>
  </si>
  <si>
    <t>素蠔油</t>
    <phoneticPr fontId="2" type="noConversion"/>
  </si>
  <si>
    <t>香油</t>
    <phoneticPr fontId="2" type="noConversion"/>
  </si>
  <si>
    <t>油膏</t>
    <phoneticPr fontId="2" type="noConversion"/>
  </si>
  <si>
    <t>二砂</t>
    <phoneticPr fontId="2" type="noConversion"/>
  </si>
  <si>
    <t>袋</t>
    <phoneticPr fontId="2" type="noConversion"/>
  </si>
  <si>
    <t>電訊科技中心(安康營區)     114年      5月  9日      午餐明細表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</si>
</sst>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8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9"/>
  <sheetViews>
    <sheetView workbookViewId="0">
      <selection activeCell="I9" sqref="I9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133</v>
      </c>
      <c r="B1" s="47"/>
      <c r="C1" s="47"/>
      <c r="D1" s="47"/>
      <c r="E1" s="47"/>
      <c r="F1" s="47"/>
      <c r="G1" s="47"/>
      <c r="H1" s="4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9" t="s">
        <v>43</v>
      </c>
      <c r="B3" s="1" t="s">
        <v>46</v>
      </c>
      <c r="C3" s="1">
        <v>30</v>
      </c>
      <c r="D3" s="1">
        <v>99</v>
      </c>
      <c r="E3" s="20">
        <v>30</v>
      </c>
      <c r="F3" s="20" t="s">
        <v>50</v>
      </c>
      <c r="G3" s="21">
        <f>D3*E3</f>
        <v>2970</v>
      </c>
      <c r="H3" s="1"/>
    </row>
    <row r="4" spans="1:8" x14ac:dyDescent="0.25">
      <c r="A4" s="49"/>
      <c r="B4" s="10" t="s">
        <v>47</v>
      </c>
      <c r="C4" s="10">
        <v>15</v>
      </c>
      <c r="D4" s="10">
        <v>168</v>
      </c>
      <c r="E4" s="10">
        <v>15</v>
      </c>
      <c r="F4" s="31" t="s">
        <v>49</v>
      </c>
      <c r="G4" s="21">
        <f t="shared" ref="G4:G5" si="0">D4*E4</f>
        <v>2520</v>
      </c>
      <c r="H4" s="1"/>
    </row>
    <row r="5" spans="1:8" x14ac:dyDescent="0.25">
      <c r="A5" s="49"/>
      <c r="B5" s="1" t="s">
        <v>48</v>
      </c>
      <c r="C5" s="1">
        <v>15</v>
      </c>
      <c r="D5" s="1">
        <v>87</v>
      </c>
      <c r="E5" s="1">
        <v>15</v>
      </c>
      <c r="F5" s="1" t="s">
        <v>50</v>
      </c>
      <c r="G5" s="21">
        <f t="shared" si="0"/>
        <v>1305</v>
      </c>
      <c r="H5" s="1"/>
    </row>
    <row r="6" spans="1:8" x14ac:dyDescent="0.25">
      <c r="A6" s="49"/>
      <c r="B6" s="1"/>
      <c r="C6" s="1"/>
      <c r="D6" s="1"/>
      <c r="E6" s="3"/>
      <c r="F6" s="3"/>
      <c r="G6" s="3"/>
      <c r="H6" s="1"/>
    </row>
    <row r="7" spans="1:8" x14ac:dyDescent="0.25">
      <c r="A7" s="49"/>
      <c r="B7" s="43" t="s">
        <v>7</v>
      </c>
      <c r="C7" s="44"/>
      <c r="D7" s="45"/>
      <c r="E7" s="3"/>
      <c r="F7" s="3"/>
      <c r="G7" s="13">
        <f>SUM(G3:G6)</f>
        <v>6795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9" t="s">
        <v>44</v>
      </c>
      <c r="B9" s="1" t="s">
        <v>51</v>
      </c>
      <c r="C9" s="1">
        <v>35</v>
      </c>
      <c r="D9" s="1">
        <v>11.7</v>
      </c>
      <c r="E9" s="1">
        <v>35</v>
      </c>
      <c r="F9" s="31" t="s">
        <v>49</v>
      </c>
      <c r="G9" s="1">
        <f>D9*E9</f>
        <v>409.5</v>
      </c>
      <c r="H9" s="1"/>
    </row>
    <row r="10" spans="1:8" x14ac:dyDescent="0.25">
      <c r="A10" s="49"/>
      <c r="B10" s="1" t="s">
        <v>52</v>
      </c>
      <c r="C10" s="1">
        <v>15</v>
      </c>
      <c r="D10" s="1">
        <v>99</v>
      </c>
      <c r="E10" s="1">
        <v>15</v>
      </c>
      <c r="F10" s="31" t="s">
        <v>49</v>
      </c>
      <c r="G10" s="10">
        <f t="shared" ref="G10:G12" si="1">D10*E10</f>
        <v>1485</v>
      </c>
      <c r="H10" s="1"/>
    </row>
    <row r="11" spans="1:8" x14ac:dyDescent="0.25">
      <c r="A11" s="49"/>
      <c r="B11" s="1" t="s">
        <v>53</v>
      </c>
      <c r="C11" s="1">
        <v>3</v>
      </c>
      <c r="D11" s="1">
        <v>13.68</v>
      </c>
      <c r="E11" s="1">
        <v>3</v>
      </c>
      <c r="F11" s="31" t="s">
        <v>49</v>
      </c>
      <c r="G11" s="10">
        <f t="shared" si="1"/>
        <v>41.04</v>
      </c>
      <c r="H11" s="1"/>
    </row>
    <row r="12" spans="1:8" x14ac:dyDescent="0.25">
      <c r="A12" s="49"/>
      <c r="B12" s="1" t="s">
        <v>54</v>
      </c>
      <c r="C12" s="1">
        <v>3</v>
      </c>
      <c r="D12" s="1">
        <v>45</v>
      </c>
      <c r="E12" s="1">
        <v>3</v>
      </c>
      <c r="F12" s="31" t="s">
        <v>49</v>
      </c>
      <c r="G12" s="10">
        <f t="shared" si="1"/>
        <v>135</v>
      </c>
      <c r="H12" s="1"/>
    </row>
    <row r="13" spans="1:8" x14ac:dyDescent="0.25">
      <c r="A13" s="49"/>
      <c r="B13" s="1"/>
      <c r="C13" s="1"/>
      <c r="D13" s="1"/>
      <c r="E13" s="1"/>
      <c r="F13" s="1"/>
      <c r="G13" s="1"/>
      <c r="H13" s="1"/>
    </row>
    <row r="14" spans="1:8" x14ac:dyDescent="0.25">
      <c r="A14" s="49"/>
      <c r="B14" s="43" t="s">
        <v>7</v>
      </c>
      <c r="C14" s="44"/>
      <c r="D14" s="45"/>
      <c r="E14" s="3"/>
      <c r="F14" s="3"/>
      <c r="G14" s="13">
        <f>SUM(G9:G13)</f>
        <v>2070.54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9" t="s">
        <v>45</v>
      </c>
      <c r="B16" s="1" t="s">
        <v>55</v>
      </c>
      <c r="C16" s="1">
        <v>5</v>
      </c>
      <c r="D16" s="1">
        <v>29.7</v>
      </c>
      <c r="E16" s="1">
        <v>5</v>
      </c>
      <c r="F16" s="31" t="s">
        <v>49</v>
      </c>
      <c r="G16" s="1">
        <f>D16*E16</f>
        <v>148.5</v>
      </c>
      <c r="H16" s="1"/>
    </row>
    <row r="17" spans="1:8" x14ac:dyDescent="0.25">
      <c r="A17" s="49"/>
      <c r="B17" s="1" t="s">
        <v>56</v>
      </c>
      <c r="C17" s="1">
        <v>1</v>
      </c>
      <c r="D17" s="1">
        <v>43.2</v>
      </c>
      <c r="E17" s="1">
        <v>20</v>
      </c>
      <c r="F17" s="1" t="s">
        <v>17</v>
      </c>
      <c r="G17" s="16">
        <f t="shared" ref="G17" si="2">D17*E17</f>
        <v>864</v>
      </c>
      <c r="H17" s="1"/>
    </row>
    <row r="18" spans="1:8" x14ac:dyDescent="0.25">
      <c r="A18" s="49"/>
      <c r="B18" s="1"/>
      <c r="C18" s="1"/>
      <c r="D18" s="1"/>
      <c r="E18" s="1"/>
      <c r="F18" s="1"/>
      <c r="G18" s="2"/>
      <c r="H18" s="1"/>
    </row>
    <row r="19" spans="1:8" x14ac:dyDescent="0.25">
      <c r="A19" s="49"/>
      <c r="B19" s="1"/>
      <c r="C19" s="1"/>
      <c r="D19" s="1"/>
      <c r="E19" s="3"/>
      <c r="F19" s="3"/>
      <c r="G19" s="16"/>
      <c r="H19" s="1"/>
    </row>
    <row r="20" spans="1:8" x14ac:dyDescent="0.25">
      <c r="A20" s="49"/>
      <c r="B20" s="43"/>
      <c r="C20" s="44"/>
      <c r="D20" s="45"/>
      <c r="E20" s="3"/>
      <c r="F20" s="3"/>
      <c r="G20" s="13">
        <f>SUM(G16:G19)</f>
        <v>1012.5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9"/>
      <c r="B22" s="1" t="s">
        <v>36</v>
      </c>
      <c r="C22" s="1">
        <v>2</v>
      </c>
      <c r="D22" s="1">
        <v>150</v>
      </c>
      <c r="E22" s="1">
        <v>2</v>
      </c>
      <c r="F22" s="1" t="s">
        <v>37</v>
      </c>
      <c r="G22" s="1">
        <f>D22*E22</f>
        <v>300</v>
      </c>
      <c r="H22" s="1"/>
    </row>
    <row r="23" spans="1:8" x14ac:dyDescent="0.25">
      <c r="A23" s="49"/>
      <c r="B23" s="26" t="s">
        <v>38</v>
      </c>
      <c r="C23" s="1" t="s">
        <v>39</v>
      </c>
      <c r="D23" s="1">
        <v>58.5</v>
      </c>
      <c r="E23" s="1">
        <v>0.5</v>
      </c>
      <c r="F23" s="1" t="s">
        <v>33</v>
      </c>
      <c r="G23" s="10">
        <f>D23*E23</f>
        <v>29.25</v>
      </c>
      <c r="H23" s="1"/>
    </row>
    <row r="24" spans="1:8" x14ac:dyDescent="0.25">
      <c r="A24" s="49"/>
      <c r="B24" s="26" t="s">
        <v>22</v>
      </c>
      <c r="C24" s="1">
        <v>8</v>
      </c>
      <c r="D24" s="1">
        <v>61.2</v>
      </c>
      <c r="E24" s="1">
        <v>8</v>
      </c>
      <c r="F24" s="1" t="s">
        <v>20</v>
      </c>
      <c r="G24" s="10">
        <f t="shared" ref="G24:G26" si="3">D24*E24</f>
        <v>489.6</v>
      </c>
      <c r="H24" s="1"/>
    </row>
    <row r="25" spans="1:8" x14ac:dyDescent="0.25">
      <c r="A25" s="49"/>
      <c r="B25" s="31" t="s">
        <v>41</v>
      </c>
      <c r="C25" s="1">
        <v>35</v>
      </c>
      <c r="D25" s="1">
        <v>78</v>
      </c>
      <c r="E25" s="1">
        <v>6.63</v>
      </c>
      <c r="F25" s="1" t="s">
        <v>17</v>
      </c>
      <c r="G25" s="2">
        <f t="shared" si="3"/>
        <v>517.14</v>
      </c>
      <c r="H25" s="1"/>
    </row>
    <row r="26" spans="1:8" x14ac:dyDescent="0.25">
      <c r="A26" s="49"/>
      <c r="B26" s="10" t="s">
        <v>23</v>
      </c>
      <c r="C26" s="32">
        <v>1</v>
      </c>
      <c r="D26" s="32">
        <v>43.2</v>
      </c>
      <c r="E26" s="32">
        <v>20</v>
      </c>
      <c r="F26" s="32" t="s">
        <v>17</v>
      </c>
      <c r="G26" s="32">
        <f t="shared" si="3"/>
        <v>864</v>
      </c>
      <c r="H26" s="32"/>
    </row>
    <row r="27" spans="1:8" x14ac:dyDescent="0.25">
      <c r="A27" s="49"/>
      <c r="B27" s="10" t="s">
        <v>24</v>
      </c>
      <c r="C27" s="10">
        <v>4</v>
      </c>
      <c r="D27" s="10">
        <v>75</v>
      </c>
      <c r="E27" s="10">
        <v>4</v>
      </c>
      <c r="F27" s="10" t="s">
        <v>37</v>
      </c>
      <c r="G27" s="2">
        <f>D27*E27</f>
        <v>300</v>
      </c>
      <c r="H27" s="10"/>
    </row>
    <row r="28" spans="1:8" x14ac:dyDescent="0.25">
      <c r="A28" s="49"/>
      <c r="B28" s="10" t="s">
        <v>40</v>
      </c>
      <c r="C28" s="10">
        <v>8</v>
      </c>
      <c r="D28" s="10">
        <v>19.8</v>
      </c>
      <c r="E28" s="10">
        <v>8</v>
      </c>
      <c r="F28" s="10" t="s">
        <v>37</v>
      </c>
      <c r="G28" s="2">
        <f t="shared" ref="G28:G30" si="4">D28*E28</f>
        <v>158.4</v>
      </c>
      <c r="H28" s="10"/>
    </row>
    <row r="29" spans="1:8" x14ac:dyDescent="0.25">
      <c r="A29" s="49"/>
      <c r="B29" s="31" t="s">
        <v>25</v>
      </c>
      <c r="C29" s="10">
        <v>1</v>
      </c>
      <c r="D29" s="10">
        <v>4.5</v>
      </c>
      <c r="E29" s="10">
        <v>50</v>
      </c>
      <c r="F29" s="31" t="s">
        <v>115</v>
      </c>
      <c r="G29" s="2">
        <f t="shared" si="4"/>
        <v>225</v>
      </c>
      <c r="H29" s="10"/>
    </row>
    <row r="30" spans="1:8" x14ac:dyDescent="0.25">
      <c r="A30" s="49"/>
      <c r="B30" s="31" t="s">
        <v>35</v>
      </c>
      <c r="C30" s="10">
        <v>1</v>
      </c>
      <c r="D30" s="10">
        <v>270</v>
      </c>
      <c r="E30" s="10">
        <v>1</v>
      </c>
      <c r="F30" s="31" t="s">
        <v>34</v>
      </c>
      <c r="G30" s="2">
        <f t="shared" si="4"/>
        <v>270</v>
      </c>
      <c r="H30" s="10"/>
    </row>
    <row r="31" spans="1:8" x14ac:dyDescent="0.25">
      <c r="A31" s="49"/>
      <c r="B31" s="10"/>
      <c r="C31" s="10"/>
      <c r="D31" s="10"/>
      <c r="E31" s="10"/>
      <c r="F31" s="10"/>
      <c r="G31" s="2"/>
      <c r="H31" s="10"/>
    </row>
    <row r="32" spans="1:8" x14ac:dyDescent="0.25">
      <c r="A32" s="49"/>
      <c r="B32" s="28"/>
      <c r="C32" s="28"/>
      <c r="D32" s="28"/>
      <c r="E32" s="28"/>
      <c r="F32" s="28"/>
      <c r="G32" s="2"/>
      <c r="H32" s="1"/>
    </row>
    <row r="33" spans="1:8" x14ac:dyDescent="0.25">
      <c r="A33" s="10"/>
      <c r="B33" s="43" t="s">
        <v>18</v>
      </c>
      <c r="C33" s="44"/>
      <c r="D33" s="45"/>
      <c r="E33" s="28"/>
      <c r="F33" s="28"/>
      <c r="G33" s="14">
        <f>SUM(G22:G32)</f>
        <v>3153.39</v>
      </c>
      <c r="H33" s="10"/>
    </row>
    <row r="34" spans="1:8" x14ac:dyDescent="0.25">
      <c r="A34" s="1" t="s">
        <v>11</v>
      </c>
      <c r="B34" s="28" t="s">
        <v>1</v>
      </c>
      <c r="C34" s="28" t="s">
        <v>2</v>
      </c>
      <c r="D34" s="28" t="s">
        <v>3</v>
      </c>
      <c r="E34" s="28" t="s">
        <v>4</v>
      </c>
      <c r="F34" s="28"/>
      <c r="G34" s="1" t="s">
        <v>5</v>
      </c>
      <c r="H34" s="1" t="s">
        <v>6</v>
      </c>
    </row>
    <row r="35" spans="1:8" x14ac:dyDescent="0.25">
      <c r="A35" s="49" t="s">
        <v>58</v>
      </c>
      <c r="B35" s="28" t="s">
        <v>59</v>
      </c>
      <c r="C35" s="28"/>
      <c r="D35" s="28"/>
      <c r="E35" s="28"/>
      <c r="F35" s="28"/>
      <c r="G35" s="1"/>
      <c r="H35" s="1"/>
    </row>
    <row r="36" spans="1:8" x14ac:dyDescent="0.25">
      <c r="A36" s="49"/>
      <c r="B36" s="28" t="s">
        <v>60</v>
      </c>
      <c r="C36" s="28">
        <v>4</v>
      </c>
      <c r="D36" s="28">
        <v>150</v>
      </c>
      <c r="E36" s="28">
        <v>4</v>
      </c>
      <c r="F36" s="28" t="s">
        <v>61</v>
      </c>
      <c r="G36" s="1">
        <f>D36*E36</f>
        <v>600</v>
      </c>
      <c r="H36" s="1" t="s">
        <v>15</v>
      </c>
    </row>
    <row r="37" spans="1:8" x14ac:dyDescent="0.25">
      <c r="A37" s="49"/>
      <c r="B37" s="28"/>
      <c r="C37" s="28"/>
      <c r="D37" s="28"/>
      <c r="E37" s="28"/>
      <c r="F37" s="28"/>
      <c r="G37" s="1"/>
      <c r="H37" s="1"/>
    </row>
    <row r="38" spans="1:8" x14ac:dyDescent="0.25">
      <c r="A38" s="49"/>
      <c r="B38" s="43"/>
      <c r="C38" s="44"/>
      <c r="D38" s="45"/>
      <c r="E38" s="29"/>
      <c r="F38" s="29"/>
      <c r="G38" s="15">
        <f>SUM(G35:G37)</f>
        <v>600</v>
      </c>
      <c r="H38" s="1"/>
    </row>
    <row r="39" spans="1:8" x14ac:dyDescent="0.25">
      <c r="A39" s="1" t="s">
        <v>12</v>
      </c>
      <c r="B39" s="28" t="s">
        <v>1</v>
      </c>
      <c r="C39" s="28" t="s">
        <v>2</v>
      </c>
      <c r="D39" s="28" t="s">
        <v>3</v>
      </c>
      <c r="E39" s="29" t="s">
        <v>4</v>
      </c>
      <c r="F39" s="29"/>
      <c r="G39" s="3" t="s">
        <v>5</v>
      </c>
      <c r="H39" s="1" t="s">
        <v>6</v>
      </c>
    </row>
    <row r="40" spans="1:8" x14ac:dyDescent="0.25">
      <c r="A40" s="50"/>
      <c r="B40" s="1" t="s">
        <v>129</v>
      </c>
      <c r="C40" s="1"/>
      <c r="D40" s="1">
        <v>7.14</v>
      </c>
      <c r="E40" s="1">
        <v>70</v>
      </c>
      <c r="F40" s="1" t="s">
        <v>130</v>
      </c>
      <c r="G40" s="2">
        <f>D40*E40</f>
        <v>499.79999999999995</v>
      </c>
      <c r="H40" s="1"/>
    </row>
    <row r="41" spans="1:8" x14ac:dyDescent="0.25">
      <c r="A41" s="51"/>
      <c r="B41" s="1" t="s">
        <v>131</v>
      </c>
      <c r="C41" s="1"/>
      <c r="D41" s="1"/>
      <c r="E41" s="1"/>
      <c r="F41" s="1"/>
      <c r="G41" s="2"/>
      <c r="H41" s="1" t="s">
        <v>132</v>
      </c>
    </row>
    <row r="42" spans="1:8" x14ac:dyDescent="0.25">
      <c r="A42" s="52"/>
      <c r="B42" s="43" t="s">
        <v>7</v>
      </c>
      <c r="C42" s="44"/>
      <c r="D42" s="45"/>
      <c r="E42" s="3"/>
      <c r="F42" s="3"/>
      <c r="G42" s="13">
        <f>SUM(G40:G41)</f>
        <v>499.79999999999995</v>
      </c>
      <c r="H42" s="6"/>
    </row>
    <row r="43" spans="1:8" x14ac:dyDescent="0.25">
      <c r="A43" s="7" t="s">
        <v>13</v>
      </c>
      <c r="B43" s="1" t="s">
        <v>1</v>
      </c>
      <c r="C43" s="1" t="s">
        <v>2</v>
      </c>
      <c r="D43" s="1" t="s">
        <v>3</v>
      </c>
      <c r="E43" s="1" t="s">
        <v>4</v>
      </c>
      <c r="F43" s="1"/>
      <c r="G43" s="1" t="s">
        <v>5</v>
      </c>
      <c r="H43" s="1"/>
    </row>
    <row r="44" spans="1:8" x14ac:dyDescent="0.25">
      <c r="A44" s="49"/>
      <c r="B44" s="1"/>
      <c r="C44" s="1"/>
      <c r="D44" s="1"/>
      <c r="E44" s="1"/>
      <c r="F44" s="1"/>
      <c r="G44" s="1"/>
      <c r="H44" s="1"/>
    </row>
    <row r="45" spans="1:8" x14ac:dyDescent="0.25">
      <c r="A45" s="49"/>
      <c r="B45" s="1"/>
      <c r="C45" s="1"/>
      <c r="D45" s="1"/>
      <c r="E45" s="1"/>
      <c r="F45" s="1"/>
      <c r="G45" s="2"/>
      <c r="H45" s="1"/>
    </row>
    <row r="46" spans="1:8" x14ac:dyDescent="0.25">
      <c r="A46" s="49"/>
      <c r="B46" s="1"/>
      <c r="C46" s="1"/>
      <c r="D46" s="1"/>
      <c r="E46" s="1"/>
      <c r="F46" s="1"/>
      <c r="G46" s="16"/>
      <c r="H46" s="1"/>
    </row>
    <row r="47" spans="1:8" x14ac:dyDescent="0.25">
      <c r="A47" s="49"/>
      <c r="B47" s="1"/>
      <c r="C47" s="1"/>
      <c r="D47" s="1"/>
      <c r="E47" s="1"/>
      <c r="F47" s="1"/>
      <c r="G47" s="1"/>
      <c r="H47" s="1"/>
    </row>
    <row r="48" spans="1:8" x14ac:dyDescent="0.25">
      <c r="A48" s="49"/>
      <c r="B48" s="43" t="s">
        <v>7</v>
      </c>
      <c r="C48" s="44"/>
      <c r="D48" s="45"/>
      <c r="E48" s="3"/>
      <c r="F48" s="3"/>
      <c r="G48" s="15">
        <f>SUM(G44:G47)</f>
        <v>0</v>
      </c>
      <c r="H48" s="1"/>
    </row>
    <row r="49" spans="1:8" x14ac:dyDescent="0.25">
      <c r="A49" s="1"/>
      <c r="B49" s="53" t="s">
        <v>14</v>
      </c>
      <c r="C49" s="54"/>
      <c r="D49" s="55"/>
      <c r="E49" s="8"/>
      <c r="F49" s="8"/>
      <c r="G49" s="9">
        <f>G48+G42+G38+G20+G14+G7+G33</f>
        <v>14131.23</v>
      </c>
      <c r="H49" s="1"/>
    </row>
  </sheetData>
  <mergeCells count="16">
    <mergeCell ref="B49:D49"/>
    <mergeCell ref="B48:D48"/>
    <mergeCell ref="B42:D42"/>
    <mergeCell ref="B38:D38"/>
    <mergeCell ref="B33:D33"/>
    <mergeCell ref="A44:A48"/>
    <mergeCell ref="A22:A32"/>
    <mergeCell ref="A35:A38"/>
    <mergeCell ref="A40:A42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topLeftCell="A28" workbookViewId="0">
      <selection activeCell="H45" sqref="H45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21</v>
      </c>
      <c r="B1" s="47"/>
      <c r="C1" s="47"/>
      <c r="D1" s="47"/>
      <c r="E1" s="47"/>
      <c r="F1" s="47"/>
      <c r="G1" s="47"/>
      <c r="H1" s="4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9" t="s">
        <v>62</v>
      </c>
      <c r="B3" s="1" t="s">
        <v>65</v>
      </c>
      <c r="C3" s="1">
        <v>70</v>
      </c>
      <c r="D3" s="1">
        <v>75</v>
      </c>
      <c r="E3" s="1">
        <v>70</v>
      </c>
      <c r="F3" s="1" t="s">
        <v>50</v>
      </c>
      <c r="G3" s="2">
        <f>D3*E3</f>
        <v>5250</v>
      </c>
      <c r="H3" s="1"/>
    </row>
    <row r="4" spans="1:8" x14ac:dyDescent="0.25">
      <c r="A4" s="49"/>
      <c r="B4" s="1" t="s">
        <v>66</v>
      </c>
      <c r="C4" s="1">
        <v>2</v>
      </c>
      <c r="D4" s="1">
        <v>58.5</v>
      </c>
      <c r="E4" s="1">
        <v>2</v>
      </c>
      <c r="F4" s="31" t="s">
        <v>49</v>
      </c>
      <c r="G4" s="2">
        <f t="shared" ref="G4:G5" si="0">D4*E4</f>
        <v>117</v>
      </c>
      <c r="H4" s="1"/>
    </row>
    <row r="5" spans="1:8" x14ac:dyDescent="0.25">
      <c r="A5" s="49"/>
      <c r="B5" s="1" t="s">
        <v>67</v>
      </c>
      <c r="C5" s="1">
        <v>1</v>
      </c>
      <c r="D5" s="1">
        <v>40.799999999999997</v>
      </c>
      <c r="E5" s="1">
        <v>1</v>
      </c>
      <c r="F5" s="31" t="s">
        <v>49</v>
      </c>
      <c r="G5" s="2">
        <f t="shared" si="0"/>
        <v>40.799999999999997</v>
      </c>
      <c r="H5" s="1"/>
    </row>
    <row r="6" spans="1:8" x14ac:dyDescent="0.25">
      <c r="A6" s="49"/>
      <c r="B6" s="1"/>
      <c r="C6" s="1"/>
      <c r="D6" s="1"/>
      <c r="E6" s="3"/>
      <c r="F6" s="3"/>
      <c r="G6" s="2"/>
      <c r="H6" s="1"/>
    </row>
    <row r="7" spans="1:8" x14ac:dyDescent="0.25">
      <c r="A7" s="49"/>
      <c r="B7" s="43" t="s">
        <v>7</v>
      </c>
      <c r="C7" s="44"/>
      <c r="D7" s="45"/>
      <c r="E7" s="3"/>
      <c r="F7" s="3"/>
      <c r="G7" s="13">
        <f>SUM(G3:G6)</f>
        <v>5407.8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9" t="s">
        <v>63</v>
      </c>
      <c r="B9" s="1" t="s">
        <v>68</v>
      </c>
      <c r="C9" s="1">
        <v>1</v>
      </c>
      <c r="D9" s="1">
        <v>75</v>
      </c>
      <c r="E9" s="1">
        <v>15</v>
      </c>
      <c r="F9" s="1" t="s">
        <v>74</v>
      </c>
      <c r="G9" s="1">
        <f>D9*E9</f>
        <v>1125</v>
      </c>
      <c r="H9" s="1"/>
    </row>
    <row r="10" spans="1:8" x14ac:dyDescent="0.25">
      <c r="A10" s="49"/>
      <c r="B10" s="1" t="s">
        <v>69</v>
      </c>
      <c r="C10" s="1">
        <v>8</v>
      </c>
      <c r="D10" s="1">
        <v>100</v>
      </c>
      <c r="E10" s="1">
        <v>8</v>
      </c>
      <c r="F10" s="1" t="s">
        <v>74</v>
      </c>
      <c r="G10" s="18">
        <f>D10*E10</f>
        <v>800</v>
      </c>
      <c r="H10" s="1"/>
    </row>
    <row r="11" spans="1:8" x14ac:dyDescent="0.25">
      <c r="A11" s="49"/>
      <c r="B11" s="1" t="s">
        <v>70</v>
      </c>
      <c r="C11" s="1">
        <v>10</v>
      </c>
      <c r="D11" s="1">
        <v>43.8</v>
      </c>
      <c r="E11" s="1">
        <v>10</v>
      </c>
      <c r="F11" s="31" t="s">
        <v>49</v>
      </c>
      <c r="G11" s="33">
        <f>D11*E11</f>
        <v>438</v>
      </c>
      <c r="H11" s="1"/>
    </row>
    <row r="12" spans="1:8" x14ac:dyDescent="0.25">
      <c r="A12" s="49"/>
      <c r="B12" s="1"/>
      <c r="C12" s="1"/>
      <c r="D12" s="1"/>
      <c r="E12" s="1"/>
      <c r="F12" s="1"/>
      <c r="G12" s="1"/>
      <c r="H12" s="1"/>
    </row>
    <row r="13" spans="1:8" x14ac:dyDescent="0.25">
      <c r="A13" s="49"/>
      <c r="B13" s="1"/>
      <c r="C13" s="1"/>
      <c r="D13" s="1"/>
      <c r="E13" s="1"/>
      <c r="F13" s="1"/>
      <c r="G13" s="1"/>
      <c r="H13" s="1"/>
    </row>
    <row r="14" spans="1:8" x14ac:dyDescent="0.25">
      <c r="A14" s="49"/>
      <c r="B14" s="43" t="s">
        <v>7</v>
      </c>
      <c r="C14" s="44"/>
      <c r="D14" s="45"/>
      <c r="E14" s="3"/>
      <c r="F14" s="3"/>
      <c r="G14" s="13">
        <f>SUM(G9:G13)</f>
        <v>2363</v>
      </c>
      <c r="H14" s="1"/>
    </row>
    <row r="15" spans="1:8" x14ac:dyDescent="0.25">
      <c r="A15" s="28" t="s">
        <v>42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9" t="s">
        <v>64</v>
      </c>
      <c r="B16" s="1" t="s">
        <v>71</v>
      </c>
      <c r="C16" s="1">
        <v>25</v>
      </c>
      <c r="D16" s="1">
        <v>28.8</v>
      </c>
      <c r="E16" s="1">
        <v>25</v>
      </c>
      <c r="F16" s="31" t="s">
        <v>49</v>
      </c>
      <c r="G16" s="1">
        <f>D16*E16</f>
        <v>720</v>
      </c>
      <c r="H16" s="1"/>
    </row>
    <row r="17" spans="1:8" x14ac:dyDescent="0.25">
      <c r="A17" s="49"/>
      <c r="B17" s="1" t="s">
        <v>72</v>
      </c>
      <c r="C17" s="1">
        <v>20</v>
      </c>
      <c r="D17" s="1">
        <v>82</v>
      </c>
      <c r="E17" s="1">
        <v>20</v>
      </c>
      <c r="F17" s="31" t="s">
        <v>49</v>
      </c>
      <c r="G17" s="18">
        <f t="shared" ref="G17:G18" si="1">D17*E17</f>
        <v>1640</v>
      </c>
      <c r="H17" s="1"/>
    </row>
    <row r="18" spans="1:8" x14ac:dyDescent="0.25">
      <c r="A18" s="49"/>
      <c r="B18" s="1" t="s">
        <v>73</v>
      </c>
      <c r="C18" s="1">
        <v>4</v>
      </c>
      <c r="D18" s="1">
        <v>100</v>
      </c>
      <c r="E18" s="1">
        <v>4</v>
      </c>
      <c r="F18" s="31" t="s">
        <v>49</v>
      </c>
      <c r="G18" s="18">
        <f t="shared" si="1"/>
        <v>400</v>
      </c>
      <c r="H18" s="1"/>
    </row>
    <row r="19" spans="1:8" x14ac:dyDescent="0.25">
      <c r="A19" s="49"/>
      <c r="B19" s="1"/>
      <c r="C19" s="1"/>
      <c r="D19" s="1"/>
      <c r="E19" s="3"/>
      <c r="F19" s="3"/>
      <c r="G19" s="18"/>
      <c r="H19" s="1"/>
    </row>
    <row r="20" spans="1:8" x14ac:dyDescent="0.25">
      <c r="A20" s="49"/>
      <c r="B20" s="1"/>
      <c r="C20" s="1"/>
      <c r="D20" s="1"/>
      <c r="E20" s="3"/>
      <c r="F20" s="3"/>
      <c r="G20" s="18"/>
      <c r="H20" s="1"/>
    </row>
    <row r="21" spans="1:8" x14ac:dyDescent="0.25">
      <c r="A21" s="49"/>
      <c r="B21" s="1"/>
      <c r="C21" s="1"/>
      <c r="D21" s="1"/>
      <c r="E21" s="3"/>
      <c r="F21" s="3"/>
      <c r="G21" s="1"/>
      <c r="H21" s="1"/>
    </row>
    <row r="22" spans="1:8" x14ac:dyDescent="0.25">
      <c r="A22" s="49"/>
      <c r="B22" s="43" t="s">
        <v>7</v>
      </c>
      <c r="C22" s="44"/>
      <c r="D22" s="45"/>
      <c r="E22" s="3"/>
      <c r="F22" s="3"/>
      <c r="G22" s="13">
        <f>SUM(G16:G21)</f>
        <v>2760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9"/>
      <c r="B24" s="1" t="s">
        <v>26</v>
      </c>
      <c r="C24" s="1">
        <v>20</v>
      </c>
      <c r="D24" s="1">
        <v>55</v>
      </c>
      <c r="E24" s="1">
        <v>20</v>
      </c>
      <c r="F24" s="1" t="s">
        <v>17</v>
      </c>
      <c r="G24" s="1">
        <f>D24*E24</f>
        <v>1100</v>
      </c>
      <c r="H24" s="1"/>
    </row>
    <row r="25" spans="1:8" x14ac:dyDescent="0.25">
      <c r="A25" s="49"/>
      <c r="B25" s="1" t="s">
        <v>27</v>
      </c>
      <c r="C25" s="1">
        <v>2</v>
      </c>
      <c r="D25" s="1">
        <v>29.38</v>
      </c>
      <c r="E25" s="1">
        <v>100</v>
      </c>
      <c r="F25" s="1" t="s">
        <v>17</v>
      </c>
      <c r="G25" s="18">
        <f t="shared" ref="G25:G27" si="2">D25*E25</f>
        <v>2938</v>
      </c>
      <c r="H25" s="1"/>
    </row>
    <row r="26" spans="1:8" x14ac:dyDescent="0.25">
      <c r="A26" s="49"/>
      <c r="B26" s="1" t="s">
        <v>28</v>
      </c>
      <c r="C26" s="1">
        <v>2</v>
      </c>
      <c r="D26" s="1">
        <v>1188</v>
      </c>
      <c r="E26" s="1">
        <v>2</v>
      </c>
      <c r="F26" s="1" t="s">
        <v>29</v>
      </c>
      <c r="G26" s="18">
        <f t="shared" si="2"/>
        <v>2376</v>
      </c>
      <c r="H26" s="1"/>
    </row>
    <row r="27" spans="1:8" x14ac:dyDescent="0.25">
      <c r="A27" s="49"/>
      <c r="B27" s="1" t="s">
        <v>138</v>
      </c>
      <c r="C27" s="1"/>
      <c r="D27" s="1">
        <v>150</v>
      </c>
      <c r="E27" s="1">
        <v>15</v>
      </c>
      <c r="F27" s="1" t="s">
        <v>137</v>
      </c>
      <c r="G27" s="33">
        <f t="shared" si="2"/>
        <v>2250</v>
      </c>
      <c r="H27" s="1"/>
    </row>
    <row r="28" spans="1:8" x14ac:dyDescent="0.25">
      <c r="A28" s="49"/>
      <c r="B28" s="18"/>
      <c r="C28" s="18"/>
      <c r="D28" s="18"/>
      <c r="E28" s="18"/>
      <c r="F28" s="19"/>
      <c r="G28" s="18"/>
      <c r="H28" s="18"/>
    </row>
    <row r="29" spans="1:8" x14ac:dyDescent="0.25">
      <c r="A29" s="49"/>
      <c r="B29" s="43" t="s">
        <v>7</v>
      </c>
      <c r="C29" s="44"/>
      <c r="D29" s="45"/>
      <c r="E29" s="3"/>
      <c r="F29" s="3"/>
      <c r="G29" s="15">
        <f>SUM(G24:G28)</f>
        <v>8664</v>
      </c>
      <c r="H29" s="1"/>
    </row>
    <row r="30" spans="1:8" x14ac:dyDescent="0.25">
      <c r="A30" s="1" t="s">
        <v>11</v>
      </c>
      <c r="B30" s="1" t="s">
        <v>1</v>
      </c>
      <c r="C30" s="1" t="s">
        <v>2</v>
      </c>
      <c r="D30" s="1" t="s">
        <v>3</v>
      </c>
      <c r="E30" s="1" t="s">
        <v>4</v>
      </c>
      <c r="F30" s="1"/>
      <c r="G30" s="1" t="s">
        <v>5</v>
      </c>
      <c r="H30" s="1" t="s">
        <v>6</v>
      </c>
    </row>
    <row r="31" spans="1:8" x14ac:dyDescent="0.25">
      <c r="A31" s="49" t="s">
        <v>75</v>
      </c>
      <c r="B31" s="1" t="s">
        <v>76</v>
      </c>
      <c r="C31" s="1">
        <v>15</v>
      </c>
      <c r="D31" s="1">
        <v>5.4</v>
      </c>
      <c r="E31" s="1">
        <v>15</v>
      </c>
      <c r="F31" s="31" t="s">
        <v>49</v>
      </c>
      <c r="G31" s="1">
        <f>D31*E31</f>
        <v>81</v>
      </c>
      <c r="H31" s="1"/>
    </row>
    <row r="32" spans="1:8" x14ac:dyDescent="0.25">
      <c r="A32" s="49"/>
      <c r="B32" s="1" t="s">
        <v>77</v>
      </c>
      <c r="C32" s="1">
        <v>20</v>
      </c>
      <c r="D32" s="1"/>
      <c r="E32" s="1"/>
      <c r="F32" s="31" t="s">
        <v>49</v>
      </c>
      <c r="G32" s="1"/>
      <c r="H32" s="1"/>
    </row>
    <row r="33" spans="1:8" x14ac:dyDescent="0.25">
      <c r="A33" s="49"/>
      <c r="B33" s="1"/>
      <c r="C33" s="1"/>
      <c r="D33" s="1"/>
      <c r="E33" s="1"/>
      <c r="F33" s="1"/>
      <c r="G33" s="1"/>
      <c r="H33" s="1"/>
    </row>
    <row r="34" spans="1:8" x14ac:dyDescent="0.25">
      <c r="A34" s="49"/>
      <c r="B34" s="43"/>
      <c r="C34" s="44"/>
      <c r="D34" s="45"/>
      <c r="E34" s="3"/>
      <c r="F34" s="3"/>
      <c r="G34" s="15">
        <f>SUM(G31:G33)</f>
        <v>81</v>
      </c>
      <c r="H34" s="1"/>
    </row>
    <row r="35" spans="1:8" x14ac:dyDescent="0.25">
      <c r="A35" s="1" t="s">
        <v>12</v>
      </c>
      <c r="B35" s="1" t="s">
        <v>1</v>
      </c>
      <c r="C35" s="1" t="s">
        <v>2</v>
      </c>
      <c r="D35" s="1" t="s">
        <v>3</v>
      </c>
      <c r="E35" s="3" t="s">
        <v>4</v>
      </c>
      <c r="F35" s="3"/>
      <c r="G35" s="3" t="s">
        <v>5</v>
      </c>
      <c r="H35" s="1" t="s">
        <v>6</v>
      </c>
    </row>
    <row r="36" spans="1:8" x14ac:dyDescent="0.25">
      <c r="A36" s="50"/>
      <c r="B36" s="1" t="s">
        <v>134</v>
      </c>
      <c r="C36" s="1"/>
      <c r="D36" s="1">
        <v>89</v>
      </c>
      <c r="E36" s="1">
        <v>35</v>
      </c>
      <c r="F36" s="1" t="s">
        <v>135</v>
      </c>
      <c r="G36" s="2">
        <f>D36*E36</f>
        <v>3115</v>
      </c>
      <c r="H36" s="1"/>
    </row>
    <row r="37" spans="1:8" x14ac:dyDescent="0.25">
      <c r="A37" s="51"/>
      <c r="B37" s="1" t="s">
        <v>136</v>
      </c>
      <c r="C37" s="1"/>
      <c r="D37" s="1">
        <v>8.1</v>
      </c>
      <c r="E37" s="1">
        <v>70</v>
      </c>
      <c r="F37" s="1" t="s">
        <v>137</v>
      </c>
      <c r="G37" s="24">
        <f>D37*E37</f>
        <v>567</v>
      </c>
      <c r="H37" s="1"/>
    </row>
    <row r="38" spans="1:8" x14ac:dyDescent="0.25">
      <c r="A38" s="52"/>
      <c r="B38" s="43" t="s">
        <v>7</v>
      </c>
      <c r="C38" s="44"/>
      <c r="D38" s="45"/>
      <c r="E38" s="3"/>
      <c r="F38" s="3"/>
      <c r="G38" s="13">
        <f>SUM(G36:G37)</f>
        <v>3682</v>
      </c>
      <c r="H38" s="6"/>
    </row>
    <row r="39" spans="1:8" x14ac:dyDescent="0.25">
      <c r="A39" s="7" t="s">
        <v>13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/>
    </row>
    <row r="40" spans="1:8" x14ac:dyDescent="0.25">
      <c r="A40" s="49"/>
      <c r="B40" s="1"/>
      <c r="C40" s="1"/>
      <c r="D40" s="1"/>
      <c r="E40" s="1"/>
      <c r="F40" s="1"/>
      <c r="G40" s="1"/>
      <c r="H40" s="1"/>
    </row>
    <row r="41" spans="1:8" x14ac:dyDescent="0.25">
      <c r="A41" s="49"/>
      <c r="B41" s="1"/>
      <c r="C41" s="1"/>
      <c r="D41" s="1"/>
      <c r="E41" s="1"/>
      <c r="F41" s="1"/>
      <c r="G41" s="1"/>
      <c r="H41" s="1"/>
    </row>
    <row r="42" spans="1:8" x14ac:dyDescent="0.25">
      <c r="A42" s="49"/>
      <c r="B42" s="1"/>
      <c r="C42" s="1"/>
      <c r="D42" s="1"/>
      <c r="E42" s="1"/>
      <c r="F42" s="1"/>
      <c r="G42" s="1"/>
      <c r="H42" s="1"/>
    </row>
    <row r="43" spans="1:8" x14ac:dyDescent="0.25">
      <c r="A43" s="49"/>
      <c r="B43" s="1"/>
      <c r="C43" s="1"/>
      <c r="D43" s="1"/>
      <c r="E43" s="1"/>
      <c r="F43" s="1"/>
      <c r="G43" s="1"/>
      <c r="H43" s="1"/>
    </row>
    <row r="44" spans="1:8" x14ac:dyDescent="0.25">
      <c r="A44" s="49"/>
      <c r="B44" s="43" t="s">
        <v>7</v>
      </c>
      <c r="C44" s="44"/>
      <c r="D44" s="45"/>
      <c r="E44" s="3"/>
      <c r="F44" s="3"/>
      <c r="G44" s="4">
        <f>SUM(G40:G43)</f>
        <v>0</v>
      </c>
      <c r="H44" s="1"/>
    </row>
    <row r="45" spans="1:8" x14ac:dyDescent="0.25">
      <c r="A45" s="1"/>
      <c r="B45" s="53" t="s">
        <v>14</v>
      </c>
      <c r="C45" s="54"/>
      <c r="D45" s="55"/>
      <c r="E45" s="8"/>
      <c r="F45" s="8"/>
      <c r="G45" s="9">
        <f>G44+G38+G34+G22+G14+G7+G29</f>
        <v>22957.8</v>
      </c>
      <c r="H45" s="1"/>
    </row>
  </sheetData>
  <mergeCells count="16">
    <mergeCell ref="A40:A44"/>
    <mergeCell ref="B44:D44"/>
    <mergeCell ref="B45:D45"/>
    <mergeCell ref="A24:A29"/>
    <mergeCell ref="B29:D29"/>
    <mergeCell ref="A31:A34"/>
    <mergeCell ref="B34:D34"/>
    <mergeCell ref="A36:A38"/>
    <mergeCell ref="B38:D38"/>
    <mergeCell ref="A16:A22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topLeftCell="A33" zoomScale="85" zoomScaleNormal="85" workbookViewId="0">
      <selection activeCell="J44" sqref="J44:M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30</v>
      </c>
      <c r="B1" s="47"/>
      <c r="C1" s="47"/>
      <c r="D1" s="47"/>
      <c r="E1" s="47"/>
      <c r="F1" s="47"/>
      <c r="G1" s="47"/>
      <c r="H1" s="4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9" t="s">
        <v>78</v>
      </c>
      <c r="B3" s="1" t="s">
        <v>81</v>
      </c>
      <c r="C3" s="1">
        <v>1</v>
      </c>
      <c r="D3" s="1">
        <v>45</v>
      </c>
      <c r="E3" s="1">
        <v>34</v>
      </c>
      <c r="F3" s="1" t="s">
        <v>74</v>
      </c>
      <c r="G3" s="2">
        <f>D3*E3</f>
        <v>1530</v>
      </c>
      <c r="H3" s="1"/>
    </row>
    <row r="4" spans="1:8" x14ac:dyDescent="0.25">
      <c r="A4" s="49"/>
      <c r="B4" s="1" t="s">
        <v>82</v>
      </c>
      <c r="C4" s="1">
        <v>25</v>
      </c>
      <c r="D4" s="1">
        <v>93</v>
      </c>
      <c r="E4" s="1">
        <v>25</v>
      </c>
      <c r="F4" s="1" t="s">
        <v>50</v>
      </c>
      <c r="G4" s="2">
        <f t="shared" ref="G4:G6" si="0">D4*E4</f>
        <v>2325</v>
      </c>
      <c r="H4" s="1"/>
    </row>
    <row r="5" spans="1:8" x14ac:dyDescent="0.25">
      <c r="A5" s="49"/>
      <c r="B5" s="1" t="s">
        <v>83</v>
      </c>
      <c r="C5" s="1">
        <v>1</v>
      </c>
      <c r="D5" s="1">
        <v>420</v>
      </c>
      <c r="E5" s="1">
        <v>1</v>
      </c>
      <c r="F5" s="1" t="s">
        <v>85</v>
      </c>
      <c r="G5" s="2">
        <f t="shared" si="0"/>
        <v>420</v>
      </c>
      <c r="H5" s="1"/>
    </row>
    <row r="6" spans="1:8" x14ac:dyDescent="0.25">
      <c r="A6" s="49"/>
      <c r="B6" s="1" t="s">
        <v>84</v>
      </c>
      <c r="C6" s="1">
        <v>10</v>
      </c>
      <c r="D6" s="1">
        <v>18.899999999999999</v>
      </c>
      <c r="E6" s="3">
        <v>10</v>
      </c>
      <c r="F6" s="30" t="s">
        <v>49</v>
      </c>
      <c r="G6" s="2">
        <f t="shared" si="0"/>
        <v>189</v>
      </c>
      <c r="H6" s="1"/>
    </row>
    <row r="7" spans="1:8" x14ac:dyDescent="0.25">
      <c r="A7" s="49"/>
      <c r="B7" s="43" t="s">
        <v>7</v>
      </c>
      <c r="C7" s="44"/>
      <c r="D7" s="45"/>
      <c r="E7" s="3"/>
      <c r="F7" s="3"/>
      <c r="G7" s="13">
        <f>SUM(G3:G6)</f>
        <v>4464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9" t="s">
        <v>79</v>
      </c>
      <c r="B9" s="1" t="s">
        <v>86</v>
      </c>
      <c r="C9" s="1">
        <v>40</v>
      </c>
      <c r="D9" s="1">
        <v>180</v>
      </c>
      <c r="E9" s="27">
        <v>12</v>
      </c>
      <c r="F9" s="31" t="s">
        <v>156</v>
      </c>
      <c r="G9" s="1">
        <f>D9*E9</f>
        <v>2160</v>
      </c>
      <c r="H9" s="1"/>
    </row>
    <row r="10" spans="1:8" x14ac:dyDescent="0.25">
      <c r="A10" s="49"/>
      <c r="B10" s="1" t="s">
        <v>87</v>
      </c>
      <c r="C10" s="1">
        <v>40</v>
      </c>
      <c r="D10" s="1">
        <v>82.8</v>
      </c>
      <c r="E10" s="1">
        <v>40</v>
      </c>
      <c r="F10" s="31" t="s">
        <v>49</v>
      </c>
      <c r="G10" s="22">
        <f t="shared" ref="G10" si="1">D10*E10</f>
        <v>3312</v>
      </c>
      <c r="H10" s="1"/>
    </row>
    <row r="11" spans="1:8" x14ac:dyDescent="0.25">
      <c r="A11" s="49"/>
      <c r="B11" s="1"/>
      <c r="C11" s="1"/>
      <c r="D11" s="1"/>
      <c r="E11" s="1"/>
      <c r="F11" s="1"/>
      <c r="G11" s="22"/>
      <c r="H11" s="1"/>
    </row>
    <row r="12" spans="1:8" x14ac:dyDescent="0.25">
      <c r="A12" s="49"/>
      <c r="B12" s="1"/>
      <c r="C12" s="1"/>
      <c r="D12" s="1"/>
      <c r="E12" s="1"/>
      <c r="F12" s="1"/>
      <c r="G12" s="22"/>
      <c r="H12" s="1"/>
    </row>
    <row r="13" spans="1:8" x14ac:dyDescent="0.25">
      <c r="A13" s="49"/>
      <c r="B13" s="1"/>
      <c r="C13" s="1"/>
      <c r="D13" s="1"/>
      <c r="E13" s="1"/>
      <c r="F13" s="1"/>
      <c r="G13" s="1"/>
      <c r="H13" s="1"/>
    </row>
    <row r="14" spans="1:8" x14ac:dyDescent="0.25">
      <c r="A14" s="49"/>
      <c r="B14" s="43" t="s">
        <v>7</v>
      </c>
      <c r="C14" s="44"/>
      <c r="D14" s="45"/>
      <c r="E14" s="3"/>
      <c r="F14" s="3"/>
      <c r="G14" s="13">
        <f>SUM(G9:G13)</f>
        <v>5472</v>
      </c>
      <c r="H14" s="1"/>
    </row>
    <row r="15" spans="1:8" x14ac:dyDescent="0.25">
      <c r="A15" s="31" t="s">
        <v>9</v>
      </c>
      <c r="B15" s="31" t="s">
        <v>1</v>
      </c>
      <c r="C15" s="31" t="s">
        <v>2</v>
      </c>
      <c r="D15" s="31" t="s">
        <v>3</v>
      </c>
      <c r="E15" s="31" t="s">
        <v>4</v>
      </c>
      <c r="F15" s="31"/>
      <c r="G15" s="31" t="s">
        <v>5</v>
      </c>
      <c r="H15" s="31" t="s">
        <v>6</v>
      </c>
    </row>
    <row r="16" spans="1:8" x14ac:dyDescent="0.25">
      <c r="A16" s="49" t="s">
        <v>80</v>
      </c>
      <c r="B16" s="31" t="s">
        <v>89</v>
      </c>
      <c r="C16" s="31">
        <v>2</v>
      </c>
      <c r="D16" s="31">
        <v>270</v>
      </c>
      <c r="E16" s="31">
        <v>2</v>
      </c>
      <c r="F16" s="31" t="s">
        <v>94</v>
      </c>
      <c r="G16" s="31">
        <f>D16*E16</f>
        <v>540</v>
      </c>
      <c r="H16" s="31"/>
    </row>
    <row r="17" spans="1:8" x14ac:dyDescent="0.25">
      <c r="A17" s="51"/>
      <c r="B17" s="31" t="s">
        <v>90</v>
      </c>
      <c r="C17" s="31">
        <v>10</v>
      </c>
      <c r="D17" s="31">
        <v>120</v>
      </c>
      <c r="E17" s="31">
        <v>10</v>
      </c>
      <c r="F17" s="31" t="s">
        <v>94</v>
      </c>
      <c r="G17" s="35">
        <f t="shared" ref="G17:G21" si="2">D17*E17</f>
        <v>1200</v>
      </c>
      <c r="H17" s="31"/>
    </row>
    <row r="18" spans="1:8" x14ac:dyDescent="0.25">
      <c r="A18" s="51"/>
      <c r="B18" s="31" t="s">
        <v>91</v>
      </c>
      <c r="C18" s="31">
        <v>5</v>
      </c>
      <c r="D18" s="31">
        <v>100</v>
      </c>
      <c r="E18" s="31">
        <v>5</v>
      </c>
      <c r="F18" s="31" t="s">
        <v>95</v>
      </c>
      <c r="G18" s="35">
        <f t="shared" si="2"/>
        <v>500</v>
      </c>
      <c r="H18" s="31"/>
    </row>
    <row r="19" spans="1:8" x14ac:dyDescent="0.25">
      <c r="A19" s="51"/>
      <c r="B19" s="31" t="s">
        <v>92</v>
      </c>
      <c r="C19" s="31">
        <v>3</v>
      </c>
      <c r="D19" s="31">
        <v>80</v>
      </c>
      <c r="E19" s="31">
        <v>3</v>
      </c>
      <c r="F19" s="31" t="s">
        <v>74</v>
      </c>
      <c r="G19" s="35">
        <f t="shared" si="2"/>
        <v>240</v>
      </c>
      <c r="H19" s="31"/>
    </row>
    <row r="20" spans="1:8" x14ac:dyDescent="0.25">
      <c r="A20" s="51"/>
      <c r="B20" s="1" t="s">
        <v>88</v>
      </c>
      <c r="C20" s="1">
        <v>2</v>
      </c>
      <c r="D20" s="1">
        <v>1380</v>
      </c>
      <c r="E20" s="1">
        <v>3</v>
      </c>
      <c r="F20" s="1" t="s">
        <v>57</v>
      </c>
      <c r="G20" s="1">
        <f>D20*E20</f>
        <v>4140</v>
      </c>
      <c r="H20" s="36"/>
    </row>
    <row r="21" spans="1:8" x14ac:dyDescent="0.25">
      <c r="A21" s="52"/>
      <c r="B21" s="31" t="s">
        <v>93</v>
      </c>
      <c r="C21" s="31">
        <v>1</v>
      </c>
      <c r="D21" s="31">
        <v>226</v>
      </c>
      <c r="E21" s="30">
        <v>1</v>
      </c>
      <c r="F21" s="30" t="s">
        <v>95</v>
      </c>
      <c r="G21" s="35">
        <f t="shared" si="2"/>
        <v>226</v>
      </c>
      <c r="H21" s="31"/>
    </row>
    <row r="22" spans="1:8" x14ac:dyDescent="0.25">
      <c r="A22" s="5" t="s">
        <v>10</v>
      </c>
      <c r="B22" s="43" t="s">
        <v>7</v>
      </c>
      <c r="C22" s="44"/>
      <c r="D22" s="45"/>
      <c r="E22" s="30"/>
      <c r="F22" s="30"/>
      <c r="G22" s="15">
        <f>SUM(G16:G21)</f>
        <v>6846</v>
      </c>
      <c r="H22" s="31"/>
    </row>
    <row r="23" spans="1:8" x14ac:dyDescent="0.25">
      <c r="A23" s="49" t="s">
        <v>159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49"/>
      <c r="B24" s="1" t="s">
        <v>99</v>
      </c>
      <c r="C24" s="1">
        <v>3</v>
      </c>
      <c r="D24" s="1">
        <v>70</v>
      </c>
      <c r="E24" s="1">
        <v>40</v>
      </c>
      <c r="F24" s="1" t="s">
        <v>74</v>
      </c>
      <c r="G24" s="22">
        <f t="shared" ref="G24:G27" si="3">D24*E24</f>
        <v>2800</v>
      </c>
      <c r="H24" s="1"/>
    </row>
    <row r="25" spans="1:8" x14ac:dyDescent="0.25">
      <c r="A25" s="49"/>
      <c r="B25" s="1" t="s">
        <v>100</v>
      </c>
      <c r="C25" s="1">
        <v>5</v>
      </c>
      <c r="D25" s="1">
        <v>68.400000000000006</v>
      </c>
      <c r="E25" s="1">
        <v>5</v>
      </c>
      <c r="F25" s="1" t="s">
        <v>50</v>
      </c>
      <c r="G25" s="22">
        <f t="shared" si="3"/>
        <v>342</v>
      </c>
      <c r="H25" s="1"/>
    </row>
    <row r="26" spans="1:8" x14ac:dyDescent="0.25">
      <c r="A26" s="49"/>
      <c r="B26" s="1" t="s">
        <v>101</v>
      </c>
      <c r="C26" s="1">
        <v>5</v>
      </c>
      <c r="D26" s="35">
        <v>68.400000000000006</v>
      </c>
      <c r="E26" s="35">
        <v>5</v>
      </c>
      <c r="F26" s="1" t="s">
        <v>50</v>
      </c>
      <c r="G26" s="22">
        <f t="shared" si="3"/>
        <v>342</v>
      </c>
      <c r="H26" s="1"/>
    </row>
    <row r="27" spans="1:8" x14ac:dyDescent="0.25">
      <c r="A27" s="49"/>
      <c r="B27" s="22" t="s">
        <v>102</v>
      </c>
      <c r="C27" s="22">
        <v>3</v>
      </c>
      <c r="D27" s="22">
        <v>220</v>
      </c>
      <c r="E27" s="22">
        <v>3</v>
      </c>
      <c r="F27" s="23" t="s">
        <v>106</v>
      </c>
      <c r="G27" s="23">
        <f t="shared" si="3"/>
        <v>660</v>
      </c>
      <c r="H27" s="22"/>
    </row>
    <row r="28" spans="1:8" x14ac:dyDescent="0.25">
      <c r="A28" s="1" t="s">
        <v>11</v>
      </c>
      <c r="B28" s="43" t="s">
        <v>7</v>
      </c>
      <c r="C28" s="44"/>
      <c r="D28" s="45"/>
      <c r="E28" s="3"/>
      <c r="F28" s="3"/>
      <c r="G28" s="15">
        <f>SUM(G24:G27)</f>
        <v>4144</v>
      </c>
      <c r="H28" s="1"/>
    </row>
    <row r="29" spans="1:8" x14ac:dyDescent="0.25">
      <c r="A29" s="50" t="s">
        <v>160</v>
      </c>
      <c r="B29" s="1" t="s">
        <v>1</v>
      </c>
      <c r="C29" s="1" t="s">
        <v>2</v>
      </c>
      <c r="D29" s="1" t="s">
        <v>3</v>
      </c>
      <c r="E29" s="1" t="s">
        <v>4</v>
      </c>
      <c r="F29" s="1"/>
      <c r="G29" s="1" t="s">
        <v>5</v>
      </c>
      <c r="H29" s="1" t="s">
        <v>6</v>
      </c>
    </row>
    <row r="30" spans="1:8" x14ac:dyDescent="0.25">
      <c r="A30" s="51"/>
      <c r="B30" s="35" t="s">
        <v>141</v>
      </c>
      <c r="C30" s="35">
        <v>15</v>
      </c>
      <c r="D30" s="35">
        <v>25.5</v>
      </c>
      <c r="E30" s="35">
        <v>15</v>
      </c>
      <c r="F30" s="31" t="s">
        <v>50</v>
      </c>
      <c r="G30" s="31">
        <f>D30*E30</f>
        <v>382.5</v>
      </c>
      <c r="H30" s="31"/>
    </row>
    <row r="31" spans="1:8" x14ac:dyDescent="0.25">
      <c r="A31" s="51"/>
      <c r="B31" s="31" t="s">
        <v>97</v>
      </c>
      <c r="C31" s="31">
        <v>5</v>
      </c>
      <c r="D31" s="31">
        <v>11.7</v>
      </c>
      <c r="E31" s="31">
        <v>5</v>
      </c>
      <c r="F31" s="31" t="s">
        <v>49</v>
      </c>
      <c r="G31" s="35">
        <f t="shared" ref="G31:G34" si="4">D31*E31</f>
        <v>58.5</v>
      </c>
      <c r="H31" s="31"/>
    </row>
    <row r="32" spans="1:8" x14ac:dyDescent="0.25">
      <c r="A32" s="51"/>
      <c r="B32" s="31" t="s">
        <v>98</v>
      </c>
      <c r="C32" s="31">
        <v>3</v>
      </c>
      <c r="D32" s="31">
        <v>16.32</v>
      </c>
      <c r="E32" s="31">
        <v>3</v>
      </c>
      <c r="F32" s="31" t="s">
        <v>49</v>
      </c>
      <c r="G32" s="35">
        <f t="shared" si="4"/>
        <v>48.96</v>
      </c>
      <c r="H32" s="31"/>
    </row>
    <row r="33" spans="1:8" x14ac:dyDescent="0.25">
      <c r="A33" s="51"/>
      <c r="B33" s="31" t="s">
        <v>103</v>
      </c>
      <c r="C33" s="31">
        <v>15</v>
      </c>
      <c r="D33" s="31">
        <v>26.1</v>
      </c>
      <c r="E33" s="31">
        <v>15</v>
      </c>
      <c r="F33" s="31" t="s">
        <v>49</v>
      </c>
      <c r="G33" s="35">
        <f t="shared" si="4"/>
        <v>391.5</v>
      </c>
      <c r="H33" s="31"/>
    </row>
    <row r="34" spans="1:8" x14ac:dyDescent="0.25">
      <c r="A34" s="51"/>
      <c r="B34" s="31" t="s">
        <v>104</v>
      </c>
      <c r="C34" s="31">
        <v>1</v>
      </c>
      <c r="D34" s="31">
        <v>230</v>
      </c>
      <c r="E34" s="31">
        <v>1</v>
      </c>
      <c r="F34" s="31" t="s">
        <v>74</v>
      </c>
      <c r="G34" s="35">
        <f t="shared" si="4"/>
        <v>230</v>
      </c>
      <c r="H34" s="31"/>
    </row>
    <row r="35" spans="1:8" x14ac:dyDescent="0.25">
      <c r="A35" s="52"/>
      <c r="B35" s="43" t="s">
        <v>144</v>
      </c>
      <c r="C35" s="44"/>
      <c r="D35" s="45"/>
      <c r="E35" s="34"/>
      <c r="F35" s="35"/>
      <c r="G35" s="13">
        <f>SUM(G30:G34)</f>
        <v>1111.46</v>
      </c>
      <c r="H35" s="35"/>
    </row>
    <row r="36" spans="1:8" x14ac:dyDescent="0.25">
      <c r="A36" s="1" t="s">
        <v>12</v>
      </c>
      <c r="B36" s="35" t="s">
        <v>1</v>
      </c>
      <c r="C36" s="35" t="s">
        <v>2</v>
      </c>
      <c r="D36" s="35" t="s">
        <v>3</v>
      </c>
      <c r="E36" s="34" t="s">
        <v>4</v>
      </c>
      <c r="F36" s="31"/>
      <c r="G36" s="34" t="s">
        <v>5</v>
      </c>
      <c r="H36" s="31"/>
    </row>
    <row r="37" spans="1:8" x14ac:dyDescent="0.25">
      <c r="A37" s="50"/>
      <c r="B37" s="1" t="s">
        <v>139</v>
      </c>
      <c r="C37" s="1"/>
      <c r="D37" s="1">
        <v>15.5</v>
      </c>
      <c r="E37" s="1">
        <v>270</v>
      </c>
      <c r="F37" s="11" t="s">
        <v>140</v>
      </c>
      <c r="G37" s="1">
        <f>D37*E37</f>
        <v>4185</v>
      </c>
      <c r="H37" s="1"/>
    </row>
    <row r="38" spans="1:8" x14ac:dyDescent="0.25">
      <c r="A38" s="51"/>
      <c r="B38" s="1" t="s">
        <v>143</v>
      </c>
      <c r="C38" s="1"/>
      <c r="D38" s="1">
        <v>6.12</v>
      </c>
      <c r="E38" s="1">
        <v>70</v>
      </c>
      <c r="F38" s="1" t="s">
        <v>142</v>
      </c>
      <c r="G38" s="22">
        <f>D38*E38</f>
        <v>428.40000000000003</v>
      </c>
      <c r="H38" s="1" t="s">
        <v>31</v>
      </c>
    </row>
    <row r="39" spans="1:8" x14ac:dyDescent="0.25">
      <c r="A39" s="7" t="s">
        <v>13</v>
      </c>
      <c r="B39" s="43" t="s">
        <v>16</v>
      </c>
      <c r="C39" s="44"/>
      <c r="D39" s="45"/>
      <c r="E39" s="3"/>
      <c r="F39" s="3"/>
      <c r="G39" s="13">
        <f>SUM(G37:G38)</f>
        <v>4613.3999999999996</v>
      </c>
      <c r="H39" s="1"/>
    </row>
    <row r="40" spans="1:8" x14ac:dyDescent="0.25">
      <c r="A40" s="49"/>
      <c r="B40" s="1" t="s">
        <v>1</v>
      </c>
      <c r="C40" s="1" t="s">
        <v>2</v>
      </c>
      <c r="D40" s="1" t="s">
        <v>3</v>
      </c>
      <c r="E40" s="3" t="s">
        <v>4</v>
      </c>
      <c r="F40" s="3"/>
      <c r="G40" s="3" t="s">
        <v>5</v>
      </c>
      <c r="H40" s="1" t="s">
        <v>6</v>
      </c>
    </row>
    <row r="41" spans="1:8" x14ac:dyDescent="0.25">
      <c r="A41" s="49"/>
      <c r="B41" s="1" t="s">
        <v>145</v>
      </c>
      <c r="C41" s="1"/>
      <c r="D41" s="1">
        <v>265</v>
      </c>
      <c r="E41" s="1">
        <v>1</v>
      </c>
      <c r="F41" s="1" t="s">
        <v>19</v>
      </c>
      <c r="G41" s="1">
        <f>D41*E41</f>
        <v>265</v>
      </c>
      <c r="H41" s="1"/>
    </row>
    <row r="42" spans="1:8" x14ac:dyDescent="0.25">
      <c r="A42" s="49"/>
      <c r="B42" s="1" t="s">
        <v>146</v>
      </c>
      <c r="C42" s="1"/>
      <c r="D42" s="1">
        <v>120</v>
      </c>
      <c r="E42" s="1">
        <v>1</v>
      </c>
      <c r="F42" s="22" t="s">
        <v>147</v>
      </c>
      <c r="G42" s="36">
        <f t="shared" ref="G42:G51" si="5">D42*E42</f>
        <v>120</v>
      </c>
      <c r="H42" s="1"/>
    </row>
    <row r="43" spans="1:8" x14ac:dyDescent="0.25">
      <c r="A43" s="49"/>
      <c r="B43" s="1" t="s">
        <v>148</v>
      </c>
      <c r="C43" s="1"/>
      <c r="D43" s="1">
        <v>1350</v>
      </c>
      <c r="E43" s="1">
        <v>1</v>
      </c>
      <c r="F43" s="11" t="s">
        <v>149</v>
      </c>
      <c r="G43" s="36">
        <f t="shared" si="5"/>
        <v>1350</v>
      </c>
      <c r="H43" s="1"/>
    </row>
    <row r="44" spans="1:8" x14ac:dyDescent="0.25">
      <c r="A44" s="49"/>
      <c r="B44" s="1" t="s">
        <v>150</v>
      </c>
      <c r="C44" s="1"/>
      <c r="D44" s="1">
        <v>1250</v>
      </c>
      <c r="E44" s="35">
        <v>1</v>
      </c>
      <c r="F44" s="35" t="s">
        <v>149</v>
      </c>
      <c r="G44" s="36">
        <f t="shared" si="5"/>
        <v>1250</v>
      </c>
      <c r="H44" s="1"/>
    </row>
    <row r="45" spans="1:8" x14ac:dyDescent="0.25">
      <c r="A45" s="49"/>
      <c r="B45" s="1" t="s">
        <v>151</v>
      </c>
      <c r="C45" s="1"/>
      <c r="D45" s="1">
        <v>175</v>
      </c>
      <c r="E45" s="1">
        <v>1</v>
      </c>
      <c r="F45" s="11" t="s">
        <v>149</v>
      </c>
      <c r="G45" s="36">
        <f t="shared" si="5"/>
        <v>175</v>
      </c>
      <c r="H45" s="1"/>
    </row>
    <row r="46" spans="1:8" x14ac:dyDescent="0.25">
      <c r="A46" s="49"/>
      <c r="B46" s="1" t="s">
        <v>152</v>
      </c>
      <c r="C46" s="1"/>
      <c r="D46" s="1">
        <v>110</v>
      </c>
      <c r="E46" s="1">
        <v>1</v>
      </c>
      <c r="F46" s="11" t="s">
        <v>153</v>
      </c>
      <c r="G46" s="36">
        <f t="shared" si="5"/>
        <v>110</v>
      </c>
      <c r="H46" s="1"/>
    </row>
    <row r="47" spans="1:8" x14ac:dyDescent="0.25">
      <c r="A47" s="49"/>
      <c r="B47" s="11" t="s">
        <v>154</v>
      </c>
      <c r="C47" s="11"/>
      <c r="D47" s="12">
        <v>339</v>
      </c>
      <c r="E47" s="12">
        <v>2</v>
      </c>
      <c r="F47" s="12" t="s">
        <v>155</v>
      </c>
      <c r="G47" s="36">
        <f t="shared" si="5"/>
        <v>678</v>
      </c>
      <c r="H47" s="11"/>
    </row>
    <row r="48" spans="1:8" x14ac:dyDescent="0.25">
      <c r="A48" s="49"/>
      <c r="B48" s="22" t="s">
        <v>105</v>
      </c>
      <c r="C48" s="22">
        <v>8</v>
      </c>
      <c r="D48" s="22">
        <v>25</v>
      </c>
      <c r="E48" s="22">
        <v>8</v>
      </c>
      <c r="F48" s="23" t="s">
        <v>50</v>
      </c>
      <c r="G48" s="36">
        <f t="shared" si="5"/>
        <v>200</v>
      </c>
      <c r="H48" s="22"/>
    </row>
    <row r="49" spans="1:8" x14ac:dyDescent="0.25">
      <c r="A49" s="49"/>
      <c r="B49" s="35" t="s">
        <v>157</v>
      </c>
      <c r="C49" s="35"/>
      <c r="D49" s="35">
        <v>43.2</v>
      </c>
      <c r="E49" s="35">
        <v>20</v>
      </c>
      <c r="F49" s="34" t="s">
        <v>142</v>
      </c>
      <c r="G49" s="36">
        <f t="shared" si="5"/>
        <v>864</v>
      </c>
      <c r="H49" s="35"/>
    </row>
    <row r="50" spans="1:8" x14ac:dyDescent="0.25">
      <c r="A50" s="49"/>
      <c r="B50" s="35" t="s">
        <v>141</v>
      </c>
      <c r="C50" s="35"/>
      <c r="D50" s="35">
        <v>25.5</v>
      </c>
      <c r="E50" s="35">
        <v>5</v>
      </c>
      <c r="F50" s="34" t="s">
        <v>142</v>
      </c>
      <c r="G50" s="36">
        <f t="shared" si="5"/>
        <v>127.5</v>
      </c>
      <c r="H50" s="35"/>
    </row>
    <row r="51" spans="1:8" x14ac:dyDescent="0.25">
      <c r="A51" s="49"/>
      <c r="B51" s="35" t="s">
        <v>158</v>
      </c>
      <c r="C51" s="35"/>
      <c r="D51" s="35">
        <v>27.84</v>
      </c>
      <c r="E51" s="35">
        <v>20.95</v>
      </c>
      <c r="F51" s="34" t="s">
        <v>142</v>
      </c>
      <c r="G51" s="36">
        <f t="shared" si="5"/>
        <v>583.24799999999993</v>
      </c>
      <c r="H51" s="35"/>
    </row>
    <row r="52" spans="1:8" x14ac:dyDescent="0.25">
      <c r="A52" s="49"/>
      <c r="B52" s="43" t="s">
        <v>7</v>
      </c>
      <c r="C52" s="44"/>
      <c r="D52" s="45"/>
      <c r="E52" s="3"/>
      <c r="F52" s="3"/>
      <c r="G52" s="13">
        <f>SUM(G41:G51)</f>
        <v>5722.7479999999996</v>
      </c>
      <c r="H52" s="1"/>
    </row>
    <row r="53" spans="1:8" x14ac:dyDescent="0.25">
      <c r="A53" s="49"/>
      <c r="B53" s="53" t="s">
        <v>14</v>
      </c>
      <c r="C53" s="54"/>
      <c r="D53" s="55"/>
      <c r="E53" s="8"/>
      <c r="F53" s="8"/>
      <c r="G53" s="9">
        <f>G52+G39+G22+G14+G7+G28+G35</f>
        <v>32373.608</v>
      </c>
      <c r="H53" s="1"/>
    </row>
  </sheetData>
  <mergeCells count="16">
    <mergeCell ref="B52:D52"/>
    <mergeCell ref="B53:D53"/>
    <mergeCell ref="A23:A27"/>
    <mergeCell ref="B28:D28"/>
    <mergeCell ref="B39:D39"/>
    <mergeCell ref="A37:A38"/>
    <mergeCell ref="A40:A53"/>
    <mergeCell ref="A29:A35"/>
    <mergeCell ref="B35:D35"/>
    <mergeCell ref="A16:A21"/>
    <mergeCell ref="B22:D22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scale="86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topLeftCell="A26" workbookViewId="0">
      <selection activeCell="H43" sqref="A1:H4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161</v>
      </c>
      <c r="B1" s="47"/>
      <c r="C1" s="47"/>
      <c r="D1" s="47"/>
      <c r="E1" s="47"/>
      <c r="F1" s="47"/>
      <c r="G1" s="47"/>
      <c r="H1" s="4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9" t="s">
        <v>107</v>
      </c>
      <c r="B3" s="1" t="s">
        <v>110</v>
      </c>
      <c r="C3" s="1">
        <v>65</v>
      </c>
      <c r="D3" s="1">
        <v>87</v>
      </c>
      <c r="E3" s="1">
        <v>65</v>
      </c>
      <c r="F3" s="31" t="s">
        <v>49</v>
      </c>
      <c r="G3" s="2">
        <f>D3*E3</f>
        <v>5655</v>
      </c>
      <c r="H3" s="1"/>
    </row>
    <row r="4" spans="1:8" x14ac:dyDescent="0.25">
      <c r="A4" s="49"/>
      <c r="B4" s="1" t="s">
        <v>76</v>
      </c>
      <c r="C4" s="1">
        <v>5</v>
      </c>
      <c r="D4" s="1">
        <v>9</v>
      </c>
      <c r="E4" s="1">
        <v>5</v>
      </c>
      <c r="F4" s="31" t="s">
        <v>49</v>
      </c>
      <c r="G4" s="2">
        <f t="shared" ref="G4:G5" si="0">D4*E4</f>
        <v>45</v>
      </c>
      <c r="H4" s="1"/>
    </row>
    <row r="5" spans="1:8" x14ac:dyDescent="0.25">
      <c r="A5" s="49"/>
      <c r="B5" s="1" t="s">
        <v>97</v>
      </c>
      <c r="C5" s="1">
        <v>5</v>
      </c>
      <c r="D5" s="1">
        <v>12.6</v>
      </c>
      <c r="E5" s="1">
        <v>5</v>
      </c>
      <c r="F5" s="31" t="s">
        <v>49</v>
      </c>
      <c r="G5" s="2">
        <f t="shared" si="0"/>
        <v>63</v>
      </c>
      <c r="H5" s="1"/>
    </row>
    <row r="6" spans="1:8" x14ac:dyDescent="0.25">
      <c r="A6" s="49"/>
      <c r="B6" s="17"/>
      <c r="C6" s="1"/>
      <c r="D6" s="1"/>
      <c r="E6" s="3"/>
      <c r="F6" s="3"/>
      <c r="G6" s="3"/>
      <c r="H6" s="1"/>
    </row>
    <row r="7" spans="1:8" x14ac:dyDescent="0.25">
      <c r="A7" s="49"/>
      <c r="B7" s="43" t="s">
        <v>7</v>
      </c>
      <c r="C7" s="44"/>
      <c r="D7" s="45"/>
      <c r="E7" s="3"/>
      <c r="F7" s="3"/>
      <c r="G7" s="13">
        <f>SUM(G3:G6)</f>
        <v>5763</v>
      </c>
      <c r="H7" s="1"/>
    </row>
    <row r="8" spans="1:8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4</v>
      </c>
      <c r="F8" s="1"/>
      <c r="G8" s="1" t="s">
        <v>5</v>
      </c>
      <c r="H8" s="1" t="s">
        <v>6</v>
      </c>
    </row>
    <row r="9" spans="1:8" x14ac:dyDescent="0.25">
      <c r="A9" s="49" t="s">
        <v>108</v>
      </c>
      <c r="B9" s="17" t="s">
        <v>60</v>
      </c>
      <c r="C9" s="1">
        <v>7</v>
      </c>
      <c r="D9" s="1">
        <v>150</v>
      </c>
      <c r="E9" s="1">
        <v>7</v>
      </c>
      <c r="F9" s="11" t="s">
        <v>61</v>
      </c>
      <c r="G9" s="1">
        <f>D9*E9</f>
        <v>1050</v>
      </c>
      <c r="H9" s="1"/>
    </row>
    <row r="10" spans="1:8" x14ac:dyDescent="0.25">
      <c r="A10" s="49"/>
      <c r="B10" s="1" t="s">
        <v>111</v>
      </c>
      <c r="C10" s="1">
        <v>4</v>
      </c>
      <c r="D10" s="1">
        <v>110</v>
      </c>
      <c r="E10" s="1">
        <v>4</v>
      </c>
      <c r="F10" s="11" t="s">
        <v>94</v>
      </c>
      <c r="G10" s="38">
        <f>D10*E10</f>
        <v>440</v>
      </c>
      <c r="H10" s="1"/>
    </row>
    <row r="11" spans="1:8" x14ac:dyDescent="0.25">
      <c r="A11" s="49"/>
      <c r="B11" s="1"/>
      <c r="C11" s="1"/>
      <c r="D11" s="1"/>
      <c r="E11" s="1"/>
      <c r="F11" s="11"/>
      <c r="G11" s="1"/>
      <c r="H11" s="1"/>
    </row>
    <row r="12" spans="1:8" x14ac:dyDescent="0.25">
      <c r="A12" s="49"/>
      <c r="B12" s="1"/>
      <c r="C12" s="1"/>
      <c r="D12" s="1"/>
      <c r="E12" s="1"/>
      <c r="F12" s="11"/>
      <c r="G12" s="1"/>
      <c r="H12" s="1"/>
    </row>
    <row r="13" spans="1:8" x14ac:dyDescent="0.25">
      <c r="A13" s="49"/>
      <c r="B13" s="1"/>
      <c r="C13" s="1"/>
      <c r="D13" s="1"/>
      <c r="E13" s="1"/>
      <c r="F13" s="1"/>
      <c r="G13" s="1"/>
      <c r="H13" s="1"/>
    </row>
    <row r="14" spans="1:8" x14ac:dyDescent="0.25">
      <c r="A14" s="49"/>
      <c r="B14" s="43" t="s">
        <v>7</v>
      </c>
      <c r="C14" s="44"/>
      <c r="D14" s="45"/>
      <c r="E14" s="3"/>
      <c r="F14" s="3"/>
      <c r="G14" s="13">
        <f>SUM(G9:G13)</f>
        <v>1490</v>
      </c>
      <c r="H14" s="1"/>
    </row>
    <row r="15" spans="1:8" x14ac:dyDescent="0.25">
      <c r="A15" s="1" t="s">
        <v>9</v>
      </c>
      <c r="B15" s="1" t="s">
        <v>1</v>
      </c>
      <c r="C15" s="1" t="s">
        <v>2</v>
      </c>
      <c r="D15" s="1" t="s">
        <v>3</v>
      </c>
      <c r="E15" s="1" t="s">
        <v>4</v>
      </c>
      <c r="F15" s="1"/>
      <c r="G15" s="1" t="s">
        <v>5</v>
      </c>
      <c r="H15" s="1" t="s">
        <v>6</v>
      </c>
    </row>
    <row r="16" spans="1:8" x14ac:dyDescent="0.25">
      <c r="A16" s="49" t="s">
        <v>109</v>
      </c>
      <c r="B16" s="1" t="s">
        <v>112</v>
      </c>
      <c r="C16" s="1">
        <v>30</v>
      </c>
      <c r="D16" s="1">
        <v>10.26</v>
      </c>
      <c r="E16" s="1">
        <v>30</v>
      </c>
      <c r="F16" s="31" t="s">
        <v>49</v>
      </c>
      <c r="G16" s="1">
        <f>D16*E16</f>
        <v>307.8</v>
      </c>
      <c r="H16" s="1"/>
    </row>
    <row r="17" spans="1:8" x14ac:dyDescent="0.25">
      <c r="A17" s="49"/>
      <c r="B17" s="1" t="s">
        <v>113</v>
      </c>
      <c r="C17" s="1">
        <v>10</v>
      </c>
      <c r="D17" s="1">
        <v>75</v>
      </c>
      <c r="E17" s="1">
        <v>10</v>
      </c>
      <c r="F17" s="31" t="s">
        <v>49</v>
      </c>
      <c r="G17" s="38">
        <f t="shared" ref="G17:G18" si="1">D17*E17</f>
        <v>750</v>
      </c>
      <c r="H17" s="1"/>
    </row>
    <row r="18" spans="1:8" x14ac:dyDescent="0.25">
      <c r="A18" s="49"/>
      <c r="B18" s="1" t="s">
        <v>53</v>
      </c>
      <c r="C18" s="1">
        <v>3</v>
      </c>
      <c r="D18" s="1">
        <v>15.96</v>
      </c>
      <c r="E18" s="1">
        <v>3</v>
      </c>
      <c r="F18" s="31" t="s">
        <v>49</v>
      </c>
      <c r="G18" s="38">
        <f t="shared" si="1"/>
        <v>47.88</v>
      </c>
      <c r="H18" s="1"/>
    </row>
    <row r="19" spans="1:8" x14ac:dyDescent="0.25">
      <c r="A19" s="49"/>
      <c r="B19" s="25"/>
      <c r="C19" s="25"/>
      <c r="D19" s="25"/>
      <c r="E19" s="25"/>
      <c r="F19" s="25"/>
      <c r="G19" s="1"/>
      <c r="H19" s="1"/>
    </row>
    <row r="20" spans="1:8" x14ac:dyDescent="0.25">
      <c r="A20" s="49"/>
      <c r="B20" s="43" t="s">
        <v>7</v>
      </c>
      <c r="C20" s="44"/>
      <c r="D20" s="45"/>
      <c r="E20" s="3"/>
      <c r="F20" s="3"/>
      <c r="G20" s="13">
        <f>SUM(G16:G19)</f>
        <v>1105.68</v>
      </c>
      <c r="H20" s="1"/>
    </row>
    <row r="21" spans="1:8" x14ac:dyDescent="0.25">
      <c r="A21" s="5" t="s">
        <v>10</v>
      </c>
      <c r="B21" s="1" t="s">
        <v>1</v>
      </c>
      <c r="C21" s="1" t="s">
        <v>2</v>
      </c>
      <c r="D21" s="1" t="s">
        <v>3</v>
      </c>
      <c r="E21" s="1" t="s">
        <v>4</v>
      </c>
      <c r="F21" s="1"/>
      <c r="G21" s="1" t="s">
        <v>5</v>
      </c>
      <c r="H21" s="1" t="s">
        <v>6</v>
      </c>
    </row>
    <row r="22" spans="1:8" x14ac:dyDescent="0.25">
      <c r="A22" s="49"/>
      <c r="B22" s="1" t="s">
        <v>114</v>
      </c>
      <c r="C22" s="1">
        <v>35</v>
      </c>
      <c r="D22" s="1">
        <v>66</v>
      </c>
      <c r="E22" s="1">
        <v>8.93</v>
      </c>
      <c r="F22" s="11" t="s">
        <v>17</v>
      </c>
      <c r="G22" s="2">
        <f>D22*E22</f>
        <v>589.38</v>
      </c>
      <c r="H22" s="1"/>
    </row>
    <row r="23" spans="1:8" x14ac:dyDescent="0.25">
      <c r="A23" s="49"/>
      <c r="B23" s="1" t="s">
        <v>165</v>
      </c>
      <c r="C23" s="1"/>
      <c r="D23" s="1">
        <v>127.5</v>
      </c>
      <c r="E23" s="1">
        <v>1</v>
      </c>
      <c r="F23" s="1" t="s">
        <v>166</v>
      </c>
      <c r="G23" s="2">
        <f t="shared" ref="G23:G26" si="2">D23*E23</f>
        <v>127.5</v>
      </c>
      <c r="H23" s="1" t="s">
        <v>32</v>
      </c>
    </row>
    <row r="24" spans="1:8" x14ac:dyDescent="0.25">
      <c r="A24" s="49"/>
      <c r="B24" s="1" t="s">
        <v>168</v>
      </c>
      <c r="C24" s="1"/>
      <c r="D24" s="1">
        <v>61.2</v>
      </c>
      <c r="E24" s="1">
        <v>3</v>
      </c>
      <c r="F24" s="1" t="s">
        <v>166</v>
      </c>
      <c r="G24" s="2">
        <f t="shared" si="2"/>
        <v>183.60000000000002</v>
      </c>
      <c r="H24" s="1"/>
    </row>
    <row r="25" spans="1:8" x14ac:dyDescent="0.25">
      <c r="A25" s="49"/>
      <c r="B25" s="38" t="s">
        <v>169</v>
      </c>
      <c r="C25" s="38"/>
      <c r="D25" s="38">
        <v>36.9</v>
      </c>
      <c r="E25" s="38">
        <v>3</v>
      </c>
      <c r="F25" s="1" t="s">
        <v>166</v>
      </c>
      <c r="G25" s="2">
        <f t="shared" si="2"/>
        <v>110.69999999999999</v>
      </c>
      <c r="H25" s="1"/>
    </row>
    <row r="26" spans="1:8" x14ac:dyDescent="0.25">
      <c r="A26" s="49"/>
      <c r="B26" s="38" t="s">
        <v>170</v>
      </c>
      <c r="C26" s="38"/>
      <c r="D26" s="38">
        <v>1188</v>
      </c>
      <c r="E26" s="38">
        <v>1</v>
      </c>
      <c r="F26" s="37" t="s">
        <v>171</v>
      </c>
      <c r="G26" s="2">
        <f t="shared" si="2"/>
        <v>1188</v>
      </c>
      <c r="H26" s="38"/>
    </row>
    <row r="27" spans="1:8" x14ac:dyDescent="0.25">
      <c r="A27" s="49"/>
      <c r="B27" s="43" t="s">
        <v>7</v>
      </c>
      <c r="C27" s="44"/>
      <c r="D27" s="45"/>
      <c r="E27" s="3"/>
      <c r="F27" s="3"/>
      <c r="G27" s="13">
        <f>SUM(G22:G26)</f>
        <v>2199.1800000000003</v>
      </c>
      <c r="H27" s="1"/>
    </row>
    <row r="28" spans="1:8" x14ac:dyDescent="0.25">
      <c r="A28" s="1" t="s">
        <v>11</v>
      </c>
      <c r="B28" s="1" t="s">
        <v>1</v>
      </c>
      <c r="C28" s="1" t="s">
        <v>2</v>
      </c>
      <c r="D28" s="1" t="s">
        <v>3</v>
      </c>
      <c r="E28" s="1" t="s">
        <v>4</v>
      </c>
      <c r="F28" s="1"/>
      <c r="G28" s="1" t="s">
        <v>5</v>
      </c>
      <c r="H28" s="1" t="s">
        <v>6</v>
      </c>
    </row>
    <row r="29" spans="1:8" x14ac:dyDescent="0.25">
      <c r="A29" s="49" t="s">
        <v>163</v>
      </c>
      <c r="B29" s="25" t="s">
        <v>164</v>
      </c>
      <c r="C29" s="25"/>
      <c r="D29" s="25">
        <v>59.4</v>
      </c>
      <c r="E29" s="25">
        <v>50</v>
      </c>
      <c r="F29" s="17" t="s">
        <v>166</v>
      </c>
      <c r="G29" s="1">
        <f>D29*E29</f>
        <v>2970</v>
      </c>
      <c r="H29" s="1"/>
    </row>
    <row r="30" spans="1:8" x14ac:dyDescent="0.25">
      <c r="A30" s="49"/>
      <c r="B30" s="1"/>
      <c r="C30" s="1"/>
      <c r="D30" s="1"/>
      <c r="E30" s="1"/>
      <c r="F30" s="1"/>
      <c r="G30" s="1"/>
      <c r="H30" s="1"/>
    </row>
    <row r="31" spans="1:8" x14ac:dyDescent="0.25">
      <c r="A31" s="49"/>
      <c r="B31" s="1"/>
      <c r="C31" s="1"/>
      <c r="D31" s="1"/>
      <c r="E31" s="1"/>
      <c r="F31" s="1"/>
      <c r="G31" s="1"/>
      <c r="H31" s="1"/>
    </row>
    <row r="32" spans="1:8" x14ac:dyDescent="0.25">
      <c r="A32" s="49"/>
      <c r="B32" s="43"/>
      <c r="C32" s="44"/>
      <c r="D32" s="45"/>
      <c r="E32" s="3"/>
      <c r="F32" s="3"/>
      <c r="G32" s="15">
        <f>SUM(G29:G31)</f>
        <v>2970</v>
      </c>
      <c r="H32" s="1"/>
    </row>
    <row r="33" spans="1:8" x14ac:dyDescent="0.25">
      <c r="A33" s="1" t="s">
        <v>12</v>
      </c>
      <c r="B33" s="1" t="s">
        <v>1</v>
      </c>
      <c r="C33" s="1" t="s">
        <v>2</v>
      </c>
      <c r="D33" s="1" t="s">
        <v>3</v>
      </c>
      <c r="E33" s="3" t="s">
        <v>4</v>
      </c>
      <c r="F33" s="3"/>
      <c r="G33" s="3" t="s">
        <v>5</v>
      </c>
      <c r="H33" s="1" t="s">
        <v>6</v>
      </c>
    </row>
    <row r="34" spans="1:8" x14ac:dyDescent="0.25">
      <c r="A34" s="50"/>
      <c r="B34" s="1" t="s">
        <v>167</v>
      </c>
      <c r="C34" s="1"/>
      <c r="D34" s="1">
        <v>7.14</v>
      </c>
      <c r="E34" s="1">
        <v>70</v>
      </c>
      <c r="F34" s="1" t="s">
        <v>166</v>
      </c>
      <c r="G34" s="1">
        <f>D34*E34</f>
        <v>499.79999999999995</v>
      </c>
      <c r="H34" s="1"/>
    </row>
    <row r="35" spans="1:8" x14ac:dyDescent="0.25">
      <c r="A35" s="51"/>
      <c r="B35" s="40" t="s">
        <v>134</v>
      </c>
      <c r="C35" s="40"/>
      <c r="D35" s="40">
        <v>45.12</v>
      </c>
      <c r="E35" s="40">
        <v>90</v>
      </c>
      <c r="F35" s="40" t="s">
        <v>17</v>
      </c>
      <c r="G35" s="40">
        <v>4061</v>
      </c>
      <c r="H35" s="1"/>
    </row>
    <row r="36" spans="1:8" x14ac:dyDescent="0.25">
      <c r="A36" s="52"/>
      <c r="B36" s="43" t="s">
        <v>7</v>
      </c>
      <c r="C36" s="44"/>
      <c r="D36" s="45"/>
      <c r="E36" s="3"/>
      <c r="F36" s="3"/>
      <c r="G36" s="13">
        <f>SUM(G34:G35)</f>
        <v>4560.8</v>
      </c>
      <c r="H36" s="6"/>
    </row>
    <row r="37" spans="1:8" x14ac:dyDescent="0.25">
      <c r="A37" s="7" t="s">
        <v>13</v>
      </c>
      <c r="B37" s="1" t="s">
        <v>1</v>
      </c>
      <c r="C37" s="1" t="s">
        <v>2</v>
      </c>
      <c r="D37" s="1" t="s">
        <v>3</v>
      </c>
      <c r="E37" s="1" t="s">
        <v>4</v>
      </c>
      <c r="F37" s="1"/>
      <c r="G37" s="1" t="s">
        <v>5</v>
      </c>
      <c r="H37" s="1"/>
    </row>
    <row r="38" spans="1:8" x14ac:dyDescent="0.25">
      <c r="A38" s="49"/>
      <c r="B38" s="1" t="s">
        <v>172</v>
      </c>
      <c r="C38" s="1"/>
      <c r="D38" s="1">
        <v>270</v>
      </c>
      <c r="E38" s="1">
        <v>4</v>
      </c>
      <c r="F38" s="1" t="s">
        <v>173</v>
      </c>
      <c r="G38" s="1">
        <f>D38*E38</f>
        <v>1080</v>
      </c>
      <c r="H38" s="1"/>
    </row>
    <row r="39" spans="1:8" x14ac:dyDescent="0.25">
      <c r="A39" s="49"/>
      <c r="B39" s="1" t="s">
        <v>174</v>
      </c>
      <c r="C39" s="1"/>
      <c r="D39" s="1">
        <v>120</v>
      </c>
      <c r="E39" s="1">
        <v>4</v>
      </c>
      <c r="F39" s="1" t="s">
        <v>173</v>
      </c>
      <c r="G39" s="38">
        <f>D39*E39</f>
        <v>480</v>
      </c>
      <c r="H39" s="1"/>
    </row>
    <row r="40" spans="1:8" x14ac:dyDescent="0.25">
      <c r="A40" s="49"/>
      <c r="B40" s="1"/>
      <c r="C40" s="1"/>
      <c r="D40" s="1"/>
      <c r="E40" s="1"/>
      <c r="F40" s="1"/>
      <c r="G40" s="1"/>
      <c r="H40" s="1"/>
    </row>
    <row r="41" spans="1:8" x14ac:dyDescent="0.25">
      <c r="A41" s="49"/>
      <c r="B41" s="1"/>
      <c r="C41" s="1"/>
      <c r="D41" s="1"/>
      <c r="E41" s="1"/>
      <c r="F41" s="1"/>
      <c r="G41" s="1"/>
      <c r="H41" s="1"/>
    </row>
    <row r="42" spans="1:8" x14ac:dyDescent="0.25">
      <c r="A42" s="49"/>
      <c r="B42" s="43" t="s">
        <v>7</v>
      </c>
      <c r="C42" s="44"/>
      <c r="D42" s="45"/>
      <c r="E42" s="3"/>
      <c r="F42" s="3"/>
      <c r="G42" s="15">
        <f>SUM(G38:G41)</f>
        <v>1560</v>
      </c>
      <c r="H42" s="1"/>
    </row>
    <row r="43" spans="1:8" x14ac:dyDescent="0.25">
      <c r="A43" s="1"/>
      <c r="B43" s="53" t="s">
        <v>14</v>
      </c>
      <c r="C43" s="54"/>
      <c r="D43" s="55"/>
      <c r="E43" s="8"/>
      <c r="F43" s="8"/>
      <c r="G43" s="9">
        <f>G42+G36+G32+G20+G14+G7+G27</f>
        <v>19648.66</v>
      </c>
      <c r="H43" s="1"/>
    </row>
  </sheetData>
  <mergeCells count="16">
    <mergeCell ref="A38:A42"/>
    <mergeCell ref="B42:D42"/>
    <mergeCell ref="B43:D43"/>
    <mergeCell ref="A22:A27"/>
    <mergeCell ref="B27:D27"/>
    <mergeCell ref="A29:A32"/>
    <mergeCell ref="B32:D32"/>
    <mergeCell ref="A34:A36"/>
    <mergeCell ref="B36:D36"/>
    <mergeCell ref="A16:A20"/>
    <mergeCell ref="B20:D20"/>
    <mergeCell ref="A1:H1"/>
    <mergeCell ref="A3:A7"/>
    <mergeCell ref="B7:D7"/>
    <mergeCell ref="A9:A14"/>
    <mergeCell ref="B14:D14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tabSelected="1" topLeftCell="A37" workbookViewId="0">
      <selection activeCell="H54" sqref="A1:H5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8" x14ac:dyDescent="0.25">
      <c r="A1" s="46" t="s">
        <v>197</v>
      </c>
      <c r="B1" s="47"/>
      <c r="C1" s="47"/>
      <c r="D1" s="47"/>
      <c r="E1" s="47"/>
      <c r="F1" s="47"/>
      <c r="G1" s="47"/>
      <c r="H1" s="48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/>
      <c r="G2" s="1" t="s">
        <v>5</v>
      </c>
      <c r="H2" s="1" t="s">
        <v>6</v>
      </c>
    </row>
    <row r="3" spans="1:8" x14ac:dyDescent="0.25">
      <c r="A3" s="49" t="s">
        <v>116</v>
      </c>
      <c r="B3" s="1" t="s">
        <v>119</v>
      </c>
      <c r="C3" s="1">
        <v>260</v>
      </c>
      <c r="D3" s="1">
        <v>99</v>
      </c>
      <c r="E3" s="1">
        <v>63.7</v>
      </c>
      <c r="F3" s="1" t="s">
        <v>17</v>
      </c>
      <c r="G3" s="2">
        <f>D3*E3</f>
        <v>6306.3</v>
      </c>
      <c r="H3" s="1"/>
    </row>
    <row r="4" spans="1:8" x14ac:dyDescent="0.25">
      <c r="A4" s="49"/>
      <c r="B4" s="1"/>
      <c r="C4" s="1"/>
      <c r="D4" s="1"/>
      <c r="E4" s="1"/>
      <c r="F4" s="1"/>
      <c r="G4" s="1"/>
      <c r="H4" s="1"/>
    </row>
    <row r="5" spans="1:8" x14ac:dyDescent="0.25">
      <c r="A5" s="49"/>
      <c r="B5" s="1"/>
      <c r="C5" s="1"/>
      <c r="D5" s="1"/>
      <c r="E5" s="1"/>
      <c r="F5" s="1"/>
      <c r="G5" s="1"/>
      <c r="H5" s="1"/>
    </row>
    <row r="6" spans="1:8" x14ac:dyDescent="0.25">
      <c r="A6" s="49"/>
      <c r="B6" s="1"/>
      <c r="C6" s="1"/>
      <c r="D6" s="1"/>
      <c r="E6" s="3"/>
      <c r="F6" s="3"/>
      <c r="G6" s="3"/>
      <c r="H6" s="1"/>
    </row>
    <row r="7" spans="1:8" x14ac:dyDescent="0.25">
      <c r="A7" s="49"/>
      <c r="B7" s="1"/>
      <c r="C7" s="1"/>
      <c r="D7" s="1"/>
      <c r="E7" s="3"/>
      <c r="F7" s="3"/>
      <c r="G7" s="3"/>
      <c r="H7" s="1"/>
    </row>
    <row r="8" spans="1:8" x14ac:dyDescent="0.25">
      <c r="A8" s="49"/>
      <c r="B8" s="43" t="s">
        <v>7</v>
      </c>
      <c r="C8" s="44"/>
      <c r="D8" s="45"/>
      <c r="E8" s="3"/>
      <c r="F8" s="3"/>
      <c r="G8" s="13">
        <f>SUM(G3:G7)</f>
        <v>6306.3</v>
      </c>
      <c r="H8" s="1"/>
    </row>
    <row r="9" spans="1:8" x14ac:dyDescent="0.25">
      <c r="A9" s="1" t="s">
        <v>8</v>
      </c>
      <c r="B9" s="1" t="s">
        <v>1</v>
      </c>
      <c r="C9" s="1" t="s">
        <v>2</v>
      </c>
      <c r="D9" s="1" t="s">
        <v>3</v>
      </c>
      <c r="E9" s="1" t="s">
        <v>4</v>
      </c>
      <c r="F9" s="1"/>
      <c r="G9" s="1" t="s">
        <v>5</v>
      </c>
      <c r="H9" s="1" t="s">
        <v>6</v>
      </c>
    </row>
    <row r="10" spans="1:8" x14ac:dyDescent="0.25">
      <c r="A10" s="50" t="s">
        <v>117</v>
      </c>
      <c r="B10" s="25" t="s">
        <v>120</v>
      </c>
      <c r="C10" s="25">
        <v>55</v>
      </c>
      <c r="D10" s="25">
        <v>18.36</v>
      </c>
      <c r="E10" s="25">
        <v>55</v>
      </c>
      <c r="F10" s="31" t="s">
        <v>49</v>
      </c>
      <c r="G10" s="2">
        <f>D10*E10</f>
        <v>1009.8</v>
      </c>
      <c r="H10" s="25"/>
    </row>
    <row r="11" spans="1:8" x14ac:dyDescent="0.25">
      <c r="A11" s="51"/>
      <c r="B11" s="40" t="s">
        <v>184</v>
      </c>
      <c r="C11" s="40"/>
      <c r="D11" s="40">
        <v>15</v>
      </c>
      <c r="E11" s="40">
        <v>35</v>
      </c>
      <c r="F11" s="40" t="s">
        <v>185</v>
      </c>
      <c r="G11" s="2">
        <f t="shared" ref="G11:G13" si="0">D11*E11</f>
        <v>525</v>
      </c>
      <c r="H11" s="1"/>
    </row>
    <row r="12" spans="1:8" x14ac:dyDescent="0.25">
      <c r="A12" s="51"/>
      <c r="B12" s="1" t="s">
        <v>66</v>
      </c>
      <c r="C12" s="1">
        <v>1</v>
      </c>
      <c r="D12" s="1">
        <v>58.5</v>
      </c>
      <c r="E12" s="1">
        <v>1</v>
      </c>
      <c r="F12" s="31" t="s">
        <v>49</v>
      </c>
      <c r="G12" s="2">
        <f t="shared" si="0"/>
        <v>58.5</v>
      </c>
      <c r="H12" s="1"/>
    </row>
    <row r="13" spans="1:8" x14ac:dyDescent="0.25">
      <c r="A13" s="51"/>
      <c r="B13" s="1" t="s">
        <v>73</v>
      </c>
      <c r="C13" s="1">
        <v>4</v>
      </c>
      <c r="D13" s="1">
        <v>100</v>
      </c>
      <c r="E13" s="1">
        <v>4</v>
      </c>
      <c r="F13" s="31" t="s">
        <v>49</v>
      </c>
      <c r="G13" s="2">
        <f t="shared" si="0"/>
        <v>400</v>
      </c>
      <c r="H13" s="1"/>
    </row>
    <row r="14" spans="1:8" x14ac:dyDescent="0.25">
      <c r="A14" s="51"/>
      <c r="B14" s="1"/>
      <c r="C14" s="1"/>
      <c r="D14" s="1"/>
      <c r="E14" s="1"/>
      <c r="F14" s="11"/>
      <c r="G14" s="1"/>
      <c r="H14" s="1"/>
    </row>
    <row r="15" spans="1:8" x14ac:dyDescent="0.25">
      <c r="A15" s="51"/>
      <c r="B15" s="17"/>
      <c r="C15" s="1"/>
      <c r="D15" s="1"/>
      <c r="E15" s="1"/>
      <c r="F15" s="1"/>
      <c r="G15" s="1"/>
      <c r="H15" s="11"/>
    </row>
    <row r="16" spans="1:8" x14ac:dyDescent="0.25">
      <c r="A16" s="52"/>
      <c r="B16" s="43" t="s">
        <v>7</v>
      </c>
      <c r="C16" s="44"/>
      <c r="D16" s="45"/>
      <c r="E16" s="3"/>
      <c r="F16" s="3"/>
      <c r="G16" s="13">
        <f>SUM(G10:G15)</f>
        <v>1993.3</v>
      </c>
      <c r="H16" s="1"/>
    </row>
    <row r="17" spans="1:8" x14ac:dyDescent="0.25">
      <c r="A17" s="1" t="s">
        <v>9</v>
      </c>
      <c r="B17" s="1" t="s">
        <v>1</v>
      </c>
      <c r="C17" s="1" t="s">
        <v>2</v>
      </c>
      <c r="D17" s="1" t="s">
        <v>3</v>
      </c>
      <c r="E17" s="1" t="s">
        <v>4</v>
      </c>
      <c r="F17" s="1"/>
      <c r="G17" s="1" t="s">
        <v>5</v>
      </c>
      <c r="H17" s="1" t="s">
        <v>6</v>
      </c>
    </row>
    <row r="18" spans="1:8" x14ac:dyDescent="0.25">
      <c r="A18" s="49" t="s">
        <v>118</v>
      </c>
      <c r="B18" s="1" t="s">
        <v>121</v>
      </c>
      <c r="C18" s="1">
        <v>8</v>
      </c>
      <c r="D18" s="1">
        <v>39.78</v>
      </c>
      <c r="E18" s="1">
        <v>8</v>
      </c>
      <c r="F18" s="31" t="s">
        <v>49</v>
      </c>
      <c r="G18" s="2">
        <f>D18*E18</f>
        <v>318.24</v>
      </c>
      <c r="H18" s="1"/>
    </row>
    <row r="19" spans="1:8" x14ac:dyDescent="0.25">
      <c r="A19" s="49"/>
      <c r="B19" s="1" t="s">
        <v>96</v>
      </c>
      <c r="C19" s="1">
        <v>5</v>
      </c>
      <c r="D19" s="1">
        <v>25.5</v>
      </c>
      <c r="E19" s="1">
        <v>5</v>
      </c>
      <c r="F19" s="31" t="s">
        <v>49</v>
      </c>
      <c r="G19" s="2">
        <f t="shared" ref="G19:G21" si="1">D19*E19</f>
        <v>127.5</v>
      </c>
      <c r="H19" s="1"/>
    </row>
    <row r="20" spans="1:8" x14ac:dyDescent="0.25">
      <c r="A20" s="49"/>
      <c r="B20" s="1" t="s">
        <v>122</v>
      </c>
      <c r="C20" s="1">
        <v>30</v>
      </c>
      <c r="D20" s="1">
        <v>48</v>
      </c>
      <c r="E20" s="1">
        <v>30</v>
      </c>
      <c r="F20" s="31" t="s">
        <v>49</v>
      </c>
      <c r="G20" s="2">
        <f t="shared" si="1"/>
        <v>1440</v>
      </c>
      <c r="H20" s="1"/>
    </row>
    <row r="21" spans="1:8" x14ac:dyDescent="0.25">
      <c r="A21" s="49"/>
      <c r="B21" s="1" t="s">
        <v>53</v>
      </c>
      <c r="C21" s="1">
        <v>3</v>
      </c>
      <c r="D21" s="1">
        <v>15.96</v>
      </c>
      <c r="E21" s="3">
        <v>3</v>
      </c>
      <c r="F21" s="30" t="s">
        <v>49</v>
      </c>
      <c r="G21" s="2">
        <f t="shared" si="1"/>
        <v>47.88</v>
      </c>
      <c r="H21" s="1"/>
    </row>
    <row r="22" spans="1:8" x14ac:dyDescent="0.25">
      <c r="A22" s="49"/>
      <c r="B22" s="43" t="s">
        <v>7</v>
      </c>
      <c r="C22" s="44"/>
      <c r="D22" s="45"/>
      <c r="E22" s="3"/>
      <c r="F22" s="3"/>
      <c r="G22" s="13">
        <f>SUM(G18:G21)</f>
        <v>1933.6200000000001</v>
      </c>
      <c r="H22" s="1"/>
    </row>
    <row r="23" spans="1:8" x14ac:dyDescent="0.25">
      <c r="A23" s="5" t="s">
        <v>10</v>
      </c>
      <c r="B23" s="1" t="s">
        <v>1</v>
      </c>
      <c r="C23" s="1" t="s">
        <v>2</v>
      </c>
      <c r="D23" s="1" t="s">
        <v>3</v>
      </c>
      <c r="E23" s="1" t="s">
        <v>4</v>
      </c>
      <c r="F23" s="1"/>
      <c r="G23" s="1" t="s">
        <v>5</v>
      </c>
      <c r="H23" s="1" t="s">
        <v>6</v>
      </c>
    </row>
    <row r="24" spans="1:8" x14ac:dyDescent="0.25">
      <c r="A24" s="56"/>
      <c r="B24" s="17" t="s">
        <v>124</v>
      </c>
      <c r="C24" s="31">
        <v>25</v>
      </c>
      <c r="D24" s="11">
        <v>10</v>
      </c>
      <c r="E24" s="11">
        <v>25</v>
      </c>
      <c r="F24" s="31" t="s">
        <v>126</v>
      </c>
      <c r="G24" s="11">
        <f>D24*E24</f>
        <v>250</v>
      </c>
      <c r="H24" s="11"/>
    </row>
    <row r="25" spans="1:8" x14ac:dyDescent="0.25">
      <c r="A25" s="57"/>
      <c r="B25" s="31" t="s">
        <v>125</v>
      </c>
      <c r="C25" s="31">
        <v>40</v>
      </c>
      <c r="D25" s="11">
        <v>132</v>
      </c>
      <c r="E25" s="11">
        <v>2.67</v>
      </c>
      <c r="F25" s="31" t="s">
        <v>181</v>
      </c>
      <c r="G25" s="40">
        <f t="shared" ref="G25:G37" si="2">D25*E25</f>
        <v>352.44</v>
      </c>
      <c r="H25" s="11"/>
    </row>
    <row r="26" spans="1:8" x14ac:dyDescent="0.25">
      <c r="A26" s="57"/>
      <c r="B26" s="40" t="s">
        <v>182</v>
      </c>
      <c r="C26" s="40"/>
      <c r="D26" s="40">
        <v>235</v>
      </c>
      <c r="E26" s="40">
        <v>2</v>
      </c>
      <c r="F26" s="40" t="s">
        <v>183</v>
      </c>
      <c r="G26" s="40">
        <f t="shared" si="2"/>
        <v>470</v>
      </c>
      <c r="H26" s="40"/>
    </row>
    <row r="27" spans="1:8" x14ac:dyDescent="0.25">
      <c r="A27" s="57"/>
      <c r="B27" s="40" t="s">
        <v>190</v>
      </c>
      <c r="C27" s="40"/>
      <c r="D27" s="40">
        <v>93</v>
      </c>
      <c r="E27" s="40">
        <v>4</v>
      </c>
      <c r="F27" s="40" t="s">
        <v>191</v>
      </c>
      <c r="G27" s="40">
        <f t="shared" si="2"/>
        <v>372</v>
      </c>
      <c r="H27" s="40"/>
    </row>
    <row r="28" spans="1:8" x14ac:dyDescent="0.25">
      <c r="A28" s="57"/>
      <c r="B28" s="31" t="s">
        <v>82</v>
      </c>
      <c r="C28" s="31">
        <v>4</v>
      </c>
      <c r="D28" s="11">
        <v>93</v>
      </c>
      <c r="E28" s="11">
        <v>4</v>
      </c>
      <c r="F28" s="31" t="s">
        <v>49</v>
      </c>
      <c r="G28" s="40">
        <f t="shared" si="2"/>
        <v>372</v>
      </c>
      <c r="H28" s="1"/>
    </row>
    <row r="29" spans="1:8" x14ac:dyDescent="0.25">
      <c r="A29" s="57"/>
      <c r="B29" s="1" t="s">
        <v>175</v>
      </c>
      <c r="C29" s="1"/>
      <c r="D29" s="1">
        <v>219</v>
      </c>
      <c r="E29" s="1">
        <v>2</v>
      </c>
      <c r="F29" s="31" t="s">
        <v>176</v>
      </c>
      <c r="G29" s="40">
        <f t="shared" si="2"/>
        <v>438</v>
      </c>
      <c r="H29" s="11"/>
    </row>
    <row r="30" spans="1:8" x14ac:dyDescent="0.25">
      <c r="A30" s="57"/>
      <c r="B30" s="1" t="s">
        <v>177</v>
      </c>
      <c r="C30" s="1"/>
      <c r="D30" s="1">
        <v>500</v>
      </c>
      <c r="E30" s="40">
        <v>1</v>
      </c>
      <c r="F30" s="40" t="s">
        <v>176</v>
      </c>
      <c r="G30" s="40">
        <f t="shared" si="2"/>
        <v>500</v>
      </c>
      <c r="H30" s="11"/>
    </row>
    <row r="31" spans="1:8" x14ac:dyDescent="0.25">
      <c r="A31" s="57"/>
      <c r="B31" s="1" t="s">
        <v>178</v>
      </c>
      <c r="C31" s="1"/>
      <c r="D31" s="1">
        <v>555</v>
      </c>
      <c r="E31" s="40">
        <v>1</v>
      </c>
      <c r="F31" s="40" t="s">
        <v>176</v>
      </c>
      <c r="G31" s="40">
        <f t="shared" si="2"/>
        <v>555</v>
      </c>
      <c r="H31" s="25"/>
    </row>
    <row r="32" spans="1:8" x14ac:dyDescent="0.25">
      <c r="A32" s="57"/>
      <c r="B32" s="1" t="s">
        <v>179</v>
      </c>
      <c r="C32" s="1"/>
      <c r="D32" s="1">
        <v>563</v>
      </c>
      <c r="E32" s="40">
        <v>1</v>
      </c>
      <c r="F32" s="40" t="s">
        <v>176</v>
      </c>
      <c r="G32" s="40">
        <f t="shared" si="2"/>
        <v>563</v>
      </c>
      <c r="H32" s="1"/>
    </row>
    <row r="33" spans="1:14" x14ac:dyDescent="0.25">
      <c r="A33" s="57"/>
      <c r="B33" s="40" t="s">
        <v>180</v>
      </c>
      <c r="C33" s="40"/>
      <c r="D33" s="40">
        <v>61.2</v>
      </c>
      <c r="E33" s="39">
        <v>3</v>
      </c>
      <c r="F33" s="39" t="s">
        <v>181</v>
      </c>
      <c r="G33" s="40">
        <f t="shared" si="2"/>
        <v>183.60000000000002</v>
      </c>
      <c r="H33" s="40"/>
    </row>
    <row r="34" spans="1:14" x14ac:dyDescent="0.25">
      <c r="A34" s="57"/>
      <c r="B34" s="40" t="s">
        <v>192</v>
      </c>
      <c r="C34" s="40"/>
      <c r="D34" s="40">
        <v>291</v>
      </c>
      <c r="E34" s="39">
        <v>2</v>
      </c>
      <c r="F34" s="39" t="s">
        <v>176</v>
      </c>
      <c r="G34" s="40">
        <f t="shared" si="2"/>
        <v>582</v>
      </c>
      <c r="H34" s="40"/>
    </row>
    <row r="35" spans="1:14" x14ac:dyDescent="0.25">
      <c r="A35" s="57"/>
      <c r="B35" s="40" t="s">
        <v>193</v>
      </c>
      <c r="C35" s="40"/>
      <c r="D35" s="40">
        <v>339</v>
      </c>
      <c r="E35" s="39">
        <v>2</v>
      </c>
      <c r="F35" s="39" t="s">
        <v>176</v>
      </c>
      <c r="G35" s="40">
        <f t="shared" si="2"/>
        <v>678</v>
      </c>
      <c r="H35" s="40"/>
    </row>
    <row r="36" spans="1:14" x14ac:dyDescent="0.25">
      <c r="A36" s="57"/>
      <c r="B36" s="40" t="s">
        <v>194</v>
      </c>
      <c r="C36" s="40"/>
      <c r="D36" s="40">
        <v>235</v>
      </c>
      <c r="E36" s="40">
        <v>1</v>
      </c>
      <c r="F36" s="40" t="s">
        <v>176</v>
      </c>
      <c r="G36" s="40">
        <f t="shared" si="2"/>
        <v>235</v>
      </c>
      <c r="H36" s="40"/>
    </row>
    <row r="37" spans="1:14" x14ac:dyDescent="0.25">
      <c r="A37" s="57"/>
      <c r="B37" s="40" t="s">
        <v>195</v>
      </c>
      <c r="C37" s="40"/>
      <c r="D37" s="40">
        <v>844</v>
      </c>
      <c r="E37" s="40">
        <v>1</v>
      </c>
      <c r="F37" s="40" t="s">
        <v>196</v>
      </c>
      <c r="G37" s="40">
        <f t="shared" si="2"/>
        <v>844</v>
      </c>
      <c r="H37" s="40"/>
    </row>
    <row r="38" spans="1:14" x14ac:dyDescent="0.25">
      <c r="A38" s="58"/>
      <c r="B38" s="43" t="s">
        <v>7</v>
      </c>
      <c r="C38" s="44"/>
      <c r="D38" s="45"/>
      <c r="E38" s="3"/>
      <c r="F38" s="3"/>
      <c r="G38" s="13">
        <f>SUM(G24:G37)</f>
        <v>6395.04</v>
      </c>
      <c r="H38" s="1"/>
    </row>
    <row r="39" spans="1:14" x14ac:dyDescent="0.25">
      <c r="A39" s="1" t="s">
        <v>11</v>
      </c>
      <c r="B39" s="1" t="s">
        <v>1</v>
      </c>
      <c r="C39" s="1" t="s">
        <v>2</v>
      </c>
      <c r="D39" s="1" t="s">
        <v>3</v>
      </c>
      <c r="E39" s="1" t="s">
        <v>4</v>
      </c>
      <c r="F39" s="1"/>
      <c r="G39" s="1" t="s">
        <v>5</v>
      </c>
      <c r="H39" s="1" t="s">
        <v>6</v>
      </c>
    </row>
    <row r="40" spans="1:14" x14ac:dyDescent="0.25">
      <c r="A40" s="49" t="s">
        <v>127</v>
      </c>
      <c r="B40" s="1" t="s">
        <v>128</v>
      </c>
      <c r="C40" s="1"/>
      <c r="D40" s="1"/>
      <c r="E40" s="1"/>
      <c r="F40" s="1"/>
      <c r="G40" s="1"/>
      <c r="H40" s="1"/>
    </row>
    <row r="41" spans="1:14" x14ac:dyDescent="0.25">
      <c r="A41" s="49"/>
      <c r="B41" s="1" t="s">
        <v>123</v>
      </c>
      <c r="C41" s="1">
        <v>10</v>
      </c>
      <c r="D41" s="1">
        <v>99</v>
      </c>
      <c r="E41" s="1">
        <v>10</v>
      </c>
      <c r="F41" s="1" t="s">
        <v>50</v>
      </c>
      <c r="G41" s="1">
        <f>D41*E41</f>
        <v>990</v>
      </c>
      <c r="H41" s="1"/>
    </row>
    <row r="42" spans="1:14" x14ac:dyDescent="0.25">
      <c r="A42" s="49"/>
      <c r="B42" s="1"/>
      <c r="C42" s="1"/>
      <c r="D42" s="1"/>
      <c r="E42" s="1"/>
      <c r="F42" s="1"/>
      <c r="G42" s="1"/>
      <c r="H42" s="1"/>
    </row>
    <row r="43" spans="1:14" x14ac:dyDescent="0.25">
      <c r="A43" s="49"/>
      <c r="B43" s="43"/>
      <c r="C43" s="44"/>
      <c r="D43" s="45"/>
      <c r="E43" s="3"/>
      <c r="F43" s="3"/>
      <c r="G43" s="15">
        <f>SUM(G40:G42)</f>
        <v>990</v>
      </c>
      <c r="H43" s="1"/>
    </row>
    <row r="44" spans="1:14" x14ac:dyDescent="0.25">
      <c r="A44" s="1" t="s">
        <v>12</v>
      </c>
      <c r="B44" s="1" t="s">
        <v>1</v>
      </c>
      <c r="C44" s="1" t="s">
        <v>2</v>
      </c>
      <c r="D44" s="1" t="s">
        <v>3</v>
      </c>
      <c r="E44" s="3" t="s">
        <v>4</v>
      </c>
      <c r="F44" s="3"/>
      <c r="G44" s="3" t="s">
        <v>5</v>
      </c>
      <c r="H44" s="1" t="s">
        <v>6</v>
      </c>
      <c r="J44" s="41" t="s">
        <v>189</v>
      </c>
      <c r="K44">
        <v>109.17</v>
      </c>
      <c r="L44" s="42" t="s">
        <v>181</v>
      </c>
      <c r="M44">
        <v>41.28</v>
      </c>
      <c r="N44">
        <v>4507</v>
      </c>
    </row>
    <row r="45" spans="1:14" x14ac:dyDescent="0.25">
      <c r="A45" s="50"/>
      <c r="B45" s="20" t="s">
        <v>139</v>
      </c>
      <c r="C45" s="1"/>
      <c r="D45" s="1">
        <v>15.5</v>
      </c>
      <c r="E45" s="1">
        <v>270</v>
      </c>
      <c r="F45" s="1" t="s">
        <v>162</v>
      </c>
      <c r="G45" s="38">
        <f>D45*E45</f>
        <v>4185</v>
      </c>
      <c r="H45" s="1"/>
    </row>
    <row r="46" spans="1:14" x14ac:dyDescent="0.25">
      <c r="A46" s="51"/>
      <c r="B46" s="1" t="s">
        <v>188</v>
      </c>
      <c r="C46" s="1"/>
      <c r="D46" s="1">
        <v>15.3</v>
      </c>
      <c r="E46" s="1">
        <v>70</v>
      </c>
      <c r="F46" s="1" t="s">
        <v>181</v>
      </c>
      <c r="G46" s="40">
        <f>D46*E46</f>
        <v>1071</v>
      </c>
      <c r="H46" s="1"/>
    </row>
    <row r="47" spans="1:14" x14ac:dyDescent="0.25">
      <c r="A47" s="52"/>
      <c r="B47" s="43" t="s">
        <v>7</v>
      </c>
      <c r="C47" s="44"/>
      <c r="D47" s="45"/>
      <c r="E47" s="3"/>
      <c r="F47" s="3"/>
      <c r="G47" s="13">
        <f>SUM(G45:G46)</f>
        <v>5256</v>
      </c>
      <c r="H47" s="6"/>
    </row>
    <row r="48" spans="1:14" x14ac:dyDescent="0.25">
      <c r="A48" s="7" t="s">
        <v>13</v>
      </c>
      <c r="B48" s="1" t="s">
        <v>1</v>
      </c>
      <c r="C48" s="1" t="s">
        <v>2</v>
      </c>
      <c r="D48" s="1" t="s">
        <v>3</v>
      </c>
      <c r="E48" s="1" t="s">
        <v>4</v>
      </c>
      <c r="F48" s="1"/>
      <c r="G48" s="1" t="s">
        <v>5</v>
      </c>
      <c r="H48" s="1"/>
    </row>
    <row r="49" spans="1:8" x14ac:dyDescent="0.25">
      <c r="A49" s="49"/>
      <c r="B49" s="1" t="s">
        <v>186</v>
      </c>
      <c r="C49" s="1"/>
      <c r="D49" s="1">
        <v>26.1</v>
      </c>
      <c r="E49" s="1">
        <v>2</v>
      </c>
      <c r="F49" s="1" t="s">
        <v>181</v>
      </c>
      <c r="G49" s="1">
        <f>D49*E49</f>
        <v>52.2</v>
      </c>
      <c r="H49" s="1"/>
    </row>
    <row r="50" spans="1:8" x14ac:dyDescent="0.25">
      <c r="A50" s="49"/>
      <c r="B50" s="1" t="s">
        <v>187</v>
      </c>
      <c r="C50" s="1"/>
      <c r="D50" s="1">
        <v>43.8</v>
      </c>
      <c r="E50" s="1">
        <v>2</v>
      </c>
      <c r="F50" s="1" t="s">
        <v>181</v>
      </c>
      <c r="G50" s="40">
        <f>D50*E50</f>
        <v>87.6</v>
      </c>
      <c r="H50" s="1"/>
    </row>
    <row r="51" spans="1:8" x14ac:dyDescent="0.25">
      <c r="A51" s="49"/>
      <c r="B51" s="1"/>
      <c r="C51" s="1"/>
      <c r="D51" s="1"/>
      <c r="E51" s="1"/>
      <c r="F51" s="1"/>
      <c r="G51" s="1"/>
      <c r="H51" s="1"/>
    </row>
    <row r="52" spans="1:8" x14ac:dyDescent="0.25">
      <c r="A52" s="49"/>
      <c r="B52" s="1"/>
      <c r="C52" s="1"/>
      <c r="D52" s="1"/>
      <c r="E52" s="1"/>
      <c r="F52" s="1"/>
      <c r="G52" s="1"/>
      <c r="H52" s="1"/>
    </row>
    <row r="53" spans="1:8" x14ac:dyDescent="0.25">
      <c r="A53" s="49"/>
      <c r="B53" s="43" t="s">
        <v>7</v>
      </c>
      <c r="C53" s="44"/>
      <c r="D53" s="45"/>
      <c r="E53" s="3"/>
      <c r="F53" s="3"/>
      <c r="G53" s="13">
        <f>SUM(G49:G52)</f>
        <v>139.80000000000001</v>
      </c>
      <c r="H53" s="1"/>
    </row>
    <row r="54" spans="1:8" x14ac:dyDescent="0.25">
      <c r="A54" s="1"/>
      <c r="B54" s="53" t="s">
        <v>14</v>
      </c>
      <c r="C54" s="54"/>
      <c r="D54" s="55"/>
      <c r="E54" s="8"/>
      <c r="F54" s="8"/>
      <c r="G54" s="9">
        <f>G53+G47+G43+G22+G16+G8+G38</f>
        <v>23014.06</v>
      </c>
      <c r="H54" s="1"/>
    </row>
  </sheetData>
  <mergeCells count="16">
    <mergeCell ref="A49:A53"/>
    <mergeCell ref="B53:D53"/>
    <mergeCell ref="B54:D54"/>
    <mergeCell ref="B38:D38"/>
    <mergeCell ref="A40:A43"/>
    <mergeCell ref="B43:D43"/>
    <mergeCell ref="A45:A47"/>
    <mergeCell ref="B47:D47"/>
    <mergeCell ref="A24:A38"/>
    <mergeCell ref="A18:A22"/>
    <mergeCell ref="B22:D22"/>
    <mergeCell ref="A1:H1"/>
    <mergeCell ref="A3:A8"/>
    <mergeCell ref="B8:D8"/>
    <mergeCell ref="B16:D16"/>
    <mergeCell ref="A10:A16"/>
  </mergeCells>
  <phoneticPr fontId="2" type="noConversion"/>
  <pageMargins left="0.7" right="0.7" top="0.75" bottom="0.75" header="0.3" footer="0.3"/>
  <pageSetup paperSize="9" scale="8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已命名的範圍</vt:lpstr>
      </vt:variant>
      <vt:variant>
        <vt:i4>5</vt:i4>
      </vt:variant>
    </vt:vector>
  </HeadingPairs>
  <TitlesOfParts>
    <vt:vector size="10" baseType="lpstr">
      <vt:lpstr>0505</vt:lpstr>
      <vt:lpstr>0506</vt:lpstr>
      <vt:lpstr>0507</vt:lpstr>
      <vt:lpstr>0508</vt:lpstr>
      <vt:lpstr>0509</vt:lpstr>
      <vt:lpstr>'0505'!Print_Area</vt:lpstr>
      <vt:lpstr>'0506'!Print_Area</vt:lpstr>
      <vt:lpstr>'0507'!Print_Area</vt:lpstr>
      <vt:lpstr>'0508'!Print_Area</vt:lpstr>
      <vt:lpstr>'0509'!Print_Area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2025-05-09T04:18:05Z</cp:lastPrinted>
  <dcterms:created xsi:type="dcterms:W3CDTF">2025-02-19T17:01:12Z</dcterms:created>
  <dcterms:modified xsi:type="dcterms:W3CDTF">2025-05-09T04:18:07Z</dcterms:modified>
</cp:coreProperties>
</file>