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5月份\"/>
    </mc:Choice>
  </mc:AlternateContent>
  <bookViews>
    <workbookView xWindow="0" yWindow="0" windowWidth="28800" windowHeight="12255" activeTab="4"/>
  </bookViews>
  <sheets>
    <sheet name="0526" sheetId="1" r:id="rId1"/>
    <sheet name="0527" sheetId="2" r:id="rId2"/>
    <sheet name="0528" sheetId="3" r:id="rId3"/>
    <sheet name="0529" sheetId="4" r:id="rId4"/>
    <sheet name="0530" sheetId="5" r:id="rId5"/>
  </sheets>
  <definedNames>
    <definedName name="_xlnm.Print_Area" localSheetId="0">'0526'!$A$1:$H$49</definedName>
    <definedName name="_xlnm.Print_Area" localSheetId="1">'0527'!$A$1:$H$48</definedName>
    <definedName name="_xlnm.Print_Area" localSheetId="2">'0528'!$A$1:$H$48</definedName>
    <definedName name="_xlnm.Print_Area" localSheetId="3">'0529'!$A$1:$H$42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4" l="1"/>
  <c r="G20" i="4"/>
  <c r="G10" i="4" l="1"/>
  <c r="G11" i="4"/>
  <c r="G9" i="4"/>
  <c r="G26" i="4"/>
  <c r="G23" i="4"/>
  <c r="G24" i="4"/>
  <c r="G22" i="4"/>
  <c r="G34" i="4"/>
  <c r="G33" i="4"/>
  <c r="G17" i="4" l="1"/>
  <c r="G18" i="4"/>
  <c r="G16" i="4"/>
  <c r="G22" i="3" l="1"/>
  <c r="G48" i="3" s="1"/>
  <c r="G19" i="3"/>
  <c r="G20" i="3"/>
  <c r="G21" i="3"/>
  <c r="G18" i="3"/>
  <c r="G30" i="3"/>
  <c r="G31" i="3" s="1"/>
  <c r="G9" i="3"/>
  <c r="G8" i="3"/>
  <c r="G4" i="3"/>
  <c r="G5" i="3"/>
  <c r="G6" i="3"/>
  <c r="G7" i="3"/>
  <c r="G15" i="3"/>
  <c r="G33" i="2" l="1"/>
  <c r="G26" i="2"/>
  <c r="G27" i="2"/>
  <c r="G28" i="2"/>
  <c r="G29" i="2"/>
  <c r="G30" i="2"/>
  <c r="G31" i="2"/>
  <c r="G32" i="2"/>
  <c r="G4" i="2"/>
  <c r="G5" i="2"/>
  <c r="G6" i="2"/>
  <c r="G7" i="2"/>
  <c r="G13" i="2"/>
  <c r="G14" i="2"/>
  <c r="G15" i="2"/>
  <c r="G16" i="2"/>
  <c r="G17" i="2"/>
  <c r="G12" i="2"/>
  <c r="G36" i="2"/>
  <c r="G37" i="2"/>
  <c r="G45" i="2"/>
  <c r="G44" i="2"/>
  <c r="G33" i="1"/>
  <c r="G49" i="1"/>
  <c r="G42" i="1"/>
  <c r="G36" i="1"/>
  <c r="G37" i="1"/>
  <c r="G35" i="1"/>
  <c r="G20" i="1"/>
  <c r="G14" i="1"/>
  <c r="G41" i="1"/>
  <c r="G28" i="1"/>
  <c r="G29" i="1"/>
  <c r="G30" i="1"/>
  <c r="G31" i="1"/>
  <c r="G10" i="1" l="1"/>
  <c r="G11" i="1"/>
  <c r="G12" i="1"/>
  <c r="G16" i="1"/>
  <c r="G17" i="1"/>
  <c r="G18" i="1"/>
  <c r="G22" i="1"/>
  <c r="G23" i="1"/>
  <c r="G24" i="1"/>
  <c r="G25" i="1"/>
  <c r="G26" i="1"/>
  <c r="G27" i="1"/>
  <c r="G38" i="3" l="1"/>
  <c r="G12" i="3"/>
  <c r="G13" i="3"/>
  <c r="G14" i="3"/>
  <c r="G11" i="3"/>
  <c r="G29" i="3"/>
  <c r="G28" i="3"/>
  <c r="G25" i="3"/>
  <c r="G26" i="3"/>
  <c r="G27" i="3"/>
  <c r="G24" i="3"/>
  <c r="G34" i="3"/>
  <c r="G33" i="3"/>
  <c r="G3" i="3"/>
  <c r="G43" i="3"/>
  <c r="G44" i="3"/>
  <c r="G45" i="3"/>
  <c r="G46" i="3"/>
  <c r="G47" i="3" s="1"/>
  <c r="G42" i="3"/>
  <c r="G25" i="2" l="1"/>
  <c r="G41" i="2"/>
  <c r="G11" i="2"/>
  <c r="G10" i="2"/>
  <c r="G18" i="2" s="1"/>
  <c r="G21" i="2"/>
  <c r="G22" i="2"/>
  <c r="G20" i="2"/>
  <c r="G23" i="2" s="1"/>
  <c r="G35" i="2"/>
  <c r="G38" i="2" s="1"/>
  <c r="G3" i="2"/>
  <c r="G40" i="2"/>
  <c r="G3" i="1" l="1"/>
  <c r="G48" i="1" l="1"/>
  <c r="G40" i="1"/>
  <c r="G9" i="1" l="1"/>
  <c r="G46" i="5" l="1"/>
  <c r="G40" i="5"/>
  <c r="G36" i="5"/>
  <c r="G22" i="5"/>
  <c r="G16" i="5"/>
  <c r="G8" i="5"/>
  <c r="G41" i="4"/>
  <c r="G35" i="4"/>
  <c r="G31" i="4"/>
  <c r="G14" i="4"/>
  <c r="G42" i="4" s="1"/>
  <c r="G7" i="4"/>
  <c r="G40" i="3"/>
  <c r="G36" i="3"/>
  <c r="G16" i="3"/>
  <c r="G47" i="2"/>
  <c r="G42" i="2"/>
  <c r="G8" i="2"/>
  <c r="G38" i="1"/>
  <c r="G7" i="1"/>
  <c r="G48" i="2" l="1"/>
  <c r="G47" i="5"/>
</calcChain>
</file>

<file path=xl/sharedStrings.xml><?xml version="1.0" encoding="utf-8"?>
<sst xmlns="http://schemas.openxmlformats.org/spreadsheetml/2006/main" count="502" uniqueCount="164">
  <si>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</si>
  <si>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</si>
  <si>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</si>
  <si>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</si>
  <si>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</si>
  <si>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</si>
  <si>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</si>
  <si>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</si>
  <si>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</si>
  <si>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</si>
  <si>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</si>
  <si>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</si>
  <si>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</si>
  <si>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</si>
  <si>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</si>
  <si>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</si>
  <si>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</si>
  <si>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</si>
  <si>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</si>
  <si>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</si>
  <si>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</si>
  <si>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</si>
  <si>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</si>
  <si>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</si>
  <si>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</si>
  <si>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</si>
  <si>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</si>
  <si>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包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</si>
  <si>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</si>
  <si>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</si>
  <si>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</si>
  <si>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</si>
  <si>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厚片土司</t>
    <phoneticPr fontId="2" type="noConversion"/>
  </si>
  <si>
    <t>條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</si>
  <si>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</si>
  <si>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</si>
  <si>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</si>
  <si>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</si>
  <si>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</si>
  <si>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</si>
  <si>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</si>
  <si>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</si>
  <si>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</si>
  <si>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</si>
  <si>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電訊科技中心(安康營區)     114年     5月   26日      午餐明細表</t>
    <phoneticPr fontId="2" type="noConversion"/>
  </si>
  <si>
    <t>電訊科技中心(安康營區)     114年      5月   27日      午餐明細表</t>
    <phoneticPr fontId="2" type="noConversion"/>
  </si>
  <si>
    <t>電訊科技中心(安康營區)     114年      5月   28日      午餐明細表</t>
    <phoneticPr fontId="2" type="noConversion"/>
  </si>
  <si>
    <t>電訊科技中心(安康營區)     114年      5月   29日      午餐明細表</t>
    <phoneticPr fontId="2" type="noConversion"/>
  </si>
  <si>
    <t>電訊科技中心(安康營區)     114年      5月   30日      午餐明細表</t>
    <phoneticPr fontId="2" type="noConversion"/>
  </si>
  <si>
    <t>烤雞腿</t>
    <phoneticPr fontId="2" type="noConversion"/>
  </si>
  <si>
    <t>青花時蔬</t>
    <phoneticPr fontId="2" type="noConversion"/>
  </si>
  <si>
    <t>糖醋豆包</t>
    <phoneticPr fontId="2" type="noConversion"/>
  </si>
  <si>
    <t>芹菜魚丸湯</t>
    <phoneticPr fontId="2" type="noConversion"/>
  </si>
  <si>
    <t>去葉芹菜</t>
    <phoneticPr fontId="2" type="noConversion"/>
  </si>
  <si>
    <t>油蔥酥</t>
    <phoneticPr fontId="2" type="noConversion"/>
  </si>
  <si>
    <t>包</t>
    <phoneticPr fontId="2" type="noConversion"/>
  </si>
  <si>
    <t>小魚丸</t>
    <phoneticPr fontId="2" type="noConversion"/>
  </si>
  <si>
    <t>棒腿</t>
    <phoneticPr fontId="2" type="noConversion"/>
  </si>
  <si>
    <t>支</t>
    <phoneticPr fontId="2" type="noConversion"/>
  </si>
  <si>
    <t>冷花椰菜</t>
    <phoneticPr fontId="2" type="noConversion"/>
  </si>
  <si>
    <t>紅椒</t>
    <phoneticPr fontId="2" type="noConversion"/>
  </si>
  <si>
    <t>黃椒</t>
    <phoneticPr fontId="2" type="noConversion"/>
  </si>
  <si>
    <t>斤</t>
  </si>
  <si>
    <t>斤</t>
    <phoneticPr fontId="2" type="noConversion"/>
  </si>
  <si>
    <t>炸豆包</t>
    <phoneticPr fontId="2" type="noConversion"/>
  </si>
  <si>
    <t>片</t>
    <phoneticPr fontId="2" type="noConversion"/>
  </si>
  <si>
    <t>去皮洋蔥</t>
    <phoneticPr fontId="2" type="noConversion"/>
  </si>
  <si>
    <t>油麵</t>
    <phoneticPr fontId="2" type="noConversion"/>
  </si>
  <si>
    <t>雞翅</t>
    <phoneticPr fontId="2" type="noConversion"/>
  </si>
  <si>
    <t>鹽烤鮭魚
鐵板豬柳</t>
    <phoneticPr fontId="2" type="noConversion"/>
  </si>
  <si>
    <t>豆豉鮮蚵
海鮮粉絲堡</t>
    <phoneticPr fontId="2" type="noConversion"/>
  </si>
  <si>
    <t>鮭魚片</t>
    <phoneticPr fontId="2" type="noConversion"/>
  </si>
  <si>
    <t>檸檬</t>
    <phoneticPr fontId="2" type="noConversion"/>
  </si>
  <si>
    <t>前腿肉柳</t>
    <phoneticPr fontId="2" type="noConversion"/>
  </si>
  <si>
    <t>黑胡椒醬</t>
    <phoneticPr fontId="2" type="noConversion"/>
  </si>
  <si>
    <t>乳瑪琳</t>
    <phoneticPr fontId="2" type="noConversion"/>
  </si>
  <si>
    <t>桶</t>
    <phoneticPr fontId="2" type="noConversion"/>
  </si>
  <si>
    <t>罐</t>
    <phoneticPr fontId="2" type="noConversion"/>
  </si>
  <si>
    <t>豆豉</t>
    <phoneticPr fontId="2" type="noConversion"/>
  </si>
  <si>
    <t>蚵仔</t>
    <phoneticPr fontId="2" type="noConversion"/>
  </si>
  <si>
    <t>家常豆腐</t>
    <phoneticPr fontId="2" type="noConversion"/>
  </si>
  <si>
    <t>小蝦仁</t>
    <phoneticPr fontId="2" type="noConversion"/>
  </si>
  <si>
    <t>魷魚細圈</t>
    <phoneticPr fontId="2" type="noConversion"/>
  </si>
  <si>
    <t>雪白菇</t>
    <phoneticPr fontId="2" type="noConversion"/>
  </si>
  <si>
    <t>盒</t>
    <phoneticPr fontId="2" type="noConversion"/>
  </si>
  <si>
    <t>粒</t>
    <phoneticPr fontId="2" type="noConversion"/>
  </si>
  <si>
    <t>咖哩粉</t>
    <phoneticPr fontId="2" type="noConversion"/>
  </si>
  <si>
    <t>寬冬粉</t>
    <phoneticPr fontId="2" type="noConversion"/>
  </si>
  <si>
    <t>四神湯</t>
    <phoneticPr fontId="2" type="noConversion"/>
  </si>
  <si>
    <t>四神料</t>
    <phoneticPr fontId="2" type="noConversion"/>
  </si>
  <si>
    <t>豬小腸</t>
    <phoneticPr fontId="2" type="noConversion"/>
  </si>
  <si>
    <t>軟骨排</t>
    <phoneticPr fontId="2" type="noConversion"/>
  </si>
  <si>
    <t>炒米粉</t>
    <phoneticPr fontId="2" type="noConversion"/>
  </si>
  <si>
    <t>蒜泥白肉</t>
    <phoneticPr fontId="2" type="noConversion"/>
  </si>
  <si>
    <t>滷味拼盤</t>
    <phoneticPr fontId="2" type="noConversion"/>
  </si>
  <si>
    <t>五花肉片</t>
    <phoneticPr fontId="2" type="noConversion"/>
  </si>
  <si>
    <t>豬肉片</t>
    <phoneticPr fontId="2" type="noConversion"/>
  </si>
  <si>
    <t>薑絲</t>
    <phoneticPr fontId="2" type="noConversion"/>
  </si>
  <si>
    <t>蒜泥</t>
    <phoneticPr fontId="2" type="noConversion"/>
  </si>
  <si>
    <t>鳥蛋</t>
    <phoneticPr fontId="2" type="noConversion"/>
  </si>
  <si>
    <t>油豆腐丁</t>
    <phoneticPr fontId="2" type="noConversion"/>
  </si>
  <si>
    <t>甜不辣條</t>
    <phoneticPr fontId="2" type="noConversion"/>
  </si>
  <si>
    <t>米血丁</t>
    <phoneticPr fontId="2" type="noConversion"/>
  </si>
  <si>
    <t>濕米粉</t>
    <phoneticPr fontId="2" type="noConversion"/>
  </si>
  <si>
    <t>肉絲</t>
    <phoneticPr fontId="2" type="noConversion"/>
  </si>
  <si>
    <t>紅蘿蔔絲</t>
    <phoneticPr fontId="2" type="noConversion"/>
  </si>
  <si>
    <t>木耳絲</t>
    <phoneticPr fontId="2" type="noConversion"/>
  </si>
  <si>
    <t>乾香菇</t>
    <phoneticPr fontId="2" type="noConversion"/>
  </si>
  <si>
    <t>去葉芹菜</t>
    <phoneticPr fontId="2" type="noConversion"/>
  </si>
  <si>
    <t>海帶芽蛋花湯</t>
    <phoneticPr fontId="2" type="noConversion"/>
  </si>
  <si>
    <t>乾海芽</t>
    <phoneticPr fontId="2" type="noConversion"/>
  </si>
  <si>
    <t>蛋</t>
    <phoneticPr fontId="2" type="noConversion"/>
  </si>
  <si>
    <t>素蹄膀</t>
    <phoneticPr fontId="2" type="noConversion"/>
  </si>
  <si>
    <t>卡拉雞</t>
    <phoneticPr fontId="2" type="noConversion"/>
  </si>
  <si>
    <t>大黃瓜肉片</t>
    <phoneticPr fontId="2" type="noConversion"/>
  </si>
  <si>
    <t>三絲炒蛋</t>
    <phoneticPr fontId="2" type="noConversion"/>
  </si>
  <si>
    <t>仙草蜜</t>
    <phoneticPr fontId="2" type="noConversion"/>
  </si>
  <si>
    <t>仙草</t>
    <phoneticPr fontId="2" type="noConversion"/>
  </si>
  <si>
    <t>去皮大黃瓜</t>
    <phoneticPr fontId="2" type="noConversion"/>
  </si>
  <si>
    <t>金針菇</t>
    <phoneticPr fontId="2" type="noConversion"/>
  </si>
  <si>
    <t>滷蛋</t>
    <phoneticPr fontId="2" type="noConversion"/>
  </si>
  <si>
    <t>香腸</t>
    <phoneticPr fontId="2" type="noConversion"/>
  </si>
  <si>
    <t>瓶</t>
    <phoneticPr fontId="2" type="noConversion"/>
  </si>
  <si>
    <t>高湯粉</t>
    <phoneticPr fontId="2" type="noConversion"/>
  </si>
  <si>
    <t>包</t>
    <phoneticPr fontId="2" type="noConversion"/>
  </si>
  <si>
    <t>黑木耳</t>
    <phoneticPr fontId="2" type="noConversion"/>
  </si>
  <si>
    <t>斤</t>
    <phoneticPr fontId="2" type="noConversion"/>
  </si>
  <si>
    <t>高麗菜</t>
    <phoneticPr fontId="2" type="noConversion"/>
  </si>
  <si>
    <t>大西瓜</t>
    <phoneticPr fontId="2" type="noConversion"/>
  </si>
  <si>
    <t>五穀粽</t>
    <phoneticPr fontId="2" type="noConversion"/>
  </si>
  <si>
    <t>個</t>
    <phoneticPr fontId="2" type="noConversion"/>
  </si>
  <si>
    <t>肉粽</t>
    <phoneticPr fontId="2" type="noConversion"/>
  </si>
  <si>
    <t>香菜</t>
    <phoneticPr fontId="2" type="noConversion"/>
  </si>
  <si>
    <t>炒高麗菜</t>
    <phoneticPr fontId="2" type="noConversion"/>
  </si>
  <si>
    <t>高麗菜</t>
    <phoneticPr fontId="2" type="noConversion"/>
  </si>
  <si>
    <t>紅蘿蔔絲</t>
    <phoneticPr fontId="2" type="noConversion"/>
  </si>
  <si>
    <t>香蕉</t>
    <phoneticPr fontId="2" type="noConversion"/>
  </si>
  <si>
    <t>高麗菜</t>
    <phoneticPr fontId="2" type="noConversion"/>
  </si>
  <si>
    <t>調理米酒</t>
    <phoneticPr fontId="2" type="noConversion"/>
  </si>
  <si>
    <t>瓶</t>
    <phoneticPr fontId="2" type="noConversion"/>
  </si>
  <si>
    <t>鹽</t>
    <phoneticPr fontId="2" type="noConversion"/>
  </si>
  <si>
    <t>包</t>
    <phoneticPr fontId="2" type="noConversion"/>
  </si>
  <si>
    <t>白醋</t>
    <phoneticPr fontId="2" type="noConversion"/>
  </si>
  <si>
    <t>桶</t>
    <phoneticPr fontId="2" type="noConversion"/>
  </si>
  <si>
    <t>烏醋</t>
    <phoneticPr fontId="2" type="noConversion"/>
  </si>
  <si>
    <t>起司片</t>
    <phoneticPr fontId="2" type="noConversion"/>
  </si>
  <si>
    <t>吐司</t>
    <phoneticPr fontId="2" type="noConversion"/>
  </si>
  <si>
    <t>條</t>
    <phoneticPr fontId="2" type="noConversion"/>
  </si>
  <si>
    <t>洗選蛋</t>
    <phoneticPr fontId="2" type="noConversion"/>
  </si>
  <si>
    <t>斤</t>
    <phoneticPr fontId="2" type="noConversion"/>
  </si>
  <si>
    <t>大鮭魚切片</t>
    <phoneticPr fontId="2" type="noConversion"/>
  </si>
  <si>
    <t>86片</t>
    <phoneticPr fontId="2" type="noConversion"/>
  </si>
  <si>
    <t>前腿肉柳</t>
    <phoneticPr fontId="2" type="noConversion"/>
  </si>
  <si>
    <t>義大利香料</t>
    <phoneticPr fontId="2" type="noConversion"/>
  </si>
  <si>
    <t>罐</t>
    <phoneticPr fontId="2" type="noConversion"/>
  </si>
  <si>
    <t>桂冠沙拉</t>
    <phoneticPr fontId="2" type="noConversion"/>
  </si>
  <si>
    <t>厚片土司</t>
    <phoneticPr fontId="2" type="noConversion"/>
  </si>
  <si>
    <t>香油</t>
    <phoneticPr fontId="2" type="noConversion"/>
  </si>
  <si>
    <t>斤</t>
    <phoneticPr fontId="2" type="noConversion"/>
  </si>
  <si>
    <t>洗選蛋</t>
    <phoneticPr fontId="2" type="noConversion"/>
  </si>
  <si>
    <t>鵝白菜</t>
    <phoneticPr fontId="2" type="noConversion"/>
  </si>
  <si>
    <t>養樂多</t>
  </si>
  <si>
    <t>組</t>
  </si>
  <si>
    <t>大西瓜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</si>
</sst>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16" workbookViewId="0">
      <selection activeCell="B58" sqref="B5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44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 t="s">
        <v>49</v>
      </c>
      <c r="B3" s="1" t="s">
        <v>57</v>
      </c>
      <c r="C3" s="1">
        <v>260</v>
      </c>
      <c r="D3" s="1">
        <v>99</v>
      </c>
      <c r="E3" s="20">
        <v>63.6</v>
      </c>
      <c r="F3" s="20" t="s">
        <v>17</v>
      </c>
      <c r="G3" s="21">
        <f>D3*E3</f>
        <v>6296.4000000000005</v>
      </c>
      <c r="H3" s="1"/>
    </row>
    <row r="4" spans="1:8" x14ac:dyDescent="0.25">
      <c r="A4" s="44"/>
      <c r="B4" s="11"/>
      <c r="C4" s="11"/>
      <c r="D4" s="11"/>
      <c r="E4" s="11"/>
      <c r="F4" s="11"/>
      <c r="G4" s="2"/>
      <c r="H4" s="1"/>
    </row>
    <row r="5" spans="1:8" x14ac:dyDescent="0.25">
      <c r="A5" s="44"/>
      <c r="B5" s="1"/>
      <c r="C5" s="1"/>
      <c r="D5" s="1"/>
      <c r="E5" s="1"/>
      <c r="F5" s="1"/>
      <c r="G5" s="1"/>
      <c r="H5" s="1"/>
    </row>
    <row r="6" spans="1:8" x14ac:dyDescent="0.25">
      <c r="A6" s="44"/>
      <c r="B6" s="1"/>
      <c r="C6" s="1"/>
      <c r="D6" s="1"/>
      <c r="E6" s="3"/>
      <c r="F6" s="3"/>
      <c r="G6" s="3"/>
      <c r="H6" s="1"/>
    </row>
    <row r="7" spans="1:8" x14ac:dyDescent="0.25">
      <c r="A7" s="44"/>
      <c r="B7" s="41" t="s">
        <v>7</v>
      </c>
      <c r="C7" s="42"/>
      <c r="D7" s="43"/>
      <c r="E7" s="3"/>
      <c r="F7" s="3"/>
      <c r="G7" s="14">
        <f>SUM(G3:G6)</f>
        <v>6296.4000000000005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4" t="s">
        <v>50</v>
      </c>
      <c r="B9" s="1" t="s">
        <v>59</v>
      </c>
      <c r="C9" s="1">
        <v>3</v>
      </c>
      <c r="D9" s="1">
        <v>70</v>
      </c>
      <c r="E9" s="1">
        <v>30</v>
      </c>
      <c r="F9" s="1" t="s">
        <v>27</v>
      </c>
      <c r="G9" s="1">
        <f>D9*E9</f>
        <v>2100</v>
      </c>
      <c r="H9" s="1"/>
    </row>
    <row r="10" spans="1:8" ht="21" customHeight="1" x14ac:dyDescent="0.25">
      <c r="A10" s="44"/>
      <c r="B10" s="1" t="s">
        <v>60</v>
      </c>
      <c r="C10" s="1">
        <v>5</v>
      </c>
      <c r="D10" s="1">
        <v>72.900000000000006</v>
      </c>
      <c r="E10" s="1">
        <v>5</v>
      </c>
      <c r="F10" s="31" t="s">
        <v>63</v>
      </c>
      <c r="G10" s="31">
        <f t="shared" ref="G10:G12" si="0">D10*E10</f>
        <v>364.5</v>
      </c>
      <c r="H10" s="31"/>
    </row>
    <row r="11" spans="1:8" x14ac:dyDescent="0.25">
      <c r="A11" s="44"/>
      <c r="B11" s="1" t="s">
        <v>61</v>
      </c>
      <c r="C11" s="1">
        <v>5</v>
      </c>
      <c r="D11" s="1">
        <v>72.900000000000006</v>
      </c>
      <c r="E11" s="1">
        <v>5</v>
      </c>
      <c r="F11" s="31" t="s">
        <v>62</v>
      </c>
      <c r="G11" s="31">
        <f t="shared" si="0"/>
        <v>364.5</v>
      </c>
      <c r="H11" s="31"/>
    </row>
    <row r="12" spans="1:8" x14ac:dyDescent="0.25">
      <c r="A12" s="44"/>
      <c r="B12" s="1" t="s">
        <v>125</v>
      </c>
      <c r="C12" s="1"/>
      <c r="D12" s="1">
        <v>100</v>
      </c>
      <c r="E12" s="1">
        <v>4</v>
      </c>
      <c r="F12" s="31" t="s">
        <v>126</v>
      </c>
      <c r="G12" s="31">
        <f t="shared" si="0"/>
        <v>400</v>
      </c>
      <c r="H12" s="31"/>
    </row>
    <row r="13" spans="1:8" x14ac:dyDescent="0.25">
      <c r="A13" s="44"/>
      <c r="B13" s="1"/>
      <c r="C13" s="1"/>
      <c r="D13" s="1"/>
      <c r="E13" s="1"/>
      <c r="F13" s="31"/>
      <c r="G13" s="31"/>
      <c r="H13" s="31"/>
    </row>
    <row r="14" spans="1:8" x14ac:dyDescent="0.25">
      <c r="A14" s="44"/>
      <c r="B14" s="41" t="s">
        <v>7</v>
      </c>
      <c r="C14" s="42"/>
      <c r="D14" s="43"/>
      <c r="E14" s="3"/>
      <c r="F14" s="30"/>
      <c r="G14" s="14">
        <f>SUM(G9:G13)</f>
        <v>3229</v>
      </c>
      <c r="H14" s="3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31"/>
      <c r="G15" s="31" t="s">
        <v>5</v>
      </c>
      <c r="H15" s="31" t="s">
        <v>6</v>
      </c>
    </row>
    <row r="16" spans="1:8" x14ac:dyDescent="0.25">
      <c r="A16" s="44" t="s">
        <v>51</v>
      </c>
      <c r="B16" s="1" t="s">
        <v>64</v>
      </c>
      <c r="C16" s="1">
        <v>250</v>
      </c>
      <c r="D16" s="1">
        <v>150</v>
      </c>
      <c r="E16" s="1">
        <v>21</v>
      </c>
      <c r="F16" s="31" t="s">
        <v>17</v>
      </c>
      <c r="G16" s="31">
        <f>D16*E16</f>
        <v>3150</v>
      </c>
      <c r="H16" s="31"/>
    </row>
    <row r="17" spans="1:8" x14ac:dyDescent="0.25">
      <c r="A17" s="44"/>
      <c r="B17" s="1" t="s">
        <v>64</v>
      </c>
      <c r="C17" s="1">
        <v>2</v>
      </c>
      <c r="D17" s="1">
        <v>150</v>
      </c>
      <c r="E17" s="1">
        <v>2</v>
      </c>
      <c r="F17" s="31" t="s">
        <v>63</v>
      </c>
      <c r="G17" s="31">
        <f t="shared" ref="G17:G18" si="1">D17*E17</f>
        <v>300</v>
      </c>
      <c r="H17" s="31"/>
    </row>
    <row r="18" spans="1:8" x14ac:dyDescent="0.25">
      <c r="A18" s="44"/>
      <c r="B18" s="1" t="s">
        <v>66</v>
      </c>
      <c r="C18" s="1">
        <v>5</v>
      </c>
      <c r="D18" s="1">
        <v>24.48</v>
      </c>
      <c r="E18" s="1">
        <v>5</v>
      </c>
      <c r="F18" s="31" t="s">
        <v>62</v>
      </c>
      <c r="G18" s="2">
        <f t="shared" si="1"/>
        <v>122.4</v>
      </c>
      <c r="H18" s="31"/>
    </row>
    <row r="19" spans="1:8" x14ac:dyDescent="0.25">
      <c r="A19" s="44"/>
      <c r="B19" s="1"/>
      <c r="C19" s="1"/>
      <c r="D19" s="1"/>
      <c r="E19" s="3"/>
      <c r="F19" s="30"/>
      <c r="G19" s="31"/>
      <c r="H19" s="31"/>
    </row>
    <row r="20" spans="1:8" x14ac:dyDescent="0.25">
      <c r="A20" s="44"/>
      <c r="B20" s="41"/>
      <c r="C20" s="42"/>
      <c r="D20" s="43"/>
      <c r="E20" s="3"/>
      <c r="F20" s="30"/>
      <c r="G20" s="14">
        <f>SUM(G16:G19)</f>
        <v>3572.4</v>
      </c>
      <c r="H20" s="31"/>
    </row>
    <row r="21" spans="1:8" ht="21" customHeight="1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31"/>
      <c r="G21" s="31" t="s">
        <v>5</v>
      </c>
      <c r="H21" s="31" t="s">
        <v>6</v>
      </c>
    </row>
    <row r="22" spans="1:8" x14ac:dyDescent="0.25">
      <c r="A22" s="44"/>
      <c r="B22" s="1" t="s">
        <v>39</v>
      </c>
      <c r="C22" s="1">
        <v>2</v>
      </c>
      <c r="D22" s="1">
        <v>150</v>
      </c>
      <c r="E22" s="1">
        <v>2</v>
      </c>
      <c r="F22" s="31" t="s">
        <v>17</v>
      </c>
      <c r="G22" s="31">
        <f>D22*E22</f>
        <v>300</v>
      </c>
      <c r="H22" s="31"/>
    </row>
    <row r="23" spans="1:8" x14ac:dyDescent="0.25">
      <c r="A23" s="44"/>
      <c r="B23" s="26" t="s">
        <v>41</v>
      </c>
      <c r="C23" s="1" t="s">
        <v>42</v>
      </c>
      <c r="D23" s="1">
        <v>67.5</v>
      </c>
      <c r="E23" s="1">
        <v>0.5</v>
      </c>
      <c r="F23" s="31" t="s">
        <v>37</v>
      </c>
      <c r="G23" s="31">
        <f>D23*E23</f>
        <v>33.75</v>
      </c>
      <c r="H23" s="31"/>
    </row>
    <row r="24" spans="1:8" x14ac:dyDescent="0.25">
      <c r="A24" s="44"/>
      <c r="B24" s="26" t="s">
        <v>23</v>
      </c>
      <c r="C24" s="1">
        <v>10</v>
      </c>
      <c r="D24" s="1">
        <v>81.599999999999994</v>
      </c>
      <c r="E24" s="1">
        <v>10</v>
      </c>
      <c r="F24" s="31" t="s">
        <v>22</v>
      </c>
      <c r="G24" s="31">
        <f t="shared" ref="G24:G26" si="2">D24*E24</f>
        <v>816</v>
      </c>
      <c r="H24" s="31"/>
    </row>
    <row r="25" spans="1:8" x14ac:dyDescent="0.25">
      <c r="A25" s="44"/>
      <c r="B25" s="1" t="s">
        <v>24</v>
      </c>
      <c r="C25" s="1">
        <v>6</v>
      </c>
      <c r="D25" s="1">
        <v>31.5</v>
      </c>
      <c r="E25" s="1">
        <v>4</v>
      </c>
      <c r="F25" s="31" t="s">
        <v>22</v>
      </c>
      <c r="G25" s="2">
        <f t="shared" si="2"/>
        <v>126</v>
      </c>
      <c r="H25" s="31"/>
    </row>
    <row r="26" spans="1:8" x14ac:dyDescent="0.25">
      <c r="A26" s="44"/>
      <c r="B26" s="11" t="s">
        <v>25</v>
      </c>
      <c r="C26" s="11">
        <v>2</v>
      </c>
      <c r="D26" s="11">
        <v>40.799999999999997</v>
      </c>
      <c r="E26" s="11">
        <v>20</v>
      </c>
      <c r="F26" s="30" t="s">
        <v>17</v>
      </c>
      <c r="G26" s="31">
        <f t="shared" si="2"/>
        <v>816</v>
      </c>
      <c r="H26" s="31"/>
    </row>
    <row r="27" spans="1:8" x14ac:dyDescent="0.25">
      <c r="A27" s="44"/>
      <c r="B27" s="11" t="s">
        <v>26</v>
      </c>
      <c r="C27" s="11">
        <v>4</v>
      </c>
      <c r="D27" s="11">
        <v>75</v>
      </c>
      <c r="E27" s="11">
        <v>4</v>
      </c>
      <c r="F27" s="31" t="s">
        <v>17</v>
      </c>
      <c r="G27" s="2">
        <f>D27*E27</f>
        <v>300</v>
      </c>
      <c r="H27" s="31"/>
    </row>
    <row r="28" spans="1:8" x14ac:dyDescent="0.25">
      <c r="A28" s="44"/>
      <c r="B28" s="11" t="s">
        <v>38</v>
      </c>
      <c r="C28" s="11">
        <v>2</v>
      </c>
      <c r="D28" s="11">
        <v>10</v>
      </c>
      <c r="E28" s="11">
        <v>24</v>
      </c>
      <c r="F28" s="31" t="s">
        <v>122</v>
      </c>
      <c r="G28" s="2">
        <f t="shared" ref="G28:G31" si="3">D28*E28</f>
        <v>240</v>
      </c>
      <c r="H28" s="31"/>
    </row>
    <row r="29" spans="1:8" x14ac:dyDescent="0.25">
      <c r="A29" s="44"/>
      <c r="B29" s="31" t="s">
        <v>67</v>
      </c>
      <c r="C29" s="11">
        <v>8</v>
      </c>
      <c r="D29" s="11">
        <v>19.8</v>
      </c>
      <c r="E29" s="11">
        <v>8</v>
      </c>
      <c r="F29" s="31" t="s">
        <v>62</v>
      </c>
      <c r="G29" s="2">
        <f t="shared" si="3"/>
        <v>158.4</v>
      </c>
      <c r="H29" s="31"/>
    </row>
    <row r="30" spans="1:8" x14ac:dyDescent="0.25">
      <c r="A30" s="44"/>
      <c r="B30" s="11" t="s">
        <v>68</v>
      </c>
      <c r="C30" s="11">
        <v>35</v>
      </c>
      <c r="D30" s="11">
        <v>78</v>
      </c>
      <c r="E30" s="11">
        <v>6.05</v>
      </c>
      <c r="F30" s="31" t="s">
        <v>17</v>
      </c>
      <c r="G30" s="2">
        <f t="shared" si="3"/>
        <v>471.9</v>
      </c>
      <c r="H30" s="31"/>
    </row>
    <row r="31" spans="1:8" x14ac:dyDescent="0.25">
      <c r="A31" s="44"/>
      <c r="B31" s="11" t="s">
        <v>123</v>
      </c>
      <c r="C31" s="11"/>
      <c r="D31" s="11">
        <v>230</v>
      </c>
      <c r="E31" s="11">
        <v>1</v>
      </c>
      <c r="F31" s="31" t="s">
        <v>124</v>
      </c>
      <c r="G31" s="2">
        <f t="shared" si="3"/>
        <v>230</v>
      </c>
      <c r="H31" s="31"/>
    </row>
    <row r="32" spans="1:8" x14ac:dyDescent="0.25">
      <c r="A32" s="44"/>
      <c r="B32" s="28"/>
      <c r="C32" s="28"/>
      <c r="D32" s="28"/>
      <c r="E32" s="28"/>
      <c r="F32" s="28"/>
      <c r="G32" s="2"/>
      <c r="H32" s="1"/>
    </row>
    <row r="33" spans="1:8" x14ac:dyDescent="0.25">
      <c r="A33" s="11"/>
      <c r="B33" s="41" t="s">
        <v>18</v>
      </c>
      <c r="C33" s="42"/>
      <c r="D33" s="43"/>
      <c r="E33" s="28"/>
      <c r="F33" s="28"/>
      <c r="G33" s="15">
        <f>SUM(G22:G32)</f>
        <v>3492.05</v>
      </c>
      <c r="H33" s="11"/>
    </row>
    <row r="34" spans="1:8" x14ac:dyDescent="0.25">
      <c r="A34" s="1" t="s">
        <v>11</v>
      </c>
      <c r="B34" s="28" t="s">
        <v>1</v>
      </c>
      <c r="C34" s="28" t="s">
        <v>2</v>
      </c>
      <c r="D34" s="28" t="s">
        <v>3</v>
      </c>
      <c r="E34" s="28" t="s">
        <v>4</v>
      </c>
      <c r="F34" s="28"/>
      <c r="G34" s="1" t="s">
        <v>5</v>
      </c>
      <c r="H34" s="1" t="s">
        <v>6</v>
      </c>
    </row>
    <row r="35" spans="1:8" x14ac:dyDescent="0.25">
      <c r="A35" s="44" t="s">
        <v>52</v>
      </c>
      <c r="B35" s="28" t="s">
        <v>53</v>
      </c>
      <c r="C35" s="28">
        <v>5</v>
      </c>
      <c r="D35" s="28"/>
      <c r="E35" s="28"/>
      <c r="F35" s="28" t="s">
        <v>40</v>
      </c>
      <c r="G35" s="1">
        <f>D35*E35</f>
        <v>0</v>
      </c>
      <c r="H35" s="1"/>
    </row>
    <row r="36" spans="1:8" x14ac:dyDescent="0.25">
      <c r="A36" s="44"/>
      <c r="B36" s="28" t="s">
        <v>54</v>
      </c>
      <c r="C36" s="28">
        <v>1</v>
      </c>
      <c r="D36" s="28">
        <v>75</v>
      </c>
      <c r="E36" s="28">
        <v>1</v>
      </c>
      <c r="F36" s="28" t="s">
        <v>55</v>
      </c>
      <c r="G36" s="32">
        <f t="shared" ref="G36:G37" si="4">D36*E36</f>
        <v>75</v>
      </c>
      <c r="H36" s="1" t="s">
        <v>15</v>
      </c>
    </row>
    <row r="37" spans="1:8" x14ac:dyDescent="0.25">
      <c r="A37" s="44"/>
      <c r="B37" s="28" t="s">
        <v>56</v>
      </c>
      <c r="C37" s="28">
        <v>3</v>
      </c>
      <c r="D37" s="28">
        <v>78.599999999999994</v>
      </c>
      <c r="E37" s="28">
        <v>15</v>
      </c>
      <c r="F37" s="28" t="s">
        <v>17</v>
      </c>
      <c r="G37" s="32">
        <f t="shared" si="4"/>
        <v>1179</v>
      </c>
      <c r="H37" s="1"/>
    </row>
    <row r="38" spans="1:8" x14ac:dyDescent="0.25">
      <c r="A38" s="44"/>
      <c r="B38" s="41"/>
      <c r="C38" s="42"/>
      <c r="D38" s="43"/>
      <c r="E38" s="29"/>
      <c r="F38" s="29"/>
      <c r="G38" s="16">
        <f>SUM(G35:G37)</f>
        <v>1254</v>
      </c>
      <c r="H38" s="1"/>
    </row>
    <row r="39" spans="1:8" x14ac:dyDescent="0.25">
      <c r="A39" s="1" t="s">
        <v>12</v>
      </c>
      <c r="B39" s="28" t="s">
        <v>1</v>
      </c>
      <c r="C39" s="28" t="s">
        <v>2</v>
      </c>
      <c r="D39" s="28" t="s">
        <v>3</v>
      </c>
      <c r="E39" s="29" t="s">
        <v>4</v>
      </c>
      <c r="F39" s="29"/>
      <c r="G39" s="3" t="s">
        <v>5</v>
      </c>
      <c r="H39" s="1" t="s">
        <v>6</v>
      </c>
    </row>
    <row r="40" spans="1:8" x14ac:dyDescent="0.25">
      <c r="A40" s="45"/>
      <c r="B40" s="1" t="s">
        <v>127</v>
      </c>
      <c r="C40" s="1"/>
      <c r="D40" s="1">
        <v>9.18</v>
      </c>
      <c r="E40" s="1">
        <v>70</v>
      </c>
      <c r="F40" s="1" t="s">
        <v>126</v>
      </c>
      <c r="G40" s="2">
        <f>D40*E40</f>
        <v>642.6</v>
      </c>
      <c r="H40" s="1"/>
    </row>
    <row r="41" spans="1:8" x14ac:dyDescent="0.25">
      <c r="A41" s="46"/>
      <c r="B41" s="1" t="s">
        <v>128</v>
      </c>
      <c r="C41" s="1"/>
      <c r="D41" s="1">
        <v>27.84</v>
      </c>
      <c r="E41" s="1">
        <v>120</v>
      </c>
      <c r="F41" s="1" t="s">
        <v>126</v>
      </c>
      <c r="G41" s="2">
        <f>D41*E41</f>
        <v>3340.8</v>
      </c>
      <c r="H41" s="1"/>
    </row>
    <row r="42" spans="1:8" x14ac:dyDescent="0.25">
      <c r="A42" s="47"/>
      <c r="B42" s="41" t="s">
        <v>7</v>
      </c>
      <c r="C42" s="42"/>
      <c r="D42" s="43"/>
      <c r="E42" s="3"/>
      <c r="F42" s="3"/>
      <c r="G42" s="14">
        <f>SUM(G40:G41)</f>
        <v>3983.4</v>
      </c>
      <c r="H42" s="7"/>
    </row>
    <row r="43" spans="1:8" x14ac:dyDescent="0.25">
      <c r="A43" s="8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4"/>
      <c r="B44" s="1"/>
      <c r="C44" s="1"/>
      <c r="D44" s="1"/>
      <c r="E44" s="1"/>
      <c r="F44" s="1"/>
      <c r="G44" s="1"/>
      <c r="H44" s="1"/>
    </row>
    <row r="45" spans="1:8" x14ac:dyDescent="0.25">
      <c r="A45" s="44"/>
      <c r="B45" s="1"/>
      <c r="C45" s="1"/>
      <c r="D45" s="1"/>
      <c r="E45" s="1"/>
      <c r="F45" s="1"/>
      <c r="G45" s="2"/>
      <c r="H45" s="1"/>
    </row>
    <row r="46" spans="1:8" x14ac:dyDescent="0.25">
      <c r="A46" s="44"/>
      <c r="B46" s="1"/>
      <c r="C46" s="1"/>
      <c r="D46" s="1"/>
      <c r="E46" s="1"/>
      <c r="F46" s="1"/>
      <c r="G46" s="17"/>
      <c r="H46" s="1"/>
    </row>
    <row r="47" spans="1:8" x14ac:dyDescent="0.25">
      <c r="A47" s="44"/>
      <c r="B47" s="1"/>
      <c r="C47" s="1"/>
      <c r="D47" s="1"/>
      <c r="E47" s="1"/>
      <c r="F47" s="1"/>
      <c r="G47" s="1"/>
      <c r="H47" s="1"/>
    </row>
    <row r="48" spans="1:8" x14ac:dyDescent="0.25">
      <c r="A48" s="44"/>
      <c r="B48" s="41" t="s">
        <v>7</v>
      </c>
      <c r="C48" s="42"/>
      <c r="D48" s="43"/>
      <c r="E48" s="3"/>
      <c r="F48" s="3"/>
      <c r="G48" s="16">
        <f>SUM(G44:G47)</f>
        <v>0</v>
      </c>
      <c r="H48" s="1"/>
    </row>
    <row r="49" spans="1:8" x14ac:dyDescent="0.25">
      <c r="A49" s="1"/>
      <c r="B49" s="38" t="s">
        <v>14</v>
      </c>
      <c r="C49" s="39"/>
      <c r="D49" s="40"/>
      <c r="E49" s="9"/>
      <c r="F49" s="9"/>
      <c r="G49" s="10">
        <f>G48+G42+G38+G20+G14+G7+G33</f>
        <v>21827.25</v>
      </c>
      <c r="H49" s="1"/>
    </row>
  </sheetData>
  <mergeCells count="16">
    <mergeCell ref="B20:D20"/>
    <mergeCell ref="A1:H1"/>
    <mergeCell ref="A3:A7"/>
    <mergeCell ref="B7:D7"/>
    <mergeCell ref="A9:A14"/>
    <mergeCell ref="B14:D14"/>
    <mergeCell ref="A44:A48"/>
    <mergeCell ref="A22:A32"/>
    <mergeCell ref="A35:A38"/>
    <mergeCell ref="A40:A42"/>
    <mergeCell ref="A16:A20"/>
    <mergeCell ref="B49:D49"/>
    <mergeCell ref="B48:D48"/>
    <mergeCell ref="B42:D42"/>
    <mergeCell ref="B38:D38"/>
    <mergeCell ref="B33:D33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workbookViewId="0">
      <selection activeCell="D26" sqref="D2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45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1" t="s">
        <v>69</v>
      </c>
      <c r="B3" s="1" t="s">
        <v>71</v>
      </c>
      <c r="C3" s="1">
        <v>70</v>
      </c>
      <c r="D3" s="1">
        <v>300</v>
      </c>
      <c r="E3" s="20">
        <v>61.34</v>
      </c>
      <c r="F3" s="1" t="s">
        <v>17</v>
      </c>
      <c r="G3" s="2">
        <f>D3*E3</f>
        <v>18402</v>
      </c>
      <c r="H3" s="1"/>
    </row>
    <row r="4" spans="1:8" x14ac:dyDescent="0.25">
      <c r="A4" s="44"/>
      <c r="B4" s="1" t="s">
        <v>72</v>
      </c>
      <c r="C4" s="1">
        <v>15</v>
      </c>
      <c r="D4" s="1">
        <v>122.8</v>
      </c>
      <c r="E4" s="1">
        <v>3</v>
      </c>
      <c r="F4" s="1" t="s">
        <v>17</v>
      </c>
      <c r="G4" s="2">
        <f t="shared" ref="G4:G7" si="0">D4*E4</f>
        <v>368.4</v>
      </c>
      <c r="H4" s="1"/>
    </row>
    <row r="5" spans="1:8" x14ac:dyDescent="0.25">
      <c r="A5" s="44"/>
      <c r="B5" s="31" t="s">
        <v>73</v>
      </c>
      <c r="C5" s="31">
        <v>60</v>
      </c>
      <c r="D5" s="31">
        <v>144</v>
      </c>
      <c r="E5" s="31">
        <v>60</v>
      </c>
      <c r="F5" s="31" t="s">
        <v>62</v>
      </c>
      <c r="G5" s="2">
        <f t="shared" si="0"/>
        <v>8640</v>
      </c>
      <c r="H5" s="31"/>
    </row>
    <row r="6" spans="1:8" x14ac:dyDescent="0.25">
      <c r="A6" s="44"/>
      <c r="B6" s="31" t="s">
        <v>74</v>
      </c>
      <c r="C6" s="31">
        <v>2</v>
      </c>
      <c r="D6" s="31">
        <v>500</v>
      </c>
      <c r="E6" s="31">
        <v>2</v>
      </c>
      <c r="F6" s="31" t="s">
        <v>76</v>
      </c>
      <c r="G6" s="2">
        <f t="shared" si="0"/>
        <v>1000</v>
      </c>
      <c r="H6" s="31"/>
    </row>
    <row r="7" spans="1:8" x14ac:dyDescent="0.25">
      <c r="A7" s="44"/>
      <c r="B7" s="1" t="s">
        <v>75</v>
      </c>
      <c r="C7" s="1">
        <v>2</v>
      </c>
      <c r="D7" s="1">
        <v>210</v>
      </c>
      <c r="E7" s="1">
        <v>2</v>
      </c>
      <c r="F7" s="1" t="s">
        <v>77</v>
      </c>
      <c r="G7" s="2">
        <f t="shared" si="0"/>
        <v>420</v>
      </c>
      <c r="H7" s="1"/>
    </row>
    <row r="8" spans="1:8" x14ac:dyDescent="0.25">
      <c r="A8" s="44"/>
      <c r="B8" s="41" t="s">
        <v>7</v>
      </c>
      <c r="C8" s="42"/>
      <c r="D8" s="43"/>
      <c r="E8" s="3"/>
      <c r="F8" s="3"/>
      <c r="G8" s="14">
        <f>SUM(G3:G7)</f>
        <v>28830.400000000001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1" t="s">
        <v>70</v>
      </c>
      <c r="B10" s="1" t="s">
        <v>78</v>
      </c>
      <c r="C10" s="1">
        <v>4</v>
      </c>
      <c r="D10" s="1">
        <v>40.799999999999997</v>
      </c>
      <c r="E10" s="1">
        <v>4</v>
      </c>
      <c r="F10" s="31" t="s">
        <v>62</v>
      </c>
      <c r="G10" s="1">
        <f>D10*E10</f>
        <v>163.19999999999999</v>
      </c>
      <c r="H10" s="1"/>
    </row>
    <row r="11" spans="1:8" x14ac:dyDescent="0.25">
      <c r="A11" s="44"/>
      <c r="B11" s="1" t="s">
        <v>79</v>
      </c>
      <c r="C11" s="1">
        <v>30</v>
      </c>
      <c r="D11" s="1">
        <v>156</v>
      </c>
      <c r="E11" s="1">
        <v>30</v>
      </c>
      <c r="F11" s="31" t="s">
        <v>62</v>
      </c>
      <c r="G11" s="19">
        <f>D11*E11</f>
        <v>4680</v>
      </c>
      <c r="H11" s="1"/>
    </row>
    <row r="12" spans="1:8" x14ac:dyDescent="0.25">
      <c r="A12" s="44"/>
      <c r="B12" s="31" t="s">
        <v>80</v>
      </c>
      <c r="C12" s="31">
        <v>83</v>
      </c>
      <c r="D12" s="31">
        <v>16</v>
      </c>
      <c r="E12" s="31">
        <v>83</v>
      </c>
      <c r="F12" s="31" t="s">
        <v>84</v>
      </c>
      <c r="G12" s="32">
        <f t="shared" ref="G12:G17" si="1">D12*E12</f>
        <v>1328</v>
      </c>
      <c r="H12" s="31"/>
    </row>
    <row r="13" spans="1:8" x14ac:dyDescent="0.25">
      <c r="A13" s="44"/>
      <c r="B13" s="31" t="s">
        <v>81</v>
      </c>
      <c r="C13" s="31">
        <v>15</v>
      </c>
      <c r="D13" s="31">
        <v>240</v>
      </c>
      <c r="E13" s="31">
        <v>15</v>
      </c>
      <c r="F13" s="31" t="s">
        <v>62</v>
      </c>
      <c r="G13" s="32">
        <f t="shared" si="1"/>
        <v>3600</v>
      </c>
      <c r="H13" s="31"/>
    </row>
    <row r="14" spans="1:8" x14ac:dyDescent="0.25">
      <c r="A14" s="44"/>
      <c r="B14" s="1" t="s">
        <v>82</v>
      </c>
      <c r="C14" s="1">
        <v>20</v>
      </c>
      <c r="D14" s="1">
        <v>174</v>
      </c>
      <c r="E14" s="1">
        <v>20</v>
      </c>
      <c r="F14" s="31" t="s">
        <v>62</v>
      </c>
      <c r="G14" s="32">
        <f t="shared" si="1"/>
        <v>3480</v>
      </c>
      <c r="H14" s="1"/>
    </row>
    <row r="15" spans="1:8" x14ac:dyDescent="0.25">
      <c r="A15" s="44"/>
      <c r="B15" s="1" t="s">
        <v>83</v>
      </c>
      <c r="C15" s="1">
        <v>8</v>
      </c>
      <c r="D15" s="1">
        <v>82.5</v>
      </c>
      <c r="E15" s="1">
        <v>8</v>
      </c>
      <c r="F15" s="31" t="s">
        <v>62</v>
      </c>
      <c r="G15" s="32">
        <f t="shared" si="1"/>
        <v>660</v>
      </c>
      <c r="H15" s="1"/>
    </row>
    <row r="16" spans="1:8" x14ac:dyDescent="0.25">
      <c r="A16" s="44"/>
      <c r="B16" s="1" t="s">
        <v>66</v>
      </c>
      <c r="C16" s="1">
        <v>10</v>
      </c>
      <c r="D16" s="1">
        <v>24.48</v>
      </c>
      <c r="E16" s="1">
        <v>10</v>
      </c>
      <c r="F16" s="31" t="s">
        <v>62</v>
      </c>
      <c r="G16" s="32">
        <f t="shared" si="1"/>
        <v>244.8</v>
      </c>
      <c r="H16" s="1"/>
    </row>
    <row r="17" spans="1:8" x14ac:dyDescent="0.25">
      <c r="A17" s="44"/>
      <c r="B17" s="32" t="s">
        <v>97</v>
      </c>
      <c r="C17" s="35"/>
      <c r="D17" s="32">
        <v>74.099999999999994</v>
      </c>
      <c r="E17" s="32">
        <v>1</v>
      </c>
      <c r="F17" s="32" t="s">
        <v>126</v>
      </c>
      <c r="G17" s="32">
        <f t="shared" si="1"/>
        <v>74.099999999999994</v>
      </c>
      <c r="H17" s="32"/>
    </row>
    <row r="18" spans="1:8" x14ac:dyDescent="0.25">
      <c r="A18" s="44"/>
      <c r="B18" s="41" t="s">
        <v>7</v>
      </c>
      <c r="C18" s="42"/>
      <c r="D18" s="43"/>
      <c r="E18" s="3"/>
      <c r="F18" s="3"/>
      <c r="G18" s="14">
        <f>SUM(G10:G17)</f>
        <v>14230.1</v>
      </c>
      <c r="H18" s="1"/>
    </row>
    <row r="19" spans="1:8" x14ac:dyDescent="0.25">
      <c r="A19" s="28" t="s">
        <v>43</v>
      </c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5</v>
      </c>
      <c r="H19" s="1" t="s">
        <v>6</v>
      </c>
    </row>
    <row r="20" spans="1:8" x14ac:dyDescent="0.25">
      <c r="A20" s="44" t="s">
        <v>133</v>
      </c>
      <c r="B20" s="1" t="s">
        <v>134</v>
      </c>
      <c r="C20" s="1"/>
      <c r="D20" s="1">
        <v>9.18</v>
      </c>
      <c r="E20" s="1">
        <v>70</v>
      </c>
      <c r="F20" s="1" t="s">
        <v>17</v>
      </c>
      <c r="G20" s="1">
        <f>D20*E20</f>
        <v>642.6</v>
      </c>
      <c r="H20" s="1"/>
    </row>
    <row r="21" spans="1:8" x14ac:dyDescent="0.25">
      <c r="A21" s="44"/>
      <c r="B21" s="1" t="s">
        <v>106</v>
      </c>
      <c r="C21" s="1"/>
      <c r="D21" s="1">
        <v>45</v>
      </c>
      <c r="E21" s="1">
        <v>5</v>
      </c>
      <c r="F21" s="31" t="s">
        <v>62</v>
      </c>
      <c r="G21" s="19">
        <f t="shared" ref="G21:G22" si="2">D21*E21</f>
        <v>225</v>
      </c>
      <c r="H21" s="1"/>
    </row>
    <row r="22" spans="1:8" x14ac:dyDescent="0.25">
      <c r="A22" s="44"/>
      <c r="B22" s="1" t="s">
        <v>135</v>
      </c>
      <c r="C22" s="1"/>
      <c r="D22" s="1">
        <v>14.82</v>
      </c>
      <c r="E22" s="1">
        <v>3</v>
      </c>
      <c r="F22" s="1" t="s">
        <v>126</v>
      </c>
      <c r="G22" s="19">
        <f t="shared" si="2"/>
        <v>44.46</v>
      </c>
      <c r="H22" s="1"/>
    </row>
    <row r="23" spans="1:8" x14ac:dyDescent="0.25">
      <c r="A23" s="44"/>
      <c r="B23" s="41" t="s">
        <v>7</v>
      </c>
      <c r="C23" s="42"/>
      <c r="D23" s="43"/>
      <c r="E23" s="3"/>
      <c r="F23" s="3"/>
      <c r="G23" s="14">
        <f>SUM(G20:G22)</f>
        <v>912.06000000000006</v>
      </c>
      <c r="H23" s="1"/>
    </row>
    <row r="24" spans="1:8" x14ac:dyDescent="0.25">
      <c r="A24" s="6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44"/>
      <c r="B25" s="1" t="s">
        <v>28</v>
      </c>
      <c r="C25" s="1">
        <v>20</v>
      </c>
      <c r="D25" s="1">
        <v>55</v>
      </c>
      <c r="E25" s="1">
        <v>20</v>
      </c>
      <c r="F25" s="1" t="s">
        <v>17</v>
      </c>
      <c r="G25" s="1">
        <f>D25*E25</f>
        <v>1100</v>
      </c>
      <c r="H25" s="1"/>
    </row>
    <row r="26" spans="1:8" x14ac:dyDescent="0.25">
      <c r="A26" s="44"/>
      <c r="B26" s="1" t="s">
        <v>29</v>
      </c>
      <c r="C26" s="1">
        <v>2</v>
      </c>
      <c r="D26" s="1">
        <v>29.38</v>
      </c>
      <c r="E26" s="1">
        <v>100</v>
      </c>
      <c r="F26" s="1" t="s">
        <v>17</v>
      </c>
      <c r="G26" s="32">
        <f t="shared" ref="G26:G32" si="3">D26*E26</f>
        <v>2938</v>
      </c>
      <c r="H26" s="1"/>
    </row>
    <row r="27" spans="1:8" x14ac:dyDescent="0.25">
      <c r="A27" s="44"/>
      <c r="B27" s="1" t="s">
        <v>30</v>
      </c>
      <c r="C27" s="1">
        <v>2</v>
      </c>
      <c r="D27" s="1">
        <v>1188</v>
      </c>
      <c r="E27" s="1">
        <v>2</v>
      </c>
      <c r="F27" s="1" t="s">
        <v>31</v>
      </c>
      <c r="G27" s="32">
        <f t="shared" si="3"/>
        <v>2376</v>
      </c>
      <c r="H27" s="1"/>
    </row>
    <row r="28" spans="1:8" x14ac:dyDescent="0.25">
      <c r="A28" s="44"/>
      <c r="B28" s="1" t="s">
        <v>32</v>
      </c>
      <c r="C28" s="1">
        <v>1</v>
      </c>
      <c r="D28" s="1">
        <v>60</v>
      </c>
      <c r="E28" s="1">
        <v>1</v>
      </c>
      <c r="F28" s="1" t="s">
        <v>33</v>
      </c>
      <c r="G28" s="32">
        <f t="shared" si="3"/>
        <v>60</v>
      </c>
      <c r="H28" s="1"/>
    </row>
    <row r="29" spans="1:8" x14ac:dyDescent="0.25">
      <c r="A29" s="44"/>
      <c r="B29" s="31" t="s">
        <v>86</v>
      </c>
      <c r="C29" s="31">
        <v>1</v>
      </c>
      <c r="D29" s="31">
        <v>162.6</v>
      </c>
      <c r="E29" s="31">
        <v>1</v>
      </c>
      <c r="F29" s="30" t="s">
        <v>84</v>
      </c>
      <c r="G29" s="32">
        <f t="shared" si="3"/>
        <v>162.6</v>
      </c>
      <c r="H29" s="31"/>
    </row>
    <row r="30" spans="1:8" x14ac:dyDescent="0.25">
      <c r="A30" s="44"/>
      <c r="B30" s="31" t="s">
        <v>87</v>
      </c>
      <c r="C30" s="31">
        <v>17</v>
      </c>
      <c r="D30" s="31">
        <v>93</v>
      </c>
      <c r="E30" s="31">
        <v>20</v>
      </c>
      <c r="F30" s="30" t="s">
        <v>62</v>
      </c>
      <c r="G30" s="32">
        <f t="shared" si="3"/>
        <v>1860</v>
      </c>
      <c r="H30" s="31"/>
    </row>
    <row r="31" spans="1:8" x14ac:dyDescent="0.25">
      <c r="A31" s="44"/>
      <c r="B31" s="31" t="s">
        <v>112</v>
      </c>
      <c r="C31" s="31">
        <v>2</v>
      </c>
      <c r="D31" s="31">
        <v>185</v>
      </c>
      <c r="E31" s="31">
        <v>2</v>
      </c>
      <c r="F31" s="30" t="s">
        <v>55</v>
      </c>
      <c r="G31" s="32">
        <f t="shared" si="3"/>
        <v>370</v>
      </c>
      <c r="H31" s="31"/>
    </row>
    <row r="32" spans="1:8" x14ac:dyDescent="0.25">
      <c r="A32" s="44"/>
      <c r="B32" s="32" t="s">
        <v>132</v>
      </c>
      <c r="C32" s="32"/>
      <c r="D32" s="32">
        <v>64.260000000000005</v>
      </c>
      <c r="E32" s="32">
        <v>0.25</v>
      </c>
      <c r="F32" s="32" t="s">
        <v>126</v>
      </c>
      <c r="G32" s="32">
        <f t="shared" si="3"/>
        <v>16.065000000000001</v>
      </c>
      <c r="H32" s="31"/>
    </row>
    <row r="33" spans="1:8" x14ac:dyDescent="0.25">
      <c r="A33" s="44"/>
      <c r="B33" s="41" t="s">
        <v>7</v>
      </c>
      <c r="C33" s="42"/>
      <c r="D33" s="43"/>
      <c r="E33" s="3"/>
      <c r="F33" s="3"/>
      <c r="G33" s="14">
        <f>SUM(G25:G32)</f>
        <v>8882.6650000000009</v>
      </c>
      <c r="H33" s="1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44" t="s">
        <v>88</v>
      </c>
      <c r="B35" s="1" t="s">
        <v>89</v>
      </c>
      <c r="C35" s="1">
        <v>7</v>
      </c>
      <c r="D35" s="1">
        <v>215</v>
      </c>
      <c r="E35" s="1">
        <v>7</v>
      </c>
      <c r="F35" s="31" t="s">
        <v>124</v>
      </c>
      <c r="G35" s="1">
        <f>D35*E35</f>
        <v>1505</v>
      </c>
      <c r="H35" s="1"/>
    </row>
    <row r="36" spans="1:8" x14ac:dyDescent="0.25">
      <c r="A36" s="44"/>
      <c r="B36" s="1" t="s">
        <v>90</v>
      </c>
      <c r="C36" s="1">
        <v>20</v>
      </c>
      <c r="D36" s="1">
        <v>150</v>
      </c>
      <c r="E36" s="1">
        <v>20</v>
      </c>
      <c r="F36" s="31" t="s">
        <v>62</v>
      </c>
      <c r="G36" s="32">
        <f t="shared" ref="G36:G37" si="4">D36*E36</f>
        <v>3000</v>
      </c>
      <c r="H36" s="1"/>
    </row>
    <row r="37" spans="1:8" x14ac:dyDescent="0.25">
      <c r="A37" s="44"/>
      <c r="B37" s="1" t="s">
        <v>91</v>
      </c>
      <c r="C37" s="1">
        <v>20</v>
      </c>
      <c r="D37" s="1">
        <v>162</v>
      </c>
      <c r="E37" s="1">
        <v>20</v>
      </c>
      <c r="F37" s="31" t="s">
        <v>62</v>
      </c>
      <c r="G37" s="32">
        <f t="shared" si="4"/>
        <v>3240</v>
      </c>
      <c r="H37" s="1"/>
    </row>
    <row r="38" spans="1:8" x14ac:dyDescent="0.25">
      <c r="A38" s="44"/>
      <c r="B38" s="41"/>
      <c r="C38" s="42"/>
      <c r="D38" s="43"/>
      <c r="E38" s="3"/>
      <c r="F38" s="3"/>
      <c r="G38" s="16">
        <f>SUM(G35:G37)</f>
        <v>7745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45"/>
      <c r="B40" s="1" t="s">
        <v>136</v>
      </c>
      <c r="C40" s="1"/>
      <c r="D40" s="1">
        <v>48</v>
      </c>
      <c r="E40" s="1">
        <v>100</v>
      </c>
      <c r="F40" s="1" t="s">
        <v>158</v>
      </c>
      <c r="G40" s="21">
        <f>D40*E40</f>
        <v>4800</v>
      </c>
      <c r="H40" s="1"/>
    </row>
    <row r="41" spans="1:8" x14ac:dyDescent="0.25">
      <c r="A41" s="46"/>
      <c r="B41" s="1"/>
      <c r="C41" s="1"/>
      <c r="D41" s="1"/>
      <c r="E41" s="1"/>
      <c r="F41" s="1"/>
      <c r="G41" s="24">
        <f>D41*E41</f>
        <v>0</v>
      </c>
      <c r="H41" s="1"/>
    </row>
    <row r="42" spans="1:8" x14ac:dyDescent="0.25">
      <c r="A42" s="47"/>
      <c r="B42" s="41" t="s">
        <v>7</v>
      </c>
      <c r="C42" s="42"/>
      <c r="D42" s="43"/>
      <c r="E42" s="3"/>
      <c r="F42" s="3"/>
      <c r="G42" s="14">
        <f>SUM(G40:G41)</f>
        <v>4800</v>
      </c>
      <c r="H42" s="7"/>
    </row>
    <row r="43" spans="1:8" x14ac:dyDescent="0.25">
      <c r="A43" s="8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4"/>
      <c r="B44" s="1" t="s">
        <v>129</v>
      </c>
      <c r="C44" s="1"/>
      <c r="D44" s="1">
        <v>60</v>
      </c>
      <c r="E44" s="1">
        <v>20</v>
      </c>
      <c r="F44" s="1" t="s">
        <v>130</v>
      </c>
      <c r="G44" s="1">
        <f>D44*E44</f>
        <v>1200</v>
      </c>
      <c r="H44" s="1"/>
    </row>
    <row r="45" spans="1:8" x14ac:dyDescent="0.25">
      <c r="A45" s="44"/>
      <c r="B45" s="1" t="s">
        <v>131</v>
      </c>
      <c r="C45" s="1"/>
      <c r="D45" s="1">
        <v>40</v>
      </c>
      <c r="E45" s="1">
        <v>340</v>
      </c>
      <c r="F45" s="1" t="s">
        <v>130</v>
      </c>
      <c r="G45" s="32">
        <f>D45*E45</f>
        <v>13600</v>
      </c>
      <c r="H45" s="1"/>
    </row>
    <row r="46" spans="1:8" x14ac:dyDescent="0.25">
      <c r="A46" s="44"/>
      <c r="B46" s="1"/>
      <c r="C46" s="1"/>
      <c r="D46" s="1"/>
      <c r="E46" s="1"/>
      <c r="F46" s="1"/>
      <c r="G46" s="1"/>
      <c r="H46" s="1"/>
    </row>
    <row r="47" spans="1:8" x14ac:dyDescent="0.25">
      <c r="A47" s="44"/>
      <c r="B47" s="41" t="s">
        <v>7</v>
      </c>
      <c r="C47" s="42"/>
      <c r="D47" s="43"/>
      <c r="E47" s="3"/>
      <c r="F47" s="3"/>
      <c r="G47" s="16">
        <f>SUM(G44:G46)</f>
        <v>14800</v>
      </c>
      <c r="H47" s="1"/>
    </row>
    <row r="48" spans="1:8" x14ac:dyDescent="0.25">
      <c r="A48" s="1"/>
      <c r="B48" s="38" t="s">
        <v>14</v>
      </c>
      <c r="C48" s="39"/>
      <c r="D48" s="40"/>
      <c r="E48" s="9"/>
      <c r="F48" s="9"/>
      <c r="G48" s="10">
        <f>G47+G42+G38+G23+G18+G8+G33</f>
        <v>80200.225000000006</v>
      </c>
      <c r="H48" s="1"/>
    </row>
  </sheetData>
  <mergeCells count="16">
    <mergeCell ref="A20:A23"/>
    <mergeCell ref="B23:D23"/>
    <mergeCell ref="A1:H1"/>
    <mergeCell ref="A3:A8"/>
    <mergeCell ref="B8:D8"/>
    <mergeCell ref="A10:A18"/>
    <mergeCell ref="B18:D18"/>
    <mergeCell ref="A44:A47"/>
    <mergeCell ref="B47:D47"/>
    <mergeCell ref="B48:D48"/>
    <mergeCell ref="A25:A33"/>
    <mergeCell ref="B33:D33"/>
    <mergeCell ref="A35:A38"/>
    <mergeCell ref="B38:D38"/>
    <mergeCell ref="A40:A42"/>
    <mergeCell ref="B42:D42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opLeftCell="A7" workbookViewId="0">
      <selection activeCell="D11" sqref="D1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46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 t="s">
        <v>92</v>
      </c>
      <c r="B3" s="1" t="s">
        <v>103</v>
      </c>
      <c r="C3" s="1">
        <v>65</v>
      </c>
      <c r="D3" s="1">
        <v>32.4</v>
      </c>
      <c r="E3" s="1">
        <v>65</v>
      </c>
      <c r="F3" s="31" t="s">
        <v>62</v>
      </c>
      <c r="G3" s="2">
        <f>D3*E3</f>
        <v>2106</v>
      </c>
      <c r="H3" s="1"/>
    </row>
    <row r="4" spans="1:8" x14ac:dyDescent="0.25">
      <c r="A4" s="44"/>
      <c r="B4" s="1" t="s">
        <v>104</v>
      </c>
      <c r="C4" s="1">
        <v>15</v>
      </c>
      <c r="D4" s="1">
        <v>99</v>
      </c>
      <c r="E4" s="1">
        <v>15</v>
      </c>
      <c r="F4" s="31" t="s">
        <v>62</v>
      </c>
      <c r="G4" s="2">
        <f t="shared" ref="G4:G7" si="0">D4*E4</f>
        <v>1485</v>
      </c>
      <c r="H4" s="1"/>
    </row>
    <row r="5" spans="1:8" x14ac:dyDescent="0.25">
      <c r="A5" s="44"/>
      <c r="B5" s="1" t="s">
        <v>105</v>
      </c>
      <c r="C5" s="1">
        <v>3</v>
      </c>
      <c r="D5" s="1">
        <v>11.4</v>
      </c>
      <c r="E5" s="1">
        <v>3</v>
      </c>
      <c r="F5" s="31" t="s">
        <v>62</v>
      </c>
      <c r="G5" s="2">
        <f t="shared" si="0"/>
        <v>34.200000000000003</v>
      </c>
      <c r="H5" s="1"/>
    </row>
    <row r="6" spans="1:8" x14ac:dyDescent="0.25">
      <c r="A6" s="44"/>
      <c r="B6" s="31" t="s">
        <v>106</v>
      </c>
      <c r="C6" s="31">
        <v>3</v>
      </c>
      <c r="D6" s="31">
        <v>45</v>
      </c>
      <c r="E6" s="30">
        <v>3</v>
      </c>
      <c r="F6" s="30" t="s">
        <v>62</v>
      </c>
      <c r="G6" s="2">
        <f t="shared" si="0"/>
        <v>135</v>
      </c>
      <c r="H6" s="31"/>
    </row>
    <row r="7" spans="1:8" x14ac:dyDescent="0.25">
      <c r="A7" s="44"/>
      <c r="B7" s="31" t="s">
        <v>107</v>
      </c>
      <c r="C7" s="31">
        <v>1</v>
      </c>
      <c r="D7" s="31">
        <v>1125</v>
      </c>
      <c r="E7" s="30">
        <v>1</v>
      </c>
      <c r="F7" s="30" t="s">
        <v>62</v>
      </c>
      <c r="G7" s="2">
        <f t="shared" si="0"/>
        <v>1125</v>
      </c>
      <c r="H7" s="31"/>
    </row>
    <row r="8" spans="1:8" x14ac:dyDescent="0.25">
      <c r="A8" s="44"/>
      <c r="B8" s="1" t="s">
        <v>108</v>
      </c>
      <c r="C8" s="1">
        <v>5</v>
      </c>
      <c r="D8" s="1">
        <v>38.76</v>
      </c>
      <c r="E8" s="3">
        <v>5</v>
      </c>
      <c r="F8" s="30" t="s">
        <v>62</v>
      </c>
      <c r="G8" s="2">
        <f>D8*E8</f>
        <v>193.79999999999998</v>
      </c>
      <c r="H8" s="1"/>
    </row>
    <row r="9" spans="1:8" x14ac:dyDescent="0.25">
      <c r="A9" s="44"/>
      <c r="B9" s="41" t="s">
        <v>7</v>
      </c>
      <c r="C9" s="42"/>
      <c r="D9" s="43"/>
      <c r="E9" s="3"/>
      <c r="F9" s="3"/>
      <c r="G9" s="14">
        <f>SUM(G3:G8)</f>
        <v>5079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44" t="s">
        <v>93</v>
      </c>
      <c r="B11" s="1" t="s">
        <v>95</v>
      </c>
      <c r="C11" s="1">
        <v>20</v>
      </c>
      <c r="D11" s="1">
        <v>168</v>
      </c>
      <c r="E11" s="27">
        <v>20</v>
      </c>
      <c r="F11" s="31" t="s">
        <v>62</v>
      </c>
      <c r="G11" s="1">
        <f>D11*E11</f>
        <v>3360</v>
      </c>
      <c r="H11" s="1"/>
    </row>
    <row r="12" spans="1:8" x14ac:dyDescent="0.25">
      <c r="A12" s="44"/>
      <c r="B12" s="1" t="s">
        <v>96</v>
      </c>
      <c r="C12" s="1">
        <v>30</v>
      </c>
      <c r="D12" s="1">
        <v>99</v>
      </c>
      <c r="E12" s="1">
        <v>30</v>
      </c>
      <c r="F12" s="31" t="s">
        <v>62</v>
      </c>
      <c r="G12" s="22">
        <f t="shared" ref="G12:G15" si="1">D12*E12</f>
        <v>2970</v>
      </c>
      <c r="H12" s="1"/>
    </row>
    <row r="13" spans="1:8" x14ac:dyDescent="0.25">
      <c r="A13" s="44"/>
      <c r="B13" s="1" t="s">
        <v>66</v>
      </c>
      <c r="C13" s="1">
        <v>5</v>
      </c>
      <c r="D13" s="1">
        <v>24.48</v>
      </c>
      <c r="E13" s="1">
        <v>5</v>
      </c>
      <c r="F13" s="31" t="s">
        <v>62</v>
      </c>
      <c r="G13" s="22">
        <f t="shared" si="1"/>
        <v>122.4</v>
      </c>
      <c r="H13" s="1"/>
    </row>
    <row r="14" spans="1:8" x14ac:dyDescent="0.25">
      <c r="A14" s="44"/>
      <c r="B14" s="1" t="s">
        <v>97</v>
      </c>
      <c r="C14" s="1">
        <v>1</v>
      </c>
      <c r="D14" s="1">
        <v>85.5</v>
      </c>
      <c r="E14" s="1">
        <v>1</v>
      </c>
      <c r="F14" s="31" t="s">
        <v>62</v>
      </c>
      <c r="G14" s="22">
        <f t="shared" si="1"/>
        <v>85.5</v>
      </c>
      <c r="H14" s="1"/>
    </row>
    <row r="15" spans="1:8" x14ac:dyDescent="0.25">
      <c r="A15" s="44"/>
      <c r="B15" s="1" t="s">
        <v>98</v>
      </c>
      <c r="C15" s="1">
        <v>2</v>
      </c>
      <c r="D15" s="1">
        <v>91.2</v>
      </c>
      <c r="E15" s="1">
        <v>2</v>
      </c>
      <c r="F15" s="31" t="s">
        <v>62</v>
      </c>
      <c r="G15" s="1">
        <f t="shared" si="1"/>
        <v>182.4</v>
      </c>
      <c r="H15" s="1"/>
    </row>
    <row r="16" spans="1:8" x14ac:dyDescent="0.25">
      <c r="A16" s="44"/>
      <c r="B16" s="41" t="s">
        <v>7</v>
      </c>
      <c r="C16" s="42"/>
      <c r="D16" s="43"/>
      <c r="E16" s="3"/>
      <c r="F16" s="3"/>
      <c r="G16" s="14">
        <f>SUM(G11:G15)</f>
        <v>6720.2999999999993</v>
      </c>
      <c r="H16" s="1"/>
    </row>
    <row r="17" spans="1:14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14" x14ac:dyDescent="0.25">
      <c r="A18" s="44" t="s">
        <v>94</v>
      </c>
      <c r="B18" s="1" t="s">
        <v>99</v>
      </c>
      <c r="C18" s="1">
        <v>700</v>
      </c>
      <c r="D18" s="1">
        <v>108</v>
      </c>
      <c r="E18" s="20">
        <v>14</v>
      </c>
      <c r="F18" s="1" t="s">
        <v>17</v>
      </c>
      <c r="G18" s="1">
        <f>D18*E18</f>
        <v>1512</v>
      </c>
      <c r="H18" s="1"/>
    </row>
    <row r="19" spans="1:14" x14ac:dyDescent="0.25">
      <c r="A19" s="44"/>
      <c r="B19" s="1" t="s">
        <v>100</v>
      </c>
      <c r="C19" s="1">
        <v>15</v>
      </c>
      <c r="D19" s="1">
        <v>60</v>
      </c>
      <c r="E19" s="1">
        <v>15</v>
      </c>
      <c r="F19" s="31" t="s">
        <v>62</v>
      </c>
      <c r="G19" s="34">
        <f t="shared" ref="G19:G21" si="2">D19*E19</f>
        <v>900</v>
      </c>
      <c r="H19" s="1"/>
    </row>
    <row r="20" spans="1:14" x14ac:dyDescent="0.25">
      <c r="A20" s="44"/>
      <c r="B20" s="1" t="s">
        <v>101</v>
      </c>
      <c r="C20" s="1">
        <v>15</v>
      </c>
      <c r="D20" s="1">
        <v>48</v>
      </c>
      <c r="E20" s="1">
        <v>15</v>
      </c>
      <c r="F20" s="31" t="s">
        <v>62</v>
      </c>
      <c r="G20" s="34">
        <f t="shared" si="2"/>
        <v>720</v>
      </c>
      <c r="H20" s="1"/>
    </row>
    <row r="21" spans="1:14" x14ac:dyDescent="0.25">
      <c r="A21" s="44"/>
      <c r="B21" s="1" t="s">
        <v>102</v>
      </c>
      <c r="C21" s="1">
        <v>15</v>
      </c>
      <c r="D21" s="1">
        <v>42</v>
      </c>
      <c r="E21" s="3">
        <v>15</v>
      </c>
      <c r="F21" s="30" t="s">
        <v>62</v>
      </c>
      <c r="G21" s="34">
        <f t="shared" si="2"/>
        <v>630</v>
      </c>
      <c r="H21" s="1"/>
    </row>
    <row r="22" spans="1:14" x14ac:dyDescent="0.25">
      <c r="A22" s="44"/>
      <c r="B22" s="41" t="s">
        <v>7</v>
      </c>
      <c r="C22" s="42"/>
      <c r="D22" s="43"/>
      <c r="E22" s="3"/>
      <c r="F22" s="3"/>
      <c r="G22" s="16">
        <f>SUM(G18:G21)</f>
        <v>3762</v>
      </c>
      <c r="H22" s="1"/>
    </row>
    <row r="23" spans="1:14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14" x14ac:dyDescent="0.25">
      <c r="A24" s="44"/>
      <c r="B24" s="1" t="s">
        <v>138</v>
      </c>
      <c r="C24" s="1"/>
      <c r="D24" s="1">
        <v>37</v>
      </c>
      <c r="E24" s="1">
        <v>20</v>
      </c>
      <c r="F24" s="1" t="s">
        <v>139</v>
      </c>
      <c r="G24" s="1">
        <f>D24*E24</f>
        <v>740</v>
      </c>
      <c r="H24" s="1" t="s">
        <v>35</v>
      </c>
    </row>
    <row r="25" spans="1:14" x14ac:dyDescent="0.25">
      <c r="A25" s="44"/>
      <c r="B25" s="1" t="s">
        <v>140</v>
      </c>
      <c r="C25" s="1"/>
      <c r="D25" s="1">
        <v>363</v>
      </c>
      <c r="E25" s="1">
        <v>1</v>
      </c>
      <c r="F25" s="1" t="s">
        <v>141</v>
      </c>
      <c r="G25" s="22">
        <f t="shared" ref="G25:G30" si="3">D25*E25</f>
        <v>363</v>
      </c>
      <c r="H25" s="1"/>
    </row>
    <row r="26" spans="1:14" x14ac:dyDescent="0.25">
      <c r="A26" s="44"/>
      <c r="B26" s="1" t="s">
        <v>142</v>
      </c>
      <c r="C26" s="1"/>
      <c r="D26" s="1">
        <v>225</v>
      </c>
      <c r="E26" s="1">
        <v>1</v>
      </c>
      <c r="F26" s="1" t="s">
        <v>143</v>
      </c>
      <c r="G26" s="22">
        <f t="shared" si="3"/>
        <v>225</v>
      </c>
      <c r="H26" s="1"/>
    </row>
    <row r="27" spans="1:14" x14ac:dyDescent="0.25">
      <c r="A27" s="44"/>
      <c r="B27" s="1" t="s">
        <v>144</v>
      </c>
      <c r="C27" s="1"/>
      <c r="D27" s="34">
        <v>225</v>
      </c>
      <c r="E27" s="34">
        <v>1</v>
      </c>
      <c r="F27" s="34" t="s">
        <v>143</v>
      </c>
      <c r="G27" s="22">
        <f t="shared" si="3"/>
        <v>225</v>
      </c>
      <c r="H27" s="1"/>
    </row>
    <row r="28" spans="1:14" x14ac:dyDescent="0.25">
      <c r="A28" s="44"/>
      <c r="B28" s="22" t="s">
        <v>145</v>
      </c>
      <c r="C28" s="22"/>
      <c r="D28" s="22">
        <v>378</v>
      </c>
      <c r="E28" s="22">
        <v>1</v>
      </c>
      <c r="F28" s="23" t="s">
        <v>141</v>
      </c>
      <c r="G28" s="23">
        <f t="shared" si="3"/>
        <v>378</v>
      </c>
      <c r="H28" s="22"/>
    </row>
    <row r="29" spans="1:14" x14ac:dyDescent="0.25">
      <c r="A29" s="44"/>
      <c r="B29" s="22" t="s">
        <v>146</v>
      </c>
      <c r="C29" s="22"/>
      <c r="D29" s="22">
        <v>50</v>
      </c>
      <c r="E29" s="22">
        <v>1</v>
      </c>
      <c r="F29" s="23" t="s">
        <v>147</v>
      </c>
      <c r="G29" s="23">
        <f t="shared" si="3"/>
        <v>50</v>
      </c>
      <c r="H29" s="22"/>
    </row>
    <row r="30" spans="1:14" x14ac:dyDescent="0.25">
      <c r="A30" s="44"/>
      <c r="B30" s="34" t="s">
        <v>148</v>
      </c>
      <c r="C30" s="34"/>
      <c r="D30" s="34">
        <v>40.799999999999997</v>
      </c>
      <c r="E30" s="34">
        <v>20</v>
      </c>
      <c r="F30" s="33" t="s">
        <v>149</v>
      </c>
      <c r="G30" s="33">
        <f t="shared" si="3"/>
        <v>816</v>
      </c>
      <c r="H30" s="34"/>
    </row>
    <row r="31" spans="1:14" x14ac:dyDescent="0.25">
      <c r="A31" s="44"/>
      <c r="B31" s="41" t="s">
        <v>7</v>
      </c>
      <c r="C31" s="42"/>
      <c r="D31" s="43"/>
      <c r="E31" s="3"/>
      <c r="F31" s="3"/>
      <c r="G31" s="16">
        <f>SUM(G24:G30)</f>
        <v>2797</v>
      </c>
      <c r="H31" s="1"/>
      <c r="K31" t="s">
        <v>150</v>
      </c>
      <c r="L31" t="s">
        <v>151</v>
      </c>
      <c r="M31" t="s">
        <v>149</v>
      </c>
      <c r="N31">
        <v>300</v>
      </c>
    </row>
    <row r="32" spans="1:14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4" t="s">
        <v>109</v>
      </c>
      <c r="B33" s="1" t="s">
        <v>110</v>
      </c>
      <c r="C33" s="1"/>
      <c r="D33" s="1"/>
      <c r="E33" s="1"/>
      <c r="F33" s="12"/>
      <c r="G33" s="1">
        <f>D33*E33</f>
        <v>0</v>
      </c>
      <c r="H33" s="1"/>
    </row>
    <row r="34" spans="1:8" x14ac:dyDescent="0.25">
      <c r="A34" s="44"/>
      <c r="B34" s="1" t="s">
        <v>111</v>
      </c>
      <c r="C34" s="1"/>
      <c r="D34" s="1"/>
      <c r="E34" s="1"/>
      <c r="F34" s="1"/>
      <c r="G34" s="22">
        <f>D34*E34</f>
        <v>0</v>
      </c>
      <c r="H34" s="1" t="s">
        <v>34</v>
      </c>
    </row>
    <row r="35" spans="1:8" x14ac:dyDescent="0.25">
      <c r="A35" s="44"/>
      <c r="B35" s="1"/>
      <c r="C35" s="1"/>
      <c r="D35" s="1"/>
      <c r="E35" s="1"/>
      <c r="F35" s="1"/>
      <c r="G35" s="1"/>
      <c r="H35" s="1"/>
    </row>
    <row r="36" spans="1:8" x14ac:dyDescent="0.25">
      <c r="A36" s="44"/>
      <c r="B36" s="41" t="s">
        <v>16</v>
      </c>
      <c r="C36" s="42"/>
      <c r="D36" s="43"/>
      <c r="E36" s="3"/>
      <c r="F36" s="3"/>
      <c r="G36" s="14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5"/>
      <c r="B38" s="1" t="s">
        <v>137</v>
      </c>
      <c r="C38" s="1"/>
      <c r="D38" s="1">
        <v>12.24</v>
      </c>
      <c r="E38" s="1">
        <v>70</v>
      </c>
      <c r="F38" s="1" t="s">
        <v>21</v>
      </c>
      <c r="G38" s="1">
        <f>D38*E38</f>
        <v>856.80000000000007</v>
      </c>
      <c r="H38" s="1"/>
    </row>
    <row r="39" spans="1:8" x14ac:dyDescent="0.25">
      <c r="A39" s="46"/>
      <c r="B39" s="36" t="s">
        <v>161</v>
      </c>
      <c r="C39" s="36"/>
      <c r="D39" s="36">
        <v>239</v>
      </c>
      <c r="E39" s="36">
        <v>7.5</v>
      </c>
      <c r="F39" s="36" t="s">
        <v>162</v>
      </c>
      <c r="G39" s="36">
        <v>1792.5</v>
      </c>
      <c r="H39" s="1"/>
    </row>
    <row r="40" spans="1:8" x14ac:dyDescent="0.25">
      <c r="A40" s="47"/>
      <c r="B40" s="41" t="s">
        <v>7</v>
      </c>
      <c r="C40" s="42"/>
      <c r="D40" s="43"/>
      <c r="E40" s="3"/>
      <c r="F40" s="3"/>
      <c r="G40" s="14">
        <f>SUM(G38:G39)</f>
        <v>2649.3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5"/>
      <c r="B42" s="1" t="s">
        <v>152</v>
      </c>
      <c r="C42" s="1"/>
      <c r="D42" s="1">
        <v>144</v>
      </c>
      <c r="E42" s="1">
        <v>10</v>
      </c>
      <c r="F42" s="12" t="s">
        <v>149</v>
      </c>
      <c r="G42" s="1">
        <f>D42*E42</f>
        <v>1440</v>
      </c>
      <c r="H42" s="1"/>
    </row>
    <row r="43" spans="1:8" x14ac:dyDescent="0.25">
      <c r="A43" s="46"/>
      <c r="B43" s="1" t="s">
        <v>153</v>
      </c>
      <c r="C43" s="1"/>
      <c r="D43" s="1">
        <v>138</v>
      </c>
      <c r="E43" s="1">
        <v>1</v>
      </c>
      <c r="F43" s="12" t="s">
        <v>154</v>
      </c>
      <c r="G43" s="22">
        <f t="shared" ref="G43:G46" si="4">D43*E43</f>
        <v>138</v>
      </c>
      <c r="H43" s="1"/>
    </row>
    <row r="44" spans="1:8" x14ac:dyDescent="0.25">
      <c r="A44" s="46"/>
      <c r="B44" s="1" t="s">
        <v>155</v>
      </c>
      <c r="C44" s="1"/>
      <c r="D44" s="1">
        <v>75</v>
      </c>
      <c r="E44" s="1">
        <v>1</v>
      </c>
      <c r="F44" s="12" t="s">
        <v>141</v>
      </c>
      <c r="G44" s="22">
        <f t="shared" si="4"/>
        <v>75</v>
      </c>
      <c r="H44" s="1"/>
    </row>
    <row r="45" spans="1:8" x14ac:dyDescent="0.25">
      <c r="A45" s="46"/>
      <c r="B45" s="1" t="s">
        <v>156</v>
      </c>
      <c r="C45" s="1"/>
      <c r="D45" s="1">
        <v>60</v>
      </c>
      <c r="E45" s="1">
        <v>1</v>
      </c>
      <c r="F45" s="12" t="s">
        <v>147</v>
      </c>
      <c r="G45" s="22">
        <f t="shared" si="4"/>
        <v>60</v>
      </c>
      <c r="H45" s="1"/>
    </row>
    <row r="46" spans="1:8" x14ac:dyDescent="0.25">
      <c r="A46" s="46"/>
      <c r="B46" s="12" t="s">
        <v>157</v>
      </c>
      <c r="C46" s="12"/>
      <c r="D46" s="13">
        <v>339</v>
      </c>
      <c r="E46" s="13">
        <v>2</v>
      </c>
      <c r="F46" s="13" t="s">
        <v>143</v>
      </c>
      <c r="G46" s="22">
        <f t="shared" si="4"/>
        <v>678</v>
      </c>
      <c r="H46" s="12"/>
    </row>
    <row r="47" spans="1:8" x14ac:dyDescent="0.25">
      <c r="A47" s="47"/>
      <c r="B47" s="41" t="s">
        <v>7</v>
      </c>
      <c r="C47" s="42"/>
      <c r="D47" s="43"/>
      <c r="E47" s="3"/>
      <c r="F47" s="3"/>
      <c r="G47" s="14">
        <f>SUM(G42:G46)</f>
        <v>2391</v>
      </c>
      <c r="H47" s="1"/>
    </row>
    <row r="48" spans="1:8" x14ac:dyDescent="0.25">
      <c r="A48" s="12"/>
      <c r="B48" s="38" t="s">
        <v>14</v>
      </c>
      <c r="C48" s="39"/>
      <c r="D48" s="40"/>
      <c r="E48" s="9"/>
      <c r="F48" s="9"/>
      <c r="G48" s="10">
        <f>G47+G40+G36+G22+G16+G9+G31</f>
        <v>23398.6</v>
      </c>
      <c r="H48" s="1"/>
    </row>
  </sheetData>
  <mergeCells count="16">
    <mergeCell ref="A18:A22"/>
    <mergeCell ref="B22:D22"/>
    <mergeCell ref="A1:H1"/>
    <mergeCell ref="A3:A9"/>
    <mergeCell ref="B9:D9"/>
    <mergeCell ref="A11:A16"/>
    <mergeCell ref="B16:D16"/>
    <mergeCell ref="B47:D47"/>
    <mergeCell ref="B48:D48"/>
    <mergeCell ref="A24:A31"/>
    <mergeCell ref="B31:D31"/>
    <mergeCell ref="A33:A36"/>
    <mergeCell ref="B36:D36"/>
    <mergeCell ref="A38:A40"/>
    <mergeCell ref="B40:D40"/>
    <mergeCell ref="A42:A47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A1: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47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 t="s">
        <v>113</v>
      </c>
      <c r="B3" s="1" t="s">
        <v>113</v>
      </c>
      <c r="C3" s="1">
        <v>250</v>
      </c>
      <c r="D3" s="1"/>
      <c r="E3" s="1"/>
      <c r="F3" s="31" t="s">
        <v>65</v>
      </c>
      <c r="G3" s="15"/>
      <c r="H3" s="1"/>
    </row>
    <row r="4" spans="1:8" x14ac:dyDescent="0.25">
      <c r="A4" s="44"/>
      <c r="B4" s="1"/>
      <c r="C4" s="1"/>
      <c r="D4" s="1"/>
      <c r="E4" s="1"/>
      <c r="F4" s="1"/>
      <c r="G4" s="1"/>
      <c r="H4" s="1"/>
    </row>
    <row r="5" spans="1:8" x14ac:dyDescent="0.25">
      <c r="A5" s="44"/>
      <c r="B5" s="1"/>
      <c r="C5" s="1"/>
      <c r="D5" s="1"/>
      <c r="E5" s="1"/>
      <c r="F5" s="1"/>
      <c r="G5" s="1"/>
      <c r="H5" s="1"/>
    </row>
    <row r="6" spans="1:8" x14ac:dyDescent="0.25">
      <c r="A6" s="44"/>
      <c r="B6" s="18"/>
      <c r="C6" s="1"/>
      <c r="D6" s="1"/>
      <c r="E6" s="3"/>
      <c r="F6" s="3"/>
      <c r="G6" s="3"/>
      <c r="H6" s="1"/>
    </row>
    <row r="7" spans="1:8" x14ac:dyDescent="0.25">
      <c r="A7" s="44"/>
      <c r="B7" s="41" t="s">
        <v>7</v>
      </c>
      <c r="C7" s="42"/>
      <c r="D7" s="43"/>
      <c r="E7" s="3"/>
      <c r="F7" s="3"/>
      <c r="G7" s="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4" t="s">
        <v>114</v>
      </c>
      <c r="B9" s="18" t="s">
        <v>118</v>
      </c>
      <c r="C9" s="1">
        <v>50</v>
      </c>
      <c r="D9" s="1">
        <v>11.22</v>
      </c>
      <c r="E9" s="1">
        <v>50</v>
      </c>
      <c r="F9" s="31" t="s">
        <v>62</v>
      </c>
      <c r="G9" s="1">
        <f>D9*E9</f>
        <v>561</v>
      </c>
      <c r="H9" s="1"/>
    </row>
    <row r="10" spans="1:8" x14ac:dyDescent="0.25">
      <c r="A10" s="44"/>
      <c r="B10" s="1" t="s">
        <v>96</v>
      </c>
      <c r="C10" s="1">
        <v>10</v>
      </c>
      <c r="D10" s="1">
        <v>99</v>
      </c>
      <c r="E10" s="1">
        <v>10</v>
      </c>
      <c r="F10" s="31" t="s">
        <v>62</v>
      </c>
      <c r="G10" s="36">
        <f t="shared" ref="G10:G11" si="0">D10*E10</f>
        <v>990</v>
      </c>
      <c r="H10" s="1"/>
    </row>
    <row r="11" spans="1:8" x14ac:dyDescent="0.25">
      <c r="A11" s="44"/>
      <c r="B11" s="1" t="s">
        <v>95</v>
      </c>
      <c r="C11" s="1">
        <v>10</v>
      </c>
      <c r="D11" s="37">
        <v>168</v>
      </c>
      <c r="E11" s="1">
        <v>10</v>
      </c>
      <c r="F11" s="31" t="s">
        <v>62</v>
      </c>
      <c r="G11" s="36">
        <f t="shared" si="0"/>
        <v>1680</v>
      </c>
      <c r="H11" s="1"/>
    </row>
    <row r="12" spans="1:8" x14ac:dyDescent="0.25">
      <c r="A12" s="44"/>
      <c r="B12" s="1"/>
      <c r="C12" s="1"/>
      <c r="D12" s="1"/>
      <c r="E12" s="1"/>
      <c r="F12" s="12"/>
      <c r="G12" s="1"/>
      <c r="H12" s="1"/>
    </row>
    <row r="13" spans="1:8" x14ac:dyDescent="0.25">
      <c r="A13" s="44"/>
      <c r="B13" s="1"/>
      <c r="C13" s="1"/>
      <c r="D13" s="1"/>
      <c r="E13" s="1"/>
      <c r="F13" s="1"/>
      <c r="G13" s="1"/>
      <c r="H13" s="1"/>
    </row>
    <row r="14" spans="1:8" x14ac:dyDescent="0.25">
      <c r="A14" s="44"/>
      <c r="B14" s="41" t="s">
        <v>7</v>
      </c>
      <c r="C14" s="42"/>
      <c r="D14" s="43"/>
      <c r="E14" s="3"/>
      <c r="F14" s="3"/>
      <c r="G14" s="14">
        <f>SUM(G9:G13)</f>
        <v>3231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4" t="s">
        <v>115</v>
      </c>
      <c r="B16" s="1" t="s">
        <v>105</v>
      </c>
      <c r="C16" s="1">
        <v>8</v>
      </c>
      <c r="D16" s="1">
        <v>14.82</v>
      </c>
      <c r="E16" s="1">
        <v>8</v>
      </c>
      <c r="F16" s="31" t="s">
        <v>62</v>
      </c>
      <c r="G16" s="1">
        <f>D16*E16</f>
        <v>118.56</v>
      </c>
      <c r="H16" s="1"/>
    </row>
    <row r="17" spans="1:8" x14ac:dyDescent="0.25">
      <c r="A17" s="44"/>
      <c r="B17" s="1" t="s">
        <v>106</v>
      </c>
      <c r="C17" s="1">
        <v>5</v>
      </c>
      <c r="D17" s="1">
        <v>45</v>
      </c>
      <c r="E17" s="1">
        <v>5</v>
      </c>
      <c r="F17" s="31" t="s">
        <v>62</v>
      </c>
      <c r="G17" s="36">
        <f t="shared" ref="G17:G18" si="1">D17*E17</f>
        <v>225</v>
      </c>
      <c r="H17" s="1"/>
    </row>
    <row r="18" spans="1:8" x14ac:dyDescent="0.25">
      <c r="A18" s="44"/>
      <c r="B18" s="1" t="s">
        <v>119</v>
      </c>
      <c r="C18" s="1">
        <v>8</v>
      </c>
      <c r="D18" s="1">
        <v>45</v>
      </c>
      <c r="E18" s="1">
        <v>8</v>
      </c>
      <c r="F18" s="31" t="s">
        <v>62</v>
      </c>
      <c r="G18" s="36">
        <f t="shared" si="1"/>
        <v>360</v>
      </c>
      <c r="H18" s="1"/>
    </row>
    <row r="19" spans="1:8" x14ac:dyDescent="0.25">
      <c r="A19" s="44"/>
      <c r="B19" s="25"/>
      <c r="C19" s="25"/>
      <c r="D19" s="25"/>
      <c r="E19" s="25"/>
      <c r="F19" s="25"/>
      <c r="G19" s="1"/>
      <c r="H19" s="1"/>
    </row>
    <row r="20" spans="1:8" x14ac:dyDescent="0.25">
      <c r="A20" s="44"/>
      <c r="B20" s="41" t="s">
        <v>7</v>
      </c>
      <c r="C20" s="42"/>
      <c r="D20" s="43"/>
      <c r="E20" s="3"/>
      <c r="F20" s="3"/>
      <c r="G20" s="14">
        <f>SUM(G16:G19)</f>
        <v>703.56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4"/>
      <c r="B22" s="1" t="s">
        <v>120</v>
      </c>
      <c r="C22" s="1">
        <v>25</v>
      </c>
      <c r="D22" s="1">
        <v>10</v>
      </c>
      <c r="E22" s="1">
        <v>25</v>
      </c>
      <c r="F22" s="12" t="s">
        <v>85</v>
      </c>
      <c r="G22" s="1">
        <f>D22*E22</f>
        <v>250</v>
      </c>
      <c r="H22" s="1"/>
    </row>
    <row r="23" spans="1:8" x14ac:dyDescent="0.25">
      <c r="A23" s="44"/>
      <c r="B23" s="1" t="s">
        <v>121</v>
      </c>
      <c r="C23" s="1">
        <v>40</v>
      </c>
      <c r="D23" s="1"/>
      <c r="E23" s="1"/>
      <c r="F23" s="1" t="s">
        <v>58</v>
      </c>
      <c r="G23" s="36">
        <f t="shared" ref="G23:G24" si="2">D23*E23</f>
        <v>0</v>
      </c>
      <c r="H23" s="1" t="s">
        <v>36</v>
      </c>
    </row>
    <row r="24" spans="1:8" x14ac:dyDescent="0.25">
      <c r="A24" s="44"/>
      <c r="B24" s="1" t="s">
        <v>159</v>
      </c>
      <c r="C24" s="1"/>
      <c r="D24" s="1">
        <v>40.799999999999997</v>
      </c>
      <c r="E24" s="1">
        <v>20</v>
      </c>
      <c r="F24" s="1" t="s">
        <v>158</v>
      </c>
      <c r="G24" s="36">
        <f t="shared" si="2"/>
        <v>816</v>
      </c>
      <c r="H24" s="1"/>
    </row>
    <row r="25" spans="1:8" x14ac:dyDescent="0.25">
      <c r="A25" s="44"/>
      <c r="B25" s="1"/>
      <c r="C25" s="1"/>
      <c r="D25" s="1"/>
      <c r="E25" s="1"/>
      <c r="F25" s="1"/>
      <c r="G25" s="1"/>
      <c r="H25" s="1"/>
    </row>
    <row r="26" spans="1:8" x14ac:dyDescent="0.25">
      <c r="A26" s="44"/>
      <c r="B26" s="41" t="s">
        <v>7</v>
      </c>
      <c r="C26" s="42"/>
      <c r="D26" s="43"/>
      <c r="E26" s="3"/>
      <c r="F26" s="3"/>
      <c r="G26" s="16">
        <f>SUM(G22:G25)</f>
        <v>1066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4" t="s">
        <v>116</v>
      </c>
      <c r="B28" s="25" t="s">
        <v>117</v>
      </c>
      <c r="C28" s="25">
        <v>20</v>
      </c>
      <c r="D28" s="25">
        <v>88</v>
      </c>
      <c r="E28" s="25">
        <v>20</v>
      </c>
      <c r="F28" t="s">
        <v>62</v>
      </c>
      <c r="G28" s="1">
        <f>D28*E28</f>
        <v>1760</v>
      </c>
      <c r="H28" s="1" t="s">
        <v>15</v>
      </c>
    </row>
    <row r="29" spans="1:8" x14ac:dyDescent="0.25">
      <c r="A29" s="44"/>
      <c r="B29" s="1"/>
      <c r="C29" s="1"/>
      <c r="D29" s="1"/>
      <c r="E29" s="1"/>
      <c r="F29" s="1"/>
      <c r="G29" s="1"/>
      <c r="H29" s="1"/>
    </row>
    <row r="30" spans="1:8" x14ac:dyDescent="0.25">
      <c r="A30" s="44"/>
      <c r="B30" s="1"/>
      <c r="C30" s="1"/>
      <c r="D30" s="1"/>
      <c r="E30" s="1"/>
      <c r="F30" s="1"/>
      <c r="G30" s="1"/>
      <c r="H30" s="1"/>
    </row>
    <row r="31" spans="1:8" x14ac:dyDescent="0.25">
      <c r="A31" s="44"/>
      <c r="B31" s="41"/>
      <c r="C31" s="42"/>
      <c r="D31" s="43"/>
      <c r="E31" s="3"/>
      <c r="F31" s="3"/>
      <c r="G31" s="16">
        <f>SUM(G28:G30)</f>
        <v>1760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5"/>
      <c r="B33" s="1" t="s">
        <v>160</v>
      </c>
      <c r="C33" s="1"/>
      <c r="D33" s="1">
        <v>11.7</v>
      </c>
      <c r="E33" s="1">
        <v>65</v>
      </c>
      <c r="F33" s="1" t="s">
        <v>158</v>
      </c>
      <c r="G33" s="1">
        <f>D33*E33</f>
        <v>760.5</v>
      </c>
      <c r="H33" s="1"/>
    </row>
    <row r="34" spans="1:8" x14ac:dyDescent="0.25">
      <c r="A34" s="46"/>
      <c r="B34" s="1" t="s">
        <v>163</v>
      </c>
      <c r="C34" s="1"/>
      <c r="D34" s="1">
        <v>27.84</v>
      </c>
      <c r="E34" s="1">
        <v>112</v>
      </c>
      <c r="F34" s="1" t="s">
        <v>158</v>
      </c>
      <c r="G34" s="36">
        <f>D34*E34</f>
        <v>3118.08</v>
      </c>
      <c r="H34" s="1"/>
    </row>
    <row r="35" spans="1:8" x14ac:dyDescent="0.25">
      <c r="A35" s="47"/>
      <c r="B35" s="41" t="s">
        <v>7</v>
      </c>
      <c r="C35" s="42"/>
      <c r="D35" s="43"/>
      <c r="E35" s="3"/>
      <c r="F35" s="3"/>
      <c r="G35" s="14">
        <f>SUM(G33:G34)</f>
        <v>3878.58</v>
      </c>
      <c r="H35" s="7"/>
    </row>
    <row r="36" spans="1:8" x14ac:dyDescent="0.25">
      <c r="A36" s="8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4"/>
      <c r="B37" s="1"/>
      <c r="C37" s="1"/>
      <c r="D37" s="1"/>
      <c r="E37" s="1"/>
      <c r="F37" s="1"/>
      <c r="G37" s="1"/>
      <c r="H37" s="1"/>
    </row>
    <row r="38" spans="1:8" x14ac:dyDescent="0.25">
      <c r="A38" s="44"/>
      <c r="B38" s="1"/>
      <c r="C38" s="1"/>
      <c r="D38" s="1"/>
      <c r="E38" s="1"/>
      <c r="F38" s="1"/>
      <c r="G38" s="1"/>
      <c r="H38" s="1"/>
    </row>
    <row r="39" spans="1:8" x14ac:dyDescent="0.25">
      <c r="A39" s="44"/>
      <c r="B39" s="1"/>
      <c r="C39" s="1"/>
      <c r="D39" s="1"/>
      <c r="E39" s="1"/>
      <c r="F39" s="1"/>
      <c r="G39" s="1"/>
      <c r="H39" s="1"/>
    </row>
    <row r="40" spans="1:8" x14ac:dyDescent="0.25">
      <c r="A40" s="44"/>
      <c r="B40" s="1"/>
      <c r="C40" s="1"/>
      <c r="D40" s="1"/>
      <c r="E40" s="1"/>
      <c r="F40" s="1"/>
      <c r="G40" s="1"/>
      <c r="H40" s="1"/>
    </row>
    <row r="41" spans="1:8" x14ac:dyDescent="0.25">
      <c r="A41" s="44"/>
      <c r="B41" s="41" t="s">
        <v>7</v>
      </c>
      <c r="C41" s="42"/>
      <c r="D41" s="43"/>
      <c r="E41" s="3"/>
      <c r="F41" s="3"/>
      <c r="G41" s="5">
        <f>SUM(G37:G40)</f>
        <v>0</v>
      </c>
      <c r="H41" s="1"/>
    </row>
    <row r="42" spans="1:8" x14ac:dyDescent="0.25">
      <c r="A42" s="1"/>
      <c r="B42" s="38" t="s">
        <v>14</v>
      </c>
      <c r="C42" s="39"/>
      <c r="D42" s="40"/>
      <c r="E42" s="9"/>
      <c r="F42" s="9"/>
      <c r="G42" s="10">
        <f>G41+G35+G31+G20+G14+G7+G26</f>
        <v>10639.14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>
      <selection activeCell="B3" sqref="B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48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/>
      <c r="B3" s="1"/>
      <c r="C3" s="1"/>
      <c r="D3" s="1"/>
      <c r="E3" s="1"/>
      <c r="F3" s="1"/>
      <c r="G3" s="2"/>
      <c r="H3" s="1"/>
    </row>
    <row r="4" spans="1:8" x14ac:dyDescent="0.25">
      <c r="A4" s="44"/>
      <c r="B4" s="1"/>
      <c r="C4" s="1"/>
      <c r="D4" s="1"/>
      <c r="E4" s="1"/>
      <c r="F4" s="1"/>
      <c r="G4" s="1"/>
      <c r="H4" s="1"/>
    </row>
    <row r="5" spans="1:8" x14ac:dyDescent="0.25">
      <c r="A5" s="44"/>
      <c r="B5" s="1"/>
      <c r="C5" s="1"/>
      <c r="D5" s="1"/>
      <c r="E5" s="1"/>
      <c r="F5" s="1"/>
      <c r="G5" s="1"/>
      <c r="H5" s="1"/>
    </row>
    <row r="6" spans="1:8" x14ac:dyDescent="0.25">
      <c r="A6" s="44"/>
      <c r="B6" s="1"/>
      <c r="C6" s="1"/>
      <c r="D6" s="1"/>
      <c r="E6" s="3"/>
      <c r="F6" s="3"/>
      <c r="G6" s="3"/>
      <c r="H6" s="1"/>
    </row>
    <row r="7" spans="1:8" x14ac:dyDescent="0.25">
      <c r="A7" s="44"/>
      <c r="B7" s="1"/>
      <c r="C7" s="1"/>
      <c r="D7" s="1"/>
      <c r="E7" s="3"/>
      <c r="F7" s="3"/>
      <c r="G7" s="3"/>
      <c r="H7" s="1"/>
    </row>
    <row r="8" spans="1:8" x14ac:dyDescent="0.25">
      <c r="A8" s="44"/>
      <c r="B8" s="41" t="s">
        <v>7</v>
      </c>
      <c r="C8" s="42"/>
      <c r="D8" s="43"/>
      <c r="E8" s="3"/>
      <c r="F8" s="3"/>
      <c r="G8" s="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5"/>
      <c r="B10" s="25"/>
      <c r="C10" s="25"/>
      <c r="D10" s="25"/>
      <c r="E10" s="25"/>
      <c r="F10" s="25"/>
      <c r="G10" s="25"/>
      <c r="H10" s="25"/>
    </row>
    <row r="11" spans="1:8" x14ac:dyDescent="0.25">
      <c r="A11" s="46"/>
      <c r="B11" s="1"/>
      <c r="C11" s="1"/>
      <c r="D11" s="1"/>
      <c r="E11" s="1"/>
      <c r="F11" s="12"/>
      <c r="G11" s="1"/>
      <c r="H11" s="1"/>
    </row>
    <row r="12" spans="1:8" x14ac:dyDescent="0.25">
      <c r="A12" s="46"/>
      <c r="B12" s="1"/>
      <c r="C12" s="1"/>
      <c r="D12" s="1"/>
      <c r="E12" s="1"/>
      <c r="F12" s="12"/>
      <c r="G12" s="1"/>
      <c r="H12" s="1"/>
    </row>
    <row r="13" spans="1:8" x14ac:dyDescent="0.25">
      <c r="A13" s="46"/>
      <c r="B13" s="1"/>
      <c r="C13" s="1"/>
      <c r="D13" s="1"/>
      <c r="E13" s="1"/>
      <c r="F13" s="12"/>
      <c r="G13" s="1"/>
      <c r="H13" s="1"/>
    </row>
    <row r="14" spans="1:8" x14ac:dyDescent="0.25">
      <c r="A14" s="46"/>
      <c r="B14" s="1"/>
      <c r="C14" s="1"/>
      <c r="D14" s="1"/>
      <c r="E14" s="1"/>
      <c r="F14" s="12"/>
      <c r="G14" s="1"/>
      <c r="H14" s="1"/>
    </row>
    <row r="15" spans="1:8" x14ac:dyDescent="0.25">
      <c r="A15" s="46"/>
      <c r="B15" s="18"/>
      <c r="C15" s="1"/>
      <c r="D15" s="1"/>
      <c r="E15" s="1"/>
      <c r="F15" s="1"/>
      <c r="G15" s="1"/>
      <c r="H15" s="12"/>
    </row>
    <row r="16" spans="1:8" x14ac:dyDescent="0.25">
      <c r="A16" s="47"/>
      <c r="B16" s="41" t="s">
        <v>7</v>
      </c>
      <c r="C16" s="42"/>
      <c r="D16" s="43"/>
      <c r="E16" s="3"/>
      <c r="F16" s="3"/>
      <c r="G16" s="4">
        <f>SUM(G11:G15)</f>
        <v>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4"/>
      <c r="B18" s="1"/>
      <c r="C18" s="1"/>
      <c r="D18" s="1"/>
      <c r="E18" s="1"/>
      <c r="F18" s="12"/>
      <c r="G18" s="1"/>
      <c r="H18" s="1"/>
    </row>
    <row r="19" spans="1:8" x14ac:dyDescent="0.25">
      <c r="A19" s="44"/>
      <c r="B19" s="1"/>
      <c r="C19" s="1"/>
      <c r="D19" s="1"/>
      <c r="E19" s="1"/>
      <c r="F19" s="12"/>
      <c r="G19" s="1"/>
      <c r="H19" s="1"/>
    </row>
    <row r="20" spans="1:8" x14ac:dyDescent="0.25">
      <c r="A20" s="44"/>
      <c r="B20" s="1"/>
      <c r="C20" s="1"/>
      <c r="D20" s="1"/>
      <c r="E20" s="1"/>
      <c r="F20" s="1"/>
      <c r="G20" s="1"/>
      <c r="H20" s="1"/>
    </row>
    <row r="21" spans="1:8" x14ac:dyDescent="0.25">
      <c r="A21" s="44"/>
      <c r="B21" s="1"/>
      <c r="C21" s="1"/>
      <c r="D21" s="1"/>
      <c r="E21" s="3"/>
      <c r="F21" s="3"/>
      <c r="G21" s="1"/>
      <c r="H21" s="1"/>
    </row>
    <row r="22" spans="1:8" x14ac:dyDescent="0.25">
      <c r="A22" s="44"/>
      <c r="B22" s="41" t="s">
        <v>7</v>
      </c>
      <c r="C22" s="42"/>
      <c r="D22" s="43"/>
      <c r="E22" s="3"/>
      <c r="F22" s="3"/>
      <c r="G22" s="5">
        <f>SUM(G18:G21)</f>
        <v>0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2"/>
      <c r="B24" s="18"/>
      <c r="C24" s="12"/>
      <c r="D24" s="12"/>
      <c r="E24" s="12"/>
      <c r="F24" s="12"/>
      <c r="G24" s="12"/>
      <c r="H24" s="12" t="s">
        <v>20</v>
      </c>
    </row>
    <row r="25" spans="1:8" x14ac:dyDescent="0.25">
      <c r="A25" s="53"/>
      <c r="B25" s="12"/>
      <c r="C25" s="12"/>
      <c r="D25" s="12"/>
      <c r="E25" s="12"/>
      <c r="F25" s="12"/>
      <c r="G25" s="12"/>
      <c r="H25" s="12" t="s">
        <v>20</v>
      </c>
    </row>
    <row r="26" spans="1:8" x14ac:dyDescent="0.25">
      <c r="A26" s="53"/>
      <c r="B26" s="12"/>
      <c r="C26" s="12"/>
      <c r="D26" s="12"/>
      <c r="E26" s="12"/>
      <c r="F26" s="12"/>
      <c r="G26" s="12"/>
      <c r="H26" s="1" t="s">
        <v>19</v>
      </c>
    </row>
    <row r="27" spans="1:8" x14ac:dyDescent="0.25">
      <c r="A27" s="53"/>
      <c r="B27" s="1"/>
      <c r="C27" s="1"/>
      <c r="D27" s="1"/>
      <c r="E27" s="1"/>
      <c r="F27" s="1"/>
      <c r="G27" s="1"/>
      <c r="H27" s="12" t="s">
        <v>19</v>
      </c>
    </row>
    <row r="28" spans="1:8" x14ac:dyDescent="0.25">
      <c r="A28" s="53"/>
      <c r="B28" s="1"/>
      <c r="C28" s="1"/>
      <c r="D28" s="1"/>
      <c r="E28" s="1"/>
      <c r="F28" s="1"/>
      <c r="G28" s="1"/>
      <c r="H28" s="12" t="s">
        <v>19</v>
      </c>
    </row>
    <row r="29" spans="1:8" x14ac:dyDescent="0.25">
      <c r="A29" s="53"/>
      <c r="B29" s="1"/>
      <c r="C29" s="1"/>
      <c r="D29" s="1"/>
      <c r="E29" s="1"/>
      <c r="F29" s="1"/>
      <c r="G29" s="1"/>
      <c r="H29" s="25"/>
    </row>
    <row r="30" spans="1:8" x14ac:dyDescent="0.25">
      <c r="A30" s="53"/>
      <c r="B30" s="1"/>
      <c r="C30" s="1"/>
      <c r="D30" s="1"/>
      <c r="E30" s="1"/>
      <c r="F30" s="1"/>
      <c r="G30" s="1"/>
      <c r="H30" s="1"/>
    </row>
    <row r="31" spans="1:8" x14ac:dyDescent="0.25">
      <c r="A31" s="54"/>
      <c r="B31" s="41" t="s">
        <v>7</v>
      </c>
      <c r="C31" s="42"/>
      <c r="D31" s="43"/>
      <c r="E31" s="3"/>
      <c r="F31" s="3"/>
      <c r="G31" s="3"/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4"/>
      <c r="B33" s="1"/>
      <c r="C33" s="1"/>
      <c r="D33" s="1"/>
      <c r="E33" s="1"/>
      <c r="F33" s="1"/>
      <c r="G33" s="1"/>
      <c r="H33" s="1"/>
    </row>
    <row r="34" spans="1:8" x14ac:dyDescent="0.25">
      <c r="A34" s="44"/>
      <c r="B34" s="1"/>
      <c r="C34" s="1"/>
      <c r="D34" s="1"/>
      <c r="E34" s="1"/>
      <c r="F34" s="1"/>
      <c r="G34" s="1"/>
      <c r="H34" s="1"/>
    </row>
    <row r="35" spans="1:8" x14ac:dyDescent="0.25">
      <c r="A35" s="44"/>
      <c r="B35" s="1"/>
      <c r="C35" s="1"/>
      <c r="D35" s="1"/>
      <c r="E35" s="1"/>
      <c r="F35" s="1"/>
      <c r="G35" s="1"/>
      <c r="H35" s="1"/>
    </row>
    <row r="36" spans="1:8" x14ac:dyDescent="0.25">
      <c r="A36" s="44"/>
      <c r="B36" s="41"/>
      <c r="C36" s="42"/>
      <c r="D36" s="43"/>
      <c r="E36" s="3"/>
      <c r="F36" s="3"/>
      <c r="G36" s="5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5"/>
      <c r="B38" s="1"/>
      <c r="C38" s="1"/>
      <c r="D38" s="1"/>
      <c r="E38" s="1"/>
      <c r="F38" s="1"/>
      <c r="G38" s="1"/>
      <c r="H38" s="1"/>
    </row>
    <row r="39" spans="1:8" x14ac:dyDescent="0.25">
      <c r="A39" s="46"/>
      <c r="B39" s="1"/>
      <c r="C39" s="1"/>
      <c r="D39" s="1"/>
      <c r="E39" s="1"/>
      <c r="F39" s="1"/>
      <c r="G39" s="2"/>
      <c r="H39" s="1"/>
    </row>
    <row r="40" spans="1:8" x14ac:dyDescent="0.25">
      <c r="A40" s="47"/>
      <c r="B40" s="41" t="s">
        <v>7</v>
      </c>
      <c r="C40" s="42"/>
      <c r="D40" s="43"/>
      <c r="E40" s="3"/>
      <c r="F40" s="3"/>
      <c r="G40" s="4">
        <f>SUM(G38:G39)</f>
        <v>0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4"/>
      <c r="B42" s="1"/>
      <c r="C42" s="1"/>
      <c r="D42" s="1"/>
      <c r="E42" s="1"/>
      <c r="F42" s="1"/>
      <c r="G42" s="1"/>
      <c r="H42" s="1"/>
    </row>
    <row r="43" spans="1:8" x14ac:dyDescent="0.25">
      <c r="A43" s="44"/>
      <c r="B43" s="1"/>
      <c r="C43" s="1"/>
      <c r="D43" s="1"/>
      <c r="E43" s="1"/>
      <c r="F43" s="1"/>
      <c r="G43" s="1"/>
      <c r="H43" s="1"/>
    </row>
    <row r="44" spans="1:8" x14ac:dyDescent="0.25">
      <c r="A44" s="44"/>
      <c r="B44" s="1"/>
      <c r="C44" s="1"/>
      <c r="D44" s="1"/>
      <c r="E44" s="1"/>
      <c r="F44" s="1"/>
      <c r="G44" s="1"/>
      <c r="H44" s="1"/>
    </row>
    <row r="45" spans="1:8" x14ac:dyDescent="0.25">
      <c r="A45" s="44"/>
      <c r="B45" s="1"/>
      <c r="C45" s="1"/>
      <c r="D45" s="1"/>
      <c r="E45" s="1"/>
      <c r="F45" s="1"/>
      <c r="G45" s="1"/>
      <c r="H45" s="1"/>
    </row>
    <row r="46" spans="1:8" x14ac:dyDescent="0.25">
      <c r="A46" s="44"/>
      <c r="B46" s="41" t="s">
        <v>7</v>
      </c>
      <c r="C46" s="42"/>
      <c r="D46" s="43"/>
      <c r="E46" s="3"/>
      <c r="F46" s="3"/>
      <c r="G46" s="5">
        <f>SUM(G42:G45)</f>
        <v>0</v>
      </c>
      <c r="H46" s="1"/>
    </row>
    <row r="47" spans="1:8" x14ac:dyDescent="0.25">
      <c r="A47" s="1"/>
      <c r="B47" s="38" t="s">
        <v>14</v>
      </c>
      <c r="C47" s="39"/>
      <c r="D47" s="40"/>
      <c r="E47" s="9"/>
      <c r="F47" s="9"/>
      <c r="G47" s="10">
        <f>G46+G40+G36+G22+G16+G8</f>
        <v>0</v>
      </c>
      <c r="H47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2:A46"/>
    <mergeCell ref="B46:D46"/>
    <mergeCell ref="B47:D47"/>
    <mergeCell ref="B31:D31"/>
    <mergeCell ref="A33:A36"/>
    <mergeCell ref="B36:D36"/>
    <mergeCell ref="A38:A40"/>
    <mergeCell ref="B40:D40"/>
    <mergeCell ref="A24:A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0526</vt:lpstr>
      <vt:lpstr>0527</vt:lpstr>
      <vt:lpstr>0528</vt:lpstr>
      <vt:lpstr>0529</vt:lpstr>
      <vt:lpstr>0530</vt:lpstr>
      <vt:lpstr>'0526'!Print_Area</vt:lpstr>
      <vt:lpstr>'0527'!Print_Area</vt:lpstr>
      <vt:lpstr>'0528'!Print_Area</vt:lpstr>
      <vt:lpstr>'0529'!Print_Area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2025-05-29T05:45:51Z</cp:lastPrinted>
  <dcterms:created xsi:type="dcterms:W3CDTF">2025-02-19T17:01:12Z</dcterms:created>
  <dcterms:modified xsi:type="dcterms:W3CDTF">2025-05-29T05:53:30Z</dcterms:modified>
</cp:coreProperties>
</file>