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6月份\"/>
    </mc:Choice>
  </mc:AlternateContent>
  <bookViews>
    <workbookView xWindow="0" yWindow="0" windowWidth="28800" windowHeight="12255" activeTab="4"/>
  </bookViews>
  <sheets>
    <sheet name="0609" sheetId="1" r:id="rId1"/>
    <sheet name="0610" sheetId="2" r:id="rId2"/>
    <sheet name="0611" sheetId="3" r:id="rId3"/>
    <sheet name="0612" sheetId="4" r:id="rId4"/>
    <sheet name="0613" sheetId="5" r:id="rId5"/>
  </sheets>
  <definedNames>
    <definedName name="_xlnm.Print_Area" localSheetId="0">'0609'!$A$1:$H$53</definedName>
    <definedName name="_xlnm.Print_Area" localSheetId="1">'0610'!$A$1:$H$50</definedName>
    <definedName name="_xlnm.Print_Area" localSheetId="2">'0611'!$A$1:$H$46</definedName>
    <definedName name="_xlnm.Print_Area" localSheetId="3">'0612'!$A$1:$H$42</definedName>
    <definedName name="_xlnm.Print_Area" localSheetId="4">'0613'!$A$1:$H$67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7" i="5" l="1"/>
  <c r="G65" i="5"/>
  <c r="G66" i="5"/>
  <c r="G64" i="5"/>
  <c r="G63" i="5"/>
  <c r="G62" i="5"/>
  <c r="G61" i="5"/>
  <c r="G60" i="5"/>
  <c r="G37" i="5"/>
  <c r="G59" i="5"/>
  <c r="G58" i="5"/>
  <c r="G57" i="5"/>
  <c r="G56" i="5"/>
  <c r="G22" i="5"/>
  <c r="G20" i="4" l="1"/>
  <c r="G14" i="4"/>
  <c r="G7" i="4"/>
  <c r="G46" i="3" l="1"/>
  <c r="G7" i="3"/>
  <c r="G14" i="3"/>
  <c r="G20" i="3"/>
  <c r="G29" i="3"/>
  <c r="G34" i="3"/>
  <c r="G32" i="3"/>
  <c r="G38" i="3"/>
  <c r="G45" i="3"/>
  <c r="G41" i="3"/>
  <c r="G42" i="3"/>
  <c r="G43" i="3"/>
  <c r="G44" i="3"/>
  <c r="G40" i="3"/>
  <c r="G28" i="3"/>
  <c r="G27" i="3"/>
  <c r="G17" i="2"/>
  <c r="G31" i="2"/>
  <c r="G37" i="2"/>
  <c r="G42" i="2"/>
  <c r="G40" i="2"/>
  <c r="G22" i="2" l="1"/>
  <c r="G50" i="2" s="1"/>
  <c r="G14" i="2"/>
  <c r="G7" i="2"/>
  <c r="G35" i="2"/>
  <c r="G29" i="2"/>
  <c r="G28" i="2"/>
  <c r="G27" i="2"/>
  <c r="G26" i="2"/>
  <c r="G25" i="2"/>
  <c r="G53" i="1" l="1"/>
  <c r="G42" i="1"/>
  <c r="G41" i="1"/>
  <c r="G38" i="1"/>
  <c r="G39" i="1"/>
  <c r="G40" i="1"/>
  <c r="G14" i="1"/>
  <c r="G10" i="1"/>
  <c r="G11" i="1"/>
  <c r="G12" i="1"/>
  <c r="G13" i="1"/>
  <c r="G20" i="1"/>
  <c r="G7" i="1"/>
  <c r="G45" i="5" l="1"/>
  <c r="G44" i="5"/>
  <c r="G49" i="5"/>
  <c r="G50" i="5"/>
  <c r="G51" i="5"/>
  <c r="G52" i="5"/>
  <c r="G53" i="5"/>
  <c r="G54" i="5"/>
  <c r="G55" i="5"/>
  <c r="G48" i="5"/>
  <c r="G36" i="5"/>
  <c r="G35" i="5"/>
  <c r="G34" i="5"/>
  <c r="G40" i="5"/>
  <c r="G39" i="5"/>
  <c r="G25" i="5"/>
  <c r="G26" i="5"/>
  <c r="G27" i="5"/>
  <c r="G28" i="5"/>
  <c r="G29" i="5"/>
  <c r="G30" i="5"/>
  <c r="G31" i="5"/>
  <c r="G32" i="5"/>
  <c r="G33" i="5"/>
  <c r="G24" i="5"/>
  <c r="G19" i="5"/>
  <c r="G20" i="5"/>
  <c r="G18" i="5"/>
  <c r="G10" i="5"/>
  <c r="G16" i="5" s="1"/>
  <c r="G3" i="5"/>
  <c r="G34" i="4" l="1"/>
  <c r="G33" i="4"/>
  <c r="G29" i="4"/>
  <c r="G30" i="4"/>
  <c r="G28" i="4"/>
  <c r="G17" i="4"/>
  <c r="G18" i="4"/>
  <c r="G16" i="4"/>
  <c r="G10" i="4"/>
  <c r="G11" i="4"/>
  <c r="G12" i="4"/>
  <c r="G13" i="4"/>
  <c r="G9" i="4"/>
  <c r="G23" i="4"/>
  <c r="G22" i="4"/>
  <c r="G4" i="4"/>
  <c r="G5" i="4"/>
  <c r="G3" i="4"/>
  <c r="G35" i="4" l="1"/>
  <c r="G42" i="4" s="1"/>
  <c r="G31" i="4"/>
  <c r="G26" i="4"/>
  <c r="G37" i="3"/>
  <c r="G16" i="3" l="1"/>
  <c r="G4" i="3"/>
  <c r="G5" i="3"/>
  <c r="G6" i="3"/>
  <c r="G34" i="2" l="1"/>
  <c r="G4" i="2"/>
  <c r="G5" i="2"/>
  <c r="G23" i="1"/>
  <c r="G35" i="1" s="1"/>
  <c r="G24" i="1"/>
  <c r="G25" i="1"/>
  <c r="G26" i="1"/>
  <c r="G34" i="1"/>
  <c r="G45" i="1"/>
  <c r="G37" i="1"/>
  <c r="G4" i="1"/>
  <c r="G5" i="1"/>
  <c r="G6" i="1"/>
  <c r="G36" i="3" l="1"/>
  <c r="G9" i="3"/>
  <c r="G26" i="3"/>
  <c r="G23" i="3"/>
  <c r="G24" i="3"/>
  <c r="G25" i="3"/>
  <c r="G22" i="3"/>
  <c r="G31" i="3"/>
  <c r="G3" i="3"/>
  <c r="G24" i="2" l="1"/>
  <c r="G39" i="2"/>
  <c r="G10" i="2"/>
  <c r="G9" i="2"/>
  <c r="G16" i="2"/>
  <c r="G33" i="2"/>
  <c r="G3" i="2"/>
  <c r="G17" i="1" l="1"/>
  <c r="G3" i="1"/>
  <c r="G52" i="1" l="1"/>
  <c r="G16" i="1"/>
  <c r="G44" i="1"/>
  <c r="G46" i="1" s="1"/>
  <c r="G22" i="1" l="1"/>
  <c r="G9" i="1"/>
  <c r="G46" i="5" l="1"/>
  <c r="G42" i="5"/>
  <c r="G8" i="5"/>
  <c r="G41" i="4"/>
  <c r="G49" i="2"/>
</calcChain>
</file>

<file path=xl/sharedStrings.xml><?xml version="1.0" encoding="utf-8"?>
<sst xmlns="http://schemas.openxmlformats.org/spreadsheetml/2006/main" count="560" uniqueCount="203">
  <si>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</si>
  <si>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</si>
  <si>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</si>
  <si>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</si>
  <si>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</si>
  <si>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</si>
  <si>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</si>
  <si>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</si>
  <si>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</si>
  <si>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</si>
  <si>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</si>
  <si>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</si>
  <si>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</si>
  <si>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</si>
  <si>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</si>
  <si>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</si>
  <si>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</si>
  <si>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</si>
  <si>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</si>
  <si>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</si>
  <si>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</si>
  <si>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</si>
  <si>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</si>
  <si>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</si>
  <si>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</si>
  <si>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杏鮑菇</t>
    <phoneticPr fontId="2" type="noConversion"/>
  </si>
  <si>
    <t>五穀米</t>
    <phoneticPr fontId="2" type="noConversion"/>
  </si>
  <si>
    <t>沙拉油</t>
    <phoneticPr fontId="2" type="noConversion"/>
  </si>
  <si>
    <t>桶</t>
    <phoneticPr fontId="2" type="noConversion"/>
  </si>
  <si>
    <t>早餐</t>
    <phoneticPr fontId="2" type="noConversion"/>
  </si>
  <si>
    <t>斤</t>
    <phoneticPr fontId="2" type="noConversion"/>
  </si>
  <si>
    <t>箱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</si>
  <si>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</si>
  <si>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</si>
  <si>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</si>
  <si>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薑</t>
    <phoneticPr fontId="2" type="noConversion"/>
  </si>
  <si>
    <t>半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</si>
  <si>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</si>
  <si>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咖哩雞</t>
    <phoneticPr fontId="2" type="noConversion"/>
  </si>
  <si>
    <t>薑燒南瓜</t>
    <phoneticPr fontId="2" type="noConversion"/>
  </si>
  <si>
    <t>咖哩塊</t>
    <phoneticPr fontId="2" type="noConversion"/>
  </si>
  <si>
    <t>鮮奶油</t>
    <phoneticPr fontId="2" type="noConversion"/>
  </si>
  <si>
    <t>去皮馬鈴薯</t>
    <phoneticPr fontId="2" type="noConversion"/>
  </si>
  <si>
    <t>去骨雞腿丁</t>
    <phoneticPr fontId="2" type="noConversion"/>
  </si>
  <si>
    <t>盒</t>
    <phoneticPr fontId="2" type="noConversion"/>
  </si>
  <si>
    <t>瓶</t>
    <phoneticPr fontId="2" type="noConversion"/>
  </si>
  <si>
    <t>斤</t>
  </si>
  <si>
    <t>斤</t>
    <phoneticPr fontId="2" type="noConversion"/>
  </si>
  <si>
    <t>南瓜塊</t>
    <phoneticPr fontId="2" type="noConversion"/>
  </si>
  <si>
    <t>薑絲</t>
    <phoneticPr fontId="2" type="noConversion"/>
  </si>
  <si>
    <t>蔥爆肉片</t>
    <phoneticPr fontId="2" type="noConversion"/>
  </si>
  <si>
    <t>番茄炒蛋</t>
    <phoneticPr fontId="2" type="noConversion"/>
  </si>
  <si>
    <t>五花肉片</t>
    <phoneticPr fontId="2" type="noConversion"/>
  </si>
  <si>
    <t>豬肉片</t>
    <phoneticPr fontId="2" type="noConversion"/>
  </si>
  <si>
    <t>去皮洋蔥</t>
    <phoneticPr fontId="2" type="noConversion"/>
  </si>
  <si>
    <t>牛番茄</t>
    <phoneticPr fontId="2" type="noConversion"/>
  </si>
  <si>
    <t>雞蛋</t>
    <phoneticPr fontId="2" type="noConversion"/>
  </si>
  <si>
    <t>榨菜絲</t>
    <phoneticPr fontId="2" type="noConversion"/>
  </si>
  <si>
    <t>肉絲</t>
    <phoneticPr fontId="2" type="noConversion"/>
  </si>
  <si>
    <t>油麵</t>
    <phoneticPr fontId="2" type="noConversion"/>
  </si>
  <si>
    <t>雞翅</t>
    <phoneticPr fontId="2" type="noConversion"/>
  </si>
  <si>
    <t>涼麵</t>
    <phoneticPr fontId="2" type="noConversion"/>
  </si>
  <si>
    <t>蝦捲</t>
    <phoneticPr fontId="2" type="noConversion"/>
  </si>
  <si>
    <t>醣心蛋</t>
    <phoneticPr fontId="2" type="noConversion"/>
  </si>
  <si>
    <t>小黃瓜</t>
    <phoneticPr fontId="2" type="noConversion"/>
  </si>
  <si>
    <t>麻醬</t>
    <phoneticPr fontId="2" type="noConversion"/>
  </si>
  <si>
    <t>蒜泥</t>
    <phoneticPr fontId="2" type="noConversion"/>
  </si>
  <si>
    <t>條</t>
    <phoneticPr fontId="2" type="noConversion"/>
  </si>
  <si>
    <t>斤</t>
    <phoneticPr fontId="2" type="noConversion"/>
  </si>
  <si>
    <t>桶</t>
    <phoneticPr fontId="2" type="noConversion"/>
  </si>
  <si>
    <t>腿排</t>
    <phoneticPr fontId="2" type="noConversion"/>
  </si>
  <si>
    <t>去皮洋蔥</t>
    <phoneticPr fontId="2" type="noConversion"/>
  </si>
  <si>
    <t>涼拌豬耳朵</t>
    <phoneticPr fontId="2" type="noConversion"/>
  </si>
  <si>
    <t>小貢丸</t>
    <phoneticPr fontId="2" type="noConversion"/>
  </si>
  <si>
    <t>小豆干</t>
    <phoneticPr fontId="2" type="noConversion"/>
  </si>
  <si>
    <t>海帶捲</t>
    <phoneticPr fontId="2" type="noConversion"/>
  </si>
  <si>
    <r>
      <rPr>
        <sz val="12"/>
        <color theme="1"/>
        <rFont val="標楷體"/>
        <family val="4"/>
        <charset val="136"/>
      </rPr>
      <t>醣心蛋</t>
    </r>
    <r>
      <rPr>
        <sz val="9"/>
        <color theme="1"/>
        <rFont val="標楷體"/>
        <family val="4"/>
        <charset val="136"/>
      </rPr>
      <t xml:space="preserve"> </t>
    </r>
    <phoneticPr fontId="2" type="noConversion"/>
  </si>
  <si>
    <t>粒</t>
    <phoneticPr fontId="2" type="noConversion"/>
  </si>
  <si>
    <t>半</t>
    <phoneticPr fontId="2" type="noConversion"/>
  </si>
  <si>
    <t>個</t>
    <phoneticPr fontId="2" type="noConversion"/>
  </si>
  <si>
    <t>味噌貢丸湯</t>
    <phoneticPr fontId="2" type="noConversion"/>
  </si>
  <si>
    <t>宮保雞丁</t>
    <phoneticPr fontId="2" type="noConversion"/>
  </si>
  <si>
    <t>白菜滷</t>
    <phoneticPr fontId="2" type="noConversion"/>
  </si>
  <si>
    <t>檸檬愛玉</t>
    <phoneticPr fontId="2" type="noConversion"/>
  </si>
  <si>
    <t>花椒油</t>
    <phoneticPr fontId="2" type="noConversion"/>
  </si>
  <si>
    <t>去骨雞腿丁</t>
    <phoneticPr fontId="2" type="noConversion"/>
  </si>
  <si>
    <t>大白菜</t>
    <phoneticPr fontId="2" type="noConversion"/>
  </si>
  <si>
    <t>木耳絲</t>
    <phoneticPr fontId="2" type="noConversion"/>
  </si>
  <si>
    <t>生豆包</t>
    <phoneticPr fontId="2" type="noConversion"/>
  </si>
  <si>
    <t>小蝦米</t>
    <phoneticPr fontId="2" type="noConversion"/>
  </si>
  <si>
    <t>絞肉</t>
    <phoneticPr fontId="2" type="noConversion"/>
  </si>
  <si>
    <t>烏龍麵</t>
    <phoneticPr fontId="2" type="noConversion"/>
  </si>
  <si>
    <t>乾香菇絲</t>
    <phoneticPr fontId="2" type="noConversion"/>
  </si>
  <si>
    <t>瓶</t>
    <phoneticPr fontId="2" type="noConversion"/>
  </si>
  <si>
    <t>麻辣鴨血</t>
    <phoneticPr fontId="2" type="noConversion"/>
  </si>
  <si>
    <t>青椒竹輪</t>
    <phoneticPr fontId="2" type="noConversion"/>
  </si>
  <si>
    <t>滷蛋</t>
    <phoneticPr fontId="2" type="noConversion"/>
  </si>
  <si>
    <t>香腸</t>
    <phoneticPr fontId="2" type="noConversion"/>
  </si>
  <si>
    <t>鴨血</t>
    <phoneticPr fontId="2" type="noConversion"/>
  </si>
  <si>
    <t>百頁豆腐</t>
    <phoneticPr fontId="2" type="noConversion"/>
  </si>
  <si>
    <t>青椒絲</t>
    <phoneticPr fontId="2" type="noConversion"/>
  </si>
  <si>
    <t>竹淪</t>
    <phoneticPr fontId="2" type="noConversion"/>
  </si>
  <si>
    <t>包</t>
    <phoneticPr fontId="2" type="noConversion"/>
  </si>
  <si>
    <t>生豆皮</t>
    <phoneticPr fontId="2" type="noConversion"/>
  </si>
  <si>
    <t>米粉</t>
    <phoneticPr fontId="2" type="noConversion"/>
  </si>
  <si>
    <t>斤</t>
    <phoneticPr fontId="2" type="noConversion"/>
  </si>
  <si>
    <t>鳳梨</t>
    <phoneticPr fontId="2" type="noConversion"/>
  </si>
  <si>
    <t>青菜 水果</t>
    <phoneticPr fontId="2" type="noConversion"/>
  </si>
  <si>
    <t>斤</t>
    <phoneticPr fontId="2" type="noConversion"/>
  </si>
  <si>
    <t>黑胡椒豆腐</t>
    <phoneticPr fontId="2" type="noConversion"/>
  </si>
  <si>
    <t>乳瑪琳(小)</t>
    <phoneticPr fontId="2" type="noConversion"/>
  </si>
  <si>
    <t>油豆腐丁</t>
    <phoneticPr fontId="2" type="noConversion"/>
  </si>
  <si>
    <t>玉米筍罐頭</t>
    <phoneticPr fontId="2" type="noConversion"/>
  </si>
  <si>
    <t>冷凍花椰菜</t>
    <phoneticPr fontId="2" type="noConversion"/>
  </si>
  <si>
    <t>黑胡椒醬</t>
    <phoneticPr fontId="2" type="noConversion"/>
  </si>
  <si>
    <t>罐</t>
    <phoneticPr fontId="2" type="noConversion"/>
  </si>
  <si>
    <t>桶</t>
    <phoneticPr fontId="2" type="noConversion"/>
  </si>
  <si>
    <t>肉羹湯</t>
    <phoneticPr fontId="2" type="noConversion"/>
  </si>
  <si>
    <t>筍絲</t>
    <phoneticPr fontId="2" type="noConversion"/>
  </si>
  <si>
    <t>紅蘿蔔絲</t>
    <phoneticPr fontId="2" type="noConversion"/>
  </si>
  <si>
    <t>木耳絲</t>
    <phoneticPr fontId="2" type="noConversion"/>
  </si>
  <si>
    <t>肉羹</t>
    <phoneticPr fontId="2" type="noConversion"/>
  </si>
  <si>
    <t>愛玉</t>
    <phoneticPr fontId="2" type="noConversion"/>
  </si>
  <si>
    <t>檸檬</t>
    <phoneticPr fontId="2" type="noConversion"/>
  </si>
  <si>
    <t>檸檬汁</t>
    <phoneticPr fontId="2" type="noConversion"/>
  </si>
  <si>
    <t>瓶</t>
    <phoneticPr fontId="2" type="noConversion"/>
  </si>
  <si>
    <t>味噌</t>
    <phoneticPr fontId="2" type="noConversion"/>
  </si>
  <si>
    <t>盒</t>
    <phoneticPr fontId="2" type="noConversion"/>
  </si>
  <si>
    <t>合計</t>
    <phoneticPr fontId="2" type="noConversion"/>
  </si>
  <si>
    <t>綠豆薏仁湯</t>
    <phoneticPr fontId="2" type="noConversion"/>
  </si>
  <si>
    <t>竹筍炒肉絲</t>
    <phoneticPr fontId="2" type="noConversion"/>
  </si>
  <si>
    <t>豬肉絲</t>
    <phoneticPr fontId="2" type="noConversion"/>
  </si>
  <si>
    <t>榨菜肉絲湯</t>
    <phoneticPr fontId="2" type="noConversion"/>
  </si>
  <si>
    <t>大西瓜</t>
    <phoneticPr fontId="2" type="noConversion"/>
  </si>
  <si>
    <t>斤</t>
    <phoneticPr fontId="2" type="noConversion"/>
  </si>
  <si>
    <t>蒜酥</t>
    <phoneticPr fontId="2" type="noConversion"/>
  </si>
  <si>
    <t>高麗菜</t>
    <phoneticPr fontId="2" type="noConversion"/>
  </si>
  <si>
    <t>電訊科技中心(安康營區)     114年     6月  9日      午餐明細表</t>
    <phoneticPr fontId="2" type="noConversion"/>
  </si>
  <si>
    <t>電訊科技中心(安康營區)     114年     6月   10日      午餐明細表</t>
    <phoneticPr fontId="2" type="noConversion"/>
  </si>
  <si>
    <t>椒鹽甜不辣</t>
    <phoneticPr fontId="2" type="noConversion"/>
  </si>
  <si>
    <t>甜不辣條</t>
    <phoneticPr fontId="2" type="noConversion"/>
  </si>
  <si>
    <t>鵝白菜</t>
    <phoneticPr fontId="2" type="noConversion"/>
  </si>
  <si>
    <t>香蕉</t>
    <phoneticPr fontId="2" type="noConversion"/>
  </si>
  <si>
    <t>胡椒鹽</t>
    <phoneticPr fontId="2" type="noConversion"/>
  </si>
  <si>
    <t>盒</t>
    <phoneticPr fontId="2" type="noConversion"/>
  </si>
  <si>
    <t>調味無骨豬排</t>
    <phoneticPr fontId="2" type="noConversion"/>
  </si>
  <si>
    <t>件</t>
    <phoneticPr fontId="2" type="noConversion"/>
  </si>
  <si>
    <t>中華春捲</t>
    <phoneticPr fontId="2" type="noConversion"/>
  </si>
  <si>
    <t>斤</t>
    <phoneticPr fontId="2" type="noConversion"/>
  </si>
  <si>
    <t>高麗菜</t>
    <phoneticPr fontId="2" type="noConversion"/>
  </si>
  <si>
    <t>油膏</t>
    <phoneticPr fontId="2" type="noConversion"/>
  </si>
  <si>
    <t>桶</t>
    <phoneticPr fontId="2" type="noConversion"/>
  </si>
  <si>
    <t>味霖</t>
    <phoneticPr fontId="2" type="noConversion"/>
  </si>
  <si>
    <t>胡椒粉</t>
    <phoneticPr fontId="2" type="noConversion"/>
  </si>
  <si>
    <t>沙茶醬</t>
    <phoneticPr fontId="2" type="noConversion"/>
  </si>
  <si>
    <t>洗選蛋</t>
    <phoneticPr fontId="2" type="noConversion"/>
  </si>
  <si>
    <t>電訊科技中心(安康營區)     114年     6月  11日      午餐明細表</t>
    <phoneticPr fontId="2" type="noConversion"/>
  </si>
  <si>
    <t>大西瓜</t>
    <phoneticPr fontId="2" type="noConversion"/>
  </si>
  <si>
    <t>庫存</t>
    <phoneticPr fontId="2" type="noConversion"/>
  </si>
  <si>
    <t>高麗菜</t>
    <phoneticPr fontId="2" type="noConversion"/>
  </si>
  <si>
    <t>電訊科技中心(安康營區)     114年      6月  12日      午餐明細表</t>
    <phoneticPr fontId="2" type="noConversion"/>
  </si>
  <si>
    <t>香蕉</t>
    <phoneticPr fontId="2" type="noConversion"/>
  </si>
  <si>
    <t>電訊科技中心(安康營區)     114年    6月   13日      午餐明細表</t>
    <phoneticPr fontId="2" type="noConversion"/>
  </si>
  <si>
    <t>椒鹽排骨</t>
    <phoneticPr fontId="2" type="noConversion"/>
  </si>
  <si>
    <t>小排塊</t>
    <phoneticPr fontId="2" type="noConversion"/>
  </si>
  <si>
    <t>斤</t>
    <phoneticPr fontId="2" type="noConversion"/>
  </si>
  <si>
    <t>大西瓜</t>
    <phoneticPr fontId="2" type="noConversion"/>
  </si>
  <si>
    <t>高麗菜</t>
    <phoneticPr fontId="2" type="noConversion"/>
  </si>
  <si>
    <t>前腿肉片</t>
    <phoneticPr fontId="2" type="noConversion"/>
  </si>
  <si>
    <t>去葉芹菜</t>
    <phoneticPr fontId="2" type="noConversion"/>
  </si>
  <si>
    <t>前腿肉絲</t>
    <phoneticPr fontId="2" type="noConversion"/>
  </si>
  <si>
    <t>蛤</t>
    <phoneticPr fontId="2" type="noConversion"/>
  </si>
  <si>
    <t>薑絲</t>
    <phoneticPr fontId="2" type="noConversion"/>
  </si>
  <si>
    <t>調理米酒</t>
    <phoneticPr fontId="2" type="noConversion"/>
  </si>
  <si>
    <t>瓶</t>
    <phoneticPr fontId="2" type="noConversion"/>
  </si>
  <si>
    <t>蒜仁</t>
    <phoneticPr fontId="2" type="noConversion"/>
  </si>
  <si>
    <t>辣椒</t>
    <phoneticPr fontId="2" type="noConversion"/>
  </si>
  <si>
    <t>便當盒</t>
    <phoneticPr fontId="2" type="noConversion"/>
  </si>
  <si>
    <t>紙杯</t>
    <phoneticPr fontId="2" type="noConversion"/>
  </si>
  <si>
    <t>個</t>
    <phoneticPr fontId="2" type="noConversion"/>
  </si>
  <si>
    <t>免洗筷</t>
    <phoneticPr fontId="2" type="noConversion"/>
  </si>
  <si>
    <t>包</t>
    <phoneticPr fontId="2" type="noConversion"/>
  </si>
  <si>
    <t>彎形湯匙</t>
    <phoneticPr fontId="2" type="noConversion"/>
  </si>
  <si>
    <t>1斤花袋</t>
    <phoneticPr fontId="2" type="noConversion"/>
  </si>
  <si>
    <t>五花肉片</t>
    <phoneticPr fontId="2" type="noConversion"/>
  </si>
  <si>
    <t>卡拉雞腿堡</t>
    <phoneticPr fontId="2" type="noConversion"/>
  </si>
  <si>
    <t>片</t>
    <phoneticPr fontId="2" type="noConversion"/>
  </si>
  <si>
    <t>草蝦仁</t>
    <phoneticPr fontId="2" type="noConversion"/>
  </si>
  <si>
    <t>冷凍青花菜</t>
    <phoneticPr fontId="2" type="noConversion"/>
  </si>
  <si>
    <t>厚片土司</t>
    <phoneticPr fontId="2" type="noConversion"/>
  </si>
  <si>
    <t>條</t>
    <phoneticPr fontId="2" type="noConversion"/>
  </si>
  <si>
    <t>高鮮味素</t>
    <phoneticPr fontId="2" type="noConversion"/>
  </si>
  <si>
    <t>盒</t>
    <phoneticPr fontId="2" type="noConversion"/>
  </si>
  <si>
    <t>五花肉柳</t>
    <phoneticPr fontId="2" type="noConversion"/>
  </si>
  <si>
    <t>嫩精粉</t>
    <phoneticPr fontId="2" type="noConversion"/>
  </si>
  <si>
    <t>罐</t>
    <phoneticPr fontId="2" type="noConversion"/>
  </si>
  <si>
    <t>金蘭醬油</t>
    <phoneticPr fontId="2" type="noConversion"/>
  </si>
  <si>
    <t>桶</t>
    <phoneticPr fontId="2" type="noConversion"/>
  </si>
  <si>
    <t>素蠔油</t>
    <phoneticPr fontId="2" type="noConversion"/>
  </si>
  <si>
    <t>沙拉油</t>
    <phoneticPr fontId="2" type="noConversion"/>
  </si>
  <si>
    <t>大肉包</t>
    <phoneticPr fontId="2" type="noConversion"/>
  </si>
  <si>
    <t>鮪魚罐</t>
    <phoneticPr fontId="2" type="noConversion"/>
  </si>
  <si>
    <t>蒜酥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</si>
</sst>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9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9"/>
      <color theme="1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3"/>
  <sheetViews>
    <sheetView workbookViewId="0">
      <selection sqref="A1:H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9" t="s">
        <v>137</v>
      </c>
      <c r="B1" s="60"/>
      <c r="C1" s="60"/>
      <c r="D1" s="60"/>
      <c r="E1" s="60"/>
      <c r="F1" s="60"/>
      <c r="G1" s="60"/>
      <c r="H1" s="6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2" t="s">
        <v>38</v>
      </c>
      <c r="B3" s="1" t="s">
        <v>40</v>
      </c>
      <c r="C3" s="1">
        <v>2</v>
      </c>
      <c r="D3" s="1">
        <v>294</v>
      </c>
      <c r="E3" s="19">
        <v>2</v>
      </c>
      <c r="F3" s="19" t="s">
        <v>44</v>
      </c>
      <c r="G3" s="20">
        <f>D3*E3</f>
        <v>588</v>
      </c>
      <c r="H3" s="1"/>
    </row>
    <row r="4" spans="1:8" x14ac:dyDescent="0.25">
      <c r="A4" s="62"/>
      <c r="B4" s="10" t="s">
        <v>41</v>
      </c>
      <c r="C4" s="10">
        <v>2</v>
      </c>
      <c r="D4" s="10">
        <v>270</v>
      </c>
      <c r="E4" s="10">
        <v>2</v>
      </c>
      <c r="F4" s="10" t="s">
        <v>45</v>
      </c>
      <c r="G4" s="20">
        <f t="shared" ref="G4:G6" si="0">D4*E4</f>
        <v>540</v>
      </c>
      <c r="H4" s="1"/>
    </row>
    <row r="5" spans="1:8" x14ac:dyDescent="0.25">
      <c r="A5" s="62"/>
      <c r="B5" s="1" t="s">
        <v>42</v>
      </c>
      <c r="C5" s="1">
        <v>15</v>
      </c>
      <c r="D5" s="1">
        <v>29.58</v>
      </c>
      <c r="E5" s="1">
        <v>15</v>
      </c>
      <c r="F5" s="1" t="s">
        <v>47</v>
      </c>
      <c r="G5" s="20">
        <f t="shared" si="0"/>
        <v>443.7</v>
      </c>
      <c r="H5" s="1"/>
    </row>
    <row r="6" spans="1:8" x14ac:dyDescent="0.25">
      <c r="A6" s="62"/>
      <c r="B6" s="1" t="s">
        <v>43</v>
      </c>
      <c r="C6" s="1">
        <v>65</v>
      </c>
      <c r="D6" s="1">
        <v>168</v>
      </c>
      <c r="E6" s="3">
        <v>65</v>
      </c>
      <c r="F6" s="3" t="s">
        <v>47</v>
      </c>
      <c r="G6" s="20">
        <f t="shared" si="0"/>
        <v>10920</v>
      </c>
      <c r="H6" s="1"/>
    </row>
    <row r="7" spans="1:8" x14ac:dyDescent="0.25">
      <c r="A7" s="62"/>
      <c r="B7" s="56" t="s">
        <v>7</v>
      </c>
      <c r="C7" s="57"/>
      <c r="D7" s="58"/>
      <c r="E7" s="3"/>
      <c r="F7" s="3"/>
      <c r="G7" s="13">
        <f>SUM(G3:G6)</f>
        <v>12491.7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62" t="s">
        <v>109</v>
      </c>
      <c r="B9" s="1" t="s">
        <v>110</v>
      </c>
      <c r="C9" s="1">
        <v>1</v>
      </c>
      <c r="D9" s="1">
        <v>210</v>
      </c>
      <c r="E9" s="1">
        <v>1</v>
      </c>
      <c r="F9" s="1" t="s">
        <v>115</v>
      </c>
      <c r="G9" s="1">
        <f>D9*E9</f>
        <v>210</v>
      </c>
      <c r="H9" s="1"/>
    </row>
    <row r="10" spans="1:8" x14ac:dyDescent="0.25">
      <c r="A10" s="62"/>
      <c r="B10" s="1" t="s">
        <v>111</v>
      </c>
      <c r="C10" s="1">
        <v>25</v>
      </c>
      <c r="D10" s="1">
        <v>60</v>
      </c>
      <c r="E10" s="1">
        <v>25</v>
      </c>
      <c r="F10" s="47" t="s">
        <v>46</v>
      </c>
      <c r="G10" s="49">
        <f t="shared" ref="G10:G13" si="1">D10*E10</f>
        <v>1500</v>
      </c>
      <c r="H10" s="1"/>
    </row>
    <row r="11" spans="1:8" x14ac:dyDescent="0.25">
      <c r="A11" s="62"/>
      <c r="B11" s="1" t="s">
        <v>112</v>
      </c>
      <c r="C11" s="1">
        <v>3</v>
      </c>
      <c r="D11" s="1">
        <v>220</v>
      </c>
      <c r="E11" s="1">
        <v>3</v>
      </c>
      <c r="F11" s="1" t="s">
        <v>115</v>
      </c>
      <c r="G11" s="49">
        <f t="shared" si="1"/>
        <v>660</v>
      </c>
      <c r="H11" s="1"/>
    </row>
    <row r="12" spans="1:8" x14ac:dyDescent="0.25">
      <c r="A12" s="62"/>
      <c r="B12" s="1" t="s">
        <v>113</v>
      </c>
      <c r="C12" s="1">
        <v>1</v>
      </c>
      <c r="D12" s="1">
        <v>70</v>
      </c>
      <c r="E12" s="1">
        <v>10</v>
      </c>
      <c r="F12" s="1" t="s">
        <v>102</v>
      </c>
      <c r="G12" s="49">
        <f t="shared" si="1"/>
        <v>700</v>
      </c>
      <c r="H12" s="1"/>
    </row>
    <row r="13" spans="1:8" x14ac:dyDescent="0.25">
      <c r="A13" s="62"/>
      <c r="B13" s="1" t="s">
        <v>114</v>
      </c>
      <c r="C13" s="1">
        <v>1</v>
      </c>
      <c r="D13" s="1">
        <v>500</v>
      </c>
      <c r="E13" s="1">
        <v>1</v>
      </c>
      <c r="F13" s="1" t="s">
        <v>116</v>
      </c>
      <c r="G13" s="49">
        <f t="shared" si="1"/>
        <v>500</v>
      </c>
      <c r="H13" s="1"/>
    </row>
    <row r="14" spans="1:8" x14ac:dyDescent="0.25">
      <c r="A14" s="62"/>
      <c r="B14" s="56" t="s">
        <v>7</v>
      </c>
      <c r="C14" s="57"/>
      <c r="D14" s="58"/>
      <c r="E14" s="3"/>
      <c r="F14" s="3"/>
      <c r="G14" s="13">
        <f>SUM(G9:G13)</f>
        <v>3570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62" t="s">
        <v>39</v>
      </c>
      <c r="B16" s="1" t="s">
        <v>48</v>
      </c>
      <c r="C16" s="1">
        <v>45</v>
      </c>
      <c r="D16" s="1">
        <v>14.82</v>
      </c>
      <c r="E16" s="1">
        <v>45</v>
      </c>
      <c r="F16" s="1" t="s">
        <v>47</v>
      </c>
      <c r="G16" s="2">
        <f>D16*E16</f>
        <v>666.9</v>
      </c>
      <c r="H16" s="1"/>
    </row>
    <row r="17" spans="1:8" x14ac:dyDescent="0.25">
      <c r="A17" s="62"/>
      <c r="B17" s="1" t="s">
        <v>49</v>
      </c>
      <c r="C17" s="1">
        <v>1</v>
      </c>
      <c r="D17" s="1">
        <v>85.5</v>
      </c>
      <c r="E17" s="1">
        <v>1</v>
      </c>
      <c r="F17" s="1" t="s">
        <v>47</v>
      </c>
      <c r="G17" s="2">
        <f t="shared" ref="G17" si="2">D17*E17</f>
        <v>85.5</v>
      </c>
      <c r="H17" s="1"/>
    </row>
    <row r="18" spans="1:8" x14ac:dyDescent="0.25">
      <c r="A18" s="62"/>
      <c r="B18" s="1"/>
      <c r="C18" s="1"/>
      <c r="D18" s="1"/>
      <c r="E18" s="1"/>
      <c r="F18" s="1"/>
      <c r="G18" s="2"/>
      <c r="H18" s="1"/>
    </row>
    <row r="19" spans="1:8" x14ac:dyDescent="0.25">
      <c r="A19" s="62"/>
      <c r="B19" s="1"/>
      <c r="C19" s="1"/>
      <c r="D19" s="1"/>
      <c r="E19" s="3"/>
      <c r="F19" s="3"/>
      <c r="G19" s="16"/>
      <c r="H19" s="1"/>
    </row>
    <row r="20" spans="1:8" x14ac:dyDescent="0.25">
      <c r="A20" s="62"/>
      <c r="B20" s="56"/>
      <c r="C20" s="57"/>
      <c r="D20" s="58"/>
      <c r="E20" s="3"/>
      <c r="F20" s="3"/>
      <c r="G20" s="13">
        <f>SUM(G16:G19)</f>
        <v>752.4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62"/>
      <c r="B22" s="1" t="s">
        <v>33</v>
      </c>
      <c r="C22" s="1">
        <v>2</v>
      </c>
      <c r="D22" s="1">
        <v>150</v>
      </c>
      <c r="E22" s="1">
        <v>2</v>
      </c>
      <c r="F22" s="1" t="s">
        <v>34</v>
      </c>
      <c r="G22" s="1">
        <f>D22*E22</f>
        <v>300</v>
      </c>
      <c r="H22" s="1"/>
    </row>
    <row r="23" spans="1:8" x14ac:dyDescent="0.25">
      <c r="A23" s="62"/>
      <c r="B23" s="25" t="s">
        <v>35</v>
      </c>
      <c r="C23" s="1" t="s">
        <v>36</v>
      </c>
      <c r="D23" s="1">
        <v>67.5</v>
      </c>
      <c r="E23" s="1">
        <v>0.5</v>
      </c>
      <c r="F23" s="1" t="s">
        <v>30</v>
      </c>
      <c r="G23" s="35">
        <f t="shared" ref="G23:G34" si="3">D23*E23</f>
        <v>33.75</v>
      </c>
      <c r="H23" s="1"/>
    </row>
    <row r="24" spans="1:8" x14ac:dyDescent="0.25">
      <c r="A24" s="62"/>
      <c r="B24" s="25" t="s">
        <v>23</v>
      </c>
      <c r="C24" s="1">
        <v>8</v>
      </c>
      <c r="D24" s="1">
        <v>81.599999999999994</v>
      </c>
      <c r="E24" s="1">
        <v>8</v>
      </c>
      <c r="F24" s="1" t="s">
        <v>22</v>
      </c>
      <c r="G24" s="35">
        <f t="shared" si="3"/>
        <v>652.79999999999995</v>
      </c>
      <c r="H24" s="1"/>
    </row>
    <row r="25" spans="1:8" x14ac:dyDescent="0.25">
      <c r="A25" s="62"/>
      <c r="B25" s="1" t="s">
        <v>24</v>
      </c>
      <c r="C25" s="1">
        <v>6</v>
      </c>
      <c r="D25" s="1">
        <v>25.2</v>
      </c>
      <c r="E25" s="1">
        <v>4</v>
      </c>
      <c r="F25" s="1" t="s">
        <v>22</v>
      </c>
      <c r="G25" s="35">
        <f t="shared" si="3"/>
        <v>100.8</v>
      </c>
      <c r="H25" s="1"/>
    </row>
    <row r="26" spans="1:8" x14ac:dyDescent="0.25">
      <c r="A26" s="62"/>
      <c r="B26" s="10" t="s">
        <v>25</v>
      </c>
      <c r="C26" s="10">
        <v>4</v>
      </c>
      <c r="D26" s="10">
        <v>75</v>
      </c>
      <c r="E26" s="10">
        <v>4</v>
      </c>
      <c r="F26" s="10" t="s">
        <v>34</v>
      </c>
      <c r="G26" s="35">
        <f>D26*E26</f>
        <v>300</v>
      </c>
      <c r="H26" s="10"/>
    </row>
    <row r="27" spans="1:8" x14ac:dyDescent="0.25">
      <c r="A27" s="62"/>
      <c r="B27" s="40"/>
      <c r="C27" s="40"/>
      <c r="D27" s="40"/>
      <c r="E27" s="40"/>
      <c r="F27" s="40"/>
      <c r="G27" s="40"/>
      <c r="H27" s="10"/>
    </row>
    <row r="28" spans="1:8" x14ac:dyDescent="0.25">
      <c r="A28" s="62"/>
      <c r="B28" s="10"/>
      <c r="C28" s="10"/>
      <c r="D28" s="10"/>
      <c r="E28" s="10"/>
      <c r="F28" s="10"/>
      <c r="G28" s="35"/>
      <c r="H28" s="10"/>
    </row>
    <row r="29" spans="1:8" x14ac:dyDescent="0.25">
      <c r="A29" s="62"/>
      <c r="B29" s="35"/>
      <c r="C29" s="35"/>
      <c r="D29" s="35"/>
      <c r="E29" s="35"/>
      <c r="F29" s="35"/>
      <c r="G29" s="35"/>
      <c r="H29" s="35"/>
    </row>
    <row r="30" spans="1:8" x14ac:dyDescent="0.25">
      <c r="A30" s="62"/>
      <c r="B30" s="35"/>
      <c r="C30" s="35"/>
      <c r="D30" s="35"/>
      <c r="E30" s="35"/>
      <c r="F30" s="35"/>
      <c r="G30" s="35"/>
      <c r="H30" s="35"/>
    </row>
    <row r="31" spans="1:8" x14ac:dyDescent="0.25">
      <c r="A31" s="62"/>
      <c r="B31" s="10"/>
      <c r="C31" s="10"/>
      <c r="D31" s="10"/>
      <c r="E31" s="10"/>
      <c r="F31" s="10"/>
      <c r="G31" s="35"/>
      <c r="H31" s="10"/>
    </row>
    <row r="32" spans="1:8" x14ac:dyDescent="0.25">
      <c r="A32" s="62"/>
      <c r="B32" s="10"/>
      <c r="C32" s="10"/>
      <c r="D32" s="10"/>
      <c r="E32" s="10"/>
      <c r="F32" s="10"/>
      <c r="G32" s="35"/>
      <c r="H32" s="10"/>
    </row>
    <row r="33" spans="1:8" x14ac:dyDescent="0.25">
      <c r="A33" s="62"/>
      <c r="B33" s="10"/>
      <c r="C33" s="10"/>
      <c r="D33" s="10"/>
      <c r="E33" s="10"/>
      <c r="F33" s="10"/>
      <c r="G33" s="35"/>
      <c r="H33" s="10"/>
    </row>
    <row r="34" spans="1:8" x14ac:dyDescent="0.25">
      <c r="A34" s="62"/>
      <c r="B34" s="27" t="s">
        <v>32</v>
      </c>
      <c r="C34" s="27">
        <v>1</v>
      </c>
      <c r="D34" s="27">
        <v>264</v>
      </c>
      <c r="E34" s="27">
        <v>1</v>
      </c>
      <c r="F34" s="27" t="s">
        <v>31</v>
      </c>
      <c r="G34" s="35">
        <f t="shared" si="3"/>
        <v>264</v>
      </c>
      <c r="H34" s="1"/>
    </row>
    <row r="35" spans="1:8" x14ac:dyDescent="0.25">
      <c r="A35" s="10"/>
      <c r="B35" s="56" t="s">
        <v>18</v>
      </c>
      <c r="C35" s="57"/>
      <c r="D35" s="58"/>
      <c r="E35" s="27"/>
      <c r="F35" s="27"/>
      <c r="G35" s="14">
        <f>SUM(G22:G34)</f>
        <v>1651.35</v>
      </c>
      <c r="H35" s="10"/>
    </row>
    <row r="36" spans="1:8" x14ac:dyDescent="0.25">
      <c r="A36" s="1" t="s">
        <v>11</v>
      </c>
      <c r="B36" s="27" t="s">
        <v>1</v>
      </c>
      <c r="C36" s="27" t="s">
        <v>2</v>
      </c>
      <c r="D36" s="27" t="s">
        <v>3</v>
      </c>
      <c r="E36" s="27" t="s">
        <v>4</v>
      </c>
      <c r="F36" s="27"/>
      <c r="G36" s="1" t="s">
        <v>5</v>
      </c>
      <c r="H36" s="1" t="s">
        <v>6</v>
      </c>
    </row>
    <row r="37" spans="1:8" x14ac:dyDescent="0.25">
      <c r="A37" s="62" t="s">
        <v>117</v>
      </c>
      <c r="B37" s="27" t="s">
        <v>118</v>
      </c>
      <c r="C37" s="27">
        <v>8</v>
      </c>
      <c r="D37" s="27">
        <v>42.18</v>
      </c>
      <c r="E37" s="27">
        <v>8</v>
      </c>
      <c r="F37" s="47" t="s">
        <v>46</v>
      </c>
      <c r="G37" s="1">
        <f>D37*E37</f>
        <v>337.44</v>
      </c>
      <c r="H37" s="1"/>
    </row>
    <row r="38" spans="1:8" x14ac:dyDescent="0.25">
      <c r="A38" s="62"/>
      <c r="B38" s="47" t="s">
        <v>119</v>
      </c>
      <c r="C38" s="47">
        <v>3</v>
      </c>
      <c r="D38" s="47">
        <v>15.96</v>
      </c>
      <c r="E38" s="47">
        <v>3</v>
      </c>
      <c r="F38" s="47" t="s">
        <v>46</v>
      </c>
      <c r="G38" s="49">
        <f t="shared" ref="G38:G41" si="4">D38*E38</f>
        <v>47.88</v>
      </c>
      <c r="H38" s="47"/>
    </row>
    <row r="39" spans="1:8" x14ac:dyDescent="0.25">
      <c r="A39" s="62"/>
      <c r="B39" s="47" t="s">
        <v>120</v>
      </c>
      <c r="C39" s="47">
        <v>3</v>
      </c>
      <c r="D39" s="47">
        <v>45</v>
      </c>
      <c r="E39" s="47">
        <v>3</v>
      </c>
      <c r="F39" s="47" t="s">
        <v>46</v>
      </c>
      <c r="G39" s="49">
        <f t="shared" si="4"/>
        <v>135</v>
      </c>
      <c r="H39" s="47"/>
    </row>
    <row r="40" spans="1:8" x14ac:dyDescent="0.25">
      <c r="A40" s="62"/>
      <c r="B40" s="27" t="s">
        <v>121</v>
      </c>
      <c r="C40" s="27">
        <v>20</v>
      </c>
      <c r="D40" s="27">
        <v>125</v>
      </c>
      <c r="E40" s="27">
        <v>20</v>
      </c>
      <c r="F40" s="47" t="s">
        <v>46</v>
      </c>
      <c r="G40" s="49">
        <f t="shared" si="4"/>
        <v>2500</v>
      </c>
      <c r="H40" s="1"/>
    </row>
    <row r="41" spans="1:8" x14ac:dyDescent="0.25">
      <c r="A41" s="62"/>
      <c r="B41" s="49" t="s">
        <v>135</v>
      </c>
      <c r="C41" s="49">
        <v>2</v>
      </c>
      <c r="D41" s="49">
        <v>60</v>
      </c>
      <c r="E41" s="49">
        <v>1</v>
      </c>
      <c r="F41" s="48" t="s">
        <v>102</v>
      </c>
      <c r="G41" s="49">
        <f t="shared" si="4"/>
        <v>60</v>
      </c>
      <c r="H41" s="1"/>
    </row>
    <row r="42" spans="1:8" x14ac:dyDescent="0.25">
      <c r="A42" s="62"/>
      <c r="B42" s="56"/>
      <c r="C42" s="57"/>
      <c r="D42" s="58"/>
      <c r="E42" s="28"/>
      <c r="F42" s="28"/>
      <c r="G42" s="13">
        <f>SUM(G37:G41)</f>
        <v>3080.3199999999997</v>
      </c>
      <c r="H42" s="1"/>
    </row>
    <row r="43" spans="1:8" x14ac:dyDescent="0.25">
      <c r="A43" s="1" t="s">
        <v>12</v>
      </c>
      <c r="B43" s="27" t="s">
        <v>1</v>
      </c>
      <c r="C43" s="27" t="s">
        <v>2</v>
      </c>
      <c r="D43" s="27" t="s">
        <v>3</v>
      </c>
      <c r="E43" s="28" t="s">
        <v>4</v>
      </c>
      <c r="F43" s="28"/>
      <c r="G43" s="3" t="s">
        <v>5</v>
      </c>
      <c r="H43" s="1" t="s">
        <v>6</v>
      </c>
    </row>
    <row r="44" spans="1:8" x14ac:dyDescent="0.25">
      <c r="A44" s="63"/>
      <c r="B44" s="1" t="s">
        <v>133</v>
      </c>
      <c r="C44" s="1"/>
      <c r="D44" s="1">
        <v>26.88</v>
      </c>
      <c r="E44" s="1">
        <v>113.17</v>
      </c>
      <c r="F44" s="1" t="s">
        <v>134</v>
      </c>
      <c r="G44" s="2">
        <f>D44*E44</f>
        <v>3042.0095999999999</v>
      </c>
      <c r="H44" s="1"/>
    </row>
    <row r="45" spans="1:8" x14ac:dyDescent="0.25">
      <c r="A45" s="64"/>
      <c r="B45" s="1" t="s">
        <v>136</v>
      </c>
      <c r="C45" s="1"/>
      <c r="D45" s="1">
        <v>11.22</v>
      </c>
      <c r="E45" s="1">
        <v>70</v>
      </c>
      <c r="F45" s="1" t="s">
        <v>134</v>
      </c>
      <c r="G45" s="2">
        <f>D45*E45</f>
        <v>785.40000000000009</v>
      </c>
      <c r="H45" s="1"/>
    </row>
    <row r="46" spans="1:8" x14ac:dyDescent="0.25">
      <c r="A46" s="65"/>
      <c r="B46" s="56" t="s">
        <v>7</v>
      </c>
      <c r="C46" s="57"/>
      <c r="D46" s="58"/>
      <c r="E46" s="3"/>
      <c r="F46" s="3"/>
      <c r="G46" s="13">
        <f>SUM(G44:G45)</f>
        <v>3827.4096</v>
      </c>
      <c r="H46" s="6"/>
    </row>
    <row r="47" spans="1:8" x14ac:dyDescent="0.25">
      <c r="A47" s="7" t="s">
        <v>13</v>
      </c>
      <c r="B47" s="1" t="s">
        <v>1</v>
      </c>
      <c r="C47" s="1" t="s">
        <v>2</v>
      </c>
      <c r="D47" s="1" t="s">
        <v>3</v>
      </c>
      <c r="E47" s="1" t="s">
        <v>4</v>
      </c>
      <c r="F47" s="1"/>
      <c r="G47" s="1" t="s">
        <v>5</v>
      </c>
      <c r="H47" s="1"/>
    </row>
    <row r="48" spans="1:8" x14ac:dyDescent="0.25">
      <c r="A48" s="62"/>
      <c r="B48" s="1"/>
      <c r="C48" s="1"/>
      <c r="D48" s="1"/>
      <c r="E48" s="1"/>
      <c r="F48" s="1"/>
      <c r="G48" s="1"/>
      <c r="H48" s="1"/>
    </row>
    <row r="49" spans="1:8" x14ac:dyDescent="0.25">
      <c r="A49" s="62"/>
      <c r="B49" s="1"/>
      <c r="C49" s="1"/>
      <c r="D49" s="1"/>
      <c r="E49" s="1"/>
      <c r="F49" s="1"/>
      <c r="G49" s="2"/>
      <c r="H49" s="1"/>
    </row>
    <row r="50" spans="1:8" x14ac:dyDescent="0.25">
      <c r="A50" s="62"/>
      <c r="B50" s="1"/>
      <c r="C50" s="1"/>
      <c r="D50" s="1"/>
      <c r="E50" s="1"/>
      <c r="F50" s="1"/>
      <c r="G50" s="16"/>
      <c r="H50" s="1"/>
    </row>
    <row r="51" spans="1:8" x14ac:dyDescent="0.25">
      <c r="A51" s="62"/>
      <c r="B51" s="1"/>
      <c r="C51" s="1"/>
      <c r="D51" s="1"/>
      <c r="E51" s="1"/>
      <c r="F51" s="1"/>
      <c r="G51" s="1"/>
      <c r="H51" s="1"/>
    </row>
    <row r="52" spans="1:8" x14ac:dyDescent="0.25">
      <c r="A52" s="62"/>
      <c r="B52" s="56" t="s">
        <v>7</v>
      </c>
      <c r="C52" s="57"/>
      <c r="D52" s="58"/>
      <c r="E52" s="3"/>
      <c r="F52" s="3"/>
      <c r="G52" s="15">
        <f>SUM(G48:G51)</f>
        <v>0</v>
      </c>
      <c r="H52" s="1"/>
    </row>
    <row r="53" spans="1:8" x14ac:dyDescent="0.25">
      <c r="A53" s="1"/>
      <c r="B53" s="66" t="s">
        <v>14</v>
      </c>
      <c r="C53" s="67"/>
      <c r="D53" s="68"/>
      <c r="E53" s="8"/>
      <c r="F53" s="8"/>
      <c r="G53" s="9">
        <f>G52+G46+G42+G35+G20+G14+G7</f>
        <v>25373.179599999999</v>
      </c>
      <c r="H53" s="1"/>
    </row>
  </sheetData>
  <mergeCells count="16">
    <mergeCell ref="B53:D53"/>
    <mergeCell ref="B52:D52"/>
    <mergeCell ref="B46:D46"/>
    <mergeCell ref="B42:D42"/>
    <mergeCell ref="B35:D35"/>
    <mergeCell ref="A48:A52"/>
    <mergeCell ref="A22:A34"/>
    <mergeCell ref="A37:A42"/>
    <mergeCell ref="A44:A46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8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0"/>
  <sheetViews>
    <sheetView topLeftCell="A19" workbookViewId="0">
      <selection activeCell="G18" sqref="G1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9" t="s">
        <v>138</v>
      </c>
      <c r="B1" s="60"/>
      <c r="C1" s="60"/>
      <c r="D1" s="60"/>
      <c r="E1" s="60"/>
      <c r="F1" s="60"/>
      <c r="G1" s="60"/>
      <c r="H1" s="6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2" t="s">
        <v>50</v>
      </c>
      <c r="B3" s="1" t="s">
        <v>52</v>
      </c>
      <c r="C3" s="1">
        <v>20</v>
      </c>
      <c r="D3" s="1">
        <v>168</v>
      </c>
      <c r="E3" s="1">
        <v>20</v>
      </c>
      <c r="F3" s="1" t="s">
        <v>105</v>
      </c>
      <c r="G3" s="2">
        <f>D3*E3</f>
        <v>3360</v>
      </c>
      <c r="H3" s="1"/>
    </row>
    <row r="4" spans="1:8" x14ac:dyDescent="0.25">
      <c r="A4" s="62"/>
      <c r="B4" s="1" t="s">
        <v>53</v>
      </c>
      <c r="C4" s="1">
        <v>30</v>
      </c>
      <c r="D4" s="1">
        <v>99</v>
      </c>
      <c r="E4" s="1">
        <v>30</v>
      </c>
      <c r="F4" s="1" t="s">
        <v>105</v>
      </c>
      <c r="G4" s="2">
        <f t="shared" ref="G4:G5" si="0">D4*E4</f>
        <v>2970</v>
      </c>
      <c r="H4" s="1"/>
    </row>
    <row r="5" spans="1:8" x14ac:dyDescent="0.25">
      <c r="A5" s="62"/>
      <c r="B5" s="1" t="s">
        <v>54</v>
      </c>
      <c r="C5" s="1">
        <v>20</v>
      </c>
      <c r="D5" s="1">
        <v>22.44</v>
      </c>
      <c r="E5" s="1">
        <v>20</v>
      </c>
      <c r="F5" s="1" t="s">
        <v>105</v>
      </c>
      <c r="G5" s="2">
        <f t="shared" si="0"/>
        <v>448.8</v>
      </c>
      <c r="H5" s="1"/>
    </row>
    <row r="6" spans="1:8" x14ac:dyDescent="0.25">
      <c r="A6" s="62"/>
      <c r="B6" s="1"/>
      <c r="C6" s="1"/>
      <c r="D6" s="1"/>
      <c r="E6" s="3"/>
      <c r="F6" s="3"/>
      <c r="G6" s="2"/>
      <c r="H6" s="1"/>
    </row>
    <row r="7" spans="1:8" x14ac:dyDescent="0.25">
      <c r="A7" s="62"/>
      <c r="B7" s="56" t="s">
        <v>7</v>
      </c>
      <c r="C7" s="57"/>
      <c r="D7" s="58"/>
      <c r="E7" s="3"/>
      <c r="F7" s="3"/>
      <c r="G7" s="13">
        <f>SUM(G3:G6)</f>
        <v>6778.8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62" t="s">
        <v>51</v>
      </c>
      <c r="B9" s="1" t="s">
        <v>55</v>
      </c>
      <c r="C9" s="1">
        <v>15</v>
      </c>
      <c r="D9" s="1">
        <v>24.3</v>
      </c>
      <c r="E9" s="1">
        <v>15</v>
      </c>
      <c r="F9" s="29" t="s">
        <v>46</v>
      </c>
      <c r="G9" s="1">
        <f>D9*E9</f>
        <v>364.5</v>
      </c>
      <c r="H9" s="1"/>
    </row>
    <row r="10" spans="1:8" x14ac:dyDescent="0.25">
      <c r="A10" s="62"/>
      <c r="B10" s="1" t="s">
        <v>56</v>
      </c>
      <c r="C10" s="1">
        <v>1</v>
      </c>
      <c r="D10" s="1">
        <v>38.4</v>
      </c>
      <c r="E10" s="1">
        <v>20</v>
      </c>
      <c r="F10" s="1" t="s">
        <v>17</v>
      </c>
      <c r="G10" s="18">
        <f>D10*E10</f>
        <v>768</v>
      </c>
      <c r="H10" s="1"/>
    </row>
    <row r="11" spans="1:8" x14ac:dyDescent="0.25">
      <c r="A11" s="62"/>
      <c r="B11" s="1"/>
      <c r="C11" s="1"/>
      <c r="D11" s="1"/>
      <c r="E11" s="1"/>
      <c r="F11" s="1"/>
      <c r="G11" s="1"/>
      <c r="H11" s="1"/>
    </row>
    <row r="12" spans="1:8" x14ac:dyDescent="0.25">
      <c r="A12" s="62"/>
      <c r="B12" s="1"/>
      <c r="C12" s="1"/>
      <c r="D12" s="1"/>
      <c r="E12" s="1"/>
      <c r="F12" s="1"/>
      <c r="G12" s="1"/>
      <c r="H12" s="1"/>
    </row>
    <row r="13" spans="1:8" x14ac:dyDescent="0.25">
      <c r="A13" s="62"/>
      <c r="B13" s="1"/>
      <c r="C13" s="1"/>
      <c r="D13" s="1"/>
      <c r="E13" s="1"/>
      <c r="F13" s="1"/>
      <c r="G13" s="1"/>
      <c r="H13" s="1"/>
    </row>
    <row r="14" spans="1:8" x14ac:dyDescent="0.25">
      <c r="A14" s="62"/>
      <c r="B14" s="56" t="s">
        <v>7</v>
      </c>
      <c r="C14" s="57"/>
      <c r="D14" s="58"/>
      <c r="E14" s="3"/>
      <c r="F14" s="3"/>
      <c r="G14" s="13">
        <f>SUM(G9:G13)</f>
        <v>1132.5</v>
      </c>
      <c r="H14" s="1"/>
    </row>
    <row r="15" spans="1:8" x14ac:dyDescent="0.25">
      <c r="A15" s="27" t="s">
        <v>37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62" t="s">
        <v>139</v>
      </c>
      <c r="B16" s="1" t="s">
        <v>140</v>
      </c>
      <c r="C16" s="1">
        <v>40</v>
      </c>
      <c r="D16" s="1">
        <v>48</v>
      </c>
      <c r="E16" s="1">
        <v>40</v>
      </c>
      <c r="F16" s="29" t="s">
        <v>46</v>
      </c>
      <c r="G16" s="1">
        <f>D16*E16</f>
        <v>1920</v>
      </c>
      <c r="H16" s="1"/>
    </row>
    <row r="17" spans="1:8" x14ac:dyDescent="0.25">
      <c r="A17" s="62"/>
      <c r="B17" s="1" t="s">
        <v>143</v>
      </c>
      <c r="C17" s="1"/>
      <c r="D17" s="1">
        <v>120</v>
      </c>
      <c r="E17" s="1">
        <v>2</v>
      </c>
      <c r="F17" s="29" t="s">
        <v>144</v>
      </c>
      <c r="G17" s="53">
        <f>D17*E17</f>
        <v>240</v>
      </c>
      <c r="H17" s="1"/>
    </row>
    <row r="18" spans="1:8" x14ac:dyDescent="0.25">
      <c r="A18" s="62"/>
      <c r="B18" s="1"/>
      <c r="C18" s="1"/>
      <c r="D18" s="1"/>
      <c r="E18" s="1"/>
      <c r="F18" s="1"/>
      <c r="G18" s="18"/>
      <c r="H18" s="1"/>
    </row>
    <row r="19" spans="1:8" x14ac:dyDescent="0.25">
      <c r="A19" s="62"/>
      <c r="B19" s="1"/>
      <c r="C19" s="1"/>
      <c r="D19" s="1"/>
      <c r="E19" s="3"/>
      <c r="F19" s="3"/>
      <c r="G19" s="18"/>
      <c r="H19" s="1"/>
    </row>
    <row r="20" spans="1:8" x14ac:dyDescent="0.25">
      <c r="A20" s="62"/>
      <c r="B20" s="1"/>
      <c r="C20" s="1"/>
      <c r="D20" s="1"/>
      <c r="E20" s="3"/>
      <c r="F20" s="3"/>
      <c r="G20" s="18"/>
      <c r="H20" s="1"/>
    </row>
    <row r="21" spans="1:8" x14ac:dyDescent="0.25">
      <c r="A21" s="62"/>
      <c r="B21" s="1"/>
      <c r="C21" s="1"/>
      <c r="D21" s="1"/>
      <c r="E21" s="3"/>
      <c r="F21" s="3"/>
      <c r="G21" s="1"/>
      <c r="H21" s="1"/>
    </row>
    <row r="22" spans="1:8" x14ac:dyDescent="0.25">
      <c r="A22" s="62"/>
      <c r="B22" s="56" t="s">
        <v>7</v>
      </c>
      <c r="C22" s="57"/>
      <c r="D22" s="58"/>
      <c r="E22" s="3"/>
      <c r="F22" s="3"/>
      <c r="G22" s="13">
        <f>SUM(G16:G21)</f>
        <v>2160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63"/>
      <c r="B24" s="1" t="s">
        <v>26</v>
      </c>
      <c r="C24" s="1">
        <v>20</v>
      </c>
      <c r="D24" s="1">
        <v>55</v>
      </c>
      <c r="E24" s="1">
        <v>20</v>
      </c>
      <c r="F24" s="1" t="s">
        <v>17</v>
      </c>
      <c r="G24" s="1">
        <f>D24*E24</f>
        <v>1100</v>
      </c>
      <c r="H24" s="1"/>
    </row>
    <row r="25" spans="1:8" x14ac:dyDescent="0.25">
      <c r="A25" s="64"/>
      <c r="B25" s="51" t="s">
        <v>27</v>
      </c>
      <c r="C25" s="51">
        <v>2</v>
      </c>
      <c r="D25" s="51">
        <v>1188</v>
      </c>
      <c r="E25" s="51">
        <v>2</v>
      </c>
      <c r="F25" s="51" t="s">
        <v>28</v>
      </c>
      <c r="G25" s="51">
        <f t="shared" ref="G25:G29" si="1">D25*E25</f>
        <v>2376</v>
      </c>
      <c r="H25" s="1"/>
    </row>
    <row r="26" spans="1:8" x14ac:dyDescent="0.25">
      <c r="A26" s="64"/>
      <c r="B26" s="51" t="s">
        <v>49</v>
      </c>
      <c r="C26" s="51" t="s">
        <v>36</v>
      </c>
      <c r="D26" s="51">
        <v>85.5</v>
      </c>
      <c r="E26" s="51">
        <v>0.5</v>
      </c>
      <c r="F26" s="50" t="s">
        <v>46</v>
      </c>
      <c r="G26" s="51">
        <f t="shared" si="1"/>
        <v>42.75</v>
      </c>
      <c r="H26" s="1"/>
    </row>
    <row r="27" spans="1:8" x14ac:dyDescent="0.25">
      <c r="A27" s="64"/>
      <c r="B27" s="51" t="s">
        <v>59</v>
      </c>
      <c r="C27" s="51">
        <v>8</v>
      </c>
      <c r="D27" s="51">
        <v>19.8</v>
      </c>
      <c r="E27" s="51">
        <v>8</v>
      </c>
      <c r="F27" s="50" t="s">
        <v>46</v>
      </c>
      <c r="G27" s="51">
        <f t="shared" si="1"/>
        <v>158.4</v>
      </c>
      <c r="H27" s="29"/>
    </row>
    <row r="28" spans="1:8" x14ac:dyDescent="0.25">
      <c r="A28" s="64"/>
      <c r="B28" s="51" t="s">
        <v>60</v>
      </c>
      <c r="C28" s="51">
        <v>35</v>
      </c>
      <c r="D28" s="51">
        <v>78</v>
      </c>
      <c r="E28" s="51">
        <v>6.72</v>
      </c>
      <c r="F28" s="50" t="s">
        <v>46</v>
      </c>
      <c r="G28" s="51">
        <f t="shared" si="1"/>
        <v>524.16</v>
      </c>
      <c r="H28" s="29"/>
    </row>
    <row r="29" spans="1:8" x14ac:dyDescent="0.25">
      <c r="A29" s="64"/>
      <c r="B29" s="51" t="s">
        <v>58</v>
      </c>
      <c r="C29" s="51">
        <v>3</v>
      </c>
      <c r="D29" s="51">
        <v>99</v>
      </c>
      <c r="E29" s="50">
        <v>3</v>
      </c>
      <c r="F29" s="50" t="s">
        <v>17</v>
      </c>
      <c r="G29" s="51">
        <f t="shared" si="1"/>
        <v>297</v>
      </c>
      <c r="H29" s="29"/>
    </row>
    <row r="30" spans="1:8" x14ac:dyDescent="0.25">
      <c r="A30" s="64"/>
      <c r="B30" s="18"/>
      <c r="C30" s="18"/>
      <c r="D30" s="35"/>
      <c r="E30" s="34"/>
      <c r="F30" s="34"/>
      <c r="G30" s="35"/>
      <c r="H30" s="18"/>
    </row>
    <row r="31" spans="1:8" x14ac:dyDescent="0.25">
      <c r="A31" s="65"/>
      <c r="B31" s="56" t="s">
        <v>7</v>
      </c>
      <c r="C31" s="57"/>
      <c r="D31" s="58"/>
      <c r="E31" s="3"/>
      <c r="F31" s="3"/>
      <c r="G31" s="13">
        <f>SUM(G24:G30)</f>
        <v>4498.3100000000004</v>
      </c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12" x14ac:dyDescent="0.25">
      <c r="A33" s="63" t="s">
        <v>83</v>
      </c>
      <c r="B33" s="1" t="s">
        <v>122</v>
      </c>
      <c r="C33" s="1">
        <v>20</v>
      </c>
      <c r="D33" s="1">
        <v>90</v>
      </c>
      <c r="E33" s="1">
        <v>20</v>
      </c>
      <c r="F33" s="47" t="s">
        <v>46</v>
      </c>
      <c r="G33" s="1">
        <f>D33*E33</f>
        <v>1800</v>
      </c>
      <c r="H33" s="1"/>
    </row>
    <row r="34" spans="1:12" x14ac:dyDescent="0.25">
      <c r="A34" s="64"/>
      <c r="B34" s="1" t="s">
        <v>123</v>
      </c>
      <c r="C34" s="1">
        <v>10</v>
      </c>
      <c r="D34" s="1">
        <v>119.04</v>
      </c>
      <c r="E34" s="1">
        <v>2.17</v>
      </c>
      <c r="F34" s="47" t="s">
        <v>17</v>
      </c>
      <c r="G34" s="2">
        <f>D34*E34</f>
        <v>258.3168</v>
      </c>
      <c r="H34" s="1"/>
    </row>
    <row r="35" spans="1:12" x14ac:dyDescent="0.25">
      <c r="A35" s="64"/>
      <c r="B35" s="1" t="s">
        <v>124</v>
      </c>
      <c r="C35" s="1">
        <v>3</v>
      </c>
      <c r="D35" s="1">
        <v>225</v>
      </c>
      <c r="E35" s="1">
        <v>3</v>
      </c>
      <c r="F35" s="1" t="s">
        <v>125</v>
      </c>
      <c r="G35" s="2">
        <f>D35*E35</f>
        <v>675</v>
      </c>
      <c r="H35" s="1"/>
    </row>
    <row r="36" spans="1:12" x14ac:dyDescent="0.25">
      <c r="A36" s="64"/>
      <c r="B36" s="32"/>
      <c r="C36" s="33"/>
      <c r="D36" s="34"/>
      <c r="E36" s="34"/>
      <c r="F36" s="34"/>
      <c r="G36" s="34"/>
      <c r="H36" s="35"/>
    </row>
    <row r="37" spans="1:12" x14ac:dyDescent="0.25">
      <c r="A37" s="65"/>
      <c r="B37" s="56" t="s">
        <v>7</v>
      </c>
      <c r="C37" s="57"/>
      <c r="D37" s="58"/>
      <c r="E37" s="3"/>
      <c r="F37" s="3"/>
      <c r="G37" s="13">
        <f>SUM(G33:G35)</f>
        <v>2733.3168000000001</v>
      </c>
      <c r="H37" s="1"/>
    </row>
    <row r="38" spans="1:12" x14ac:dyDescent="0.25">
      <c r="A38" s="35" t="s">
        <v>107</v>
      </c>
      <c r="B38" s="1" t="s">
        <v>1</v>
      </c>
      <c r="C38" s="1" t="s">
        <v>2</v>
      </c>
      <c r="D38" s="1" t="s">
        <v>3</v>
      </c>
      <c r="E38" s="3" t="s">
        <v>4</v>
      </c>
      <c r="F38" s="3"/>
      <c r="G38" s="3" t="s">
        <v>5</v>
      </c>
      <c r="H38" s="1" t="s">
        <v>6</v>
      </c>
    </row>
    <row r="39" spans="1:12" x14ac:dyDescent="0.25">
      <c r="A39" s="63"/>
      <c r="B39" s="1" t="s">
        <v>141</v>
      </c>
      <c r="C39" s="1"/>
      <c r="D39" s="1">
        <v>16.2</v>
      </c>
      <c r="E39" s="1">
        <v>70</v>
      </c>
      <c r="F39" s="1" t="s">
        <v>105</v>
      </c>
      <c r="G39" s="23">
        <f>D39*E39</f>
        <v>1134</v>
      </c>
      <c r="H39" s="1"/>
      <c r="K39" t="s">
        <v>106</v>
      </c>
      <c r="L39">
        <v>43.2</v>
      </c>
    </row>
    <row r="40" spans="1:12" x14ac:dyDescent="0.25">
      <c r="A40" s="64"/>
      <c r="B40" s="1" t="s">
        <v>142</v>
      </c>
      <c r="C40" s="1"/>
      <c r="D40" s="1">
        <v>39.36</v>
      </c>
      <c r="E40" s="1">
        <v>92</v>
      </c>
      <c r="F40" s="21" t="s">
        <v>17</v>
      </c>
      <c r="G40" s="23">
        <f>D40*E40</f>
        <v>3621.12</v>
      </c>
      <c r="H40" s="35"/>
    </row>
    <row r="41" spans="1:12" x14ac:dyDescent="0.25">
      <c r="A41" s="64"/>
      <c r="B41" s="40"/>
      <c r="C41" s="40"/>
      <c r="D41" s="40"/>
      <c r="E41" s="40"/>
      <c r="F41" s="40"/>
      <c r="G41" s="40"/>
      <c r="H41" s="40"/>
    </row>
    <row r="42" spans="1:12" x14ac:dyDescent="0.25">
      <c r="A42" s="65"/>
      <c r="B42" s="56" t="s">
        <v>7</v>
      </c>
      <c r="C42" s="57"/>
      <c r="D42" s="58"/>
      <c r="E42" s="3"/>
      <c r="F42" s="3"/>
      <c r="G42" s="13">
        <f>SUM(G38:G40)</f>
        <v>4755.12</v>
      </c>
      <c r="H42" s="6"/>
    </row>
    <row r="43" spans="1:12" x14ac:dyDescent="0.25">
      <c r="A43" s="7" t="s">
        <v>13</v>
      </c>
      <c r="B43" s="35" t="s">
        <v>1</v>
      </c>
      <c r="C43" s="35" t="s">
        <v>2</v>
      </c>
      <c r="D43" s="35" t="s">
        <v>3</v>
      </c>
      <c r="E43" s="35" t="s">
        <v>4</v>
      </c>
      <c r="F43" s="35"/>
      <c r="G43" s="35" t="s">
        <v>5</v>
      </c>
      <c r="H43" s="35"/>
    </row>
    <row r="44" spans="1:12" x14ac:dyDescent="0.25">
      <c r="A44" s="62"/>
      <c r="B44" s="35"/>
      <c r="C44" s="35"/>
      <c r="D44" s="35"/>
      <c r="E44" s="35"/>
      <c r="F44" s="35"/>
      <c r="G44" s="35"/>
      <c r="H44" s="35"/>
    </row>
    <row r="45" spans="1:12" x14ac:dyDescent="0.25">
      <c r="A45" s="62"/>
      <c r="B45" s="35"/>
      <c r="C45" s="35"/>
      <c r="D45" s="35"/>
      <c r="E45" s="35"/>
      <c r="F45" s="35"/>
      <c r="G45" s="35"/>
      <c r="H45" s="35"/>
    </row>
    <row r="46" spans="1:12" x14ac:dyDescent="0.25">
      <c r="A46" s="62"/>
      <c r="B46" s="35"/>
      <c r="C46" s="35"/>
      <c r="D46" s="35"/>
      <c r="E46" s="35"/>
      <c r="F46" s="35"/>
      <c r="G46" s="35"/>
      <c r="H46" s="35"/>
    </row>
    <row r="47" spans="1:12" x14ac:dyDescent="0.25">
      <c r="A47" s="62"/>
      <c r="B47" s="35"/>
      <c r="C47" s="35"/>
      <c r="D47" s="35"/>
      <c r="E47" s="35"/>
      <c r="F47" s="35"/>
      <c r="G47" s="35"/>
      <c r="H47" s="35"/>
    </row>
    <row r="48" spans="1:12" x14ac:dyDescent="0.25">
      <c r="A48" s="62"/>
      <c r="B48" s="40"/>
      <c r="C48" s="40"/>
      <c r="D48" s="40"/>
      <c r="E48" s="40"/>
      <c r="F48" s="40"/>
      <c r="G48" s="40"/>
      <c r="H48" s="40"/>
    </row>
    <row r="49" spans="1:8" x14ac:dyDescent="0.25">
      <c r="A49" s="62"/>
      <c r="B49" s="32" t="s">
        <v>7</v>
      </c>
      <c r="C49" s="33"/>
      <c r="D49" s="34"/>
      <c r="E49" s="34"/>
      <c r="F49" s="34"/>
      <c r="G49" s="4">
        <f>SUM(G44:G47)</f>
        <v>0</v>
      </c>
      <c r="H49" s="35"/>
    </row>
    <row r="50" spans="1:8" x14ac:dyDescent="0.25">
      <c r="A50" s="1"/>
      <c r="B50" s="36" t="s">
        <v>14</v>
      </c>
      <c r="C50" s="37"/>
      <c r="D50" s="38"/>
      <c r="E50" s="38"/>
      <c r="F50" s="38"/>
      <c r="G50" s="9">
        <f>G49+G42+G37+G22+G14+G7+G31</f>
        <v>22058.0468</v>
      </c>
      <c r="H50" s="35"/>
    </row>
  </sheetData>
  <mergeCells count="14">
    <mergeCell ref="A44:A49"/>
    <mergeCell ref="B31:D31"/>
    <mergeCell ref="B37:D37"/>
    <mergeCell ref="B42:D42"/>
    <mergeCell ref="A24:A31"/>
    <mergeCell ref="A33:A37"/>
    <mergeCell ref="A39:A42"/>
    <mergeCell ref="A16:A22"/>
    <mergeCell ref="B22:D22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4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opLeftCell="A16" workbookViewId="0">
      <selection activeCell="K17" sqref="K1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9" t="s">
        <v>156</v>
      </c>
      <c r="B1" s="60"/>
      <c r="C1" s="60"/>
      <c r="D1" s="60"/>
      <c r="E1" s="60"/>
      <c r="F1" s="60"/>
      <c r="G1" s="60"/>
      <c r="H1" s="6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2" t="s">
        <v>61</v>
      </c>
      <c r="B3" s="1" t="s">
        <v>61</v>
      </c>
      <c r="C3" s="1">
        <v>65</v>
      </c>
      <c r="D3" s="1">
        <v>21</v>
      </c>
      <c r="E3" s="1">
        <v>65</v>
      </c>
      <c r="F3" s="1" t="s">
        <v>68</v>
      </c>
      <c r="G3" s="2">
        <f>D3*E3</f>
        <v>1365</v>
      </c>
      <c r="H3" s="1"/>
    </row>
    <row r="4" spans="1:8" x14ac:dyDescent="0.25">
      <c r="A4" s="62"/>
      <c r="B4" s="1" t="s">
        <v>64</v>
      </c>
      <c r="C4" s="1">
        <v>15</v>
      </c>
      <c r="D4" s="1">
        <v>33.299999999999997</v>
      </c>
      <c r="E4" s="1">
        <v>15</v>
      </c>
      <c r="F4" s="1" t="s">
        <v>68</v>
      </c>
      <c r="G4" s="2">
        <f t="shared" ref="G4:G6" si="0">D4*E4</f>
        <v>499.49999999999994</v>
      </c>
      <c r="H4" s="1"/>
    </row>
    <row r="5" spans="1:8" x14ac:dyDescent="0.25">
      <c r="A5" s="62"/>
      <c r="B5" s="1" t="s">
        <v>65</v>
      </c>
      <c r="C5" s="1">
        <v>3</v>
      </c>
      <c r="D5" s="1">
        <v>360</v>
      </c>
      <c r="E5" s="1">
        <v>3</v>
      </c>
      <c r="F5" s="1" t="s">
        <v>69</v>
      </c>
      <c r="G5" s="2">
        <f t="shared" si="0"/>
        <v>1080</v>
      </c>
      <c r="H5" s="1"/>
    </row>
    <row r="6" spans="1:8" x14ac:dyDescent="0.25">
      <c r="A6" s="62"/>
      <c r="B6" s="1" t="s">
        <v>66</v>
      </c>
      <c r="C6" s="1">
        <v>3</v>
      </c>
      <c r="D6" s="1">
        <v>66</v>
      </c>
      <c r="E6" s="3">
        <v>3</v>
      </c>
      <c r="F6" s="30" t="s">
        <v>46</v>
      </c>
      <c r="G6" s="2">
        <f t="shared" si="0"/>
        <v>198</v>
      </c>
      <c r="H6" s="1"/>
    </row>
    <row r="7" spans="1:8" x14ac:dyDescent="0.25">
      <c r="A7" s="62"/>
      <c r="B7" s="56" t="s">
        <v>7</v>
      </c>
      <c r="C7" s="57"/>
      <c r="D7" s="58"/>
      <c r="E7" s="3"/>
      <c r="F7" s="3"/>
      <c r="G7" s="13">
        <f>SUM(G3:G6)</f>
        <v>3142.5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62" t="s">
        <v>62</v>
      </c>
      <c r="B9" s="1" t="s">
        <v>62</v>
      </c>
      <c r="C9" s="1">
        <v>560</v>
      </c>
      <c r="D9" s="1">
        <v>11.5</v>
      </c>
      <c r="E9" s="26">
        <v>560</v>
      </c>
      <c r="F9" s="1" t="s">
        <v>67</v>
      </c>
      <c r="G9" s="1">
        <f>D9*E9</f>
        <v>6440</v>
      </c>
      <c r="H9" s="1"/>
    </row>
    <row r="10" spans="1:8" x14ac:dyDescent="0.25">
      <c r="A10" s="62"/>
      <c r="B10" s="1"/>
      <c r="C10" s="1"/>
      <c r="D10" s="1"/>
      <c r="E10" s="1"/>
      <c r="F10" s="1"/>
      <c r="G10" s="21"/>
      <c r="H10" s="1"/>
    </row>
    <row r="11" spans="1:8" x14ac:dyDescent="0.25">
      <c r="A11" s="62"/>
      <c r="B11" s="1"/>
      <c r="C11" s="1"/>
      <c r="D11" s="1"/>
      <c r="E11" s="1"/>
      <c r="F11" s="1"/>
      <c r="G11" s="21"/>
      <c r="H11" s="1"/>
    </row>
    <row r="12" spans="1:8" x14ac:dyDescent="0.25">
      <c r="A12" s="62"/>
      <c r="B12" s="1"/>
      <c r="C12" s="1"/>
      <c r="D12" s="1"/>
      <c r="E12" s="1"/>
      <c r="F12" s="1"/>
      <c r="G12" s="21"/>
      <c r="H12" s="1"/>
    </row>
    <row r="13" spans="1:8" x14ac:dyDescent="0.25">
      <c r="A13" s="62"/>
      <c r="B13" s="1"/>
      <c r="C13" s="1"/>
      <c r="D13" s="1"/>
      <c r="E13" s="1"/>
      <c r="F13" s="1"/>
      <c r="G13" s="1"/>
      <c r="H13" s="1"/>
    </row>
    <row r="14" spans="1:8" x14ac:dyDescent="0.25">
      <c r="A14" s="62"/>
      <c r="B14" s="56" t="s">
        <v>7</v>
      </c>
      <c r="C14" s="57"/>
      <c r="D14" s="58"/>
      <c r="E14" s="3"/>
      <c r="F14" s="3"/>
      <c r="G14" s="13">
        <f>SUM(G9:G13)</f>
        <v>6440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69" t="s">
        <v>76</v>
      </c>
      <c r="B16" s="1" t="s">
        <v>63</v>
      </c>
      <c r="C16" s="1">
        <v>290</v>
      </c>
      <c r="D16" s="1">
        <v>16</v>
      </c>
      <c r="E16" s="1">
        <v>400</v>
      </c>
      <c r="F16" s="1" t="s">
        <v>77</v>
      </c>
      <c r="G16" s="1">
        <f>D16*E16</f>
        <v>6400</v>
      </c>
      <c r="H16" s="1"/>
    </row>
    <row r="17" spans="1:8" x14ac:dyDescent="0.25">
      <c r="A17" s="62"/>
      <c r="B17" s="1"/>
      <c r="C17" s="1"/>
      <c r="D17" s="1"/>
      <c r="E17" s="1"/>
      <c r="F17" s="1"/>
      <c r="G17" s="1"/>
      <c r="H17" s="1"/>
    </row>
    <row r="18" spans="1:8" x14ac:dyDescent="0.25">
      <c r="A18" s="62"/>
      <c r="B18" s="1"/>
      <c r="C18" s="1"/>
      <c r="D18" s="1"/>
      <c r="E18" s="1"/>
      <c r="F18" s="1"/>
      <c r="G18" s="1"/>
      <c r="H18" s="1"/>
    </row>
    <row r="19" spans="1:8" x14ac:dyDescent="0.25">
      <c r="A19" s="62"/>
      <c r="B19" s="1"/>
      <c r="C19" s="1"/>
      <c r="D19" s="1"/>
      <c r="E19" s="3"/>
      <c r="F19" s="3"/>
      <c r="G19" s="1"/>
      <c r="H19" s="1"/>
    </row>
    <row r="20" spans="1:8" x14ac:dyDescent="0.25">
      <c r="A20" s="62"/>
      <c r="B20" s="56" t="s">
        <v>7</v>
      </c>
      <c r="C20" s="57"/>
      <c r="D20" s="58"/>
      <c r="E20" s="3"/>
      <c r="F20" s="3"/>
      <c r="G20" s="15">
        <f>SUM(G16:G19)</f>
        <v>6400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62"/>
      <c r="B22" s="1" t="s">
        <v>70</v>
      </c>
      <c r="C22" s="1">
        <v>35</v>
      </c>
      <c r="D22" s="1">
        <v>66</v>
      </c>
      <c r="E22" s="1">
        <v>9.82</v>
      </c>
      <c r="F22" s="1" t="s">
        <v>17</v>
      </c>
      <c r="G22" s="1">
        <f>D22*E22</f>
        <v>648.12</v>
      </c>
      <c r="H22" s="1" t="s">
        <v>29</v>
      </c>
    </row>
    <row r="23" spans="1:8" x14ac:dyDescent="0.25">
      <c r="A23" s="62"/>
      <c r="B23" s="1" t="s">
        <v>71</v>
      </c>
      <c r="C23" s="1">
        <v>5</v>
      </c>
      <c r="D23" s="1">
        <v>22.44</v>
      </c>
      <c r="E23" s="1">
        <v>5</v>
      </c>
      <c r="F23" s="31" t="s">
        <v>46</v>
      </c>
      <c r="G23" s="21">
        <f t="shared" ref="G23:G28" si="1">D23*E23</f>
        <v>112.2</v>
      </c>
      <c r="H23" s="1"/>
    </row>
    <row r="24" spans="1:8" x14ac:dyDescent="0.25">
      <c r="A24" s="62"/>
      <c r="B24" s="1" t="s">
        <v>74</v>
      </c>
      <c r="C24" s="1">
        <v>1</v>
      </c>
      <c r="D24" s="1">
        <v>43.8</v>
      </c>
      <c r="E24" s="1">
        <v>1</v>
      </c>
      <c r="F24" s="31" t="s">
        <v>46</v>
      </c>
      <c r="G24" s="21">
        <f t="shared" si="1"/>
        <v>43.8</v>
      </c>
      <c r="H24" s="1"/>
    </row>
    <row r="25" spans="1:8" x14ac:dyDescent="0.25">
      <c r="A25" s="62"/>
      <c r="B25" s="1" t="s">
        <v>75</v>
      </c>
      <c r="C25" s="1" t="s">
        <v>78</v>
      </c>
      <c r="D25" s="1">
        <v>69</v>
      </c>
      <c r="E25" s="1">
        <v>0.5</v>
      </c>
      <c r="F25" s="31" t="s">
        <v>46</v>
      </c>
      <c r="G25" s="21">
        <f t="shared" si="1"/>
        <v>34.5</v>
      </c>
      <c r="H25" s="1"/>
    </row>
    <row r="26" spans="1:8" x14ac:dyDescent="0.25">
      <c r="A26" s="62"/>
      <c r="B26" s="21" t="s">
        <v>72</v>
      </c>
      <c r="C26" s="21">
        <v>30</v>
      </c>
      <c r="D26" s="21">
        <v>150</v>
      </c>
      <c r="E26" s="21">
        <v>30</v>
      </c>
      <c r="F26" s="30" t="s">
        <v>46</v>
      </c>
      <c r="G26" s="22">
        <f t="shared" si="1"/>
        <v>4500</v>
      </c>
      <c r="H26" s="21"/>
    </row>
    <row r="27" spans="1:8" x14ac:dyDescent="0.25">
      <c r="A27" s="62"/>
      <c r="B27" s="21" t="s">
        <v>154</v>
      </c>
      <c r="C27" s="21"/>
      <c r="D27" s="21">
        <v>613</v>
      </c>
      <c r="E27" s="21">
        <v>1</v>
      </c>
      <c r="F27" s="22" t="s">
        <v>151</v>
      </c>
      <c r="G27" s="22">
        <f t="shared" si="1"/>
        <v>613</v>
      </c>
      <c r="H27" s="21"/>
    </row>
    <row r="28" spans="1:8" x14ac:dyDescent="0.25">
      <c r="A28" s="62"/>
      <c r="B28" s="53" t="s">
        <v>155</v>
      </c>
      <c r="C28" s="53"/>
      <c r="D28" s="53">
        <v>42</v>
      </c>
      <c r="E28" s="53">
        <v>20</v>
      </c>
      <c r="F28" s="53" t="s">
        <v>148</v>
      </c>
      <c r="G28" s="52">
        <f t="shared" si="1"/>
        <v>840</v>
      </c>
      <c r="H28" s="53"/>
    </row>
    <row r="29" spans="1:8" x14ac:dyDescent="0.25">
      <c r="A29" s="62"/>
      <c r="B29" s="56" t="s">
        <v>7</v>
      </c>
      <c r="C29" s="57"/>
      <c r="D29" s="58"/>
      <c r="E29" s="3"/>
      <c r="F29" s="3"/>
      <c r="G29" s="13">
        <f>SUM(G22:G28)</f>
        <v>6791.62</v>
      </c>
      <c r="H29" s="1"/>
    </row>
    <row r="30" spans="1:8" x14ac:dyDescent="0.25">
      <c r="A30" s="1" t="s">
        <v>11</v>
      </c>
      <c r="B30" s="1" t="s">
        <v>1</v>
      </c>
      <c r="C30" s="1" t="s">
        <v>2</v>
      </c>
      <c r="D30" s="1" t="s">
        <v>3</v>
      </c>
      <c r="E30" s="1" t="s">
        <v>4</v>
      </c>
      <c r="F30" s="1"/>
      <c r="G30" s="1"/>
      <c r="H30" s="1" t="s">
        <v>6</v>
      </c>
    </row>
    <row r="31" spans="1:8" x14ac:dyDescent="0.25">
      <c r="A31" s="62" t="s">
        <v>80</v>
      </c>
      <c r="B31" s="1" t="s">
        <v>73</v>
      </c>
      <c r="C31" s="1"/>
      <c r="D31" s="1">
        <v>98.4</v>
      </c>
      <c r="E31" s="1">
        <v>15</v>
      </c>
      <c r="F31" s="11" t="s">
        <v>148</v>
      </c>
      <c r="G31" s="1">
        <f>D31*E31</f>
        <v>1476</v>
      </c>
      <c r="H31" s="1"/>
    </row>
    <row r="32" spans="1:8" x14ac:dyDescent="0.25">
      <c r="A32" s="62"/>
      <c r="B32" s="1" t="s">
        <v>126</v>
      </c>
      <c r="C32" s="1">
        <v>1</v>
      </c>
      <c r="D32" s="1">
        <v>175</v>
      </c>
      <c r="E32" s="1">
        <v>1</v>
      </c>
      <c r="F32" s="1" t="s">
        <v>127</v>
      </c>
      <c r="G32" s="53">
        <f>D32*E32</f>
        <v>175</v>
      </c>
      <c r="H32" s="1"/>
    </row>
    <row r="33" spans="1:8" x14ac:dyDescent="0.25">
      <c r="A33" s="62"/>
      <c r="B33" s="1"/>
      <c r="C33" s="1"/>
      <c r="D33" s="1"/>
      <c r="E33" s="1"/>
      <c r="F33" s="1"/>
      <c r="G33" s="1"/>
      <c r="H33" s="1"/>
    </row>
    <row r="34" spans="1:8" x14ac:dyDescent="0.25">
      <c r="A34" s="62"/>
      <c r="B34" s="56" t="s">
        <v>16</v>
      </c>
      <c r="C34" s="57"/>
      <c r="D34" s="58"/>
      <c r="E34" s="3"/>
      <c r="F34" s="3"/>
      <c r="G34" s="13">
        <f>SUM(G31:G33)</f>
        <v>1651</v>
      </c>
      <c r="H34" s="1"/>
    </row>
    <row r="35" spans="1:8" x14ac:dyDescent="0.25">
      <c r="A35" s="1" t="s">
        <v>12</v>
      </c>
      <c r="B35" s="1" t="s">
        <v>1</v>
      </c>
      <c r="C35" s="1" t="s">
        <v>2</v>
      </c>
      <c r="D35" s="1" t="s">
        <v>3</v>
      </c>
      <c r="E35" s="3" t="s">
        <v>4</v>
      </c>
      <c r="F35" s="3"/>
      <c r="G35" s="3" t="s">
        <v>5</v>
      </c>
      <c r="H35" s="1" t="s">
        <v>6</v>
      </c>
    </row>
    <row r="36" spans="1:8" x14ac:dyDescent="0.25">
      <c r="A36" s="63"/>
      <c r="B36" s="1" t="s">
        <v>149</v>
      </c>
      <c r="C36" s="1"/>
      <c r="D36" s="1">
        <v>13.26</v>
      </c>
      <c r="E36" s="1">
        <v>70</v>
      </c>
      <c r="F36" s="1" t="s">
        <v>21</v>
      </c>
      <c r="G36" s="1">
        <f>D36*E36</f>
        <v>928.19999999999993</v>
      </c>
      <c r="H36" s="1"/>
    </row>
    <row r="37" spans="1:8" x14ac:dyDescent="0.25">
      <c r="A37" s="64"/>
      <c r="B37" s="41" t="s">
        <v>157</v>
      </c>
      <c r="C37" s="41"/>
      <c r="D37" s="41"/>
      <c r="E37" s="41"/>
      <c r="F37" s="41" t="s">
        <v>17</v>
      </c>
      <c r="G37" s="2">
        <f>D37*E37</f>
        <v>0</v>
      </c>
      <c r="H37" s="1" t="s">
        <v>158</v>
      </c>
    </row>
    <row r="38" spans="1:8" x14ac:dyDescent="0.25">
      <c r="A38" s="65"/>
      <c r="B38" s="56" t="s">
        <v>7</v>
      </c>
      <c r="C38" s="57"/>
      <c r="D38" s="58"/>
      <c r="E38" s="3"/>
      <c r="F38" s="3"/>
      <c r="G38" s="13">
        <f>SUM(G36:G37)</f>
        <v>928.19999999999993</v>
      </c>
      <c r="H38" s="6"/>
    </row>
    <row r="39" spans="1:8" x14ac:dyDescent="0.25">
      <c r="A39" s="7" t="s">
        <v>13</v>
      </c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 t="s">
        <v>5</v>
      </c>
      <c r="H39" s="1"/>
    </row>
    <row r="40" spans="1:8" x14ac:dyDescent="0.25">
      <c r="A40" s="63"/>
      <c r="B40" s="1" t="s">
        <v>145</v>
      </c>
      <c r="C40" s="1"/>
      <c r="D40" s="1">
        <v>1350</v>
      </c>
      <c r="E40" s="1">
        <v>1</v>
      </c>
      <c r="F40" s="11" t="s">
        <v>146</v>
      </c>
      <c r="G40" s="1">
        <f>D40*E40</f>
        <v>1350</v>
      </c>
      <c r="H40" s="1"/>
    </row>
    <row r="41" spans="1:8" x14ac:dyDescent="0.25">
      <c r="A41" s="64"/>
      <c r="B41" s="1" t="s">
        <v>147</v>
      </c>
      <c r="C41" s="1"/>
      <c r="D41" s="1">
        <v>150</v>
      </c>
      <c r="E41" s="1">
        <v>5</v>
      </c>
      <c r="F41" s="11" t="s">
        <v>148</v>
      </c>
      <c r="G41" s="53">
        <f t="shared" ref="G41:G44" si="2">D41*E41</f>
        <v>750</v>
      </c>
      <c r="H41" s="1"/>
    </row>
    <row r="42" spans="1:8" x14ac:dyDescent="0.25">
      <c r="A42" s="64"/>
      <c r="B42" s="1" t="s">
        <v>150</v>
      </c>
      <c r="C42" s="1"/>
      <c r="D42" s="1">
        <v>235</v>
      </c>
      <c r="E42" s="1">
        <v>1</v>
      </c>
      <c r="F42" s="11" t="s">
        <v>151</v>
      </c>
      <c r="G42" s="53">
        <f t="shared" si="2"/>
        <v>235</v>
      </c>
      <c r="H42" s="1"/>
    </row>
    <row r="43" spans="1:8" x14ac:dyDescent="0.25">
      <c r="A43" s="64"/>
      <c r="B43" s="1" t="s">
        <v>152</v>
      </c>
      <c r="C43" s="1"/>
      <c r="D43" s="1">
        <v>181</v>
      </c>
      <c r="E43" s="1">
        <v>2</v>
      </c>
      <c r="F43" s="11" t="s">
        <v>151</v>
      </c>
      <c r="G43" s="53">
        <f t="shared" si="2"/>
        <v>362</v>
      </c>
      <c r="H43" s="1"/>
    </row>
    <row r="44" spans="1:8" x14ac:dyDescent="0.25">
      <c r="A44" s="64"/>
      <c r="B44" s="11" t="s">
        <v>153</v>
      </c>
      <c r="C44" s="11"/>
      <c r="D44" s="12">
        <v>110</v>
      </c>
      <c r="E44" s="12">
        <v>2</v>
      </c>
      <c r="F44" s="12" t="s">
        <v>144</v>
      </c>
      <c r="G44" s="53">
        <f t="shared" si="2"/>
        <v>220</v>
      </c>
      <c r="H44" s="11"/>
    </row>
    <row r="45" spans="1:8" x14ac:dyDescent="0.25">
      <c r="A45" s="65"/>
      <c r="B45" s="56" t="s">
        <v>7</v>
      </c>
      <c r="C45" s="57"/>
      <c r="D45" s="58"/>
      <c r="E45" s="3"/>
      <c r="F45" s="3"/>
      <c r="G45" s="13">
        <f>SUM(G40:G44)</f>
        <v>2917</v>
      </c>
      <c r="H45" s="1"/>
    </row>
    <row r="46" spans="1:8" x14ac:dyDescent="0.25">
      <c r="A46" s="11"/>
      <c r="B46" s="66" t="s">
        <v>14</v>
      </c>
      <c r="C46" s="67"/>
      <c r="D46" s="68"/>
      <c r="E46" s="8"/>
      <c r="F46" s="8"/>
      <c r="G46" s="9">
        <f>G45+G38+G34+G29+G20+G7</f>
        <v>21830.32</v>
      </c>
      <c r="H46" s="1"/>
    </row>
  </sheetData>
  <mergeCells count="16">
    <mergeCell ref="B45:D45"/>
    <mergeCell ref="B46:D46"/>
    <mergeCell ref="A22:A29"/>
    <mergeCell ref="B29:D29"/>
    <mergeCell ref="A31:A34"/>
    <mergeCell ref="B34:D34"/>
    <mergeCell ref="A36:A38"/>
    <mergeCell ref="B38:D38"/>
    <mergeCell ref="A40:A45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opLeftCell="A25" workbookViewId="0">
      <selection activeCell="H42" sqref="A1:H4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9" t="s">
        <v>160</v>
      </c>
      <c r="B1" s="60"/>
      <c r="C1" s="60"/>
      <c r="D1" s="60"/>
      <c r="E1" s="60"/>
      <c r="F1" s="60"/>
      <c r="G1" s="60"/>
      <c r="H1" s="6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2" t="s">
        <v>81</v>
      </c>
      <c r="B3" s="1" t="s">
        <v>71</v>
      </c>
      <c r="C3" s="1">
        <v>10</v>
      </c>
      <c r="D3" s="1">
        <v>22.44</v>
      </c>
      <c r="E3" s="1">
        <v>10</v>
      </c>
      <c r="F3" s="31" t="s">
        <v>46</v>
      </c>
      <c r="G3" s="2">
        <f>D3*E3</f>
        <v>224.4</v>
      </c>
      <c r="H3" s="1"/>
    </row>
    <row r="4" spans="1:8" x14ac:dyDescent="0.25">
      <c r="A4" s="62"/>
      <c r="B4" s="1" t="s">
        <v>84</v>
      </c>
      <c r="C4" s="1">
        <v>1</v>
      </c>
      <c r="D4" s="1">
        <v>325</v>
      </c>
      <c r="E4" s="1">
        <v>1</v>
      </c>
      <c r="F4" s="1" t="s">
        <v>93</v>
      </c>
      <c r="G4" s="2">
        <f t="shared" ref="G4:G5" si="0">D4*E4</f>
        <v>325</v>
      </c>
      <c r="H4" s="1"/>
    </row>
    <row r="5" spans="1:8" x14ac:dyDescent="0.25">
      <c r="A5" s="62"/>
      <c r="B5" s="1" t="s">
        <v>85</v>
      </c>
      <c r="C5" s="1">
        <v>65</v>
      </c>
      <c r="D5" s="1">
        <v>168</v>
      </c>
      <c r="E5" s="1">
        <v>65</v>
      </c>
      <c r="F5" s="31" t="s">
        <v>46</v>
      </c>
      <c r="G5" s="2">
        <f t="shared" si="0"/>
        <v>10920</v>
      </c>
      <c r="H5" s="1"/>
    </row>
    <row r="6" spans="1:8" x14ac:dyDescent="0.25">
      <c r="A6" s="62"/>
      <c r="B6" s="17"/>
      <c r="C6" s="1"/>
      <c r="D6" s="1"/>
      <c r="E6" s="3"/>
      <c r="F6" s="3"/>
      <c r="G6" s="3"/>
      <c r="H6" s="1"/>
    </row>
    <row r="7" spans="1:8" x14ac:dyDescent="0.25">
      <c r="A7" s="62"/>
      <c r="B7" s="56" t="s">
        <v>7</v>
      </c>
      <c r="C7" s="57"/>
      <c r="D7" s="58"/>
      <c r="E7" s="3"/>
      <c r="F7" s="3"/>
      <c r="G7" s="13">
        <f>SUM(G3:G6)</f>
        <v>11469.4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62" t="s">
        <v>82</v>
      </c>
      <c r="B9" s="17" t="s">
        <v>86</v>
      </c>
      <c r="C9" s="1">
        <v>60</v>
      </c>
      <c r="D9" s="1">
        <v>20.399999999999999</v>
      </c>
      <c r="E9" s="1">
        <v>60</v>
      </c>
      <c r="F9" s="31" t="s">
        <v>46</v>
      </c>
      <c r="G9" s="1">
        <f>D9*E9</f>
        <v>1224</v>
      </c>
      <c r="H9" s="1"/>
    </row>
    <row r="10" spans="1:8" x14ac:dyDescent="0.25">
      <c r="A10" s="62"/>
      <c r="B10" s="1" t="s">
        <v>87</v>
      </c>
      <c r="C10" s="1">
        <v>4</v>
      </c>
      <c r="D10" s="1">
        <v>45</v>
      </c>
      <c r="E10" s="1">
        <v>8</v>
      </c>
      <c r="F10" s="31" t="s">
        <v>46</v>
      </c>
      <c r="G10" s="42">
        <f t="shared" ref="G10:G13" si="1">D10*E10</f>
        <v>360</v>
      </c>
      <c r="H10" s="1"/>
    </row>
    <row r="11" spans="1:8" x14ac:dyDescent="0.25">
      <c r="A11" s="62"/>
      <c r="B11" s="1" t="s">
        <v>88</v>
      </c>
      <c r="C11" s="1">
        <v>8</v>
      </c>
      <c r="D11" s="1">
        <v>111</v>
      </c>
      <c r="E11" s="1">
        <v>8</v>
      </c>
      <c r="F11" s="31" t="s">
        <v>46</v>
      </c>
      <c r="G11" s="42">
        <f t="shared" si="1"/>
        <v>888</v>
      </c>
      <c r="H11" s="1"/>
    </row>
    <row r="12" spans="1:8" x14ac:dyDescent="0.25">
      <c r="A12" s="62"/>
      <c r="B12" s="1" t="s">
        <v>89</v>
      </c>
      <c r="C12" s="1" t="s">
        <v>78</v>
      </c>
      <c r="D12" s="1">
        <v>309</v>
      </c>
      <c r="E12" s="1">
        <v>0.5</v>
      </c>
      <c r="F12" s="31" t="s">
        <v>46</v>
      </c>
      <c r="G12" s="42">
        <f t="shared" si="1"/>
        <v>154.5</v>
      </c>
      <c r="H12" s="1"/>
    </row>
    <row r="13" spans="1:8" x14ac:dyDescent="0.25">
      <c r="A13" s="62"/>
      <c r="B13" s="1" t="s">
        <v>92</v>
      </c>
      <c r="C13" s="1" t="s">
        <v>78</v>
      </c>
      <c r="D13" s="1">
        <v>660</v>
      </c>
      <c r="E13" s="1">
        <v>0.5</v>
      </c>
      <c r="F13" s="31" t="s">
        <v>46</v>
      </c>
      <c r="G13" s="42">
        <f t="shared" si="1"/>
        <v>330</v>
      </c>
      <c r="H13" s="1"/>
    </row>
    <row r="14" spans="1:8" x14ac:dyDescent="0.25">
      <c r="A14" s="62"/>
      <c r="B14" s="56" t="s">
        <v>7</v>
      </c>
      <c r="C14" s="57"/>
      <c r="D14" s="58"/>
      <c r="E14" s="3"/>
      <c r="F14" s="3"/>
      <c r="G14" s="13">
        <f>SUM(G9:G13)</f>
        <v>2956.5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62" t="s">
        <v>130</v>
      </c>
      <c r="B16" s="1" t="s">
        <v>118</v>
      </c>
      <c r="C16" s="1">
        <v>25</v>
      </c>
      <c r="D16" s="1">
        <v>41.04</v>
      </c>
      <c r="E16" s="1">
        <v>25</v>
      </c>
      <c r="F16" s="47" t="s">
        <v>46</v>
      </c>
      <c r="G16" s="1">
        <f>D16*E16</f>
        <v>1026</v>
      </c>
      <c r="H16" s="1"/>
    </row>
    <row r="17" spans="1:8" x14ac:dyDescent="0.25">
      <c r="A17" s="62"/>
      <c r="B17" s="1" t="s">
        <v>131</v>
      </c>
      <c r="C17" s="1">
        <v>20</v>
      </c>
      <c r="D17" s="1">
        <v>99</v>
      </c>
      <c r="E17" s="1">
        <v>20</v>
      </c>
      <c r="F17" s="47" t="s">
        <v>46</v>
      </c>
      <c r="G17" s="42">
        <f t="shared" ref="G17:G18" si="2">D17*E17</f>
        <v>1980</v>
      </c>
      <c r="H17" s="1"/>
    </row>
    <row r="18" spans="1:8" x14ac:dyDescent="0.25">
      <c r="A18" s="62"/>
      <c r="B18" s="1" t="s">
        <v>119</v>
      </c>
      <c r="C18" s="1">
        <v>3</v>
      </c>
      <c r="D18" s="1">
        <v>15.96</v>
      </c>
      <c r="E18" s="1">
        <v>3</v>
      </c>
      <c r="F18" s="47" t="s">
        <v>46</v>
      </c>
      <c r="G18" s="42">
        <f t="shared" si="2"/>
        <v>47.88</v>
      </c>
      <c r="H18" s="1"/>
    </row>
    <row r="19" spans="1:8" x14ac:dyDescent="0.25">
      <c r="A19" s="62"/>
      <c r="B19" s="24"/>
      <c r="C19" s="24"/>
      <c r="D19" s="24"/>
      <c r="E19" s="24"/>
      <c r="F19" s="24"/>
      <c r="G19" s="1"/>
      <c r="H19" s="1"/>
    </row>
    <row r="20" spans="1:8" x14ac:dyDescent="0.25">
      <c r="A20" s="62"/>
      <c r="B20" s="56" t="s">
        <v>7</v>
      </c>
      <c r="C20" s="57"/>
      <c r="D20" s="58"/>
      <c r="E20" s="3"/>
      <c r="F20" s="3"/>
      <c r="G20" s="13">
        <f>SUM(G16:G19)</f>
        <v>3053.88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62"/>
      <c r="B22" s="1" t="s">
        <v>90</v>
      </c>
      <c r="C22" s="1">
        <v>5</v>
      </c>
      <c r="D22" s="1"/>
      <c r="E22" s="1"/>
      <c r="F22" s="31" t="s">
        <v>46</v>
      </c>
      <c r="G22" s="1">
        <f>D22*E22</f>
        <v>0</v>
      </c>
      <c r="H22" s="54" t="s">
        <v>15</v>
      </c>
    </row>
    <row r="23" spans="1:8" x14ac:dyDescent="0.25">
      <c r="A23" s="62"/>
      <c r="B23" s="1" t="s">
        <v>91</v>
      </c>
      <c r="C23" s="1">
        <v>8</v>
      </c>
      <c r="D23" s="1">
        <v>21</v>
      </c>
      <c r="E23" s="1">
        <v>8</v>
      </c>
      <c r="F23" s="31" t="s">
        <v>68</v>
      </c>
      <c r="G23" s="42">
        <f>D23*E23</f>
        <v>168</v>
      </c>
      <c r="H23" s="1"/>
    </row>
    <row r="24" spans="1:8" x14ac:dyDescent="0.25">
      <c r="A24" s="62"/>
      <c r="B24" s="1"/>
      <c r="C24" s="1"/>
      <c r="D24" s="1"/>
      <c r="E24" s="1"/>
      <c r="F24" s="1"/>
      <c r="G24" s="1"/>
      <c r="H24" s="1"/>
    </row>
    <row r="25" spans="1:8" x14ac:dyDescent="0.25">
      <c r="A25" s="62"/>
      <c r="B25" s="1"/>
      <c r="C25" s="1"/>
      <c r="D25" s="1"/>
      <c r="E25" s="1"/>
      <c r="F25" s="1"/>
      <c r="G25" s="1"/>
      <c r="H25" s="1"/>
    </row>
    <row r="26" spans="1:8" x14ac:dyDescent="0.25">
      <c r="A26" s="62"/>
      <c r="B26" s="56" t="s">
        <v>7</v>
      </c>
      <c r="C26" s="57"/>
      <c r="D26" s="58"/>
      <c r="E26" s="3"/>
      <c r="F26" s="3"/>
      <c r="G26" s="15">
        <f>SUM(G22:G25)</f>
        <v>168</v>
      </c>
      <c r="H26" s="1"/>
    </row>
    <row r="27" spans="1:8" x14ac:dyDescent="0.25">
      <c r="A27" s="1" t="s">
        <v>11</v>
      </c>
      <c r="B27" s="1" t="s">
        <v>1</v>
      </c>
      <c r="C27" s="1" t="s">
        <v>2</v>
      </c>
      <c r="D27" s="1" t="s">
        <v>3</v>
      </c>
      <c r="E27" s="1" t="s">
        <v>4</v>
      </c>
      <c r="F27" s="1"/>
      <c r="G27" s="1" t="s">
        <v>5</v>
      </c>
      <c r="H27" s="1" t="s">
        <v>6</v>
      </c>
    </row>
    <row r="28" spans="1:8" x14ac:dyDescent="0.25">
      <c r="A28" s="62" t="s">
        <v>129</v>
      </c>
      <c r="B28" s="24"/>
      <c r="C28" s="24"/>
      <c r="D28" s="24"/>
      <c r="E28" s="24"/>
      <c r="F28" s="39" t="s">
        <v>28</v>
      </c>
      <c r="G28" s="1">
        <f>D28*E28</f>
        <v>0</v>
      </c>
      <c r="H28" s="1" t="s">
        <v>15</v>
      </c>
    </row>
    <row r="29" spans="1:8" x14ac:dyDescent="0.25">
      <c r="A29" s="62"/>
      <c r="B29" s="1"/>
      <c r="C29" s="1"/>
      <c r="D29" s="1"/>
      <c r="E29" s="1"/>
      <c r="F29" s="1" t="s">
        <v>93</v>
      </c>
      <c r="G29" s="42">
        <f t="shared" ref="G29:G30" si="3">D29*E29</f>
        <v>0</v>
      </c>
      <c r="H29" s="54" t="s">
        <v>15</v>
      </c>
    </row>
    <row r="30" spans="1:8" x14ac:dyDescent="0.25">
      <c r="A30" s="62"/>
      <c r="B30" s="1"/>
      <c r="C30" s="1"/>
      <c r="D30" s="1"/>
      <c r="E30" s="1"/>
      <c r="F30" s="1" t="s">
        <v>17</v>
      </c>
      <c r="G30" s="42">
        <f t="shared" si="3"/>
        <v>0</v>
      </c>
      <c r="H30" s="1"/>
    </row>
    <row r="31" spans="1:8" x14ac:dyDescent="0.25">
      <c r="A31" s="62"/>
      <c r="B31" s="56" t="s">
        <v>128</v>
      </c>
      <c r="C31" s="57"/>
      <c r="D31" s="58"/>
      <c r="E31" s="3"/>
      <c r="F31" s="3"/>
      <c r="G31" s="13">
        <f>SUM(G28:G30)</f>
        <v>0</v>
      </c>
      <c r="H31" s="1"/>
    </row>
    <row r="32" spans="1:8" x14ac:dyDescent="0.25">
      <c r="A32" s="1" t="s">
        <v>12</v>
      </c>
      <c r="B32" s="1" t="s">
        <v>1</v>
      </c>
      <c r="C32" s="1" t="s">
        <v>2</v>
      </c>
      <c r="D32" s="1" t="s">
        <v>3</v>
      </c>
      <c r="E32" s="3" t="s">
        <v>4</v>
      </c>
      <c r="F32" s="3"/>
      <c r="G32" s="3" t="s">
        <v>5</v>
      </c>
      <c r="H32" s="1" t="s">
        <v>6</v>
      </c>
    </row>
    <row r="33" spans="1:8" x14ac:dyDescent="0.25">
      <c r="A33" s="63"/>
      <c r="B33" s="1" t="s">
        <v>159</v>
      </c>
      <c r="C33" s="1"/>
      <c r="D33" s="1">
        <v>13.26</v>
      </c>
      <c r="E33" s="1">
        <v>70</v>
      </c>
      <c r="F33" s="1" t="s">
        <v>108</v>
      </c>
      <c r="G33" s="2">
        <f>D33*E33</f>
        <v>928.19999999999993</v>
      </c>
      <c r="H33" s="1"/>
    </row>
    <row r="34" spans="1:8" x14ac:dyDescent="0.25">
      <c r="A34" s="64"/>
      <c r="B34" s="1" t="s">
        <v>161</v>
      </c>
      <c r="C34" s="1"/>
      <c r="D34" s="1">
        <v>40.32</v>
      </c>
      <c r="E34" s="19">
        <v>75</v>
      </c>
      <c r="F34" s="43" t="s">
        <v>17</v>
      </c>
      <c r="G34" s="2">
        <f>D34*E34</f>
        <v>3024</v>
      </c>
      <c r="H34" s="1"/>
    </row>
    <row r="35" spans="1:8" x14ac:dyDescent="0.25">
      <c r="A35" s="65"/>
      <c r="B35" s="56" t="s">
        <v>7</v>
      </c>
      <c r="C35" s="57"/>
      <c r="D35" s="58"/>
      <c r="E35" s="3"/>
      <c r="F35" s="3"/>
      <c r="G35" s="13">
        <f>SUM(G33:G34)</f>
        <v>3952.2</v>
      </c>
      <c r="H35" s="6"/>
    </row>
    <row r="36" spans="1:8" x14ac:dyDescent="0.25">
      <c r="A36" s="7" t="s">
        <v>13</v>
      </c>
      <c r="B36" s="1" t="s">
        <v>1</v>
      </c>
      <c r="C36" s="1" t="s">
        <v>2</v>
      </c>
      <c r="D36" s="1" t="s">
        <v>3</v>
      </c>
      <c r="E36" s="1" t="s">
        <v>4</v>
      </c>
      <c r="F36" s="1"/>
      <c r="G36" s="1" t="s">
        <v>5</v>
      </c>
      <c r="H36" s="1"/>
    </row>
    <row r="37" spans="1:8" x14ac:dyDescent="0.25">
      <c r="A37" s="62"/>
      <c r="B37" s="1"/>
      <c r="C37" s="1"/>
      <c r="D37" s="1"/>
      <c r="E37" s="1"/>
      <c r="F37" s="1"/>
      <c r="G37" s="1"/>
      <c r="H37" s="1"/>
    </row>
    <row r="38" spans="1:8" x14ac:dyDescent="0.25">
      <c r="A38" s="62"/>
      <c r="B38" s="1"/>
      <c r="C38" s="1"/>
      <c r="D38" s="1"/>
      <c r="E38" s="1"/>
      <c r="F38" s="1"/>
      <c r="G38" s="1"/>
      <c r="H38" s="1"/>
    </row>
    <row r="39" spans="1:8" x14ac:dyDescent="0.25">
      <c r="A39" s="62"/>
      <c r="B39" s="1"/>
      <c r="C39" s="1"/>
      <c r="D39" s="1"/>
      <c r="E39" s="1"/>
      <c r="F39" s="1"/>
      <c r="G39" s="1"/>
      <c r="H39" s="1"/>
    </row>
    <row r="40" spans="1:8" x14ac:dyDescent="0.25">
      <c r="A40" s="62"/>
      <c r="B40" s="1"/>
      <c r="C40" s="1"/>
      <c r="D40" s="1"/>
      <c r="E40" s="1"/>
      <c r="F40" s="1"/>
      <c r="G40" s="1"/>
      <c r="H40" s="1"/>
    </row>
    <row r="41" spans="1:8" x14ac:dyDescent="0.25">
      <c r="A41" s="62"/>
      <c r="B41" s="56" t="s">
        <v>7</v>
      </c>
      <c r="C41" s="57"/>
      <c r="D41" s="58"/>
      <c r="E41" s="3"/>
      <c r="F41" s="3"/>
      <c r="G41" s="4">
        <f>SUM(G37:G40)</f>
        <v>0</v>
      </c>
      <c r="H41" s="1"/>
    </row>
    <row r="42" spans="1:8" x14ac:dyDescent="0.25">
      <c r="A42" s="1"/>
      <c r="B42" s="66" t="s">
        <v>14</v>
      </c>
      <c r="C42" s="67"/>
      <c r="D42" s="68"/>
      <c r="E42" s="8"/>
      <c r="F42" s="8"/>
      <c r="G42" s="9">
        <f>G41+G35+G31+G20+G14+G7+G26</f>
        <v>21599.98</v>
      </c>
      <c r="H42" s="1"/>
    </row>
  </sheetData>
  <mergeCells count="16"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abSelected="1" topLeftCell="A50" workbookViewId="0">
      <selection activeCell="H67" sqref="A1:H6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9" t="s">
        <v>162</v>
      </c>
      <c r="B1" s="60"/>
      <c r="C1" s="60"/>
      <c r="D1" s="60"/>
      <c r="E1" s="60"/>
      <c r="F1" s="60"/>
      <c r="G1" s="60"/>
      <c r="H1" s="6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2" t="s">
        <v>163</v>
      </c>
      <c r="B3" s="1" t="s">
        <v>164</v>
      </c>
      <c r="C3" s="1"/>
      <c r="D3" s="1">
        <v>126</v>
      </c>
      <c r="E3" s="1">
        <v>60</v>
      </c>
      <c r="F3" s="1" t="s">
        <v>165</v>
      </c>
      <c r="G3" s="2">
        <f>D3*E3</f>
        <v>7560</v>
      </c>
      <c r="H3" s="1"/>
    </row>
    <row r="4" spans="1:8" x14ac:dyDescent="0.25">
      <c r="A4" s="62"/>
      <c r="B4" s="1"/>
      <c r="C4" s="1"/>
      <c r="D4" s="1"/>
      <c r="E4" s="1"/>
      <c r="F4" s="1"/>
      <c r="G4" s="1"/>
      <c r="H4" s="1"/>
    </row>
    <row r="5" spans="1:8" x14ac:dyDescent="0.25">
      <c r="A5" s="62"/>
      <c r="B5" s="1"/>
      <c r="C5" s="1"/>
      <c r="D5" s="1"/>
      <c r="E5" s="1"/>
      <c r="F5" s="1"/>
      <c r="G5" s="1"/>
      <c r="H5" s="1"/>
    </row>
    <row r="6" spans="1:8" x14ac:dyDescent="0.25">
      <c r="A6" s="62"/>
      <c r="B6" s="1"/>
      <c r="C6" s="1"/>
      <c r="D6" s="1"/>
      <c r="E6" s="3"/>
      <c r="F6" s="3"/>
      <c r="G6" s="3"/>
      <c r="H6" s="1"/>
    </row>
    <row r="7" spans="1:8" x14ac:dyDescent="0.25">
      <c r="A7" s="62"/>
      <c r="B7" s="1"/>
      <c r="C7" s="1"/>
      <c r="D7" s="1"/>
      <c r="E7" s="3"/>
      <c r="F7" s="3"/>
      <c r="G7" s="3"/>
      <c r="H7" s="1"/>
    </row>
    <row r="8" spans="1:8" x14ac:dyDescent="0.25">
      <c r="A8" s="62"/>
      <c r="B8" s="56" t="s">
        <v>7</v>
      </c>
      <c r="C8" s="57"/>
      <c r="D8" s="58"/>
      <c r="E8" s="3"/>
      <c r="F8" s="3"/>
      <c r="G8" s="13">
        <f>SUM(G3:G7)</f>
        <v>7560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63" t="s">
        <v>94</v>
      </c>
      <c r="B10" s="24" t="s">
        <v>98</v>
      </c>
      <c r="C10" s="24">
        <v>60</v>
      </c>
      <c r="D10" s="24">
        <v>11</v>
      </c>
      <c r="E10" s="24">
        <v>60</v>
      </c>
      <c r="F10" s="24" t="s">
        <v>79</v>
      </c>
      <c r="G10" s="24">
        <f>D10*E10</f>
        <v>660</v>
      </c>
      <c r="H10" s="24"/>
    </row>
    <row r="11" spans="1:8" x14ac:dyDescent="0.25">
      <c r="A11" s="64"/>
      <c r="B11" s="1" t="s">
        <v>99</v>
      </c>
      <c r="C11" s="1">
        <v>60</v>
      </c>
      <c r="D11" s="1"/>
      <c r="E11" s="46"/>
      <c r="F11" s="11" t="s">
        <v>17</v>
      </c>
      <c r="G11" s="1"/>
      <c r="H11" s="1"/>
    </row>
    <row r="12" spans="1:8" x14ac:dyDescent="0.25">
      <c r="A12" s="64"/>
      <c r="B12" s="1"/>
      <c r="C12" s="1"/>
      <c r="D12" s="1"/>
      <c r="E12" s="1"/>
      <c r="F12" s="11"/>
      <c r="G12" s="1"/>
      <c r="H12" s="1"/>
    </row>
    <row r="13" spans="1:8" x14ac:dyDescent="0.25">
      <c r="A13" s="64"/>
      <c r="B13" s="1"/>
      <c r="C13" s="1"/>
      <c r="D13" s="1"/>
      <c r="E13" s="1"/>
      <c r="F13" s="11"/>
      <c r="G13" s="1"/>
      <c r="H13" s="1"/>
    </row>
    <row r="14" spans="1:8" x14ac:dyDescent="0.25">
      <c r="A14" s="64"/>
      <c r="B14" s="1"/>
      <c r="C14" s="1"/>
      <c r="D14" s="1"/>
      <c r="E14" s="1"/>
      <c r="F14" s="11"/>
      <c r="G14" s="1"/>
      <c r="H14" s="1"/>
    </row>
    <row r="15" spans="1:8" x14ac:dyDescent="0.25">
      <c r="A15" s="64"/>
      <c r="B15" s="17"/>
      <c r="C15" s="1"/>
      <c r="D15" s="1"/>
      <c r="E15" s="1"/>
      <c r="F15" s="1"/>
      <c r="G15" s="1"/>
      <c r="H15" s="11"/>
    </row>
    <row r="16" spans="1:8" x14ac:dyDescent="0.25">
      <c r="A16" s="65"/>
      <c r="B16" s="56" t="s">
        <v>7</v>
      </c>
      <c r="C16" s="57"/>
      <c r="D16" s="58"/>
      <c r="E16" s="3"/>
      <c r="F16" s="3"/>
      <c r="G16" s="13">
        <f>SUM(G10:G15)</f>
        <v>660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62" t="s">
        <v>95</v>
      </c>
      <c r="B18" s="1" t="s">
        <v>100</v>
      </c>
      <c r="C18" s="1">
        <v>25</v>
      </c>
      <c r="D18" s="1">
        <v>46.74</v>
      </c>
      <c r="E18" s="1">
        <v>25</v>
      </c>
      <c r="F18" s="31" t="s">
        <v>46</v>
      </c>
      <c r="G18" s="1">
        <f>D18*E18</f>
        <v>1168.5</v>
      </c>
      <c r="H18" s="1"/>
    </row>
    <row r="19" spans="1:8" x14ac:dyDescent="0.25">
      <c r="A19" s="62"/>
      <c r="B19" s="1" t="s">
        <v>101</v>
      </c>
      <c r="C19" s="1">
        <v>10</v>
      </c>
      <c r="D19" s="1">
        <v>105</v>
      </c>
      <c r="E19" s="1">
        <v>10</v>
      </c>
      <c r="F19" s="11" t="s">
        <v>102</v>
      </c>
      <c r="G19" s="45">
        <f t="shared" ref="G19:G20" si="0">D19*E19</f>
        <v>1050</v>
      </c>
      <c r="H19" s="1"/>
    </row>
    <row r="20" spans="1:8" x14ac:dyDescent="0.25">
      <c r="A20" s="62"/>
      <c r="B20" s="1" t="s">
        <v>87</v>
      </c>
      <c r="C20" s="1">
        <v>3</v>
      </c>
      <c r="D20" s="1">
        <v>45</v>
      </c>
      <c r="E20" s="1">
        <v>3</v>
      </c>
      <c r="F20" s="31" t="s">
        <v>46</v>
      </c>
      <c r="G20" s="45">
        <f t="shared" si="0"/>
        <v>135</v>
      </c>
      <c r="H20" s="1"/>
    </row>
    <row r="21" spans="1:8" x14ac:dyDescent="0.25">
      <c r="A21" s="62"/>
      <c r="B21" s="1"/>
      <c r="C21" s="1"/>
      <c r="D21" s="1"/>
      <c r="E21" s="3"/>
      <c r="F21" s="3"/>
      <c r="G21" s="1"/>
      <c r="H21" s="1"/>
    </row>
    <row r="22" spans="1:8" x14ac:dyDescent="0.25">
      <c r="A22" s="62"/>
      <c r="B22" s="56" t="s">
        <v>7</v>
      </c>
      <c r="C22" s="57"/>
      <c r="D22" s="58"/>
      <c r="E22" s="3"/>
      <c r="F22" s="3"/>
      <c r="G22" s="15">
        <f>SUM(G18:G21)</f>
        <v>2353.5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70"/>
      <c r="B24" s="17" t="s">
        <v>96</v>
      </c>
      <c r="C24" s="11">
        <v>25</v>
      </c>
      <c r="D24" s="11">
        <v>10</v>
      </c>
      <c r="E24" s="11">
        <v>25</v>
      </c>
      <c r="F24" s="11" t="s">
        <v>77</v>
      </c>
      <c r="G24" s="11">
        <f>D24*E24</f>
        <v>250</v>
      </c>
      <c r="H24" s="11" t="s">
        <v>20</v>
      </c>
    </row>
    <row r="25" spans="1:8" x14ac:dyDescent="0.25">
      <c r="A25" s="71"/>
      <c r="B25" s="11" t="s">
        <v>97</v>
      </c>
      <c r="C25" s="11">
        <v>40</v>
      </c>
      <c r="D25" s="11">
        <v>108</v>
      </c>
      <c r="E25" s="11">
        <v>2.5</v>
      </c>
      <c r="F25" s="11" t="s">
        <v>17</v>
      </c>
      <c r="G25" s="45">
        <f t="shared" ref="G25:G36" si="1">D25*E25</f>
        <v>270</v>
      </c>
      <c r="H25" s="11" t="s">
        <v>20</v>
      </c>
    </row>
    <row r="26" spans="1:8" x14ac:dyDescent="0.25">
      <c r="A26" s="71"/>
      <c r="B26" s="11" t="s">
        <v>103</v>
      </c>
      <c r="C26" s="11">
        <v>2</v>
      </c>
      <c r="D26" s="11"/>
      <c r="E26" s="11"/>
      <c r="F26" s="31" t="s">
        <v>46</v>
      </c>
      <c r="G26" s="45">
        <f t="shared" si="1"/>
        <v>0</v>
      </c>
      <c r="H26" s="1" t="s">
        <v>19</v>
      </c>
    </row>
    <row r="27" spans="1:8" x14ac:dyDescent="0.25">
      <c r="A27" s="71"/>
      <c r="B27" s="1" t="s">
        <v>104</v>
      </c>
      <c r="C27" s="1">
        <v>1</v>
      </c>
      <c r="D27" s="1">
        <v>40</v>
      </c>
      <c r="E27" s="1">
        <v>1</v>
      </c>
      <c r="F27" s="1" t="s">
        <v>102</v>
      </c>
      <c r="G27" s="45">
        <f t="shared" si="1"/>
        <v>40</v>
      </c>
      <c r="H27" s="11" t="s">
        <v>19</v>
      </c>
    </row>
    <row r="28" spans="1:8" x14ac:dyDescent="0.25">
      <c r="A28" s="71"/>
      <c r="B28" s="1" t="s">
        <v>168</v>
      </c>
      <c r="C28" s="1"/>
      <c r="D28" s="1">
        <v>99</v>
      </c>
      <c r="E28" s="1">
        <v>2</v>
      </c>
      <c r="F28" s="1" t="s">
        <v>165</v>
      </c>
      <c r="G28" s="45">
        <f t="shared" si="1"/>
        <v>198</v>
      </c>
      <c r="H28" s="11" t="s">
        <v>19</v>
      </c>
    </row>
    <row r="29" spans="1:8" x14ac:dyDescent="0.25">
      <c r="A29" s="71"/>
      <c r="B29" s="1" t="s">
        <v>169</v>
      </c>
      <c r="C29" s="1"/>
      <c r="D29" s="1">
        <v>47.94</v>
      </c>
      <c r="E29" s="1">
        <v>0.5</v>
      </c>
      <c r="F29" s="1" t="s">
        <v>165</v>
      </c>
      <c r="G29" s="45">
        <f t="shared" si="1"/>
        <v>23.97</v>
      </c>
      <c r="H29" s="24"/>
    </row>
    <row r="30" spans="1:8" x14ac:dyDescent="0.25">
      <c r="A30" s="71"/>
      <c r="B30" s="1" t="s">
        <v>170</v>
      </c>
      <c r="C30" s="1"/>
      <c r="D30" s="1">
        <v>99</v>
      </c>
      <c r="E30" s="1">
        <v>2</v>
      </c>
      <c r="F30" s="1" t="s">
        <v>165</v>
      </c>
      <c r="G30" s="45">
        <f t="shared" si="1"/>
        <v>198</v>
      </c>
      <c r="H30" s="1"/>
    </row>
    <row r="31" spans="1:8" x14ac:dyDescent="0.25">
      <c r="A31" s="71"/>
      <c r="B31" s="45" t="s">
        <v>171</v>
      </c>
      <c r="C31" s="45"/>
      <c r="D31" s="45">
        <v>90</v>
      </c>
      <c r="E31" s="45">
        <v>3</v>
      </c>
      <c r="F31" s="44" t="s">
        <v>165</v>
      </c>
      <c r="G31" s="45">
        <f t="shared" si="1"/>
        <v>270</v>
      </c>
      <c r="H31" s="45"/>
    </row>
    <row r="32" spans="1:8" x14ac:dyDescent="0.25">
      <c r="A32" s="71"/>
      <c r="B32" s="45" t="s">
        <v>172</v>
      </c>
      <c r="C32" s="45"/>
      <c r="D32" s="45">
        <v>85.5</v>
      </c>
      <c r="E32" s="45">
        <v>0.5</v>
      </c>
      <c r="F32" s="44" t="s">
        <v>165</v>
      </c>
      <c r="G32" s="45">
        <f t="shared" si="1"/>
        <v>42.75</v>
      </c>
      <c r="H32" s="45"/>
    </row>
    <row r="33" spans="1:8" x14ac:dyDescent="0.25">
      <c r="A33" s="71"/>
      <c r="B33" s="45" t="s">
        <v>173</v>
      </c>
      <c r="C33" s="45"/>
      <c r="D33" s="45">
        <v>37</v>
      </c>
      <c r="E33" s="45">
        <v>20</v>
      </c>
      <c r="F33" s="44" t="s">
        <v>174</v>
      </c>
      <c r="G33" s="45">
        <f t="shared" si="1"/>
        <v>740</v>
      </c>
      <c r="H33" s="45"/>
    </row>
    <row r="34" spans="1:8" x14ac:dyDescent="0.25">
      <c r="A34" s="71"/>
      <c r="B34" s="45" t="s">
        <v>175</v>
      </c>
      <c r="C34" s="45"/>
      <c r="D34" s="45">
        <v>81.599999999999994</v>
      </c>
      <c r="E34" s="45">
        <v>3</v>
      </c>
      <c r="F34" s="44" t="s">
        <v>165</v>
      </c>
      <c r="G34" s="44">
        <f t="shared" si="1"/>
        <v>244.79999999999998</v>
      </c>
      <c r="H34" s="45"/>
    </row>
    <row r="35" spans="1:8" x14ac:dyDescent="0.25">
      <c r="A35" s="71"/>
      <c r="B35" s="45" t="s">
        <v>176</v>
      </c>
      <c r="C35" s="45"/>
      <c r="D35" s="45">
        <v>150</v>
      </c>
      <c r="E35" s="45">
        <v>1</v>
      </c>
      <c r="F35" s="44" t="s">
        <v>165</v>
      </c>
      <c r="G35" s="44">
        <f t="shared" si="1"/>
        <v>150</v>
      </c>
      <c r="H35" s="45"/>
    </row>
    <row r="36" spans="1:8" x14ac:dyDescent="0.25">
      <c r="A36" s="71"/>
      <c r="B36" s="45" t="s">
        <v>184</v>
      </c>
      <c r="C36" s="45"/>
      <c r="D36" s="45">
        <v>168</v>
      </c>
      <c r="E36" s="45">
        <v>1</v>
      </c>
      <c r="F36" s="44" t="s">
        <v>165</v>
      </c>
      <c r="G36" s="44">
        <f t="shared" si="1"/>
        <v>168</v>
      </c>
      <c r="H36" s="45"/>
    </row>
    <row r="37" spans="1:8" x14ac:dyDescent="0.25">
      <c r="A37" s="72"/>
      <c r="B37" s="56" t="s">
        <v>7</v>
      </c>
      <c r="C37" s="57"/>
      <c r="D37" s="58"/>
      <c r="E37" s="3"/>
      <c r="F37" s="3"/>
      <c r="G37" s="13">
        <f>SUM(G24:G36)</f>
        <v>2595.52</v>
      </c>
      <c r="H37" s="1"/>
    </row>
    <row r="38" spans="1:8" x14ac:dyDescent="0.25">
      <c r="A38" s="1" t="s">
        <v>11</v>
      </c>
      <c r="B38" s="1" t="s">
        <v>1</v>
      </c>
      <c r="C38" s="1" t="s">
        <v>2</v>
      </c>
      <c r="D38" s="1" t="s">
        <v>3</v>
      </c>
      <c r="E38" s="1" t="s">
        <v>4</v>
      </c>
      <c r="F38" s="1"/>
      <c r="G38" s="1" t="s">
        <v>5</v>
      </c>
      <c r="H38" s="1" t="s">
        <v>6</v>
      </c>
    </row>
    <row r="39" spans="1:8" x14ac:dyDescent="0.25">
      <c r="A39" s="62" t="s">
        <v>132</v>
      </c>
      <c r="B39" s="1" t="s">
        <v>57</v>
      </c>
      <c r="C39" s="1">
        <v>8</v>
      </c>
      <c r="D39" s="1">
        <v>21</v>
      </c>
      <c r="E39" s="1">
        <v>8</v>
      </c>
      <c r="F39" s="47" t="s">
        <v>46</v>
      </c>
      <c r="G39" s="1">
        <f>D39*E39</f>
        <v>168</v>
      </c>
      <c r="H39" s="1"/>
    </row>
    <row r="40" spans="1:8" x14ac:dyDescent="0.25">
      <c r="A40" s="62"/>
      <c r="B40" s="1" t="s">
        <v>131</v>
      </c>
      <c r="C40" s="1">
        <v>15</v>
      </c>
      <c r="D40" s="1">
        <v>99</v>
      </c>
      <c r="E40" s="1">
        <v>15</v>
      </c>
      <c r="F40" s="47" t="s">
        <v>46</v>
      </c>
      <c r="G40" s="45">
        <f>D40*E40</f>
        <v>1485</v>
      </c>
      <c r="H40" s="1"/>
    </row>
    <row r="41" spans="1:8" x14ac:dyDescent="0.25">
      <c r="A41" s="62"/>
      <c r="B41" s="1"/>
      <c r="C41" s="1"/>
      <c r="D41" s="1"/>
      <c r="E41" s="1"/>
      <c r="F41" s="1"/>
      <c r="G41" s="1"/>
      <c r="H41" s="1"/>
    </row>
    <row r="42" spans="1:8" x14ac:dyDescent="0.25">
      <c r="A42" s="62"/>
      <c r="B42" s="56"/>
      <c r="C42" s="57"/>
      <c r="D42" s="58"/>
      <c r="E42" s="3"/>
      <c r="F42" s="3"/>
      <c r="G42" s="13">
        <f>SUM(G39:G41)</f>
        <v>1653</v>
      </c>
      <c r="H42" s="1"/>
    </row>
    <row r="43" spans="1:8" x14ac:dyDescent="0.25">
      <c r="A43" s="1" t="s">
        <v>12</v>
      </c>
      <c r="B43" s="1" t="s">
        <v>1</v>
      </c>
      <c r="C43" s="1" t="s">
        <v>2</v>
      </c>
      <c r="D43" s="1" t="s">
        <v>3</v>
      </c>
      <c r="E43" s="3" t="s">
        <v>4</v>
      </c>
      <c r="F43" s="3"/>
      <c r="G43" s="3" t="s">
        <v>5</v>
      </c>
      <c r="H43" s="1" t="s">
        <v>6</v>
      </c>
    </row>
    <row r="44" spans="1:8" x14ac:dyDescent="0.25">
      <c r="A44" s="63"/>
      <c r="B44" s="1" t="s">
        <v>166</v>
      </c>
      <c r="C44" s="1"/>
      <c r="D44" s="1">
        <v>25.92</v>
      </c>
      <c r="E44" s="1">
        <v>132</v>
      </c>
      <c r="F44" s="1" t="s">
        <v>165</v>
      </c>
      <c r="G44" s="1">
        <f>D44*E44</f>
        <v>3421.44</v>
      </c>
      <c r="H44" s="1"/>
    </row>
    <row r="45" spans="1:8" x14ac:dyDescent="0.25">
      <c r="A45" s="64"/>
      <c r="B45" s="1" t="s">
        <v>167</v>
      </c>
      <c r="C45" s="1"/>
      <c r="D45" s="1">
        <v>14.28</v>
      </c>
      <c r="E45" s="1">
        <v>65</v>
      </c>
      <c r="F45" s="1" t="s">
        <v>165</v>
      </c>
      <c r="G45" s="45">
        <f>D45*E45</f>
        <v>928.19999999999993</v>
      </c>
      <c r="H45" s="1"/>
    </row>
    <row r="46" spans="1:8" x14ac:dyDescent="0.25">
      <c r="A46" s="65"/>
      <c r="B46" s="56" t="s">
        <v>7</v>
      </c>
      <c r="C46" s="57"/>
      <c r="D46" s="58"/>
      <c r="E46" s="3"/>
      <c r="F46" s="3"/>
      <c r="G46" s="13">
        <f>SUM(G44:G45)</f>
        <v>4349.6400000000003</v>
      </c>
      <c r="H46" s="6"/>
    </row>
    <row r="47" spans="1:8" x14ac:dyDescent="0.25">
      <c r="A47" s="7" t="s">
        <v>13</v>
      </c>
      <c r="B47" s="1" t="s">
        <v>1</v>
      </c>
      <c r="C47" s="1" t="s">
        <v>2</v>
      </c>
      <c r="D47" s="1" t="s">
        <v>3</v>
      </c>
      <c r="E47" s="1" t="s">
        <v>4</v>
      </c>
      <c r="F47" s="1"/>
      <c r="G47" s="1" t="s">
        <v>5</v>
      </c>
      <c r="H47" s="1"/>
    </row>
    <row r="48" spans="1:8" x14ac:dyDescent="0.25">
      <c r="A48" s="62"/>
      <c r="B48" s="1" t="s">
        <v>177</v>
      </c>
      <c r="C48" s="1"/>
      <c r="D48" s="1">
        <v>4</v>
      </c>
      <c r="E48" s="1">
        <v>100</v>
      </c>
      <c r="F48" s="1" t="s">
        <v>179</v>
      </c>
      <c r="G48" s="1">
        <f>D48*E48</f>
        <v>400</v>
      </c>
      <c r="H48" s="1"/>
    </row>
    <row r="49" spans="1:8" x14ac:dyDescent="0.25">
      <c r="A49" s="62"/>
      <c r="B49" s="1" t="s">
        <v>180</v>
      </c>
      <c r="C49" s="1"/>
      <c r="D49" s="1">
        <v>40</v>
      </c>
      <c r="E49" s="1">
        <v>1</v>
      </c>
      <c r="F49" s="1" t="s">
        <v>181</v>
      </c>
      <c r="G49" s="45">
        <f t="shared" ref="G49:G65" si="2">D49*E49</f>
        <v>40</v>
      </c>
      <c r="H49" s="1"/>
    </row>
    <row r="50" spans="1:8" x14ac:dyDescent="0.25">
      <c r="A50" s="62"/>
      <c r="B50" s="1" t="s">
        <v>178</v>
      </c>
      <c r="C50" s="1"/>
      <c r="D50" s="1">
        <v>1.6</v>
      </c>
      <c r="E50" s="1">
        <v>100</v>
      </c>
      <c r="F50" s="1" t="s">
        <v>179</v>
      </c>
      <c r="G50" s="45">
        <f t="shared" si="2"/>
        <v>160</v>
      </c>
      <c r="H50" s="1"/>
    </row>
    <row r="51" spans="1:8" x14ac:dyDescent="0.25">
      <c r="A51" s="62"/>
      <c r="B51" s="45" t="s">
        <v>182</v>
      </c>
      <c r="C51" s="45"/>
      <c r="D51" s="45">
        <v>30</v>
      </c>
      <c r="E51" s="45">
        <v>1</v>
      </c>
      <c r="F51" s="45" t="s">
        <v>181</v>
      </c>
      <c r="G51" s="45">
        <f t="shared" si="2"/>
        <v>30</v>
      </c>
      <c r="H51" s="45"/>
    </row>
    <row r="52" spans="1:8" x14ac:dyDescent="0.25">
      <c r="A52" s="62"/>
      <c r="B52" s="45" t="s">
        <v>183</v>
      </c>
      <c r="C52" s="45"/>
      <c r="D52" s="45">
        <v>39</v>
      </c>
      <c r="E52" s="45">
        <v>1</v>
      </c>
      <c r="F52" s="45" t="s">
        <v>181</v>
      </c>
      <c r="G52" s="45">
        <f t="shared" si="2"/>
        <v>39</v>
      </c>
      <c r="H52" s="45"/>
    </row>
    <row r="53" spans="1:8" x14ac:dyDescent="0.25">
      <c r="A53" s="62"/>
      <c r="B53" s="45" t="s">
        <v>185</v>
      </c>
      <c r="C53" s="45"/>
      <c r="D53" s="45">
        <v>24</v>
      </c>
      <c r="E53" s="45">
        <v>20</v>
      </c>
      <c r="F53" s="45" t="s">
        <v>186</v>
      </c>
      <c r="G53" s="45">
        <f t="shared" si="2"/>
        <v>480</v>
      </c>
      <c r="H53" s="45"/>
    </row>
    <row r="54" spans="1:8" x14ac:dyDescent="0.25">
      <c r="A54" s="62"/>
      <c r="B54" s="45" t="s">
        <v>187</v>
      </c>
      <c r="C54" s="45"/>
      <c r="D54" s="45">
        <v>240</v>
      </c>
      <c r="E54" s="45">
        <v>2</v>
      </c>
      <c r="F54" s="45" t="s">
        <v>165</v>
      </c>
      <c r="G54" s="45">
        <f t="shared" si="2"/>
        <v>480</v>
      </c>
      <c r="H54" s="45"/>
    </row>
    <row r="55" spans="1:8" x14ac:dyDescent="0.25">
      <c r="A55" s="62"/>
      <c r="B55" s="1" t="s">
        <v>188</v>
      </c>
      <c r="C55" s="1"/>
      <c r="D55" s="1">
        <v>70</v>
      </c>
      <c r="E55" s="1">
        <v>10</v>
      </c>
      <c r="F55" s="1" t="s">
        <v>181</v>
      </c>
      <c r="G55" s="45">
        <f t="shared" si="2"/>
        <v>700</v>
      </c>
      <c r="H55" s="1"/>
    </row>
    <row r="56" spans="1:8" x14ac:dyDescent="0.25">
      <c r="A56" s="62"/>
      <c r="B56" s="55" t="s">
        <v>189</v>
      </c>
      <c r="C56" s="55"/>
      <c r="D56" s="55">
        <v>60</v>
      </c>
      <c r="E56" s="55">
        <v>2</v>
      </c>
      <c r="F56" s="55" t="s">
        <v>190</v>
      </c>
      <c r="G56" s="55">
        <f t="shared" si="2"/>
        <v>120</v>
      </c>
      <c r="H56" s="55"/>
    </row>
    <row r="57" spans="1:8" x14ac:dyDescent="0.25">
      <c r="A57" s="62"/>
      <c r="B57" s="55" t="s">
        <v>191</v>
      </c>
      <c r="C57" s="55"/>
      <c r="D57" s="55">
        <v>235</v>
      </c>
      <c r="E57" s="55">
        <v>2</v>
      </c>
      <c r="F57" s="55" t="s">
        <v>192</v>
      </c>
      <c r="G57" s="55">
        <f t="shared" si="2"/>
        <v>470</v>
      </c>
      <c r="H57" s="55"/>
    </row>
    <row r="58" spans="1:8" x14ac:dyDescent="0.25">
      <c r="A58" s="62"/>
      <c r="B58" s="55" t="s">
        <v>193</v>
      </c>
      <c r="C58" s="55"/>
      <c r="D58" s="55">
        <v>168</v>
      </c>
      <c r="E58" s="55">
        <v>4</v>
      </c>
      <c r="F58" s="55" t="s">
        <v>165</v>
      </c>
      <c r="G58" s="55">
        <f t="shared" si="2"/>
        <v>672</v>
      </c>
      <c r="H58" s="55"/>
    </row>
    <row r="59" spans="1:8" x14ac:dyDescent="0.25">
      <c r="A59" s="62"/>
      <c r="B59" s="55" t="s">
        <v>194</v>
      </c>
      <c r="C59" s="55"/>
      <c r="D59" s="55">
        <v>120</v>
      </c>
      <c r="E59" s="55">
        <v>1</v>
      </c>
      <c r="F59" s="44" t="s">
        <v>195</v>
      </c>
      <c r="G59" s="44">
        <f t="shared" si="2"/>
        <v>120</v>
      </c>
      <c r="H59" s="45"/>
    </row>
    <row r="60" spans="1:8" x14ac:dyDescent="0.25">
      <c r="A60" s="62"/>
      <c r="B60" s="55" t="s">
        <v>196</v>
      </c>
      <c r="C60" s="55"/>
      <c r="D60" s="55">
        <v>225</v>
      </c>
      <c r="E60" s="55">
        <v>2</v>
      </c>
      <c r="F60" s="55" t="s">
        <v>197</v>
      </c>
      <c r="G60" s="55">
        <f t="shared" si="2"/>
        <v>450</v>
      </c>
      <c r="H60" s="55"/>
    </row>
    <row r="61" spans="1:8" x14ac:dyDescent="0.25">
      <c r="A61" s="62"/>
      <c r="B61" s="55" t="s">
        <v>198</v>
      </c>
      <c r="C61" s="55"/>
      <c r="D61" s="55">
        <v>291</v>
      </c>
      <c r="E61" s="55">
        <v>2</v>
      </c>
      <c r="F61" s="55" t="s">
        <v>197</v>
      </c>
      <c r="G61" s="55">
        <f t="shared" si="2"/>
        <v>582</v>
      </c>
      <c r="H61" s="55"/>
    </row>
    <row r="62" spans="1:8" x14ac:dyDescent="0.25">
      <c r="A62" s="62"/>
      <c r="B62" s="55" t="s">
        <v>199</v>
      </c>
      <c r="C62" s="55"/>
      <c r="D62" s="55">
        <v>1188</v>
      </c>
      <c r="E62" s="55">
        <v>2</v>
      </c>
      <c r="F62" s="55" t="s">
        <v>197</v>
      </c>
      <c r="G62" s="55">
        <f t="shared" si="2"/>
        <v>2376</v>
      </c>
      <c r="H62" s="55"/>
    </row>
    <row r="63" spans="1:8" x14ac:dyDescent="0.25">
      <c r="A63" s="62"/>
      <c r="B63" s="55" t="s">
        <v>200</v>
      </c>
      <c r="C63" s="55"/>
      <c r="D63" s="55">
        <v>14</v>
      </c>
      <c r="E63" s="55">
        <v>25</v>
      </c>
      <c r="F63" s="55" t="s">
        <v>179</v>
      </c>
      <c r="G63" s="55">
        <f t="shared" si="2"/>
        <v>350</v>
      </c>
      <c r="H63" s="55"/>
    </row>
    <row r="64" spans="1:8" x14ac:dyDescent="0.25">
      <c r="A64" s="62"/>
      <c r="B64" s="55" t="s">
        <v>201</v>
      </c>
      <c r="C64" s="55"/>
      <c r="D64" s="55">
        <v>450</v>
      </c>
      <c r="E64" s="55">
        <v>1</v>
      </c>
      <c r="F64" s="55" t="s">
        <v>197</v>
      </c>
      <c r="G64" s="55">
        <f t="shared" si="2"/>
        <v>450</v>
      </c>
      <c r="H64" s="55"/>
    </row>
    <row r="65" spans="1:8" x14ac:dyDescent="0.25">
      <c r="A65" s="62"/>
      <c r="B65" s="55" t="s">
        <v>202</v>
      </c>
      <c r="C65" s="55"/>
      <c r="D65" s="55">
        <v>60</v>
      </c>
      <c r="E65" s="55">
        <v>2</v>
      </c>
      <c r="F65" s="55" t="s">
        <v>181</v>
      </c>
      <c r="G65" s="55">
        <f t="shared" si="2"/>
        <v>120</v>
      </c>
      <c r="H65" s="55"/>
    </row>
    <row r="66" spans="1:8" x14ac:dyDescent="0.25">
      <c r="A66" s="62"/>
      <c r="B66" s="56" t="s">
        <v>7</v>
      </c>
      <c r="C66" s="57"/>
      <c r="D66" s="58"/>
      <c r="E66" s="3"/>
      <c r="F66" s="3"/>
      <c r="G66" s="13">
        <f>SUM(G48:G65)</f>
        <v>8039</v>
      </c>
      <c r="H66" s="1"/>
    </row>
    <row r="67" spans="1:8" x14ac:dyDescent="0.25">
      <c r="A67" s="1"/>
      <c r="B67" s="66" t="s">
        <v>14</v>
      </c>
      <c r="C67" s="67"/>
      <c r="D67" s="68"/>
      <c r="E67" s="8"/>
      <c r="F67" s="8"/>
      <c r="G67" s="9">
        <f>G66+G46+G42+G37+G22+G16+G8</f>
        <v>27210.66</v>
      </c>
      <c r="H67" s="1"/>
    </row>
  </sheetData>
  <mergeCells count="16">
    <mergeCell ref="A48:A66"/>
    <mergeCell ref="B66:D66"/>
    <mergeCell ref="B67:D67"/>
    <mergeCell ref="B37:D37"/>
    <mergeCell ref="A39:A42"/>
    <mergeCell ref="B42:D42"/>
    <mergeCell ref="A44:A46"/>
    <mergeCell ref="B46:D46"/>
    <mergeCell ref="A24:A37"/>
    <mergeCell ref="A18:A22"/>
    <mergeCell ref="B22:D22"/>
    <mergeCell ref="A1:H1"/>
    <mergeCell ref="A3:A8"/>
    <mergeCell ref="B8:D8"/>
    <mergeCell ref="B16:D16"/>
    <mergeCell ref="A10:A16"/>
  </mergeCells>
  <phoneticPr fontId="2" type="noConversion"/>
  <pageMargins left="0.7" right="0.7" top="0.75" bottom="0.75" header="0.3" footer="0.3"/>
  <pageSetup paperSize="9" scale="6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0609</vt:lpstr>
      <vt:lpstr>0610</vt:lpstr>
      <vt:lpstr>0611</vt:lpstr>
      <vt:lpstr>0612</vt:lpstr>
      <vt:lpstr>0613</vt:lpstr>
      <vt:lpstr>'0609'!Print_Area</vt:lpstr>
      <vt:lpstr>'0610'!Print_Area</vt:lpstr>
      <vt:lpstr>'0611'!Print_Area</vt:lpstr>
      <vt:lpstr>'0612'!Print_Area</vt:lpstr>
      <vt:lpstr>'0613'!Print_Area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2025-06-12T00:59:25Z</cp:lastPrinted>
  <dcterms:created xsi:type="dcterms:W3CDTF">2025-02-19T17:01:12Z</dcterms:created>
  <dcterms:modified xsi:type="dcterms:W3CDTF">2025-06-12T00:59:27Z</dcterms:modified>
</cp:coreProperties>
</file>