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7月份\"/>
    </mc:Choice>
  </mc:AlternateContent>
  <bookViews>
    <workbookView xWindow="0" yWindow="0" windowWidth="15570" windowHeight="7785" activeTab="4"/>
  </bookViews>
  <sheets>
    <sheet name="0707" sheetId="1" r:id="rId1"/>
    <sheet name="0708" sheetId="2" r:id="rId2"/>
    <sheet name="0709" sheetId="3" r:id="rId3"/>
    <sheet name="0710" sheetId="4" r:id="rId4"/>
    <sheet name="0711" sheetId="5" r:id="rId5"/>
  </sheets>
  <definedNames>
    <definedName name="_xlnm.Print_Area" localSheetId="0">'0707'!$A$1:$H$49</definedName>
    <definedName name="_xlnm.Print_Area" localSheetId="1">'0708'!$A$1:$H$45</definedName>
    <definedName name="_xlnm.Print_Area" localSheetId="2">'0709'!$A$1:$H$50</definedName>
    <definedName name="_xlnm.Print_Area" localSheetId="3">'0710'!$A$1:$H$44</definedName>
    <definedName name="_xlnm.Print_Area" localSheetId="4">'0711'!$A$1:$H$59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5" l="1"/>
  <c r="G36" i="5"/>
  <c r="G40" i="5"/>
  <c r="G58" i="5"/>
  <c r="G38" i="5"/>
  <c r="G34" i="5"/>
  <c r="G33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42" i="5"/>
  <c r="G25" i="5"/>
  <c r="G26" i="5"/>
  <c r="G27" i="5"/>
  <c r="G28" i="5"/>
  <c r="G29" i="5"/>
  <c r="G30" i="5"/>
  <c r="G24" i="5"/>
  <c r="G22" i="5"/>
  <c r="G19" i="5"/>
  <c r="G20" i="5"/>
  <c r="G18" i="5"/>
  <c r="G11" i="5"/>
  <c r="G10" i="5"/>
  <c r="G3" i="5"/>
  <c r="G44" i="4"/>
  <c r="G59" i="5" l="1"/>
  <c r="G50" i="3"/>
  <c r="G40" i="4" l="1"/>
  <c r="G39" i="4"/>
  <c r="G31" i="4"/>
  <c r="G30" i="4"/>
  <c r="G35" i="4"/>
  <c r="G22" i="4"/>
  <c r="G17" i="4"/>
  <c r="G18" i="4"/>
  <c r="G19" i="4"/>
  <c r="G20" i="4"/>
  <c r="G21" i="4"/>
  <c r="G16" i="4"/>
  <c r="G14" i="4"/>
  <c r="G7" i="4"/>
  <c r="G4" i="4"/>
  <c r="G5" i="4"/>
  <c r="G3" i="4"/>
  <c r="G10" i="4"/>
  <c r="G11" i="4"/>
  <c r="G9" i="4"/>
  <c r="G17" i="3" l="1"/>
  <c r="G18" i="3"/>
  <c r="G19" i="3"/>
  <c r="G16" i="3"/>
  <c r="G31" i="3"/>
  <c r="G29" i="3"/>
  <c r="G30" i="3"/>
  <c r="G28" i="3"/>
  <c r="G4" i="3"/>
  <c r="G7" i="3" s="1"/>
  <c r="G34" i="3"/>
  <c r="G35" i="3"/>
  <c r="G36" i="3"/>
  <c r="G49" i="1"/>
  <c r="G33" i="1"/>
  <c r="G41" i="1"/>
  <c r="G36" i="1"/>
  <c r="G32" i="1" l="1"/>
  <c r="G31" i="1"/>
  <c r="G32" i="2"/>
  <c r="G22" i="2"/>
  <c r="G29" i="2"/>
  <c r="G41" i="2"/>
  <c r="G40" i="2"/>
  <c r="G4" i="1"/>
  <c r="G5" i="1"/>
  <c r="G6" i="1"/>
  <c r="G41" i="3" l="1"/>
  <c r="G40" i="3"/>
  <c r="G10" i="3"/>
  <c r="G14" i="3" s="1"/>
  <c r="G9" i="3"/>
  <c r="G27" i="3"/>
  <c r="G26" i="3"/>
  <c r="G23" i="3"/>
  <c r="G24" i="3"/>
  <c r="G25" i="3"/>
  <c r="G22" i="3"/>
  <c r="G33" i="3"/>
  <c r="G3" i="3"/>
  <c r="G45" i="3"/>
  <c r="G46" i="3"/>
  <c r="G47" i="3"/>
  <c r="G48" i="3"/>
  <c r="G44" i="3"/>
  <c r="G49" i="3" l="1"/>
  <c r="G25" i="2"/>
  <c r="G26" i="2"/>
  <c r="G27" i="2"/>
  <c r="G28" i="2"/>
  <c r="G24" i="2"/>
  <c r="G37" i="2"/>
  <c r="G10" i="2"/>
  <c r="G9" i="2"/>
  <c r="G17" i="2"/>
  <c r="G18" i="2"/>
  <c r="G19" i="2"/>
  <c r="G20" i="2"/>
  <c r="G16" i="2"/>
  <c r="G31" i="2"/>
  <c r="G4" i="2"/>
  <c r="G5" i="2"/>
  <c r="G6" i="2"/>
  <c r="G3" i="2"/>
  <c r="G36" i="2"/>
  <c r="G14" i="2" l="1"/>
  <c r="G45" i="1"/>
  <c r="G46" i="1"/>
  <c r="G17" i="1"/>
  <c r="G18" i="1"/>
  <c r="G19" i="1"/>
  <c r="G3" i="1"/>
  <c r="G48" i="1" l="1"/>
  <c r="G16" i="1"/>
  <c r="G20" i="1" s="1"/>
  <c r="G40" i="1"/>
  <c r="G42" i="1" s="1"/>
  <c r="G29" i="1"/>
  <c r="G28" i="1"/>
  <c r="G27" i="1"/>
  <c r="G24" i="1" l="1"/>
  <c r="G25" i="1"/>
  <c r="G26" i="1"/>
  <c r="G23" i="1"/>
  <c r="G22" i="1"/>
  <c r="G10" i="1"/>
  <c r="G11" i="1"/>
  <c r="G12" i="1"/>
  <c r="G9" i="1"/>
  <c r="G14" i="1" l="1"/>
  <c r="G16" i="5"/>
  <c r="G8" i="5"/>
  <c r="G43" i="4"/>
  <c r="G37" i="4"/>
  <c r="G33" i="4"/>
  <c r="G42" i="3"/>
  <c r="G38" i="3"/>
  <c r="G20" i="3"/>
  <c r="G44" i="2"/>
  <c r="G38" i="2"/>
  <c r="G45" i="2" s="1"/>
  <c r="G34" i="2"/>
  <c r="G7" i="2"/>
  <c r="G38" i="1"/>
  <c r="G7" i="1"/>
</calcChain>
</file>

<file path=xl/sharedStrings.xml><?xml version="1.0" encoding="utf-8"?>
<sst xmlns="http://schemas.openxmlformats.org/spreadsheetml/2006/main" count="554" uniqueCount="199">
  <si>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</si>
  <si>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</si>
  <si>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</si>
  <si>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</si>
  <si>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</si>
  <si>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</si>
  <si>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</si>
  <si>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</si>
  <si>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</si>
  <si>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</si>
  <si>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</si>
  <si>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</si>
  <si>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</si>
  <si>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</si>
  <si>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</si>
  <si>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</si>
  <si>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</si>
  <si>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</si>
  <si>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</si>
  <si>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</si>
  <si>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</si>
  <si>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</si>
  <si>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顆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</si>
  <si>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</si>
  <si>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</si>
  <si>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</si>
  <si>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</si>
  <si>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</si>
  <si>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</si>
  <si>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</si>
  <si>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</si>
  <si>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</si>
  <si>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</si>
  <si>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</si>
  <si>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</si>
  <si>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</si>
  <si>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</si>
  <si>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</si>
  <si>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</si>
  <si>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7月   7日      午餐明細表</t>
    <phoneticPr fontId="2" type="noConversion"/>
  </si>
  <si>
    <t>電訊科技中心(安康營區)     114年      7月   8日      午餐明細表</t>
    <phoneticPr fontId="2" type="noConversion"/>
  </si>
  <si>
    <t>電訊科技中心(安康營區)     114年      7月   9日      午餐明細表</t>
    <phoneticPr fontId="2" type="noConversion"/>
  </si>
  <si>
    <t>電訊科技中心(安康營區)     114年      7月   10日      午餐明細表</t>
    <phoneticPr fontId="2" type="noConversion"/>
  </si>
  <si>
    <t>電訊科技中心(安康營區)     114年      7月   11日      午餐明細表</t>
    <phoneticPr fontId="2" type="noConversion"/>
  </si>
  <si>
    <t>薑汁燒肉</t>
    <phoneticPr fontId="2" type="noConversion"/>
  </si>
  <si>
    <t>紅燒豆腐</t>
    <phoneticPr fontId="2" type="noConversion"/>
  </si>
  <si>
    <t>涼拌海帶根</t>
    <phoneticPr fontId="2" type="noConversion"/>
  </si>
  <si>
    <t>金針排骨湯</t>
    <phoneticPr fontId="2" type="noConversion"/>
  </si>
  <si>
    <t>金針花</t>
    <phoneticPr fontId="2" type="noConversion"/>
  </si>
  <si>
    <t>軟排</t>
    <phoneticPr fontId="2" type="noConversion"/>
  </si>
  <si>
    <t>斤</t>
  </si>
  <si>
    <t>豬肉片</t>
    <phoneticPr fontId="2" type="noConversion"/>
  </si>
  <si>
    <t>五花肉片</t>
    <phoneticPr fontId="2" type="noConversion"/>
  </si>
  <si>
    <t>去皮洋蔥</t>
    <phoneticPr fontId="2" type="noConversion"/>
  </si>
  <si>
    <t>薑泥</t>
    <phoneticPr fontId="2" type="noConversion"/>
  </si>
  <si>
    <t>4.3豆腐</t>
    <phoneticPr fontId="2" type="noConversion"/>
  </si>
  <si>
    <t>川耳</t>
    <phoneticPr fontId="2" type="noConversion"/>
  </si>
  <si>
    <t>玉米筍</t>
    <phoneticPr fontId="2" type="noConversion"/>
  </si>
  <si>
    <t>海帶根</t>
    <phoneticPr fontId="2" type="noConversion"/>
  </si>
  <si>
    <t>薑絲</t>
    <phoneticPr fontId="2" type="noConversion"/>
  </si>
  <si>
    <t>紅蘿蔔絲</t>
    <phoneticPr fontId="2" type="noConversion"/>
  </si>
  <si>
    <t>板</t>
    <phoneticPr fontId="2" type="noConversion"/>
  </si>
  <si>
    <t>桶</t>
    <phoneticPr fontId="2" type="noConversion"/>
  </si>
  <si>
    <t>卡拉雞</t>
    <phoneticPr fontId="2" type="noConversion"/>
  </si>
  <si>
    <t>鹹蛋苦瓜</t>
    <phoneticPr fontId="2" type="noConversion"/>
  </si>
  <si>
    <t>三杯鮑菇</t>
    <phoneticPr fontId="2" type="noConversion"/>
  </si>
  <si>
    <t>片</t>
    <phoneticPr fontId="2" type="noConversion"/>
  </si>
  <si>
    <t>綠色苦瓜去籽切片</t>
    <phoneticPr fontId="2" type="noConversion"/>
  </si>
  <si>
    <t>鹹蛋</t>
    <phoneticPr fontId="2" type="noConversion"/>
  </si>
  <si>
    <t>杏鮑菇</t>
    <phoneticPr fontId="2" type="noConversion"/>
  </si>
  <si>
    <t>九層塔</t>
    <phoneticPr fontId="2" type="noConversion"/>
  </si>
  <si>
    <t>4x4豆干</t>
    <phoneticPr fontId="2" type="noConversion"/>
  </si>
  <si>
    <t>薑</t>
    <phoneticPr fontId="2" type="noConversion"/>
  </si>
  <si>
    <t>紅豆</t>
    <phoneticPr fontId="2" type="noConversion"/>
  </si>
  <si>
    <t>生蓮子</t>
    <phoneticPr fontId="2" type="noConversion"/>
  </si>
  <si>
    <t>紅豆蓮子湯</t>
    <phoneticPr fontId="2" type="noConversion"/>
  </si>
  <si>
    <t>紅椒</t>
    <phoneticPr fontId="2" type="noConversion"/>
  </si>
  <si>
    <t>黃椒</t>
    <phoneticPr fontId="2" type="noConversion"/>
  </si>
  <si>
    <t>粒</t>
    <phoneticPr fontId="2" type="noConversion"/>
  </si>
  <si>
    <t>山東水餃</t>
    <phoneticPr fontId="2" type="noConversion"/>
  </si>
  <si>
    <t>皮蛋豆腐</t>
    <phoneticPr fontId="2" type="noConversion"/>
  </si>
  <si>
    <t>滷味拼盤</t>
    <phoneticPr fontId="2" type="noConversion"/>
  </si>
  <si>
    <t>玉米濃湯</t>
    <phoneticPr fontId="2" type="noConversion"/>
  </si>
  <si>
    <t>盒裝豆腐</t>
    <phoneticPr fontId="2" type="noConversion"/>
  </si>
  <si>
    <t>皮蛋</t>
    <phoneticPr fontId="2" type="noConversion"/>
  </si>
  <si>
    <t>鳥蛋</t>
    <phoneticPr fontId="2" type="noConversion"/>
  </si>
  <si>
    <t>油豆腐丁</t>
    <phoneticPr fontId="2" type="noConversion"/>
  </si>
  <si>
    <t>甜不辣條</t>
    <phoneticPr fontId="2" type="noConversion"/>
  </si>
  <si>
    <t>米血丁</t>
    <phoneticPr fontId="2" type="noConversion"/>
  </si>
  <si>
    <t>雞翅</t>
    <phoneticPr fontId="2" type="noConversion"/>
  </si>
  <si>
    <t>庫存</t>
    <phoneticPr fontId="2" type="noConversion"/>
  </si>
  <si>
    <t>玉米醬</t>
    <phoneticPr fontId="2" type="noConversion"/>
  </si>
  <si>
    <t>冷凍玉米粒</t>
    <phoneticPr fontId="2" type="noConversion"/>
  </si>
  <si>
    <t>玉米濃湯粉</t>
    <phoneticPr fontId="2" type="noConversion"/>
  </si>
  <si>
    <t>鮮奶油</t>
    <phoneticPr fontId="2" type="noConversion"/>
  </si>
  <si>
    <t>包</t>
    <phoneticPr fontId="2" type="noConversion"/>
  </si>
  <si>
    <t>瓶</t>
    <phoneticPr fontId="2" type="noConversion"/>
  </si>
  <si>
    <t>盒</t>
    <phoneticPr fontId="2" type="noConversion"/>
  </si>
  <si>
    <t>黑胡椒豬柳</t>
    <phoneticPr fontId="2" type="noConversion"/>
  </si>
  <si>
    <t>玉米洋芋</t>
    <phoneticPr fontId="2" type="noConversion"/>
  </si>
  <si>
    <t>五更腸旺</t>
    <phoneticPr fontId="2" type="noConversion"/>
  </si>
  <si>
    <t>仙草蜜</t>
    <phoneticPr fontId="2" type="noConversion"/>
  </si>
  <si>
    <t>冷凍洋芋丁</t>
    <phoneticPr fontId="2" type="noConversion"/>
  </si>
  <si>
    <t>火腿</t>
    <phoneticPr fontId="2" type="noConversion"/>
  </si>
  <si>
    <t>花椒油</t>
    <phoneticPr fontId="2" type="noConversion"/>
  </si>
  <si>
    <t>蒜苗</t>
    <phoneticPr fontId="2" type="noConversion"/>
  </si>
  <si>
    <t>鴨血</t>
    <phoneticPr fontId="2" type="noConversion"/>
  </si>
  <si>
    <t>榨菜絲</t>
    <phoneticPr fontId="2" type="noConversion"/>
  </si>
  <si>
    <t>處理好大腸</t>
    <phoneticPr fontId="2" type="noConversion"/>
  </si>
  <si>
    <t>仙草</t>
    <phoneticPr fontId="2" type="noConversion"/>
  </si>
  <si>
    <t>黑糖</t>
    <phoneticPr fontId="2" type="noConversion"/>
  </si>
  <si>
    <t>二砂</t>
    <phoneticPr fontId="2" type="noConversion"/>
  </si>
  <si>
    <t>個</t>
    <phoneticPr fontId="2" type="noConversion"/>
  </si>
  <si>
    <t>前腿肉柳</t>
    <phoneticPr fontId="2" type="noConversion"/>
  </si>
  <si>
    <t>乳瑪琳(小)</t>
    <phoneticPr fontId="2" type="noConversion"/>
  </si>
  <si>
    <t>黑胡椒醬</t>
    <phoneticPr fontId="2" type="noConversion"/>
  </si>
  <si>
    <t>罐</t>
    <phoneticPr fontId="2" type="noConversion"/>
  </si>
  <si>
    <t>烤雞腿</t>
    <phoneticPr fontId="2" type="noConversion"/>
  </si>
  <si>
    <t>洋蔥炒蛋</t>
    <phoneticPr fontId="2" type="noConversion"/>
  </si>
  <si>
    <t>青椒肉絲</t>
    <phoneticPr fontId="2" type="noConversion"/>
  </si>
  <si>
    <t>芹菜魚丸湯</t>
    <phoneticPr fontId="2" type="noConversion"/>
  </si>
  <si>
    <t>去葉芹菜</t>
    <phoneticPr fontId="2" type="noConversion"/>
  </si>
  <si>
    <t>小魚丸</t>
    <phoneticPr fontId="2" type="noConversion"/>
  </si>
  <si>
    <t>青椒切絲</t>
    <phoneticPr fontId="2" type="noConversion"/>
  </si>
  <si>
    <t>豬肉絲</t>
    <phoneticPr fontId="2" type="noConversion"/>
  </si>
  <si>
    <t>棒腿</t>
    <phoneticPr fontId="2" type="noConversion"/>
  </si>
  <si>
    <t>蛋</t>
    <phoneticPr fontId="2" type="noConversion"/>
  </si>
  <si>
    <t>米粉</t>
    <phoneticPr fontId="2" type="noConversion"/>
  </si>
  <si>
    <t>生香菇</t>
    <phoneticPr fontId="2" type="noConversion"/>
  </si>
  <si>
    <t>南瓜切片</t>
    <phoneticPr fontId="2" type="noConversion"/>
  </si>
  <si>
    <t>半</t>
    <phoneticPr fontId="2" type="noConversion"/>
  </si>
  <si>
    <t>大西瓜</t>
    <phoneticPr fontId="2" type="noConversion"/>
  </si>
  <si>
    <t>斤</t>
    <phoneticPr fontId="2" type="noConversion"/>
  </si>
  <si>
    <t>烏龍麵</t>
    <phoneticPr fontId="2" type="noConversion"/>
  </si>
  <si>
    <t>前腿肉片</t>
    <phoneticPr fontId="2" type="noConversion"/>
  </si>
  <si>
    <t>油菜</t>
    <phoneticPr fontId="2" type="noConversion"/>
  </si>
  <si>
    <t>沙拉油</t>
    <phoneticPr fontId="2" type="noConversion"/>
  </si>
  <si>
    <t>桶</t>
    <phoneticPr fontId="2" type="noConversion"/>
  </si>
  <si>
    <t>芥花油</t>
    <phoneticPr fontId="2" type="noConversion"/>
  </si>
  <si>
    <t>雞腿堡</t>
    <phoneticPr fontId="2" type="noConversion"/>
  </si>
  <si>
    <t>高麗菜</t>
    <phoneticPr fontId="2" type="noConversion"/>
  </si>
  <si>
    <t>斤</t>
    <phoneticPr fontId="2" type="noConversion"/>
  </si>
  <si>
    <t>荔枝</t>
    <phoneticPr fontId="2" type="noConversion"/>
  </si>
  <si>
    <t>香蕉</t>
    <phoneticPr fontId="2" type="noConversion"/>
  </si>
  <si>
    <t>水餃</t>
    <phoneticPr fontId="2" type="noConversion"/>
  </si>
  <si>
    <t>包</t>
    <phoneticPr fontId="2" type="noConversion"/>
  </si>
  <si>
    <t>太白粉</t>
    <phoneticPr fontId="2" type="noConversion"/>
  </si>
  <si>
    <t>烏醋</t>
    <phoneticPr fontId="2" type="noConversion"/>
  </si>
  <si>
    <t>桶</t>
    <phoneticPr fontId="2" type="noConversion"/>
  </si>
  <si>
    <t>調理米酒</t>
    <phoneticPr fontId="2" type="noConversion"/>
  </si>
  <si>
    <t>瓶</t>
    <phoneticPr fontId="2" type="noConversion"/>
  </si>
  <si>
    <t>台糖二砂</t>
    <phoneticPr fontId="2" type="noConversion"/>
  </si>
  <si>
    <t>袋</t>
    <phoneticPr fontId="2" type="noConversion"/>
  </si>
  <si>
    <t>無骨香雞排</t>
    <phoneticPr fontId="2" type="noConversion"/>
  </si>
  <si>
    <t>件</t>
    <phoneticPr fontId="2" type="noConversion"/>
  </si>
  <si>
    <t>吐司</t>
    <phoneticPr fontId="2" type="noConversion"/>
  </si>
  <si>
    <t>條</t>
    <phoneticPr fontId="2" type="noConversion"/>
  </si>
  <si>
    <t>貢丸</t>
    <phoneticPr fontId="2" type="noConversion"/>
  </si>
  <si>
    <t>水餃醬</t>
    <phoneticPr fontId="2" type="noConversion"/>
  </si>
  <si>
    <t>罐</t>
    <phoneticPr fontId="2" type="noConversion"/>
  </si>
  <si>
    <t>金針</t>
    <phoneticPr fontId="2" type="noConversion"/>
  </si>
  <si>
    <t>花枝排</t>
    <phoneticPr fontId="2" type="noConversion"/>
  </si>
  <si>
    <t>厚片土司</t>
    <phoneticPr fontId="2" type="noConversion"/>
  </si>
  <si>
    <t>金蘭烤肉醬</t>
    <phoneticPr fontId="2" type="noConversion"/>
  </si>
  <si>
    <t>蜂蜜</t>
    <phoneticPr fontId="2" type="noConversion"/>
  </si>
  <si>
    <t>抹醬</t>
    <phoneticPr fontId="2" type="noConversion"/>
  </si>
  <si>
    <t>冬瓜茶鋁箔包</t>
    <phoneticPr fontId="2" type="noConversion"/>
  </si>
  <si>
    <t>件</t>
    <phoneticPr fontId="2" type="noConversion"/>
  </si>
  <si>
    <t>桶</t>
    <phoneticPr fontId="2" type="noConversion"/>
  </si>
  <si>
    <t>油麵</t>
    <phoneticPr fontId="2" type="noConversion"/>
  </si>
  <si>
    <t>斤</t>
    <phoneticPr fontId="2" type="noConversion"/>
  </si>
  <si>
    <t>鵝白菜</t>
    <phoneticPr fontId="2" type="noConversion"/>
  </si>
  <si>
    <t>大西瓜</t>
    <phoneticPr fontId="2" type="noConversion"/>
  </si>
  <si>
    <t>香蕉</t>
    <phoneticPr fontId="2" type="noConversion"/>
  </si>
  <si>
    <t>滷蛋</t>
    <phoneticPr fontId="2" type="noConversion"/>
  </si>
  <si>
    <t>個</t>
    <phoneticPr fontId="2" type="noConversion"/>
  </si>
  <si>
    <t>高麗菜</t>
    <phoneticPr fontId="2" type="noConversion"/>
  </si>
  <si>
    <t>斤</t>
    <phoneticPr fontId="2" type="noConversion"/>
  </si>
  <si>
    <t>三好米</t>
    <phoneticPr fontId="2" type="noConversion"/>
  </si>
  <si>
    <t>辣椒</t>
    <phoneticPr fontId="2" type="noConversion"/>
  </si>
  <si>
    <t>青蔥</t>
    <phoneticPr fontId="2" type="noConversion"/>
  </si>
  <si>
    <t>油膏</t>
    <phoneticPr fontId="2" type="noConversion"/>
  </si>
  <si>
    <t>桶</t>
    <phoneticPr fontId="2" type="noConversion"/>
  </si>
  <si>
    <t>醬油</t>
    <phoneticPr fontId="2" type="noConversion"/>
  </si>
  <si>
    <t>蒜仁</t>
    <phoneticPr fontId="2" type="noConversion"/>
  </si>
  <si>
    <t>香油</t>
    <phoneticPr fontId="2" type="noConversion"/>
  </si>
  <si>
    <t>咖哩塊</t>
    <phoneticPr fontId="2" type="noConversion"/>
  </si>
  <si>
    <t>盒</t>
    <phoneticPr fontId="2" type="noConversion"/>
  </si>
  <si>
    <t>馬鈴薯</t>
    <phoneticPr fontId="2" type="noConversion"/>
  </si>
  <si>
    <t>紅蘿蔔</t>
    <phoneticPr fontId="2" type="noConversion"/>
  </si>
  <si>
    <t>番茄</t>
    <phoneticPr fontId="2" type="noConversion"/>
  </si>
  <si>
    <t>豆腐</t>
    <phoneticPr fontId="2" type="noConversion"/>
  </si>
  <si>
    <t>金菇</t>
    <phoneticPr fontId="2" type="noConversion"/>
  </si>
  <si>
    <t>肉絲</t>
    <phoneticPr fontId="2" type="noConversion"/>
  </si>
  <si>
    <t>乾香菇</t>
    <phoneticPr fontId="2" type="noConversion"/>
  </si>
  <si>
    <t>骨腿塊</t>
    <phoneticPr fontId="2" type="noConversion"/>
  </si>
  <si>
    <t>胡椒粉</t>
    <phoneticPr fontId="2" type="noConversion"/>
  </si>
  <si>
    <t>大西瓜</t>
    <phoneticPr fontId="2" type="noConversion"/>
  </si>
  <si>
    <t>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</si>
</sst>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0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19" workbookViewId="0">
      <selection activeCell="G49" sqref="G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39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44</v>
      </c>
      <c r="B3" s="1" t="s">
        <v>51</v>
      </c>
      <c r="C3" s="1">
        <v>30</v>
      </c>
      <c r="D3" s="1">
        <v>141</v>
      </c>
      <c r="E3" s="20">
        <v>20</v>
      </c>
      <c r="F3" s="20" t="s">
        <v>50</v>
      </c>
      <c r="G3" s="21">
        <f>D3*E3</f>
        <v>2820</v>
      </c>
      <c r="H3" s="1"/>
    </row>
    <row r="4" spans="1:8" x14ac:dyDescent="0.25">
      <c r="A4" s="46"/>
      <c r="B4" s="9" t="s">
        <v>52</v>
      </c>
      <c r="C4" s="9">
        <v>20</v>
      </c>
      <c r="D4" s="9">
        <v>180</v>
      </c>
      <c r="E4" s="9">
        <v>30</v>
      </c>
      <c r="F4" s="31" t="s">
        <v>50</v>
      </c>
      <c r="G4" s="21">
        <f t="shared" ref="G4:G6" si="0">D4*E4</f>
        <v>5400</v>
      </c>
      <c r="H4" s="1"/>
    </row>
    <row r="5" spans="1:8" x14ac:dyDescent="0.25">
      <c r="A5" s="46"/>
      <c r="B5" s="1" t="s">
        <v>53</v>
      </c>
      <c r="C5" s="1">
        <v>6</v>
      </c>
      <c r="D5" s="1">
        <v>22.44</v>
      </c>
      <c r="E5" s="1">
        <v>6</v>
      </c>
      <c r="F5" s="31" t="s">
        <v>50</v>
      </c>
      <c r="G5" s="21">
        <f t="shared" si="0"/>
        <v>134.64000000000001</v>
      </c>
      <c r="H5" s="1"/>
    </row>
    <row r="6" spans="1:8" x14ac:dyDescent="0.25">
      <c r="A6" s="46"/>
      <c r="B6" s="1" t="s">
        <v>54</v>
      </c>
      <c r="C6" s="1">
        <v>2</v>
      </c>
      <c r="D6" s="1">
        <v>96.9</v>
      </c>
      <c r="E6" s="3">
        <v>2</v>
      </c>
      <c r="F6" s="30" t="s">
        <v>50</v>
      </c>
      <c r="G6" s="21">
        <f t="shared" si="0"/>
        <v>193.8</v>
      </c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8548.4399999999987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45</v>
      </c>
      <c r="B9" s="1" t="s">
        <v>55</v>
      </c>
      <c r="C9" s="1">
        <v>6</v>
      </c>
      <c r="D9" s="1">
        <v>180</v>
      </c>
      <c r="E9" s="1">
        <v>6</v>
      </c>
      <c r="F9" s="1" t="s">
        <v>61</v>
      </c>
      <c r="G9" s="1">
        <f>D9*E9</f>
        <v>1080</v>
      </c>
      <c r="H9" s="1"/>
    </row>
    <row r="10" spans="1:8" x14ac:dyDescent="0.25">
      <c r="A10" s="46"/>
      <c r="B10" s="1" t="s">
        <v>56</v>
      </c>
      <c r="C10" s="1">
        <v>4</v>
      </c>
      <c r="D10" s="1">
        <v>100</v>
      </c>
      <c r="E10" s="1">
        <v>4</v>
      </c>
      <c r="F10" s="31" t="s">
        <v>50</v>
      </c>
      <c r="G10" s="9">
        <f t="shared" ref="G10:G12" si="1">D10*E10</f>
        <v>400</v>
      </c>
      <c r="H10" s="1"/>
    </row>
    <row r="11" spans="1:8" x14ac:dyDescent="0.25">
      <c r="A11" s="46"/>
      <c r="B11" s="1" t="s">
        <v>57</v>
      </c>
      <c r="C11" s="1">
        <v>3</v>
      </c>
      <c r="D11" s="1">
        <v>220</v>
      </c>
      <c r="E11" s="1">
        <v>3</v>
      </c>
      <c r="F11" s="1" t="s">
        <v>62</v>
      </c>
      <c r="G11" s="9">
        <f t="shared" si="1"/>
        <v>660</v>
      </c>
      <c r="H11" s="1"/>
    </row>
    <row r="12" spans="1:8" x14ac:dyDescent="0.25">
      <c r="A12" s="46"/>
      <c r="B12" s="1"/>
      <c r="C12" s="1"/>
      <c r="D12" s="1"/>
      <c r="E12" s="1"/>
      <c r="F12" s="1"/>
      <c r="G12" s="9">
        <f t="shared" si="1"/>
        <v>0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2140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46</v>
      </c>
      <c r="B16" s="1" t="s">
        <v>58</v>
      </c>
      <c r="C16" s="1">
        <v>25</v>
      </c>
      <c r="D16" s="1">
        <v>57</v>
      </c>
      <c r="E16" s="1">
        <v>25</v>
      </c>
      <c r="F16" s="31" t="s">
        <v>50</v>
      </c>
      <c r="G16" s="1">
        <f>D16*E16</f>
        <v>1425</v>
      </c>
      <c r="H16" s="1"/>
    </row>
    <row r="17" spans="1:8" x14ac:dyDescent="0.25">
      <c r="A17" s="46"/>
      <c r="B17" s="1" t="s">
        <v>59</v>
      </c>
      <c r="C17" s="1">
        <v>1</v>
      </c>
      <c r="D17" s="1">
        <v>96.9</v>
      </c>
      <c r="E17" s="1">
        <v>1</v>
      </c>
      <c r="F17" s="31" t="s">
        <v>50</v>
      </c>
      <c r="G17" s="16">
        <f t="shared" ref="G17:G19" si="2">D17*E17</f>
        <v>96.9</v>
      </c>
      <c r="H17" s="1"/>
    </row>
    <row r="18" spans="1:8" x14ac:dyDescent="0.25">
      <c r="A18" s="46"/>
      <c r="B18" s="1" t="s">
        <v>60</v>
      </c>
      <c r="C18" s="1">
        <v>2</v>
      </c>
      <c r="D18" s="1">
        <v>17.100000000000001</v>
      </c>
      <c r="E18" s="1">
        <v>2</v>
      </c>
      <c r="F18" s="31" t="s">
        <v>50</v>
      </c>
      <c r="G18" s="2">
        <f t="shared" si="2"/>
        <v>34.200000000000003</v>
      </c>
      <c r="H18" s="1"/>
    </row>
    <row r="19" spans="1:8" x14ac:dyDescent="0.25">
      <c r="A19" s="46"/>
      <c r="B19" s="1"/>
      <c r="C19" s="1"/>
      <c r="D19" s="1"/>
      <c r="E19" s="3"/>
      <c r="F19" s="3"/>
      <c r="G19" s="16">
        <f t="shared" si="2"/>
        <v>0</v>
      </c>
      <c r="H19" s="1"/>
    </row>
    <row r="20" spans="1:8" x14ac:dyDescent="0.25">
      <c r="A20" s="46"/>
      <c r="B20" s="40"/>
      <c r="C20" s="41"/>
      <c r="D20" s="42"/>
      <c r="E20" s="3"/>
      <c r="F20" s="3"/>
      <c r="G20" s="13">
        <f>SUM(G16:G19)</f>
        <v>1556.1000000000001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33</v>
      </c>
      <c r="C22" s="1">
        <v>2</v>
      </c>
      <c r="D22" s="1">
        <v>150</v>
      </c>
      <c r="E22" s="1">
        <v>2</v>
      </c>
      <c r="F22" s="1" t="s">
        <v>34</v>
      </c>
      <c r="G22" s="1">
        <f>D22*E22</f>
        <v>300</v>
      </c>
      <c r="H22" s="1"/>
    </row>
    <row r="23" spans="1:8" x14ac:dyDescent="0.25">
      <c r="A23" s="46"/>
      <c r="B23" s="26" t="s">
        <v>36</v>
      </c>
      <c r="C23" s="1" t="s">
        <v>37</v>
      </c>
      <c r="D23" s="1">
        <v>76.5</v>
      </c>
      <c r="E23" s="1">
        <v>0.5</v>
      </c>
      <c r="F23" s="1" t="s">
        <v>30</v>
      </c>
      <c r="G23" s="9">
        <f>D23*E23</f>
        <v>38.25</v>
      </c>
      <c r="H23" s="1"/>
    </row>
    <row r="24" spans="1:8" x14ac:dyDescent="0.25">
      <c r="A24" s="46"/>
      <c r="B24" s="26" t="s">
        <v>23</v>
      </c>
      <c r="C24" s="1">
        <v>8</v>
      </c>
      <c r="D24" s="1">
        <v>66.3</v>
      </c>
      <c r="E24" s="1">
        <v>8</v>
      </c>
      <c r="F24" s="1" t="s">
        <v>21</v>
      </c>
      <c r="G24" s="9">
        <f t="shared" ref="G24:G26" si="3">D24*E24</f>
        <v>530.4</v>
      </c>
      <c r="H24" s="1"/>
    </row>
    <row r="25" spans="1:8" x14ac:dyDescent="0.25">
      <c r="A25" s="46"/>
      <c r="B25" s="1" t="s">
        <v>24</v>
      </c>
      <c r="C25" s="1">
        <v>6</v>
      </c>
      <c r="D25" s="1">
        <v>27.9</v>
      </c>
      <c r="E25" s="1">
        <v>4</v>
      </c>
      <c r="F25" s="1" t="s">
        <v>21</v>
      </c>
      <c r="G25" s="2">
        <f t="shared" si="3"/>
        <v>111.6</v>
      </c>
      <c r="H25" s="1"/>
    </row>
    <row r="26" spans="1:8" x14ac:dyDescent="0.25">
      <c r="A26" s="46"/>
      <c r="B26" s="9" t="s">
        <v>25</v>
      </c>
      <c r="C26" s="9">
        <v>2</v>
      </c>
      <c r="D26" s="9">
        <v>38.4</v>
      </c>
      <c r="E26" s="9">
        <v>20</v>
      </c>
      <c r="F26" s="10" t="s">
        <v>16</v>
      </c>
      <c r="G26" s="9">
        <f t="shared" si="3"/>
        <v>768</v>
      </c>
      <c r="H26" s="9"/>
    </row>
    <row r="27" spans="1:8" x14ac:dyDescent="0.25">
      <c r="A27" s="46"/>
      <c r="B27" s="9" t="s">
        <v>26</v>
      </c>
      <c r="C27" s="9">
        <v>4</v>
      </c>
      <c r="D27" s="9">
        <v>75</v>
      </c>
      <c r="E27" s="9">
        <v>4</v>
      </c>
      <c r="F27" s="9" t="s">
        <v>34</v>
      </c>
      <c r="G27" s="2">
        <f>D27*E27</f>
        <v>300</v>
      </c>
      <c r="H27" s="9"/>
    </row>
    <row r="28" spans="1:8" x14ac:dyDescent="0.25">
      <c r="A28" s="46"/>
      <c r="B28" s="9" t="s">
        <v>142</v>
      </c>
      <c r="C28" s="9">
        <v>8</v>
      </c>
      <c r="D28" s="9">
        <v>49.92</v>
      </c>
      <c r="E28" s="9">
        <v>10</v>
      </c>
      <c r="F28" s="9" t="s">
        <v>34</v>
      </c>
      <c r="G28" s="2">
        <f t="shared" ref="G28:G29" si="4">D28*E28</f>
        <v>499.20000000000005</v>
      </c>
      <c r="H28" s="9"/>
    </row>
    <row r="29" spans="1:8" x14ac:dyDescent="0.25">
      <c r="A29" s="46"/>
      <c r="B29" s="9"/>
      <c r="C29" s="9"/>
      <c r="D29" s="9"/>
      <c r="E29" s="9"/>
      <c r="F29" s="9"/>
      <c r="G29" s="2">
        <f t="shared" si="4"/>
        <v>0</v>
      </c>
      <c r="H29" s="9"/>
    </row>
    <row r="30" spans="1:8" x14ac:dyDescent="0.25">
      <c r="A30" s="46"/>
      <c r="B30" s="9"/>
      <c r="C30" s="9"/>
      <c r="D30" s="9"/>
      <c r="E30" s="9"/>
      <c r="F30" s="9"/>
      <c r="G30" s="2"/>
      <c r="H30" s="9"/>
    </row>
    <row r="31" spans="1:8" x14ac:dyDescent="0.25">
      <c r="A31" s="46"/>
      <c r="B31" s="9" t="s">
        <v>35</v>
      </c>
      <c r="C31" s="9">
        <v>1</v>
      </c>
      <c r="D31" s="9">
        <v>4.5</v>
      </c>
      <c r="E31" s="9">
        <v>50</v>
      </c>
      <c r="F31" s="9" t="s">
        <v>112</v>
      </c>
      <c r="G31" s="2">
        <f>D31*E31</f>
        <v>225</v>
      </c>
      <c r="H31" s="9"/>
    </row>
    <row r="32" spans="1:8" x14ac:dyDescent="0.25">
      <c r="A32" s="46"/>
      <c r="B32" s="28" t="s">
        <v>32</v>
      </c>
      <c r="C32" s="28">
        <v>1</v>
      </c>
      <c r="D32" s="28">
        <v>240</v>
      </c>
      <c r="E32" s="28">
        <v>1</v>
      </c>
      <c r="F32" s="28" t="s">
        <v>31</v>
      </c>
      <c r="G32" s="2">
        <f>D32*E32</f>
        <v>240</v>
      </c>
      <c r="H32" s="1"/>
    </row>
    <row r="33" spans="1:8" x14ac:dyDescent="0.25">
      <c r="A33" s="9"/>
      <c r="B33" s="40" t="s">
        <v>17</v>
      </c>
      <c r="C33" s="41"/>
      <c r="D33" s="42"/>
      <c r="E33" s="28"/>
      <c r="F33" s="28"/>
      <c r="G33" s="14">
        <f>SUM(G22:G32)</f>
        <v>3012.45</v>
      </c>
      <c r="H33" s="9"/>
    </row>
    <row r="34" spans="1:8" x14ac:dyDescent="0.25">
      <c r="A34" s="1" t="s">
        <v>11</v>
      </c>
      <c r="B34" s="28" t="s">
        <v>1</v>
      </c>
      <c r="C34" s="28" t="s">
        <v>2</v>
      </c>
      <c r="D34" s="28" t="s">
        <v>3</v>
      </c>
      <c r="E34" s="28" t="s">
        <v>4</v>
      </c>
      <c r="F34" s="28"/>
      <c r="G34" s="1" t="s">
        <v>5</v>
      </c>
      <c r="H34" s="1" t="s">
        <v>6</v>
      </c>
    </row>
    <row r="35" spans="1:8" x14ac:dyDescent="0.25">
      <c r="A35" s="46" t="s">
        <v>47</v>
      </c>
      <c r="B35" s="28" t="s">
        <v>48</v>
      </c>
      <c r="C35" s="28"/>
      <c r="D35" s="28"/>
      <c r="E35" s="28"/>
      <c r="F35" s="28"/>
      <c r="G35" s="1"/>
      <c r="H35" s="1" t="s">
        <v>90</v>
      </c>
    </row>
    <row r="36" spans="1:8" x14ac:dyDescent="0.25">
      <c r="A36" s="46"/>
      <c r="B36" s="28" t="s">
        <v>49</v>
      </c>
      <c r="C36" s="28">
        <v>15</v>
      </c>
      <c r="D36" s="28">
        <v>141</v>
      </c>
      <c r="E36" s="28">
        <v>15</v>
      </c>
      <c r="F36" s="31" t="s">
        <v>50</v>
      </c>
      <c r="G36" s="1">
        <f>D36*E36</f>
        <v>2115</v>
      </c>
      <c r="H36" s="1"/>
    </row>
    <row r="37" spans="1:8" x14ac:dyDescent="0.25">
      <c r="A37" s="46"/>
      <c r="B37" s="28"/>
      <c r="C37" s="28"/>
      <c r="D37" s="28"/>
      <c r="E37" s="28"/>
      <c r="F37" s="28"/>
      <c r="G37" s="1"/>
      <c r="H37" s="1"/>
    </row>
    <row r="38" spans="1:8" x14ac:dyDescent="0.25">
      <c r="A38" s="46"/>
      <c r="B38" s="40"/>
      <c r="C38" s="41"/>
      <c r="D38" s="42"/>
      <c r="E38" s="29"/>
      <c r="F38" s="29"/>
      <c r="G38" s="15">
        <f>SUM(G35:G37)</f>
        <v>2115</v>
      </c>
      <c r="H38" s="1"/>
    </row>
    <row r="39" spans="1:8" x14ac:dyDescent="0.25">
      <c r="A39" s="1" t="s">
        <v>12</v>
      </c>
      <c r="B39" s="28" t="s">
        <v>1</v>
      </c>
      <c r="C39" s="28" t="s">
        <v>2</v>
      </c>
      <c r="D39" s="28" t="s">
        <v>3</v>
      </c>
      <c r="E39" s="29" t="s">
        <v>4</v>
      </c>
      <c r="F39" s="29"/>
      <c r="G39" s="3" t="s">
        <v>5</v>
      </c>
      <c r="H39" s="1" t="s">
        <v>6</v>
      </c>
    </row>
    <row r="40" spans="1:8" x14ac:dyDescent="0.25">
      <c r="A40" s="47"/>
      <c r="B40" s="1" t="s">
        <v>131</v>
      </c>
      <c r="C40" s="1"/>
      <c r="D40" s="1">
        <v>26.88</v>
      </c>
      <c r="E40" s="1">
        <v>140</v>
      </c>
      <c r="F40" s="1" t="s">
        <v>132</v>
      </c>
      <c r="G40" s="2">
        <f>D40*E40</f>
        <v>3763.2</v>
      </c>
      <c r="H40" s="1"/>
    </row>
    <row r="41" spans="1:8" x14ac:dyDescent="0.25">
      <c r="A41" s="48"/>
      <c r="B41" s="1" t="s">
        <v>140</v>
      </c>
      <c r="C41" s="1"/>
      <c r="D41" s="1">
        <v>19.38</v>
      </c>
      <c r="E41" s="1">
        <v>75</v>
      </c>
      <c r="F41" s="1" t="s">
        <v>141</v>
      </c>
      <c r="G41" s="2">
        <f>D41*E41</f>
        <v>1453.5</v>
      </c>
      <c r="H41" s="1"/>
    </row>
    <row r="42" spans="1:8" x14ac:dyDescent="0.25">
      <c r="A42" s="49"/>
      <c r="B42" s="40" t="s">
        <v>7</v>
      </c>
      <c r="C42" s="41"/>
      <c r="D42" s="42"/>
      <c r="E42" s="3"/>
      <c r="F42" s="3"/>
      <c r="G42" s="13">
        <f>SUM(G40:G41)</f>
        <v>5216.7</v>
      </c>
      <c r="H42" s="5"/>
    </row>
    <row r="43" spans="1:8" x14ac:dyDescent="0.25">
      <c r="A43" s="6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6"/>
      <c r="B44" s="1"/>
      <c r="C44" s="1"/>
      <c r="D44" s="1"/>
      <c r="E44" s="1"/>
      <c r="F44" s="1"/>
      <c r="G44" s="1"/>
      <c r="H44" s="1"/>
    </row>
    <row r="45" spans="1:8" x14ac:dyDescent="0.25">
      <c r="A45" s="46"/>
      <c r="B45" s="1"/>
      <c r="C45" s="1"/>
      <c r="D45" s="1"/>
      <c r="E45" s="1"/>
      <c r="F45" s="1"/>
      <c r="G45" s="2">
        <f>D45*E45</f>
        <v>0</v>
      </c>
      <c r="H45" s="1"/>
    </row>
    <row r="46" spans="1:8" x14ac:dyDescent="0.25">
      <c r="A46" s="46"/>
      <c r="B46" s="1"/>
      <c r="C46" s="1"/>
      <c r="D46" s="1"/>
      <c r="E46" s="1"/>
      <c r="F46" s="1"/>
      <c r="G46" s="16">
        <f>D46*E46</f>
        <v>0</v>
      </c>
      <c r="H46" s="1"/>
    </row>
    <row r="47" spans="1:8" x14ac:dyDescent="0.25">
      <c r="A47" s="46"/>
      <c r="B47" s="1"/>
      <c r="C47" s="1"/>
      <c r="D47" s="1"/>
      <c r="E47" s="1"/>
      <c r="F47" s="1"/>
      <c r="G47" s="1"/>
      <c r="H47" s="1"/>
    </row>
    <row r="48" spans="1:8" x14ac:dyDescent="0.25">
      <c r="A48" s="46"/>
      <c r="B48" s="40" t="s">
        <v>7</v>
      </c>
      <c r="C48" s="41"/>
      <c r="D48" s="42"/>
      <c r="E48" s="3"/>
      <c r="F48" s="3"/>
      <c r="G48" s="15">
        <f>SUM(G44:G47)</f>
        <v>0</v>
      </c>
      <c r="H48" s="1"/>
    </row>
    <row r="49" spans="1:8" x14ac:dyDescent="0.25">
      <c r="A49" s="1"/>
      <c r="B49" s="50" t="s">
        <v>14</v>
      </c>
      <c r="C49" s="51"/>
      <c r="D49" s="52"/>
      <c r="E49" s="7"/>
      <c r="F49" s="7"/>
      <c r="G49" s="8">
        <f>G48+G42+G38+G20+G14+G7+G33</f>
        <v>22588.69</v>
      </c>
      <c r="H49" s="1"/>
    </row>
  </sheetData>
  <mergeCells count="16">
    <mergeCell ref="B49:D49"/>
    <mergeCell ref="B48:D48"/>
    <mergeCell ref="B42:D42"/>
    <mergeCell ref="B38:D38"/>
    <mergeCell ref="B33:D33"/>
    <mergeCell ref="A44:A48"/>
    <mergeCell ref="A22:A32"/>
    <mergeCell ref="A35:A38"/>
    <mergeCell ref="A40:A42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16" workbookViewId="0">
      <selection activeCell="G37" sqref="G3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40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63</v>
      </c>
      <c r="B3" s="1" t="s">
        <v>139</v>
      </c>
      <c r="C3" s="1"/>
      <c r="D3" s="1">
        <v>24</v>
      </c>
      <c r="E3" s="1">
        <v>270</v>
      </c>
      <c r="F3" s="1" t="s">
        <v>66</v>
      </c>
      <c r="G3" s="2">
        <f>D3*E3</f>
        <v>6480</v>
      </c>
      <c r="H3" s="1"/>
    </row>
    <row r="4" spans="1:8" x14ac:dyDescent="0.25">
      <c r="A4" s="46"/>
      <c r="B4" s="1"/>
      <c r="C4" s="1"/>
      <c r="D4" s="1"/>
      <c r="E4" s="1"/>
      <c r="F4" s="1"/>
      <c r="G4" s="2">
        <f t="shared" ref="G4:G6" si="0">D4*E4</f>
        <v>0</v>
      </c>
      <c r="H4" s="1"/>
    </row>
    <row r="5" spans="1:8" x14ac:dyDescent="0.25">
      <c r="A5" s="46"/>
      <c r="B5" s="1"/>
      <c r="C5" s="1"/>
      <c r="D5" s="1"/>
      <c r="E5" s="1"/>
      <c r="F5" s="1"/>
      <c r="G5" s="2">
        <f t="shared" si="0"/>
        <v>0</v>
      </c>
      <c r="H5" s="1"/>
    </row>
    <row r="6" spans="1:8" x14ac:dyDescent="0.25">
      <c r="A6" s="46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6480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64</v>
      </c>
      <c r="B9" s="34" t="s">
        <v>67</v>
      </c>
      <c r="C9" s="1">
        <v>45</v>
      </c>
      <c r="D9" s="1">
        <v>62</v>
      </c>
      <c r="E9" s="1">
        <v>45</v>
      </c>
      <c r="F9" s="31" t="s">
        <v>50</v>
      </c>
      <c r="G9" s="1">
        <f>D9*E9</f>
        <v>2790</v>
      </c>
      <c r="H9" s="1"/>
    </row>
    <row r="10" spans="1:8" x14ac:dyDescent="0.25">
      <c r="A10" s="46"/>
      <c r="B10" s="1" t="s">
        <v>68</v>
      </c>
      <c r="C10" s="1">
        <v>120</v>
      </c>
      <c r="D10" s="1">
        <v>12</v>
      </c>
      <c r="E10" s="1">
        <v>120</v>
      </c>
      <c r="F10" s="1" t="s">
        <v>78</v>
      </c>
      <c r="G10" s="18">
        <f>D10*E10</f>
        <v>1440</v>
      </c>
      <c r="H10" s="1"/>
    </row>
    <row r="11" spans="1:8" x14ac:dyDescent="0.25">
      <c r="A11" s="46"/>
      <c r="B11" s="1"/>
      <c r="C11" s="1"/>
      <c r="D11" s="1"/>
      <c r="E11" s="1"/>
      <c r="F11" s="1"/>
      <c r="G11" s="1"/>
      <c r="H11" s="1"/>
    </row>
    <row r="12" spans="1:8" x14ac:dyDescent="0.25">
      <c r="A12" s="46"/>
      <c r="B12" s="1"/>
      <c r="C12" s="1"/>
      <c r="D12" s="1"/>
      <c r="E12" s="1"/>
      <c r="F12" s="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4230</v>
      </c>
      <c r="H14" s="1"/>
    </row>
    <row r="15" spans="1:8" x14ac:dyDescent="0.25">
      <c r="A15" s="28" t="s">
        <v>38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65</v>
      </c>
      <c r="B16" s="1" t="s">
        <v>69</v>
      </c>
      <c r="C16" s="1">
        <v>20</v>
      </c>
      <c r="D16" s="1">
        <v>75</v>
      </c>
      <c r="E16" s="1">
        <v>20</v>
      </c>
      <c r="F16" s="31" t="s">
        <v>50</v>
      </c>
      <c r="G16" s="1">
        <f>D16*E16</f>
        <v>1500</v>
      </c>
      <c r="H16" s="1"/>
    </row>
    <row r="17" spans="1:8" x14ac:dyDescent="0.25">
      <c r="A17" s="46"/>
      <c r="B17" s="1" t="s">
        <v>70</v>
      </c>
      <c r="C17" s="1">
        <v>1</v>
      </c>
      <c r="D17" s="1">
        <v>15.3</v>
      </c>
      <c r="E17" s="1">
        <v>1</v>
      </c>
      <c r="F17" s="31" t="s">
        <v>50</v>
      </c>
      <c r="G17" s="18">
        <f t="shared" ref="G17:G20" si="1">D17*E17</f>
        <v>15.3</v>
      </c>
      <c r="H17" s="1"/>
    </row>
    <row r="18" spans="1:8" x14ac:dyDescent="0.25">
      <c r="A18" s="46"/>
      <c r="B18" s="1" t="s">
        <v>71</v>
      </c>
      <c r="C18" s="1">
        <v>25</v>
      </c>
      <c r="D18" s="1">
        <v>45</v>
      </c>
      <c r="E18" s="1">
        <v>25</v>
      </c>
      <c r="F18" s="31" t="s">
        <v>50</v>
      </c>
      <c r="G18" s="18">
        <f t="shared" si="1"/>
        <v>1125</v>
      </c>
      <c r="H18" s="1"/>
    </row>
    <row r="19" spans="1:8" x14ac:dyDescent="0.25">
      <c r="A19" s="46"/>
      <c r="B19" s="1" t="s">
        <v>53</v>
      </c>
      <c r="C19" s="1">
        <v>6</v>
      </c>
      <c r="D19" s="1">
        <v>22.44</v>
      </c>
      <c r="E19" s="3">
        <v>6</v>
      </c>
      <c r="F19" s="30" t="s">
        <v>50</v>
      </c>
      <c r="G19" s="18">
        <f t="shared" si="1"/>
        <v>134.64000000000001</v>
      </c>
      <c r="H19" s="1"/>
    </row>
    <row r="20" spans="1:8" x14ac:dyDescent="0.25">
      <c r="A20" s="46"/>
      <c r="B20" s="1" t="s">
        <v>72</v>
      </c>
      <c r="C20" s="1">
        <v>1</v>
      </c>
      <c r="D20" s="1">
        <v>76.5</v>
      </c>
      <c r="E20" s="3">
        <v>1</v>
      </c>
      <c r="F20" s="30" t="s">
        <v>50</v>
      </c>
      <c r="G20" s="18">
        <f t="shared" si="1"/>
        <v>76.5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0" t="s">
        <v>7</v>
      </c>
      <c r="C22" s="41"/>
      <c r="D22" s="42"/>
      <c r="E22" s="3"/>
      <c r="F22" s="3"/>
      <c r="G22" s="13">
        <f>SUM(G16:G21)</f>
        <v>2851.44</v>
      </c>
      <c r="H22" s="1"/>
    </row>
    <row r="23" spans="1:8" x14ac:dyDescent="0.25">
      <c r="A23" s="4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27</v>
      </c>
      <c r="C24" s="1">
        <v>20</v>
      </c>
      <c r="D24" s="1">
        <v>60</v>
      </c>
      <c r="E24" s="1">
        <v>20</v>
      </c>
      <c r="F24" s="1" t="s">
        <v>16</v>
      </c>
      <c r="G24" s="1">
        <f>D24*E24</f>
        <v>1200</v>
      </c>
      <c r="H24" s="1"/>
    </row>
    <row r="25" spans="1:8" x14ac:dyDescent="0.25">
      <c r="A25" s="46"/>
      <c r="B25" s="1" t="s">
        <v>76</v>
      </c>
      <c r="C25" s="1">
        <v>1</v>
      </c>
      <c r="D25" s="1">
        <v>29.7</v>
      </c>
      <c r="E25" s="1">
        <v>0.25</v>
      </c>
      <c r="F25" s="1" t="s">
        <v>16</v>
      </c>
      <c r="G25" s="18">
        <f t="shared" ref="G25:G28" si="2">D25*E25</f>
        <v>7.4249999999999998</v>
      </c>
      <c r="H25" s="1"/>
    </row>
    <row r="26" spans="1:8" x14ac:dyDescent="0.25">
      <c r="A26" s="46"/>
      <c r="B26" s="33" t="s">
        <v>136</v>
      </c>
      <c r="C26" s="33"/>
      <c r="D26" s="33">
        <v>1188</v>
      </c>
      <c r="E26" s="33">
        <v>1</v>
      </c>
      <c r="F26" s="32" t="s">
        <v>137</v>
      </c>
      <c r="G26" s="18">
        <f t="shared" si="2"/>
        <v>1188</v>
      </c>
      <c r="H26" s="1"/>
    </row>
    <row r="27" spans="1:8" x14ac:dyDescent="0.25">
      <c r="A27" s="46"/>
      <c r="B27" s="1" t="s">
        <v>77</v>
      </c>
      <c r="C27" s="1">
        <v>1</v>
      </c>
      <c r="D27" s="1">
        <v>26.1</v>
      </c>
      <c r="E27" s="1">
        <v>0.25</v>
      </c>
      <c r="F27" s="1" t="s">
        <v>16</v>
      </c>
      <c r="G27" s="18">
        <f t="shared" si="2"/>
        <v>6.5250000000000004</v>
      </c>
      <c r="H27" s="1"/>
    </row>
    <row r="28" spans="1:8" x14ac:dyDescent="0.25">
      <c r="A28" s="46"/>
      <c r="B28" s="18" t="s">
        <v>138</v>
      </c>
      <c r="C28" s="18"/>
      <c r="D28" s="18">
        <v>530</v>
      </c>
      <c r="E28" s="18">
        <v>12</v>
      </c>
      <c r="F28" s="19" t="s">
        <v>137</v>
      </c>
      <c r="G28" s="18">
        <f t="shared" si="2"/>
        <v>6360</v>
      </c>
      <c r="H28" s="18"/>
    </row>
    <row r="29" spans="1:8" x14ac:dyDescent="0.25">
      <c r="A29" s="46"/>
      <c r="B29" s="40" t="s">
        <v>7</v>
      </c>
      <c r="C29" s="41"/>
      <c r="D29" s="42"/>
      <c r="E29" s="3"/>
      <c r="F29" s="3"/>
      <c r="G29" s="15">
        <f>SUM(G24:G28)</f>
        <v>8761.9500000000007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6" t="s">
        <v>75</v>
      </c>
      <c r="B31" s="1" t="s">
        <v>73</v>
      </c>
      <c r="C31" s="1"/>
      <c r="D31" s="1"/>
      <c r="E31" s="1"/>
      <c r="F31" s="1"/>
      <c r="G31" s="1">
        <f>D31*E31</f>
        <v>0</v>
      </c>
      <c r="H31" s="1" t="s">
        <v>90</v>
      </c>
    </row>
    <row r="32" spans="1:8" x14ac:dyDescent="0.25">
      <c r="A32" s="46"/>
      <c r="B32" s="1" t="s">
        <v>74</v>
      </c>
      <c r="C32" s="1">
        <v>10</v>
      </c>
      <c r="D32" s="1">
        <v>250</v>
      </c>
      <c r="E32" s="1">
        <v>10</v>
      </c>
      <c r="F32" s="31" t="s">
        <v>50</v>
      </c>
      <c r="G32" s="1">
        <f>D32*E32</f>
        <v>2500</v>
      </c>
      <c r="H32" s="1"/>
    </row>
    <row r="33" spans="1:8" x14ac:dyDescent="0.25">
      <c r="A33" s="46"/>
      <c r="B33" s="1"/>
      <c r="C33" s="1"/>
      <c r="D33" s="1"/>
      <c r="E33" s="1"/>
      <c r="F33" s="1"/>
      <c r="G33" s="1"/>
      <c r="H33" s="1"/>
    </row>
    <row r="34" spans="1:8" x14ac:dyDescent="0.25">
      <c r="A34" s="46"/>
      <c r="B34" s="40"/>
      <c r="C34" s="41"/>
      <c r="D34" s="42"/>
      <c r="E34" s="3"/>
      <c r="F34" s="3"/>
      <c r="G34" s="15">
        <f>SUM(G31:G33)</f>
        <v>2500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7"/>
      <c r="B36" s="1" t="s">
        <v>135</v>
      </c>
      <c r="C36" s="1"/>
      <c r="D36" s="1">
        <v>9.9</v>
      </c>
      <c r="E36" s="1">
        <v>75</v>
      </c>
      <c r="F36" s="1" t="s">
        <v>132</v>
      </c>
      <c r="G36" s="24">
        <f>D36*E36</f>
        <v>742.5</v>
      </c>
      <c r="H36" s="1"/>
    </row>
    <row r="37" spans="1:8" x14ac:dyDescent="0.25">
      <c r="A37" s="48"/>
      <c r="B37" s="1" t="s">
        <v>143</v>
      </c>
      <c r="C37" s="1"/>
      <c r="D37" s="1">
        <v>22.08</v>
      </c>
      <c r="E37" s="1">
        <v>91</v>
      </c>
      <c r="F37" s="36" t="s">
        <v>16</v>
      </c>
      <c r="G37" s="21">
        <f>D37*E37</f>
        <v>2009.2799999999997</v>
      </c>
      <c r="H37" s="1"/>
    </row>
    <row r="38" spans="1:8" x14ac:dyDescent="0.25">
      <c r="A38" s="49"/>
      <c r="B38" s="40" t="s">
        <v>7</v>
      </c>
      <c r="C38" s="41"/>
      <c r="D38" s="42"/>
      <c r="E38" s="3"/>
      <c r="F38" s="3"/>
      <c r="G38" s="13">
        <f>SUM(G36:G37)</f>
        <v>2751.7799999999997</v>
      </c>
      <c r="H38" s="5"/>
    </row>
    <row r="39" spans="1:8" x14ac:dyDescent="0.25">
      <c r="A39" s="6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6"/>
      <c r="B40" s="1" t="s">
        <v>133</v>
      </c>
      <c r="C40" s="1"/>
      <c r="D40" s="1">
        <v>21</v>
      </c>
      <c r="E40" s="1">
        <v>8</v>
      </c>
      <c r="F40" s="1" t="s">
        <v>132</v>
      </c>
      <c r="G40" s="1">
        <f>D40*E40</f>
        <v>168</v>
      </c>
      <c r="H40" s="1"/>
    </row>
    <row r="41" spans="1:8" x14ac:dyDescent="0.25">
      <c r="A41" s="46"/>
      <c r="B41" s="1" t="s">
        <v>134</v>
      </c>
      <c r="C41" s="1"/>
      <c r="D41" s="1">
        <v>141</v>
      </c>
      <c r="E41" s="1">
        <v>3</v>
      </c>
      <c r="F41" s="1" t="s">
        <v>132</v>
      </c>
      <c r="G41" s="33">
        <f>D41*E41</f>
        <v>423</v>
      </c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1"/>
      <c r="C43" s="1"/>
      <c r="D43" s="1"/>
      <c r="E43" s="1"/>
      <c r="F43" s="1"/>
      <c r="G43" s="1"/>
      <c r="H43" s="1"/>
    </row>
    <row r="44" spans="1:8" x14ac:dyDescent="0.25">
      <c r="A44" s="46"/>
      <c r="B44" s="40" t="s">
        <v>7</v>
      </c>
      <c r="C44" s="41"/>
      <c r="D44" s="42"/>
      <c r="E44" s="3"/>
      <c r="F44" s="3"/>
      <c r="G44" s="15">
        <f>SUM(G40:G43)</f>
        <v>591</v>
      </c>
      <c r="H44" s="1"/>
    </row>
    <row r="45" spans="1:8" x14ac:dyDescent="0.25">
      <c r="A45" s="1"/>
      <c r="B45" s="50" t="s">
        <v>14</v>
      </c>
      <c r="C45" s="51"/>
      <c r="D45" s="52"/>
      <c r="E45" s="7"/>
      <c r="F45" s="7"/>
      <c r="G45" s="8">
        <f>G44+G38+G34+G22+G14+G7+G29</f>
        <v>28166.170000000002</v>
      </c>
      <c r="H45" s="1"/>
    </row>
  </sheetData>
  <mergeCells count="16"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>
      <selection activeCell="G50" sqref="G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41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79</v>
      </c>
      <c r="B3" s="1" t="s">
        <v>144</v>
      </c>
      <c r="C3" s="1"/>
      <c r="D3" s="1">
        <v>200</v>
      </c>
      <c r="E3" s="1">
        <v>55</v>
      </c>
      <c r="F3" s="1" t="s">
        <v>145</v>
      </c>
      <c r="G3" s="2">
        <f>D3*E3</f>
        <v>11000</v>
      </c>
      <c r="H3" s="1"/>
    </row>
    <row r="4" spans="1:8" x14ac:dyDescent="0.25">
      <c r="A4" s="46"/>
      <c r="B4" s="1" t="s">
        <v>158</v>
      </c>
      <c r="C4" s="1"/>
      <c r="D4" s="1">
        <v>10</v>
      </c>
      <c r="E4" s="1">
        <v>66</v>
      </c>
      <c r="F4" s="1" t="s">
        <v>159</v>
      </c>
      <c r="G4" s="2">
        <f>D4*E4</f>
        <v>660</v>
      </c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"/>
      <c r="C6" s="1"/>
      <c r="D6" s="1"/>
      <c r="E6" s="3"/>
      <c r="F6" s="3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11660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80</v>
      </c>
      <c r="B9" s="1" t="s">
        <v>83</v>
      </c>
      <c r="C9" s="1">
        <v>50</v>
      </c>
      <c r="D9" s="1">
        <v>16</v>
      </c>
      <c r="E9" s="27">
        <v>50</v>
      </c>
      <c r="F9" s="1" t="s">
        <v>97</v>
      </c>
      <c r="G9" s="1">
        <f>D9*E9</f>
        <v>800</v>
      </c>
      <c r="H9" s="1"/>
    </row>
    <row r="10" spans="1:8" x14ac:dyDescent="0.25">
      <c r="A10" s="46"/>
      <c r="B10" s="1" t="s">
        <v>84</v>
      </c>
      <c r="C10" s="1">
        <v>150</v>
      </c>
      <c r="D10" s="1">
        <v>12</v>
      </c>
      <c r="E10" s="1">
        <v>150</v>
      </c>
      <c r="F10" s="1" t="s">
        <v>78</v>
      </c>
      <c r="G10" s="22">
        <f t="shared" ref="G10" si="0">D10*E10</f>
        <v>1800</v>
      </c>
      <c r="H10" s="1"/>
    </row>
    <row r="11" spans="1:8" x14ac:dyDescent="0.25">
      <c r="A11" s="46"/>
      <c r="B11" s="1"/>
      <c r="C11" s="1"/>
      <c r="D11" s="1"/>
      <c r="E11" s="1"/>
      <c r="F11" s="1"/>
      <c r="G11" s="22"/>
      <c r="H11" s="1"/>
    </row>
    <row r="12" spans="1:8" x14ac:dyDescent="0.25">
      <c r="A12" s="46"/>
      <c r="B12" s="1"/>
      <c r="C12" s="1"/>
      <c r="D12" s="1"/>
      <c r="E12" s="1"/>
      <c r="F12" s="1"/>
      <c r="G12" s="22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2600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81</v>
      </c>
      <c r="B16" s="1" t="s">
        <v>85</v>
      </c>
      <c r="C16" s="1">
        <v>700</v>
      </c>
      <c r="D16" s="1">
        <v>156</v>
      </c>
      <c r="E16" s="38"/>
      <c r="F16" s="1" t="s">
        <v>16</v>
      </c>
      <c r="G16" s="1">
        <f>D16*E16</f>
        <v>0</v>
      </c>
      <c r="H16" s="1"/>
    </row>
    <row r="17" spans="1:8" x14ac:dyDescent="0.25">
      <c r="A17" s="46"/>
      <c r="B17" s="1" t="s">
        <v>86</v>
      </c>
      <c r="C17" s="1">
        <v>15</v>
      </c>
      <c r="D17" s="1">
        <v>60</v>
      </c>
      <c r="E17" s="1">
        <v>15</v>
      </c>
      <c r="F17" s="31" t="s">
        <v>50</v>
      </c>
      <c r="G17" s="36">
        <f t="shared" ref="G17:G19" si="1">D17*E17</f>
        <v>900</v>
      </c>
      <c r="H17" s="1"/>
    </row>
    <row r="18" spans="1:8" x14ac:dyDescent="0.25">
      <c r="A18" s="46"/>
      <c r="B18" s="1" t="s">
        <v>87</v>
      </c>
      <c r="C18" s="1">
        <v>15</v>
      </c>
      <c r="D18" s="1">
        <v>48</v>
      </c>
      <c r="E18" s="1">
        <v>15</v>
      </c>
      <c r="F18" s="31" t="s">
        <v>50</v>
      </c>
      <c r="G18" s="36">
        <f t="shared" si="1"/>
        <v>720</v>
      </c>
      <c r="H18" s="1"/>
    </row>
    <row r="19" spans="1:8" x14ac:dyDescent="0.25">
      <c r="A19" s="46"/>
      <c r="B19" s="1" t="s">
        <v>88</v>
      </c>
      <c r="C19" s="1">
        <v>15</v>
      </c>
      <c r="D19" s="1">
        <v>52.8</v>
      </c>
      <c r="E19" s="3">
        <v>15</v>
      </c>
      <c r="F19" s="30" t="s">
        <v>50</v>
      </c>
      <c r="G19" s="36">
        <f t="shared" si="1"/>
        <v>792</v>
      </c>
      <c r="H19" s="1"/>
    </row>
    <row r="20" spans="1:8" x14ac:dyDescent="0.25">
      <c r="A20" s="46"/>
      <c r="B20" s="40" t="s">
        <v>7</v>
      </c>
      <c r="C20" s="41"/>
      <c r="D20" s="42"/>
      <c r="E20" s="3"/>
      <c r="F20" s="3"/>
      <c r="G20" s="15">
        <f>SUM(G16:G19)</f>
        <v>2412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89</v>
      </c>
      <c r="C22" s="1">
        <v>35</v>
      </c>
      <c r="D22" s="1">
        <v>78</v>
      </c>
      <c r="E22" s="1">
        <v>5.0999999999999996</v>
      </c>
      <c r="F22" s="1" t="s">
        <v>16</v>
      </c>
      <c r="G22" s="1">
        <f>D22*E22</f>
        <v>397.79999999999995</v>
      </c>
      <c r="H22" s="1" t="s">
        <v>28</v>
      </c>
    </row>
    <row r="23" spans="1:8" x14ac:dyDescent="0.25">
      <c r="A23" s="46"/>
      <c r="B23" s="1" t="s">
        <v>155</v>
      </c>
      <c r="C23" s="1"/>
      <c r="D23" s="1">
        <v>56</v>
      </c>
      <c r="E23" s="1">
        <v>1</v>
      </c>
      <c r="F23" s="1" t="s">
        <v>156</v>
      </c>
      <c r="G23" s="22">
        <f t="shared" ref="G23:G30" si="2">D23*E23</f>
        <v>56</v>
      </c>
      <c r="H23" s="1"/>
    </row>
    <row r="24" spans="1:8" x14ac:dyDescent="0.25">
      <c r="A24" s="46"/>
      <c r="B24" s="1" t="s">
        <v>157</v>
      </c>
      <c r="C24" s="1"/>
      <c r="D24" s="1">
        <v>101.4</v>
      </c>
      <c r="E24" s="1">
        <v>5</v>
      </c>
      <c r="F24" s="1" t="s">
        <v>141</v>
      </c>
      <c r="G24" s="22">
        <f t="shared" si="2"/>
        <v>507</v>
      </c>
      <c r="H24" s="1"/>
    </row>
    <row r="25" spans="1:8" x14ac:dyDescent="0.25">
      <c r="A25" s="46"/>
      <c r="B25" s="1" t="s">
        <v>160</v>
      </c>
      <c r="C25" s="1"/>
      <c r="D25" s="1">
        <v>637.79999999999995</v>
      </c>
      <c r="E25" s="1">
        <v>2</v>
      </c>
      <c r="F25" s="1" t="s">
        <v>141</v>
      </c>
      <c r="G25" s="22">
        <f t="shared" si="2"/>
        <v>1275.5999999999999</v>
      </c>
      <c r="H25" s="1"/>
    </row>
    <row r="26" spans="1:8" x14ac:dyDescent="0.25">
      <c r="A26" s="46"/>
      <c r="B26" s="22" t="s">
        <v>161</v>
      </c>
      <c r="C26" s="22"/>
      <c r="D26" s="22">
        <v>650</v>
      </c>
      <c r="E26" s="22">
        <v>1</v>
      </c>
      <c r="F26" s="23" t="s">
        <v>154</v>
      </c>
      <c r="G26" s="23">
        <f t="shared" si="2"/>
        <v>650</v>
      </c>
      <c r="H26" s="22"/>
    </row>
    <row r="27" spans="1:8" x14ac:dyDescent="0.25">
      <c r="A27" s="46"/>
      <c r="B27" s="22" t="s">
        <v>162</v>
      </c>
      <c r="C27" s="22"/>
      <c r="D27" s="22">
        <v>60</v>
      </c>
      <c r="E27" s="22">
        <v>1</v>
      </c>
      <c r="F27" s="23" t="s">
        <v>156</v>
      </c>
      <c r="G27" s="23">
        <f t="shared" si="2"/>
        <v>60</v>
      </c>
      <c r="H27" s="22"/>
    </row>
    <row r="28" spans="1:8" x14ac:dyDescent="0.25">
      <c r="A28" s="46"/>
      <c r="B28" s="36" t="s">
        <v>163</v>
      </c>
      <c r="C28" s="36"/>
      <c r="D28" s="36">
        <v>480</v>
      </c>
      <c r="E28" s="36">
        <v>1</v>
      </c>
      <c r="F28" s="35" t="s">
        <v>148</v>
      </c>
      <c r="G28" s="35">
        <f t="shared" si="2"/>
        <v>480</v>
      </c>
      <c r="H28" s="36"/>
    </row>
    <row r="29" spans="1:8" x14ac:dyDescent="0.25">
      <c r="A29" s="46"/>
      <c r="B29" s="36" t="s">
        <v>165</v>
      </c>
      <c r="C29" s="36"/>
      <c r="D29" s="36">
        <v>480</v>
      </c>
      <c r="E29" s="36">
        <v>1</v>
      </c>
      <c r="F29" s="35" t="s">
        <v>159</v>
      </c>
      <c r="G29" s="35">
        <f t="shared" si="2"/>
        <v>480</v>
      </c>
      <c r="H29" s="36"/>
    </row>
    <row r="30" spans="1:8" x14ac:dyDescent="0.25">
      <c r="A30" s="46"/>
      <c r="B30" s="36" t="s">
        <v>164</v>
      </c>
      <c r="C30" s="36"/>
      <c r="D30" s="36">
        <v>480</v>
      </c>
      <c r="E30" s="36">
        <v>1</v>
      </c>
      <c r="F30" s="35" t="s">
        <v>148</v>
      </c>
      <c r="G30" s="35">
        <f t="shared" si="2"/>
        <v>480</v>
      </c>
      <c r="H30" s="36"/>
    </row>
    <row r="31" spans="1:8" x14ac:dyDescent="0.25">
      <c r="A31" s="46"/>
      <c r="B31" s="40" t="s">
        <v>7</v>
      </c>
      <c r="C31" s="41"/>
      <c r="D31" s="42"/>
      <c r="E31" s="3"/>
      <c r="F31" s="3"/>
      <c r="G31" s="15">
        <f>SUM(G22:G30)</f>
        <v>4386.3999999999996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6" t="s">
        <v>82</v>
      </c>
      <c r="B33" s="1" t="s">
        <v>91</v>
      </c>
      <c r="C33" s="1">
        <v>1</v>
      </c>
      <c r="D33" s="1">
        <v>275</v>
      </c>
      <c r="E33" s="1">
        <v>1</v>
      </c>
      <c r="F33" s="11" t="s">
        <v>62</v>
      </c>
      <c r="G33" s="1">
        <f>D33*E33</f>
        <v>275</v>
      </c>
      <c r="H33" s="1"/>
    </row>
    <row r="34" spans="1:8" x14ac:dyDescent="0.25">
      <c r="A34" s="46"/>
      <c r="B34" s="31" t="s">
        <v>92</v>
      </c>
      <c r="C34" s="31">
        <v>8</v>
      </c>
      <c r="D34" s="31">
        <v>84</v>
      </c>
      <c r="E34" s="31">
        <v>23</v>
      </c>
      <c r="F34" s="31" t="s">
        <v>95</v>
      </c>
      <c r="G34" s="36">
        <f t="shared" ref="G34:G36" si="3">D34*E34</f>
        <v>1932</v>
      </c>
      <c r="H34" s="31"/>
    </row>
    <row r="35" spans="1:8" x14ac:dyDescent="0.25">
      <c r="A35" s="46"/>
      <c r="B35" s="31" t="s">
        <v>93</v>
      </c>
      <c r="C35" s="31">
        <v>1</v>
      </c>
      <c r="D35" s="31">
        <v>187</v>
      </c>
      <c r="E35" s="31">
        <v>1</v>
      </c>
      <c r="F35" s="31" t="s">
        <v>95</v>
      </c>
      <c r="G35" s="36">
        <f t="shared" si="3"/>
        <v>187</v>
      </c>
      <c r="H35" s="31"/>
    </row>
    <row r="36" spans="1:8" x14ac:dyDescent="0.25">
      <c r="A36" s="46"/>
      <c r="B36" s="1" t="s">
        <v>94</v>
      </c>
      <c r="C36" s="1">
        <v>2</v>
      </c>
      <c r="D36" s="1">
        <v>270</v>
      </c>
      <c r="E36" s="1">
        <v>2</v>
      </c>
      <c r="F36" s="1" t="s">
        <v>96</v>
      </c>
      <c r="G36" s="36">
        <f t="shared" si="3"/>
        <v>540</v>
      </c>
      <c r="H36" s="1"/>
    </row>
    <row r="37" spans="1:8" x14ac:dyDescent="0.25">
      <c r="A37" s="46"/>
      <c r="B37" s="1"/>
      <c r="C37" s="1"/>
      <c r="D37" s="1"/>
      <c r="E37" s="1"/>
      <c r="F37" s="1"/>
      <c r="G37" s="1"/>
      <c r="H37" s="1"/>
    </row>
    <row r="38" spans="1:8" x14ac:dyDescent="0.25">
      <c r="A38" s="46"/>
      <c r="B38" s="40" t="s">
        <v>15</v>
      </c>
      <c r="C38" s="41"/>
      <c r="D38" s="42"/>
      <c r="E38" s="3"/>
      <c r="F38" s="3"/>
      <c r="G38" s="13">
        <f>SUM(G33:G37)</f>
        <v>2934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7"/>
      <c r="B40" s="1" t="s">
        <v>140</v>
      </c>
      <c r="C40" s="1"/>
      <c r="D40" s="1">
        <v>26.52</v>
      </c>
      <c r="E40" s="1">
        <v>75</v>
      </c>
      <c r="F40" s="1" t="s">
        <v>20</v>
      </c>
      <c r="G40" s="1">
        <f>D40*E40</f>
        <v>1989</v>
      </c>
      <c r="H40" s="1"/>
    </row>
    <row r="41" spans="1:8" x14ac:dyDescent="0.25">
      <c r="A41" s="48"/>
      <c r="B41" s="1" t="s">
        <v>172</v>
      </c>
      <c r="C41" s="1"/>
      <c r="D41" s="1"/>
      <c r="E41" s="1"/>
      <c r="F41" s="22" t="s">
        <v>22</v>
      </c>
      <c r="G41" s="38">
        <f>D41*E41</f>
        <v>0</v>
      </c>
      <c r="H41" s="1"/>
    </row>
    <row r="42" spans="1:8" x14ac:dyDescent="0.25">
      <c r="A42" s="49"/>
      <c r="B42" s="40" t="s">
        <v>7</v>
      </c>
      <c r="C42" s="41"/>
      <c r="D42" s="42"/>
      <c r="E42" s="3"/>
      <c r="F42" s="3"/>
      <c r="G42" s="13">
        <f>SUM(G40:G41)</f>
        <v>1989</v>
      </c>
      <c r="H42" s="5"/>
    </row>
    <row r="43" spans="1:8" x14ac:dyDescent="0.25">
      <c r="A43" s="6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7"/>
      <c r="B44" s="1" t="s">
        <v>146</v>
      </c>
      <c r="C44" s="1"/>
      <c r="D44" s="1">
        <v>630</v>
      </c>
      <c r="E44" s="1">
        <v>1</v>
      </c>
      <c r="F44" s="11" t="s">
        <v>145</v>
      </c>
      <c r="G44" s="1">
        <f>D44*E44</f>
        <v>630</v>
      </c>
      <c r="H44" s="1"/>
    </row>
    <row r="45" spans="1:8" x14ac:dyDescent="0.25">
      <c r="A45" s="48"/>
      <c r="B45" s="1" t="s">
        <v>147</v>
      </c>
      <c r="C45" s="1"/>
      <c r="D45" s="1">
        <v>240</v>
      </c>
      <c r="E45" s="1">
        <v>1</v>
      </c>
      <c r="F45" s="11" t="s">
        <v>148</v>
      </c>
      <c r="G45" s="22">
        <f t="shared" ref="G45:G48" si="4">D45*E45</f>
        <v>240</v>
      </c>
      <c r="H45" s="1"/>
    </row>
    <row r="46" spans="1:8" x14ac:dyDescent="0.25">
      <c r="A46" s="48"/>
      <c r="B46" s="1" t="s">
        <v>149</v>
      </c>
      <c r="C46" s="1"/>
      <c r="D46" s="1">
        <v>37</v>
      </c>
      <c r="E46" s="1">
        <v>20</v>
      </c>
      <c r="F46" s="11" t="s">
        <v>150</v>
      </c>
      <c r="G46" s="22">
        <f t="shared" si="4"/>
        <v>740</v>
      </c>
      <c r="H46" s="1"/>
    </row>
    <row r="47" spans="1:8" x14ac:dyDescent="0.25">
      <c r="A47" s="48"/>
      <c r="B47" s="1" t="s">
        <v>151</v>
      </c>
      <c r="C47" s="1"/>
      <c r="D47" s="1">
        <v>844</v>
      </c>
      <c r="E47" s="1">
        <v>1</v>
      </c>
      <c r="F47" s="11" t="s">
        <v>152</v>
      </c>
      <c r="G47" s="22">
        <f t="shared" si="4"/>
        <v>844</v>
      </c>
      <c r="H47" s="1"/>
    </row>
    <row r="48" spans="1:8" x14ac:dyDescent="0.25">
      <c r="A48" s="48"/>
      <c r="B48" s="11" t="s">
        <v>153</v>
      </c>
      <c r="C48" s="11"/>
      <c r="D48" s="12">
        <v>1236</v>
      </c>
      <c r="E48" s="12">
        <v>1</v>
      </c>
      <c r="F48" s="12" t="s">
        <v>154</v>
      </c>
      <c r="G48" s="22">
        <f t="shared" si="4"/>
        <v>1236</v>
      </c>
      <c r="H48" s="11"/>
    </row>
    <row r="49" spans="1:8" x14ac:dyDescent="0.25">
      <c r="A49" s="49"/>
      <c r="B49" s="40" t="s">
        <v>7</v>
      </c>
      <c r="C49" s="41"/>
      <c r="D49" s="42"/>
      <c r="E49" s="3"/>
      <c r="F49" s="3"/>
      <c r="G49" s="13">
        <f>SUM(G44:G48)</f>
        <v>3690</v>
      </c>
      <c r="H49" s="1"/>
    </row>
    <row r="50" spans="1:8" x14ac:dyDescent="0.25">
      <c r="A50" s="11"/>
      <c r="B50" s="50" t="s">
        <v>14</v>
      </c>
      <c r="C50" s="51"/>
      <c r="D50" s="52"/>
      <c r="E50" s="7"/>
      <c r="F50" s="7"/>
      <c r="G50" s="8">
        <f>G49+G42+G38+G20+G14+G7+G31</f>
        <v>29671.4</v>
      </c>
      <c r="H50" s="1"/>
    </row>
  </sheetData>
  <mergeCells count="16">
    <mergeCell ref="B49:D49"/>
    <mergeCell ref="B50:D50"/>
    <mergeCell ref="A22:A31"/>
    <mergeCell ref="B31:D31"/>
    <mergeCell ref="A33:A38"/>
    <mergeCell ref="B38:D38"/>
    <mergeCell ref="A40:A42"/>
    <mergeCell ref="B42:D42"/>
    <mergeCell ref="A44:A4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workbookViewId="0">
      <selection activeCell="G44" sqref="G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42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98</v>
      </c>
      <c r="B3" s="1" t="s">
        <v>113</v>
      </c>
      <c r="C3" s="1">
        <v>50</v>
      </c>
      <c r="D3" s="1">
        <v>144</v>
      </c>
      <c r="E3" s="1">
        <v>50</v>
      </c>
      <c r="F3" s="31" t="s">
        <v>50</v>
      </c>
      <c r="G3" s="2">
        <f>D3*E3</f>
        <v>7200</v>
      </c>
      <c r="H3" s="1"/>
    </row>
    <row r="4" spans="1:8" x14ac:dyDescent="0.25">
      <c r="A4" s="46"/>
      <c r="B4" s="1" t="s">
        <v>114</v>
      </c>
      <c r="C4" s="1">
        <v>2</v>
      </c>
      <c r="D4" s="1">
        <v>210</v>
      </c>
      <c r="E4" s="1">
        <v>2</v>
      </c>
      <c r="F4" s="1" t="s">
        <v>116</v>
      </c>
      <c r="G4" s="2">
        <f t="shared" ref="G4:G5" si="0">D4*E4</f>
        <v>420</v>
      </c>
      <c r="H4" s="1"/>
    </row>
    <row r="5" spans="1:8" x14ac:dyDescent="0.25">
      <c r="A5" s="46"/>
      <c r="B5" s="1" t="s">
        <v>115</v>
      </c>
      <c r="C5" s="1">
        <v>2</v>
      </c>
      <c r="D5" s="1">
        <v>587</v>
      </c>
      <c r="E5" s="1">
        <v>2</v>
      </c>
      <c r="F5" s="1" t="s">
        <v>62</v>
      </c>
      <c r="G5" s="2">
        <f t="shared" si="0"/>
        <v>1174</v>
      </c>
      <c r="H5" s="1"/>
    </row>
    <row r="6" spans="1:8" x14ac:dyDescent="0.25">
      <c r="A6" s="46"/>
      <c r="B6" s="17"/>
      <c r="C6" s="1"/>
      <c r="D6" s="1"/>
      <c r="E6" s="3"/>
      <c r="F6" s="3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3">
        <f>SUM(G3:G6)</f>
        <v>8794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99</v>
      </c>
      <c r="B9" s="17" t="s">
        <v>92</v>
      </c>
      <c r="C9" s="1">
        <v>1</v>
      </c>
      <c r="D9" s="1">
        <v>84</v>
      </c>
      <c r="E9" s="1">
        <v>15</v>
      </c>
      <c r="F9" s="11" t="s">
        <v>95</v>
      </c>
      <c r="G9" s="1">
        <f>D9*E9</f>
        <v>1260</v>
      </c>
      <c r="H9" s="1"/>
    </row>
    <row r="10" spans="1:8" x14ac:dyDescent="0.25">
      <c r="A10" s="46"/>
      <c r="B10" s="1" t="s">
        <v>102</v>
      </c>
      <c r="C10" s="1">
        <v>1</v>
      </c>
      <c r="D10" s="1">
        <v>100</v>
      </c>
      <c r="E10" s="1">
        <v>12</v>
      </c>
      <c r="F10" s="11" t="s">
        <v>95</v>
      </c>
      <c r="G10" s="37">
        <f t="shared" ref="G10:G11" si="1">D10*E10</f>
        <v>1200</v>
      </c>
      <c r="H10" s="1"/>
    </row>
    <row r="11" spans="1:8" x14ac:dyDescent="0.25">
      <c r="A11" s="46"/>
      <c r="B11" s="1" t="s">
        <v>103</v>
      </c>
      <c r="C11" s="1">
        <v>1</v>
      </c>
      <c r="D11" s="1">
        <v>540</v>
      </c>
      <c r="E11" s="1">
        <v>1</v>
      </c>
      <c r="F11" s="11" t="s">
        <v>95</v>
      </c>
      <c r="G11" s="37">
        <f t="shared" si="1"/>
        <v>540</v>
      </c>
      <c r="H11" s="1"/>
    </row>
    <row r="12" spans="1:8" x14ac:dyDescent="0.25">
      <c r="A12" s="46"/>
      <c r="B12" s="1"/>
      <c r="C12" s="1"/>
      <c r="D12" s="1"/>
      <c r="E12" s="1"/>
      <c r="F12" s="1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3">
        <f>SUM(G9:G13)</f>
        <v>3000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100</v>
      </c>
      <c r="B16" s="1" t="s">
        <v>104</v>
      </c>
      <c r="C16" s="1">
        <v>2</v>
      </c>
      <c r="D16" s="1">
        <v>325</v>
      </c>
      <c r="E16" s="1">
        <v>2</v>
      </c>
      <c r="F16" s="1" t="s">
        <v>96</v>
      </c>
      <c r="G16" s="1">
        <f>D16*E16</f>
        <v>650</v>
      </c>
      <c r="H16" s="1"/>
    </row>
    <row r="17" spans="1:8" x14ac:dyDescent="0.25">
      <c r="A17" s="46"/>
      <c r="B17" s="1" t="s">
        <v>105</v>
      </c>
      <c r="C17" s="1">
        <v>2</v>
      </c>
      <c r="D17" s="1">
        <v>158.1</v>
      </c>
      <c r="E17" s="1">
        <v>2</v>
      </c>
      <c r="F17" s="31" t="s">
        <v>50</v>
      </c>
      <c r="G17" s="37">
        <f t="shared" ref="G17:G21" si="2">D17*E17</f>
        <v>316.2</v>
      </c>
      <c r="H17" s="1"/>
    </row>
    <row r="18" spans="1:8" x14ac:dyDescent="0.25">
      <c r="A18" s="46"/>
      <c r="B18" s="31" t="s">
        <v>59</v>
      </c>
      <c r="C18" s="31">
        <v>1</v>
      </c>
      <c r="D18" s="31">
        <v>96.9</v>
      </c>
      <c r="E18" s="31">
        <v>1</v>
      </c>
      <c r="F18" s="31" t="s">
        <v>50</v>
      </c>
      <c r="G18" s="37">
        <f t="shared" si="2"/>
        <v>96.9</v>
      </c>
      <c r="H18" s="31"/>
    </row>
    <row r="19" spans="1:8" x14ac:dyDescent="0.25">
      <c r="A19" s="46"/>
      <c r="B19" s="31" t="s">
        <v>106</v>
      </c>
      <c r="C19" s="31">
        <v>60</v>
      </c>
      <c r="D19" s="31">
        <v>11</v>
      </c>
      <c r="E19" s="31">
        <v>60</v>
      </c>
      <c r="F19" s="31" t="s">
        <v>112</v>
      </c>
      <c r="G19" s="37">
        <f t="shared" si="2"/>
        <v>660</v>
      </c>
      <c r="H19" s="31"/>
    </row>
    <row r="20" spans="1:8" x14ac:dyDescent="0.25">
      <c r="A20" s="46"/>
      <c r="B20" s="31" t="s">
        <v>107</v>
      </c>
      <c r="C20" s="31">
        <v>3</v>
      </c>
      <c r="D20" s="31">
        <v>21</v>
      </c>
      <c r="E20" s="31">
        <v>3</v>
      </c>
      <c r="F20" s="31" t="s">
        <v>50</v>
      </c>
      <c r="G20" s="37">
        <f t="shared" si="2"/>
        <v>63</v>
      </c>
      <c r="H20" s="31"/>
    </row>
    <row r="21" spans="1:8" x14ac:dyDescent="0.25">
      <c r="A21" s="46"/>
      <c r="B21" s="31" t="s">
        <v>108</v>
      </c>
      <c r="C21" s="31">
        <v>15</v>
      </c>
      <c r="D21" s="31">
        <v>120</v>
      </c>
      <c r="E21" s="31">
        <v>15</v>
      </c>
      <c r="F21" s="31" t="s">
        <v>50</v>
      </c>
      <c r="G21" s="37">
        <f t="shared" si="2"/>
        <v>1800</v>
      </c>
      <c r="H21" s="31"/>
    </row>
    <row r="22" spans="1:8" x14ac:dyDescent="0.25">
      <c r="A22" s="4" t="s">
        <v>10</v>
      </c>
      <c r="B22" s="40" t="s">
        <v>7</v>
      </c>
      <c r="C22" s="41"/>
      <c r="D22" s="42"/>
      <c r="E22" s="3"/>
      <c r="F22" s="3"/>
      <c r="G22" s="13">
        <f>SUM(G16:G21)</f>
        <v>3586.1000000000004</v>
      </c>
      <c r="H22" s="1"/>
    </row>
    <row r="23" spans="1:8" x14ac:dyDescent="0.25">
      <c r="A23" s="46"/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/>
      <c r="C24" s="1"/>
      <c r="D24" s="1"/>
      <c r="E24" s="1"/>
      <c r="F24" s="11"/>
      <c r="G24" s="1"/>
      <c r="H24" s="1"/>
    </row>
    <row r="25" spans="1:8" x14ac:dyDescent="0.25">
      <c r="A25" s="46"/>
      <c r="B25" s="1"/>
      <c r="C25" s="1"/>
      <c r="D25" s="1"/>
      <c r="E25" s="1"/>
      <c r="F25" s="1"/>
      <c r="G25" s="1"/>
      <c r="H25" s="1" t="s">
        <v>29</v>
      </c>
    </row>
    <row r="26" spans="1:8" x14ac:dyDescent="0.25">
      <c r="A26" s="46"/>
      <c r="B26" s="1"/>
      <c r="C26" s="1"/>
      <c r="D26" s="1"/>
      <c r="E26" s="1"/>
      <c r="F26" s="1"/>
      <c r="G26" s="1"/>
      <c r="H26" s="1"/>
    </row>
    <row r="27" spans="1:8" x14ac:dyDescent="0.25">
      <c r="A27" s="46"/>
      <c r="B27" s="1"/>
      <c r="C27" s="1"/>
      <c r="D27" s="1"/>
      <c r="E27" s="1"/>
      <c r="F27" s="1"/>
      <c r="G27" s="1"/>
      <c r="H27" s="1"/>
    </row>
    <row r="28" spans="1:8" x14ac:dyDescent="0.25">
      <c r="A28" s="1" t="s">
        <v>11</v>
      </c>
      <c r="B28" s="40" t="s">
        <v>7</v>
      </c>
      <c r="C28" s="41"/>
      <c r="D28" s="42"/>
      <c r="E28" s="3"/>
      <c r="F28" s="3"/>
      <c r="G28" s="3"/>
      <c r="H28" s="1"/>
    </row>
    <row r="29" spans="1:8" x14ac:dyDescent="0.25">
      <c r="A29" s="46" t="s">
        <v>101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6"/>
      <c r="B30" s="25" t="s">
        <v>109</v>
      </c>
      <c r="C30" s="25">
        <v>30</v>
      </c>
      <c r="D30" s="25">
        <v>120</v>
      </c>
      <c r="E30" s="25">
        <v>3</v>
      </c>
      <c r="F30" t="s">
        <v>168</v>
      </c>
      <c r="G30" s="1">
        <f>D30*E30</f>
        <v>360</v>
      </c>
      <c r="H30" s="1"/>
    </row>
    <row r="31" spans="1:8" x14ac:dyDescent="0.25">
      <c r="A31" s="46"/>
      <c r="B31" s="1" t="s">
        <v>110</v>
      </c>
      <c r="C31" s="1">
        <v>5</v>
      </c>
      <c r="D31" s="1">
        <v>30</v>
      </c>
      <c r="E31" s="1">
        <v>5</v>
      </c>
      <c r="F31" s="1" t="s">
        <v>95</v>
      </c>
      <c r="G31" s="37">
        <f>D31*E31</f>
        <v>150</v>
      </c>
      <c r="H31" s="1"/>
    </row>
    <row r="32" spans="1:8" x14ac:dyDescent="0.25">
      <c r="A32" s="46"/>
      <c r="B32" s="1" t="s">
        <v>111</v>
      </c>
      <c r="C32" s="1"/>
      <c r="D32" s="1"/>
      <c r="E32" s="1"/>
      <c r="F32" s="1"/>
      <c r="G32" s="1"/>
      <c r="H32" s="1" t="s">
        <v>90</v>
      </c>
    </row>
    <row r="33" spans="1:8" x14ac:dyDescent="0.25">
      <c r="A33" s="1" t="s">
        <v>12</v>
      </c>
      <c r="B33" s="40"/>
      <c r="C33" s="41"/>
      <c r="D33" s="42"/>
      <c r="E33" s="3"/>
      <c r="F33" s="3"/>
      <c r="G33" s="15">
        <f>SUM(G30:G32)</f>
        <v>510</v>
      </c>
      <c r="H33" s="1"/>
    </row>
    <row r="34" spans="1:8" x14ac:dyDescent="0.25">
      <c r="A34" s="47"/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8"/>
      <c r="B35" s="1" t="s">
        <v>171</v>
      </c>
      <c r="C35" s="1"/>
      <c r="D35" s="1">
        <v>27.9</v>
      </c>
      <c r="E35" s="1">
        <v>75</v>
      </c>
      <c r="F35" s="1" t="s">
        <v>170</v>
      </c>
      <c r="G35" s="2">
        <f>D35*E35</f>
        <v>2092.5</v>
      </c>
      <c r="H35" s="1"/>
    </row>
    <row r="36" spans="1:8" x14ac:dyDescent="0.25">
      <c r="A36" s="48"/>
      <c r="B36" s="1" t="s">
        <v>173</v>
      </c>
      <c r="C36" s="1"/>
      <c r="D36" s="1">
        <v>26.88</v>
      </c>
      <c r="E36" s="1"/>
      <c r="F36" s="39" t="s">
        <v>16</v>
      </c>
      <c r="G36" s="53"/>
      <c r="H36" s="1"/>
    </row>
    <row r="37" spans="1:8" x14ac:dyDescent="0.25">
      <c r="A37" s="49"/>
      <c r="B37" s="40" t="s">
        <v>7</v>
      </c>
      <c r="C37" s="41"/>
      <c r="D37" s="42"/>
      <c r="E37" s="3"/>
      <c r="F37" s="3"/>
      <c r="G37" s="13">
        <f>SUM(G35:G36)</f>
        <v>2092.5</v>
      </c>
      <c r="H37" s="5"/>
    </row>
    <row r="38" spans="1:8" x14ac:dyDescent="0.25">
      <c r="A38" s="6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6"/>
      <c r="B39" s="1" t="s">
        <v>166</v>
      </c>
      <c r="C39" s="1"/>
      <c r="D39" s="1">
        <v>264</v>
      </c>
      <c r="E39" s="1">
        <v>1</v>
      </c>
      <c r="F39" s="1" t="s">
        <v>167</v>
      </c>
      <c r="G39" s="1">
        <f>D39*E39</f>
        <v>264</v>
      </c>
      <c r="H39" s="1"/>
    </row>
    <row r="40" spans="1:8" x14ac:dyDescent="0.25">
      <c r="A40" s="46"/>
      <c r="B40" s="1" t="s">
        <v>169</v>
      </c>
      <c r="C40" s="1"/>
      <c r="D40" s="1">
        <v>22.8</v>
      </c>
      <c r="E40" s="1">
        <v>8</v>
      </c>
      <c r="F40" s="1" t="s">
        <v>170</v>
      </c>
      <c r="G40" s="37">
        <f>D40*E40</f>
        <v>182.4</v>
      </c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40" t="s">
        <v>7</v>
      </c>
      <c r="C43" s="41"/>
      <c r="D43" s="42"/>
      <c r="E43" s="3"/>
      <c r="F43" s="3"/>
      <c r="G43" s="13">
        <f>SUM(G39:G42)</f>
        <v>446.4</v>
      </c>
      <c r="H43" s="1"/>
    </row>
    <row r="44" spans="1:8" x14ac:dyDescent="0.25">
      <c r="A44" s="1"/>
      <c r="B44" s="50" t="s">
        <v>14</v>
      </c>
      <c r="C44" s="51"/>
      <c r="D44" s="52"/>
      <c r="E44" s="7"/>
      <c r="F44" s="7"/>
      <c r="G44" s="8">
        <f>G43+G37+G33+G22+G14+G7</f>
        <v>18429</v>
      </c>
      <c r="H44" s="1"/>
    </row>
  </sheetData>
  <mergeCells count="16">
    <mergeCell ref="A39:A43"/>
    <mergeCell ref="B43:D43"/>
    <mergeCell ref="B44:D44"/>
    <mergeCell ref="A23:A27"/>
    <mergeCell ref="B28:D28"/>
    <mergeCell ref="A29:A32"/>
    <mergeCell ref="B33:D33"/>
    <mergeCell ref="B37:D37"/>
    <mergeCell ref="A34:A37"/>
    <mergeCell ref="A16:A21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abSelected="1" topLeftCell="A42" workbookViewId="0">
      <selection activeCell="H59" sqref="A1:H5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43</v>
      </c>
      <c r="B1" s="46"/>
      <c r="C1" s="46"/>
      <c r="D1" s="46"/>
      <c r="E1" s="46"/>
      <c r="F1" s="46"/>
      <c r="G1" s="46"/>
      <c r="H1" s="46"/>
    </row>
    <row r="2" spans="1:8" x14ac:dyDescent="0.25">
      <c r="A2" s="39" t="s">
        <v>0</v>
      </c>
      <c r="B2" s="39" t="s">
        <v>1</v>
      </c>
      <c r="C2" s="39" t="s">
        <v>2</v>
      </c>
      <c r="D2" s="39" t="s">
        <v>3</v>
      </c>
      <c r="E2" s="39" t="s">
        <v>4</v>
      </c>
      <c r="F2" s="39"/>
      <c r="G2" s="39" t="s">
        <v>5</v>
      </c>
      <c r="H2" s="39" t="s">
        <v>6</v>
      </c>
    </row>
    <row r="3" spans="1:8" x14ac:dyDescent="0.25">
      <c r="A3" s="46" t="s">
        <v>117</v>
      </c>
      <c r="B3" s="39" t="s">
        <v>125</v>
      </c>
      <c r="C3" s="39">
        <v>250</v>
      </c>
      <c r="D3" s="39">
        <v>99</v>
      </c>
      <c r="E3" s="39">
        <v>59.85</v>
      </c>
      <c r="F3" s="39" t="s">
        <v>16</v>
      </c>
      <c r="G3" s="2">
        <f>D3*E3</f>
        <v>5925.1500000000005</v>
      </c>
      <c r="H3" s="39"/>
    </row>
    <row r="4" spans="1:8" x14ac:dyDescent="0.25">
      <c r="A4" s="46"/>
      <c r="B4" s="39"/>
      <c r="C4" s="39"/>
      <c r="D4" s="39"/>
      <c r="E4" s="39"/>
      <c r="F4" s="39"/>
      <c r="G4" s="39"/>
      <c r="H4" s="39"/>
    </row>
    <row r="5" spans="1:8" x14ac:dyDescent="0.25">
      <c r="A5" s="46"/>
      <c r="B5" s="39"/>
      <c r="C5" s="39"/>
      <c r="D5" s="39"/>
      <c r="E5" s="39"/>
      <c r="F5" s="39"/>
      <c r="G5" s="39"/>
      <c r="H5" s="39"/>
    </row>
    <row r="6" spans="1:8" x14ac:dyDescent="0.25">
      <c r="A6" s="46"/>
      <c r="B6" s="39"/>
      <c r="C6" s="39"/>
      <c r="D6" s="39"/>
      <c r="E6" s="39"/>
      <c r="F6" s="39"/>
      <c r="G6" s="39"/>
      <c r="H6" s="39"/>
    </row>
    <row r="7" spans="1:8" x14ac:dyDescent="0.25">
      <c r="A7" s="46"/>
      <c r="B7" s="39"/>
      <c r="C7" s="39"/>
      <c r="D7" s="39"/>
      <c r="E7" s="39"/>
      <c r="F7" s="39"/>
      <c r="G7" s="39"/>
      <c r="H7" s="39"/>
    </row>
    <row r="8" spans="1:8" x14ac:dyDescent="0.25">
      <c r="A8" s="46"/>
      <c r="B8" s="46" t="s">
        <v>7</v>
      </c>
      <c r="C8" s="46"/>
      <c r="D8" s="46"/>
      <c r="E8" s="39"/>
      <c r="F8" s="39"/>
      <c r="G8" s="14">
        <f>SUM(G3:G7)</f>
        <v>5925.1500000000005</v>
      </c>
      <c r="H8" s="39"/>
    </row>
    <row r="9" spans="1:8" x14ac:dyDescent="0.25">
      <c r="A9" s="39" t="s">
        <v>8</v>
      </c>
      <c r="B9" s="39" t="s">
        <v>1</v>
      </c>
      <c r="C9" s="39" t="s">
        <v>2</v>
      </c>
      <c r="D9" s="39" t="s">
        <v>3</v>
      </c>
      <c r="E9" s="39" t="s">
        <v>4</v>
      </c>
      <c r="F9" s="39"/>
      <c r="G9" s="39" t="s">
        <v>5</v>
      </c>
      <c r="H9" s="39" t="s">
        <v>6</v>
      </c>
    </row>
    <row r="10" spans="1:8" x14ac:dyDescent="0.25">
      <c r="A10" s="46" t="s">
        <v>118</v>
      </c>
      <c r="B10" s="39" t="s">
        <v>53</v>
      </c>
      <c r="C10" s="39">
        <v>20</v>
      </c>
      <c r="D10" s="39">
        <v>22.44</v>
      </c>
      <c r="E10" s="39">
        <v>20</v>
      </c>
      <c r="F10" s="39" t="s">
        <v>50</v>
      </c>
      <c r="G10" s="39">
        <f>D10*E10</f>
        <v>448.8</v>
      </c>
      <c r="H10" s="39"/>
    </row>
    <row r="11" spans="1:8" x14ac:dyDescent="0.25">
      <c r="A11" s="46"/>
      <c r="B11" s="39" t="s">
        <v>126</v>
      </c>
      <c r="C11" s="39">
        <v>1</v>
      </c>
      <c r="D11" s="39">
        <v>38.4</v>
      </c>
      <c r="E11" s="39">
        <v>20</v>
      </c>
      <c r="F11" s="39" t="s">
        <v>16</v>
      </c>
      <c r="G11" s="39">
        <f>D11*E11</f>
        <v>768</v>
      </c>
      <c r="H11" s="39"/>
    </row>
    <row r="12" spans="1:8" x14ac:dyDescent="0.25">
      <c r="A12" s="46"/>
      <c r="B12" s="39"/>
      <c r="C12" s="39"/>
      <c r="D12" s="39"/>
      <c r="E12" s="39"/>
      <c r="F12" s="39"/>
      <c r="G12" s="39"/>
      <c r="H12" s="39"/>
    </row>
    <row r="13" spans="1:8" x14ac:dyDescent="0.25">
      <c r="A13" s="46"/>
      <c r="B13" s="39"/>
      <c r="C13" s="39"/>
      <c r="D13" s="39"/>
      <c r="E13" s="39"/>
      <c r="F13" s="39"/>
      <c r="G13" s="39"/>
      <c r="H13" s="39"/>
    </row>
    <row r="14" spans="1:8" x14ac:dyDescent="0.25">
      <c r="A14" s="46"/>
      <c r="B14" s="39"/>
      <c r="C14" s="39"/>
      <c r="D14" s="39"/>
      <c r="E14" s="39"/>
      <c r="F14" s="39"/>
      <c r="G14" s="39"/>
      <c r="H14" s="39"/>
    </row>
    <row r="15" spans="1:8" x14ac:dyDescent="0.25">
      <c r="A15" s="46"/>
      <c r="B15" s="20"/>
      <c r="C15" s="39"/>
      <c r="D15" s="39"/>
      <c r="E15" s="39"/>
      <c r="F15" s="39"/>
      <c r="G15" s="39"/>
      <c r="H15" s="39"/>
    </row>
    <row r="16" spans="1:8" x14ac:dyDescent="0.25">
      <c r="A16" s="46"/>
      <c r="B16" s="46" t="s">
        <v>7</v>
      </c>
      <c r="C16" s="46"/>
      <c r="D16" s="46"/>
      <c r="E16" s="39"/>
      <c r="F16" s="39"/>
      <c r="G16" s="14">
        <f>SUM(G11:G15)</f>
        <v>768</v>
      </c>
      <c r="H16" s="39"/>
    </row>
    <row r="17" spans="1:8" x14ac:dyDescent="0.25">
      <c r="A17" s="39" t="s">
        <v>9</v>
      </c>
      <c r="B17" s="39" t="s">
        <v>1</v>
      </c>
      <c r="C17" s="39" t="s">
        <v>2</v>
      </c>
      <c r="D17" s="39" t="s">
        <v>3</v>
      </c>
      <c r="E17" s="39" t="s">
        <v>4</v>
      </c>
      <c r="F17" s="39"/>
      <c r="G17" s="39" t="s">
        <v>5</v>
      </c>
      <c r="H17" s="39" t="s">
        <v>6</v>
      </c>
    </row>
    <row r="18" spans="1:8" x14ac:dyDescent="0.25">
      <c r="A18" s="46" t="s">
        <v>119</v>
      </c>
      <c r="B18" s="39" t="s">
        <v>123</v>
      </c>
      <c r="C18" s="39">
        <v>25</v>
      </c>
      <c r="D18" s="39">
        <v>77.52</v>
      </c>
      <c r="E18" s="39">
        <v>25</v>
      </c>
      <c r="F18" s="39" t="s">
        <v>50</v>
      </c>
      <c r="G18" s="39">
        <f>D18*E18</f>
        <v>1938</v>
      </c>
      <c r="H18" s="39"/>
    </row>
    <row r="19" spans="1:8" x14ac:dyDescent="0.25">
      <c r="A19" s="46"/>
      <c r="B19" s="39" t="s">
        <v>124</v>
      </c>
      <c r="C19" s="39">
        <v>15</v>
      </c>
      <c r="D19" s="39">
        <v>141</v>
      </c>
      <c r="E19" s="39">
        <v>15</v>
      </c>
      <c r="F19" s="39" t="s">
        <v>50</v>
      </c>
      <c r="G19" s="39">
        <f t="shared" ref="G19:G20" si="0">D19*E19</f>
        <v>2115</v>
      </c>
      <c r="H19" s="39"/>
    </row>
    <row r="20" spans="1:8" x14ac:dyDescent="0.25">
      <c r="A20" s="46"/>
      <c r="B20" s="39" t="s">
        <v>60</v>
      </c>
      <c r="C20" s="39">
        <v>3</v>
      </c>
      <c r="D20" s="39">
        <v>21.66</v>
      </c>
      <c r="E20" s="39">
        <v>3</v>
      </c>
      <c r="F20" s="39" t="s">
        <v>50</v>
      </c>
      <c r="G20" s="39">
        <f t="shared" si="0"/>
        <v>64.98</v>
      </c>
      <c r="H20" s="39"/>
    </row>
    <row r="21" spans="1:8" x14ac:dyDescent="0.25">
      <c r="A21" s="46"/>
      <c r="B21" s="39"/>
      <c r="C21" s="39"/>
      <c r="D21" s="39"/>
      <c r="E21" s="39"/>
      <c r="F21" s="39"/>
      <c r="G21" s="39"/>
      <c r="H21" s="39"/>
    </row>
    <row r="22" spans="1:8" x14ac:dyDescent="0.25">
      <c r="A22" s="46"/>
      <c r="B22" s="46" t="s">
        <v>7</v>
      </c>
      <c r="C22" s="46"/>
      <c r="D22" s="46"/>
      <c r="E22" s="39"/>
      <c r="F22" s="39"/>
      <c r="G22" s="14">
        <f>SUM(G18:G21)</f>
        <v>4117.9799999999996</v>
      </c>
      <c r="H22" s="39"/>
    </row>
    <row r="23" spans="1:8" x14ac:dyDescent="0.25">
      <c r="A23" s="4" t="s">
        <v>10</v>
      </c>
      <c r="B23" s="39" t="s">
        <v>1</v>
      </c>
      <c r="C23" s="39" t="s">
        <v>2</v>
      </c>
      <c r="D23" s="39" t="s">
        <v>3</v>
      </c>
      <c r="E23" s="39" t="s">
        <v>4</v>
      </c>
      <c r="F23" s="39"/>
      <c r="G23" s="39" t="s">
        <v>5</v>
      </c>
      <c r="H23" s="39" t="s">
        <v>6</v>
      </c>
    </row>
    <row r="24" spans="1:8" x14ac:dyDescent="0.25">
      <c r="A24" s="55"/>
      <c r="B24" s="20" t="s">
        <v>127</v>
      </c>
      <c r="C24" s="39">
        <v>2</v>
      </c>
      <c r="D24" s="39"/>
      <c r="E24" s="39"/>
      <c r="F24" s="39" t="s">
        <v>95</v>
      </c>
      <c r="G24" s="39">
        <f>D24*E24</f>
        <v>0</v>
      </c>
      <c r="H24" s="39" t="s">
        <v>19</v>
      </c>
    </row>
    <row r="25" spans="1:8" x14ac:dyDescent="0.25">
      <c r="A25" s="55"/>
      <c r="B25" s="39" t="s">
        <v>128</v>
      </c>
      <c r="C25" s="39" t="s">
        <v>130</v>
      </c>
      <c r="D25" s="39">
        <v>135</v>
      </c>
      <c r="E25" s="39">
        <v>0.5</v>
      </c>
      <c r="F25" s="39" t="s">
        <v>50</v>
      </c>
      <c r="G25" s="39">
        <f t="shared" ref="G25:G30" si="1">D25*E25</f>
        <v>67.5</v>
      </c>
      <c r="H25" s="39" t="s">
        <v>19</v>
      </c>
    </row>
    <row r="26" spans="1:8" x14ac:dyDescent="0.25">
      <c r="A26" s="55"/>
      <c r="B26" s="39" t="s">
        <v>121</v>
      </c>
      <c r="C26" s="39" t="s">
        <v>130</v>
      </c>
      <c r="D26" s="39">
        <v>38.76</v>
      </c>
      <c r="E26" s="39">
        <v>0.15</v>
      </c>
      <c r="F26" s="39" t="s">
        <v>50</v>
      </c>
      <c r="G26" s="39">
        <f t="shared" si="1"/>
        <v>5.8139999999999992</v>
      </c>
      <c r="H26" s="39" t="s">
        <v>18</v>
      </c>
    </row>
    <row r="27" spans="1:8" x14ac:dyDescent="0.25">
      <c r="A27" s="55"/>
      <c r="B27" s="39" t="s">
        <v>129</v>
      </c>
      <c r="C27" s="39">
        <v>1</v>
      </c>
      <c r="D27" s="39">
        <v>20.52</v>
      </c>
      <c r="E27" s="39">
        <v>1</v>
      </c>
      <c r="F27" s="39" t="s">
        <v>50</v>
      </c>
      <c r="G27" s="39">
        <f t="shared" si="1"/>
        <v>20.52</v>
      </c>
      <c r="H27" s="39" t="s">
        <v>18</v>
      </c>
    </row>
    <row r="28" spans="1:8" x14ac:dyDescent="0.25">
      <c r="A28" s="55"/>
      <c r="B28" s="39" t="s">
        <v>178</v>
      </c>
      <c r="C28" s="39"/>
      <c r="D28" s="39">
        <v>32</v>
      </c>
      <c r="E28" s="39">
        <v>100</v>
      </c>
      <c r="F28" s="39" t="s">
        <v>177</v>
      </c>
      <c r="G28" s="39">
        <f t="shared" si="1"/>
        <v>3200</v>
      </c>
      <c r="H28" s="39" t="s">
        <v>18</v>
      </c>
    </row>
    <row r="29" spans="1:8" x14ac:dyDescent="0.25">
      <c r="A29" s="55"/>
      <c r="B29" s="39" t="s">
        <v>179</v>
      </c>
      <c r="C29" s="39"/>
      <c r="D29" s="39">
        <v>150</v>
      </c>
      <c r="E29" s="39">
        <v>1</v>
      </c>
      <c r="F29" s="39" t="s">
        <v>177</v>
      </c>
      <c r="G29" s="39">
        <f t="shared" si="1"/>
        <v>150</v>
      </c>
      <c r="H29" s="39"/>
    </row>
    <row r="30" spans="1:8" x14ac:dyDescent="0.25">
      <c r="A30" s="55"/>
      <c r="B30" s="39" t="s">
        <v>180</v>
      </c>
      <c r="C30" s="39"/>
      <c r="D30" s="39">
        <v>36.9</v>
      </c>
      <c r="E30" s="39">
        <v>2</v>
      </c>
      <c r="F30" s="39" t="s">
        <v>177</v>
      </c>
      <c r="G30" s="39">
        <f t="shared" si="1"/>
        <v>73.8</v>
      </c>
      <c r="H30" s="39"/>
    </row>
    <row r="31" spans="1:8" x14ac:dyDescent="0.25">
      <c r="A31" s="55"/>
      <c r="B31" s="46" t="s">
        <v>7</v>
      </c>
      <c r="C31" s="46"/>
      <c r="D31" s="46"/>
      <c r="E31" s="39"/>
      <c r="F31" s="39"/>
      <c r="G31" s="14">
        <f>SUM(G24:G30)</f>
        <v>3517.634</v>
      </c>
      <c r="H31" s="39"/>
    </row>
    <row r="32" spans="1:8" x14ac:dyDescent="0.25">
      <c r="A32" s="39" t="s">
        <v>11</v>
      </c>
      <c r="B32" s="39" t="s">
        <v>1</v>
      </c>
      <c r="C32" s="39" t="s">
        <v>2</v>
      </c>
      <c r="D32" s="39" t="s">
        <v>3</v>
      </c>
      <c r="E32" s="39" t="s">
        <v>4</v>
      </c>
      <c r="F32" s="39"/>
      <c r="G32" s="39" t="s">
        <v>5</v>
      </c>
      <c r="H32" s="39" t="s">
        <v>6</v>
      </c>
    </row>
    <row r="33" spans="1:8" x14ac:dyDescent="0.25">
      <c r="A33" s="46" t="s">
        <v>120</v>
      </c>
      <c r="B33" s="39" t="s">
        <v>121</v>
      </c>
      <c r="C33" s="39">
        <v>3</v>
      </c>
      <c r="D33" s="39">
        <v>38.76</v>
      </c>
      <c r="E33" s="39">
        <v>3</v>
      </c>
      <c r="F33" s="39" t="s">
        <v>50</v>
      </c>
      <c r="G33" s="2">
        <f>D33*E33</f>
        <v>116.28</v>
      </c>
      <c r="H33" s="39"/>
    </row>
    <row r="34" spans="1:8" x14ac:dyDescent="0.25">
      <c r="A34" s="46"/>
      <c r="B34" s="39" t="s">
        <v>122</v>
      </c>
      <c r="C34" s="39">
        <v>3</v>
      </c>
      <c r="D34" s="39">
        <v>78.599999999999994</v>
      </c>
      <c r="E34" s="39">
        <v>15</v>
      </c>
      <c r="F34" s="39" t="s">
        <v>16</v>
      </c>
      <c r="G34" s="2">
        <f>D34*E34</f>
        <v>1179</v>
      </c>
      <c r="H34" s="39"/>
    </row>
    <row r="35" spans="1:8" x14ac:dyDescent="0.25">
      <c r="A35" s="46"/>
      <c r="B35" s="39"/>
      <c r="C35" s="39"/>
      <c r="D35" s="39"/>
      <c r="E35" s="39"/>
      <c r="F35" s="39"/>
      <c r="G35" s="39"/>
      <c r="H35" s="39"/>
    </row>
    <row r="36" spans="1:8" x14ac:dyDescent="0.25">
      <c r="A36" s="46"/>
      <c r="B36" s="46"/>
      <c r="C36" s="46"/>
      <c r="D36" s="46"/>
      <c r="E36" s="39"/>
      <c r="F36" s="39"/>
      <c r="G36" s="14">
        <f>SUM(G33:G35)</f>
        <v>1295.28</v>
      </c>
      <c r="H36" s="39"/>
    </row>
    <row r="37" spans="1:8" x14ac:dyDescent="0.25">
      <c r="A37" s="39" t="s">
        <v>12</v>
      </c>
      <c r="B37" s="39" t="s">
        <v>1</v>
      </c>
      <c r="C37" s="39" t="s">
        <v>2</v>
      </c>
      <c r="D37" s="39" t="s">
        <v>3</v>
      </c>
      <c r="E37" s="39" t="s">
        <v>4</v>
      </c>
      <c r="F37" s="39"/>
      <c r="G37" s="39" t="s">
        <v>5</v>
      </c>
      <c r="H37" s="39" t="s">
        <v>6</v>
      </c>
    </row>
    <row r="38" spans="1:8" x14ac:dyDescent="0.25">
      <c r="A38" s="46"/>
      <c r="B38" s="39" t="s">
        <v>176</v>
      </c>
      <c r="C38" s="39"/>
      <c r="D38" s="39">
        <v>20.399999999999999</v>
      </c>
      <c r="E38" s="39">
        <v>75</v>
      </c>
      <c r="F38" s="39" t="s">
        <v>177</v>
      </c>
      <c r="G38" s="39">
        <f>E38*D38</f>
        <v>1530</v>
      </c>
      <c r="H38" s="39"/>
    </row>
    <row r="39" spans="1:8" x14ac:dyDescent="0.25">
      <c r="A39" s="46"/>
      <c r="B39" s="39" t="s">
        <v>197</v>
      </c>
      <c r="C39" s="39"/>
      <c r="D39" s="39"/>
      <c r="E39" s="39"/>
      <c r="F39" s="39"/>
      <c r="G39" s="2">
        <v>0</v>
      </c>
      <c r="H39" s="39" t="s">
        <v>198</v>
      </c>
    </row>
    <row r="40" spans="1:8" x14ac:dyDescent="0.25">
      <c r="A40" s="46"/>
      <c r="B40" s="46" t="s">
        <v>7</v>
      </c>
      <c r="C40" s="46"/>
      <c r="D40" s="46"/>
      <c r="E40" s="39"/>
      <c r="F40" s="39"/>
      <c r="G40" s="14">
        <f>SUM(G38:G39)</f>
        <v>1530</v>
      </c>
      <c r="H40" s="5"/>
    </row>
    <row r="41" spans="1:8" x14ac:dyDescent="0.25">
      <c r="A41" s="6" t="s">
        <v>13</v>
      </c>
      <c r="B41" s="39" t="s">
        <v>1</v>
      </c>
      <c r="C41" s="39" t="s">
        <v>2</v>
      </c>
      <c r="D41" s="39" t="s">
        <v>3</v>
      </c>
      <c r="E41" s="39" t="s">
        <v>4</v>
      </c>
      <c r="F41" s="39"/>
      <c r="G41" s="39" t="s">
        <v>5</v>
      </c>
      <c r="H41" s="39"/>
    </row>
    <row r="42" spans="1:8" x14ac:dyDescent="0.25">
      <c r="A42" s="46"/>
      <c r="B42" s="39" t="s">
        <v>174</v>
      </c>
      <c r="C42" s="39"/>
      <c r="D42" s="39">
        <v>10</v>
      </c>
      <c r="E42" s="39">
        <v>25</v>
      </c>
      <c r="F42" s="39" t="s">
        <v>175</v>
      </c>
      <c r="G42" s="39">
        <f>D42*E42</f>
        <v>250</v>
      </c>
      <c r="H42" s="39"/>
    </row>
    <row r="43" spans="1:8" x14ac:dyDescent="0.25">
      <c r="A43" s="46"/>
      <c r="B43" s="39" t="s">
        <v>186</v>
      </c>
      <c r="C43" s="39"/>
      <c r="D43" s="39">
        <v>300</v>
      </c>
      <c r="E43" s="39">
        <v>1</v>
      </c>
      <c r="F43" s="39" t="s">
        <v>187</v>
      </c>
      <c r="G43" s="39">
        <f t="shared" ref="G43:G57" si="2">D43*E43</f>
        <v>300</v>
      </c>
      <c r="H43" s="39"/>
    </row>
    <row r="44" spans="1:8" x14ac:dyDescent="0.25">
      <c r="A44" s="46"/>
      <c r="B44" s="39" t="s">
        <v>188</v>
      </c>
      <c r="C44" s="39"/>
      <c r="D44" s="39">
        <v>24.3</v>
      </c>
      <c r="E44" s="39">
        <v>2</v>
      </c>
      <c r="F44" s="39" t="s">
        <v>177</v>
      </c>
      <c r="G44" s="39">
        <f t="shared" si="2"/>
        <v>48.6</v>
      </c>
      <c r="H44" s="39"/>
    </row>
    <row r="45" spans="1:8" x14ac:dyDescent="0.25">
      <c r="A45" s="46"/>
      <c r="B45" s="39" t="s">
        <v>189</v>
      </c>
      <c r="C45" s="39"/>
      <c r="D45" s="39">
        <v>17.100000000000001</v>
      </c>
      <c r="E45" s="39"/>
      <c r="F45" s="39" t="s">
        <v>177</v>
      </c>
      <c r="G45" s="39">
        <f t="shared" si="2"/>
        <v>0</v>
      </c>
      <c r="H45" s="39"/>
    </row>
    <row r="46" spans="1:8" x14ac:dyDescent="0.25">
      <c r="A46" s="46"/>
      <c r="B46" s="39" t="s">
        <v>191</v>
      </c>
      <c r="C46" s="39"/>
      <c r="D46" s="39">
        <v>16</v>
      </c>
      <c r="E46" s="39">
        <v>3</v>
      </c>
      <c r="F46" s="39" t="s">
        <v>187</v>
      </c>
      <c r="G46" s="39">
        <f t="shared" si="2"/>
        <v>48</v>
      </c>
      <c r="H46" s="39"/>
    </row>
    <row r="47" spans="1:8" x14ac:dyDescent="0.25">
      <c r="A47" s="46"/>
      <c r="B47" s="39" t="s">
        <v>192</v>
      </c>
      <c r="C47" s="39"/>
      <c r="D47" s="39">
        <v>45</v>
      </c>
      <c r="E47" s="39">
        <v>1</v>
      </c>
      <c r="F47" s="39" t="s">
        <v>177</v>
      </c>
      <c r="G47" s="39">
        <f t="shared" si="2"/>
        <v>45</v>
      </c>
      <c r="H47" s="39"/>
    </row>
    <row r="48" spans="1:8" x14ac:dyDescent="0.25">
      <c r="A48" s="46"/>
      <c r="B48" s="39" t="s">
        <v>121</v>
      </c>
      <c r="C48" s="39"/>
      <c r="D48" s="39">
        <v>38.76</v>
      </c>
      <c r="E48" s="39">
        <v>1.1499999999999999</v>
      </c>
      <c r="F48" s="39" t="s">
        <v>50</v>
      </c>
      <c r="G48" s="39">
        <f t="shared" si="2"/>
        <v>44.573999999999991</v>
      </c>
      <c r="H48" s="39"/>
    </row>
    <row r="49" spans="1:8" x14ac:dyDescent="0.25">
      <c r="A49" s="46"/>
      <c r="B49" s="39" t="s">
        <v>193</v>
      </c>
      <c r="C49" s="39"/>
      <c r="D49" s="39">
        <v>141</v>
      </c>
      <c r="E49" s="39">
        <v>3</v>
      </c>
      <c r="F49" s="39" t="s">
        <v>177</v>
      </c>
      <c r="G49" s="39">
        <f t="shared" si="2"/>
        <v>423</v>
      </c>
      <c r="H49" s="39"/>
    </row>
    <row r="50" spans="1:8" x14ac:dyDescent="0.25">
      <c r="A50" s="46"/>
      <c r="B50" s="39" t="s">
        <v>195</v>
      </c>
      <c r="C50" s="39"/>
      <c r="D50" s="39">
        <v>81</v>
      </c>
      <c r="E50" s="39">
        <v>3</v>
      </c>
      <c r="F50" s="39" t="s">
        <v>177</v>
      </c>
      <c r="G50" s="39">
        <f t="shared" si="2"/>
        <v>243</v>
      </c>
      <c r="H50" s="39"/>
    </row>
    <row r="51" spans="1:8" x14ac:dyDescent="0.25">
      <c r="A51" s="46"/>
      <c r="B51" s="39" t="s">
        <v>196</v>
      </c>
      <c r="C51" s="39"/>
      <c r="D51" s="39">
        <v>120</v>
      </c>
      <c r="E51" s="39">
        <v>1</v>
      </c>
      <c r="F51" s="39" t="s">
        <v>187</v>
      </c>
      <c r="G51" s="39">
        <f t="shared" si="2"/>
        <v>120</v>
      </c>
      <c r="H51" s="39"/>
    </row>
    <row r="52" spans="1:8" x14ac:dyDescent="0.25">
      <c r="A52" s="46"/>
      <c r="B52" s="39" t="s">
        <v>194</v>
      </c>
      <c r="C52" s="39"/>
      <c r="D52" s="39">
        <v>1125</v>
      </c>
      <c r="E52" s="39">
        <v>2</v>
      </c>
      <c r="F52" s="39" t="s">
        <v>177</v>
      </c>
      <c r="G52" s="39">
        <f t="shared" si="2"/>
        <v>2250</v>
      </c>
      <c r="H52" s="39"/>
    </row>
    <row r="53" spans="1:8" x14ac:dyDescent="0.25">
      <c r="A53" s="46"/>
      <c r="B53" s="39" t="s">
        <v>190</v>
      </c>
      <c r="C53" s="39"/>
      <c r="D53" s="39">
        <v>39.6</v>
      </c>
      <c r="E53" s="39"/>
      <c r="F53" s="39" t="s">
        <v>177</v>
      </c>
      <c r="G53" s="39">
        <f t="shared" si="2"/>
        <v>0</v>
      </c>
      <c r="H53" s="39"/>
    </row>
    <row r="54" spans="1:8" x14ac:dyDescent="0.25">
      <c r="A54" s="46"/>
      <c r="B54" s="39" t="s">
        <v>181</v>
      </c>
      <c r="C54" s="39"/>
      <c r="D54" s="39">
        <v>270</v>
      </c>
      <c r="E54" s="39">
        <v>2</v>
      </c>
      <c r="F54" s="39" t="s">
        <v>182</v>
      </c>
      <c r="G54" s="39">
        <f t="shared" si="2"/>
        <v>540</v>
      </c>
      <c r="H54" s="39"/>
    </row>
    <row r="55" spans="1:8" x14ac:dyDescent="0.25">
      <c r="A55" s="46"/>
      <c r="B55" s="39" t="s">
        <v>183</v>
      </c>
      <c r="C55" s="39"/>
      <c r="D55" s="39">
        <v>255</v>
      </c>
      <c r="E55" s="39">
        <v>2</v>
      </c>
      <c r="F55" s="39" t="s">
        <v>182</v>
      </c>
      <c r="G55" s="39">
        <f t="shared" si="2"/>
        <v>510</v>
      </c>
      <c r="H55" s="39"/>
    </row>
    <row r="56" spans="1:8" x14ac:dyDescent="0.25">
      <c r="A56" s="46"/>
      <c r="B56" s="39" t="s">
        <v>184</v>
      </c>
      <c r="C56" s="39"/>
      <c r="D56" s="39">
        <v>81.599999999999994</v>
      </c>
      <c r="E56" s="39">
        <v>3</v>
      </c>
      <c r="F56" s="39" t="s">
        <v>177</v>
      </c>
      <c r="G56" s="39">
        <f t="shared" si="2"/>
        <v>244.79999999999998</v>
      </c>
      <c r="H56" s="39"/>
    </row>
    <row r="57" spans="1:8" x14ac:dyDescent="0.25">
      <c r="A57" s="46"/>
      <c r="B57" s="39" t="s">
        <v>185</v>
      </c>
      <c r="C57" s="39"/>
      <c r="D57" s="39">
        <v>362</v>
      </c>
      <c r="E57" s="39">
        <v>2</v>
      </c>
      <c r="F57" s="39" t="s">
        <v>182</v>
      </c>
      <c r="G57" s="39">
        <f t="shared" si="2"/>
        <v>724</v>
      </c>
      <c r="H57" s="39"/>
    </row>
    <row r="58" spans="1:8" x14ac:dyDescent="0.25">
      <c r="A58" s="46"/>
      <c r="B58" s="46" t="s">
        <v>7</v>
      </c>
      <c r="C58" s="46"/>
      <c r="D58" s="46"/>
      <c r="E58" s="39"/>
      <c r="F58" s="39"/>
      <c r="G58" s="14">
        <f>SUM(G42:G57)</f>
        <v>5790.9740000000002</v>
      </c>
      <c r="H58" s="39"/>
    </row>
    <row r="59" spans="1:8" x14ac:dyDescent="0.25">
      <c r="A59" s="39"/>
      <c r="B59" s="54" t="s">
        <v>14</v>
      </c>
      <c r="C59" s="54"/>
      <c r="D59" s="54"/>
      <c r="E59" s="56"/>
      <c r="F59" s="56"/>
      <c r="G59" s="57">
        <f>G58+G40+G36+G22+G16+G8+G31</f>
        <v>22945.018000000004</v>
      </c>
      <c r="H59" s="39"/>
    </row>
  </sheetData>
  <mergeCells count="16">
    <mergeCell ref="A42:A58"/>
    <mergeCell ref="B58:D58"/>
    <mergeCell ref="B59:D59"/>
    <mergeCell ref="B31:D31"/>
    <mergeCell ref="A33:A36"/>
    <mergeCell ref="B36:D36"/>
    <mergeCell ref="A38:A40"/>
    <mergeCell ref="B40:D40"/>
    <mergeCell ref="A24:A31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0707</vt:lpstr>
      <vt:lpstr>0708</vt:lpstr>
      <vt:lpstr>0709</vt:lpstr>
      <vt:lpstr>0710</vt:lpstr>
      <vt:lpstr>0711</vt:lpstr>
      <vt:lpstr>'0707'!Print_Area</vt:lpstr>
      <vt:lpstr>'0708'!Print_Area</vt:lpstr>
      <vt:lpstr>'0709'!Print_Area</vt:lpstr>
      <vt:lpstr>'0710'!Print_Area</vt:lpstr>
      <vt:lpstr>'0711'!Print_Area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2025-07-10T02:55:13Z</cp:lastPrinted>
  <dcterms:created xsi:type="dcterms:W3CDTF">2025-02-19T17:01:12Z</dcterms:created>
  <dcterms:modified xsi:type="dcterms:W3CDTF">2025-07-10T02:55:14Z</dcterms:modified>
</cp:coreProperties>
</file>