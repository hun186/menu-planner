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7月份\"/>
    </mc:Choice>
  </mc:AlternateContent>
  <bookViews>
    <workbookView xWindow="0" yWindow="0" windowWidth="28800" windowHeight="12255"/>
  </bookViews>
  <sheets>
    <sheet name="0721" sheetId="1" r:id="rId1"/>
    <sheet name="0722" sheetId="2" r:id="rId2"/>
    <sheet name="0723" sheetId="3" r:id="rId3"/>
    <sheet name="0724" sheetId="4" r:id="rId4"/>
    <sheet name="0725" sheetId="5" r:id="rId5"/>
  </sheets>
  <definedNames>
    <definedName name="_xlnm.Print_Area" localSheetId="0">'0721'!$A$1:$H$50</definedName>
    <definedName name="_xlnm.Print_Area" localSheetId="1">'0722'!$A$1:$H$45</definedName>
    <definedName name="_xlnm.Print_Area" localSheetId="2">'0723'!$A$1:$H$47</definedName>
    <definedName name="_xlnm.Print_Area" localSheetId="3">'0724'!$A$1:$H$42</definedName>
    <definedName name="_xlnm.Print_Area" localSheetId="4">'0725'!$A$1:$H$57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5" l="1"/>
  <c r="G41" i="5"/>
  <c r="G34" i="5"/>
  <c r="G16" i="5"/>
  <c r="G10" i="5"/>
  <c r="G25" i="5"/>
  <c r="G26" i="5"/>
  <c r="G27" i="5"/>
  <c r="G28" i="5"/>
  <c r="G29" i="5"/>
  <c r="G30" i="5"/>
  <c r="G31" i="5"/>
  <c r="G32" i="5"/>
  <c r="G33" i="5"/>
  <c r="G24" i="5"/>
  <c r="G56" i="5"/>
  <c r="G46" i="5"/>
  <c r="G47" i="5"/>
  <c r="G48" i="5"/>
  <c r="G49" i="5"/>
  <c r="G50" i="5"/>
  <c r="G51" i="5"/>
  <c r="G52" i="5"/>
  <c r="G53" i="5"/>
  <c r="G54" i="5"/>
  <c r="G55" i="5"/>
  <c r="G45" i="5"/>
  <c r="G37" i="5"/>
  <c r="G36" i="5"/>
  <c r="G19" i="5"/>
  <c r="G20" i="5"/>
  <c r="G18" i="5"/>
  <c r="G3" i="5"/>
  <c r="G42" i="4"/>
  <c r="G24" i="4"/>
  <c r="G26" i="4" s="1"/>
  <c r="G31" i="4"/>
  <c r="G29" i="4"/>
  <c r="G30" i="4"/>
  <c r="G28" i="4"/>
  <c r="G7" i="4"/>
  <c r="G17" i="4"/>
  <c r="G18" i="4"/>
  <c r="G16" i="4"/>
  <c r="G14" i="4"/>
  <c r="G10" i="4"/>
  <c r="G11" i="4"/>
  <c r="G12" i="4"/>
  <c r="G4" i="4"/>
  <c r="G5" i="4"/>
  <c r="G6" i="4"/>
  <c r="G3" i="4"/>
  <c r="G23" i="4"/>
  <c r="G22" i="4"/>
  <c r="G33" i="4"/>
  <c r="G9" i="4"/>
  <c r="G46" i="3" l="1"/>
  <c r="G44" i="3"/>
  <c r="G43" i="3"/>
  <c r="G20" i="3"/>
  <c r="G17" i="3"/>
  <c r="G18" i="3"/>
  <c r="G16" i="3"/>
  <c r="G7" i="3"/>
  <c r="G4" i="3"/>
  <c r="G5" i="3"/>
  <c r="G6" i="3"/>
  <c r="G29" i="2"/>
  <c r="G22" i="2"/>
  <c r="G14" i="2"/>
  <c r="G7" i="2"/>
  <c r="G45" i="2" l="1"/>
  <c r="G32" i="2"/>
  <c r="G33" i="2"/>
  <c r="G50" i="1"/>
  <c r="G42" i="1"/>
  <c r="G34" i="1"/>
  <c r="G37" i="1"/>
  <c r="G33" i="1"/>
  <c r="G36" i="1"/>
  <c r="G7" i="1"/>
  <c r="G4" i="1"/>
  <c r="G5" i="1"/>
  <c r="G6" i="1"/>
  <c r="G15" i="1"/>
  <c r="G13" i="1"/>
  <c r="G36" i="3" l="1"/>
  <c r="G35" i="3"/>
  <c r="G10" i="3"/>
  <c r="G11" i="3"/>
  <c r="G12" i="3"/>
  <c r="G9" i="3"/>
  <c r="G27" i="3"/>
  <c r="G26" i="3"/>
  <c r="G23" i="3"/>
  <c r="G24" i="3"/>
  <c r="G25" i="3"/>
  <c r="G22" i="3"/>
  <c r="G31" i="3"/>
  <c r="G30" i="3"/>
  <c r="G3" i="3"/>
  <c r="G40" i="3"/>
  <c r="G41" i="3"/>
  <c r="G42" i="3"/>
  <c r="G45" i="3"/>
  <c r="G39" i="3"/>
  <c r="G28" i="3" l="1"/>
  <c r="G25" i="2"/>
  <c r="G26" i="2"/>
  <c r="G27" i="2"/>
  <c r="G28" i="2"/>
  <c r="G24" i="2"/>
  <c r="G37" i="2"/>
  <c r="G10" i="2"/>
  <c r="G9" i="2"/>
  <c r="G17" i="2"/>
  <c r="G18" i="2"/>
  <c r="G19" i="2"/>
  <c r="G20" i="2"/>
  <c r="G16" i="2"/>
  <c r="G31" i="2"/>
  <c r="G4" i="2"/>
  <c r="G5" i="2"/>
  <c r="G6" i="2"/>
  <c r="G3" i="2"/>
  <c r="G36" i="2"/>
  <c r="G46" i="1" l="1"/>
  <c r="G47" i="1"/>
  <c r="G18" i="1"/>
  <c r="G19" i="1"/>
  <c r="G20" i="1"/>
  <c r="G3" i="1"/>
  <c r="G45" i="1" l="1"/>
  <c r="G49" i="1" s="1"/>
  <c r="G17" i="1"/>
  <c r="G21" i="1" s="1"/>
  <c r="G41" i="1"/>
  <c r="G43" i="1" s="1"/>
  <c r="G30" i="1"/>
  <c r="G29" i="1"/>
  <c r="G28" i="1"/>
  <c r="G25" i="1" l="1"/>
  <c r="G26" i="1"/>
  <c r="G27" i="1"/>
  <c r="G24" i="1"/>
  <c r="G23" i="1"/>
  <c r="G10" i="1"/>
  <c r="G11" i="1"/>
  <c r="G12" i="1"/>
  <c r="G9" i="1"/>
  <c r="G43" i="5" l="1"/>
  <c r="G57" i="5" s="1"/>
  <c r="G39" i="5"/>
  <c r="G22" i="5"/>
  <c r="G8" i="5"/>
  <c r="G41" i="4"/>
  <c r="G35" i="4"/>
  <c r="G20" i="4"/>
  <c r="G37" i="3"/>
  <c r="G47" i="3" s="1"/>
  <c r="G33" i="3"/>
  <c r="G14" i="3"/>
  <c r="G44" i="2"/>
  <c r="G38" i="2"/>
  <c r="G34" i="2"/>
  <c r="G39" i="1"/>
</calcChain>
</file>

<file path=xl/sharedStrings.xml><?xml version="1.0" encoding="utf-8"?>
<sst xmlns="http://schemas.openxmlformats.org/spreadsheetml/2006/main" count="539" uniqueCount="184">
  <si>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</si>
  <si>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</si>
  <si>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</si>
  <si>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</si>
  <si>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</si>
  <si>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</si>
  <si>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</si>
  <si>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</si>
  <si>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</si>
  <si>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</si>
  <si>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</si>
  <si>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</si>
  <si>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</si>
  <si>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</si>
  <si>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</si>
  <si>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</si>
  <si>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</si>
  <si>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</si>
  <si>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</si>
  <si>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</si>
  <si>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</si>
  <si>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</si>
  <si>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</si>
  <si>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</si>
  <si>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</si>
  <si>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五穀米</t>
    <phoneticPr fontId="2" type="noConversion"/>
  </si>
  <si>
    <t>庫存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</si>
  <si>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</si>
  <si>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</si>
  <si>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</si>
  <si>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</si>
  <si>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</si>
  <si>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</si>
  <si>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</si>
  <si>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</si>
  <si>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</si>
  <si>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咖哩雞</t>
    <phoneticPr fontId="2" type="noConversion"/>
  </si>
  <si>
    <t>黑胡椒豆腐</t>
    <phoneticPr fontId="2" type="noConversion"/>
  </si>
  <si>
    <t>芽菜肉絲</t>
    <phoneticPr fontId="2" type="noConversion"/>
  </si>
  <si>
    <t>咖哩塊</t>
    <phoneticPr fontId="2" type="noConversion"/>
  </si>
  <si>
    <t>鮮奶油</t>
    <phoneticPr fontId="2" type="noConversion"/>
  </si>
  <si>
    <t>去皮馬鈴薯</t>
    <phoneticPr fontId="2" type="noConversion"/>
  </si>
  <si>
    <t>去骨雞腿丁3*3</t>
    <phoneticPr fontId="2" type="noConversion"/>
  </si>
  <si>
    <t>黑胡椒醬</t>
    <phoneticPr fontId="2" type="noConversion"/>
  </si>
  <si>
    <t>油豆腐丁</t>
    <phoneticPr fontId="2" type="noConversion"/>
  </si>
  <si>
    <t>玉米筍罐頭</t>
    <phoneticPr fontId="2" type="noConversion"/>
  </si>
  <si>
    <t>乳瑪琳</t>
    <phoneticPr fontId="2" type="noConversion"/>
  </si>
  <si>
    <t>冷凍花椰菜</t>
    <phoneticPr fontId="2" type="noConversion"/>
  </si>
  <si>
    <t>豆芽菜</t>
    <phoneticPr fontId="2" type="noConversion"/>
  </si>
  <si>
    <t>肉絲</t>
    <phoneticPr fontId="2" type="noConversion"/>
  </si>
  <si>
    <t>紅蘿蔔絲</t>
    <phoneticPr fontId="2" type="noConversion"/>
  </si>
  <si>
    <t>木耳絲</t>
    <phoneticPr fontId="2" type="noConversion"/>
  </si>
  <si>
    <t>盒</t>
    <phoneticPr fontId="2" type="noConversion"/>
  </si>
  <si>
    <t>瓶</t>
    <phoneticPr fontId="2" type="noConversion"/>
  </si>
  <si>
    <t>斤</t>
  </si>
  <si>
    <t>斤</t>
    <phoneticPr fontId="2" type="noConversion"/>
  </si>
  <si>
    <t>罐</t>
    <phoneticPr fontId="2" type="noConversion"/>
  </si>
  <si>
    <t>蘿蔔排骨湯</t>
    <phoneticPr fontId="2" type="noConversion"/>
  </si>
  <si>
    <t>白蘿蔔</t>
    <phoneticPr fontId="2" type="noConversion"/>
  </si>
  <si>
    <t>軟排</t>
    <phoneticPr fontId="2" type="noConversion"/>
  </si>
  <si>
    <t>電訊科技中心(安康營區)     114年     7月   21日      午餐明細表</t>
    <phoneticPr fontId="2" type="noConversion"/>
  </si>
  <si>
    <t>電訊科技中心(安康營區)     114年      7月   22日      午餐明細表</t>
    <phoneticPr fontId="2" type="noConversion"/>
  </si>
  <si>
    <t>電訊科技中心(安康營區)     114年      7月   23日      午餐明細表</t>
    <phoneticPr fontId="2" type="noConversion"/>
  </si>
  <si>
    <t>電訊科技中心(安康營區)     114年      7月   24日      午餐明細表</t>
    <phoneticPr fontId="2" type="noConversion"/>
  </si>
  <si>
    <t>電訊科技中心(安康營區)     114年      7月   25日      午餐明細表</t>
    <phoneticPr fontId="2" type="noConversion"/>
  </si>
  <si>
    <t>蔥爆肉片</t>
    <phoneticPr fontId="2" type="noConversion"/>
  </si>
  <si>
    <t>番茄炒蛋</t>
    <phoneticPr fontId="2" type="noConversion"/>
  </si>
  <si>
    <t>薑燒南瓜</t>
    <phoneticPr fontId="2" type="noConversion"/>
  </si>
  <si>
    <t>芥花油</t>
    <phoneticPr fontId="2" type="noConversion"/>
  </si>
  <si>
    <t>檸檬愛玉</t>
    <phoneticPr fontId="2" type="noConversion"/>
  </si>
  <si>
    <t>涼麵</t>
    <phoneticPr fontId="2" type="noConversion"/>
  </si>
  <si>
    <t>蝦捲</t>
    <phoneticPr fontId="2" type="noConversion"/>
  </si>
  <si>
    <t>涼拌豬耳朵</t>
    <phoneticPr fontId="2" type="noConversion"/>
  </si>
  <si>
    <t xml:space="preserve">涼拌豬耳朵
糖心蛋
</t>
    <phoneticPr fontId="2" type="noConversion"/>
  </si>
  <si>
    <t>味噌貢丸湯</t>
    <phoneticPr fontId="2" type="noConversion"/>
  </si>
  <si>
    <t>糖醋雞丁</t>
    <phoneticPr fontId="2" type="noConversion"/>
  </si>
  <si>
    <t>白菜滷</t>
    <phoneticPr fontId="2" type="noConversion"/>
  </si>
  <si>
    <t>竹筍炒肉絲</t>
    <phoneticPr fontId="2" type="noConversion"/>
  </si>
  <si>
    <t>粉粿米苔目</t>
    <phoneticPr fontId="2" type="noConversion"/>
  </si>
  <si>
    <t>烤雞腿</t>
    <phoneticPr fontId="2" type="noConversion"/>
  </si>
  <si>
    <t>椒鹽甜條</t>
    <phoneticPr fontId="2" type="noConversion"/>
  </si>
  <si>
    <t>大黃瓜魚丸</t>
    <phoneticPr fontId="2" type="noConversion"/>
  </si>
  <si>
    <t>榨菜肉絲湯</t>
    <phoneticPr fontId="2" type="noConversion"/>
  </si>
  <si>
    <t>五花肉片</t>
    <phoneticPr fontId="2" type="noConversion"/>
  </si>
  <si>
    <t>豬肉片</t>
    <phoneticPr fontId="2" type="noConversion"/>
  </si>
  <si>
    <t>去皮洋蔥</t>
    <phoneticPr fontId="2" type="noConversion"/>
  </si>
  <si>
    <t>薑絲</t>
    <phoneticPr fontId="2" type="noConversion"/>
  </si>
  <si>
    <t>牛番茄</t>
    <phoneticPr fontId="2" type="noConversion"/>
  </si>
  <si>
    <t>蛋</t>
    <phoneticPr fontId="2" type="noConversion"/>
  </si>
  <si>
    <t>南瓜塊</t>
    <phoneticPr fontId="2" type="noConversion"/>
  </si>
  <si>
    <t>半</t>
    <phoneticPr fontId="2" type="noConversion"/>
  </si>
  <si>
    <t>油麵</t>
    <phoneticPr fontId="2" type="noConversion"/>
  </si>
  <si>
    <t>愛玉</t>
    <phoneticPr fontId="2" type="noConversion"/>
  </si>
  <si>
    <t>檸檬</t>
    <phoneticPr fontId="2" type="noConversion"/>
  </si>
  <si>
    <t>檸檬汁</t>
    <phoneticPr fontId="2" type="noConversion"/>
  </si>
  <si>
    <t>粒</t>
    <phoneticPr fontId="2" type="noConversion"/>
  </si>
  <si>
    <t>小黃瓜</t>
    <phoneticPr fontId="2" type="noConversion"/>
  </si>
  <si>
    <t>麻醬</t>
    <phoneticPr fontId="2" type="noConversion"/>
  </si>
  <si>
    <t>府城蝦捲</t>
    <phoneticPr fontId="2" type="noConversion"/>
  </si>
  <si>
    <t>糖心蛋</t>
    <phoneticPr fontId="2" type="noConversion"/>
  </si>
  <si>
    <t>小豆干</t>
    <phoneticPr fontId="2" type="noConversion"/>
  </si>
  <si>
    <t>海帶捲</t>
    <phoneticPr fontId="2" type="noConversion"/>
  </si>
  <si>
    <t>味噌</t>
    <phoneticPr fontId="2" type="noConversion"/>
  </si>
  <si>
    <t>小貢丸</t>
    <phoneticPr fontId="2" type="noConversion"/>
  </si>
  <si>
    <t>包</t>
    <phoneticPr fontId="2" type="noConversion"/>
  </si>
  <si>
    <t>條</t>
    <phoneticPr fontId="2" type="noConversion"/>
  </si>
  <si>
    <t>桶</t>
    <phoneticPr fontId="2" type="noConversion"/>
  </si>
  <si>
    <t>蒜泥</t>
    <phoneticPr fontId="2" type="noConversion"/>
  </si>
  <si>
    <t>紅椒</t>
    <phoneticPr fontId="2" type="noConversion"/>
  </si>
  <si>
    <t>黃椒</t>
    <phoneticPr fontId="2" type="noConversion"/>
  </si>
  <si>
    <t>大白菜</t>
    <phoneticPr fontId="2" type="noConversion"/>
  </si>
  <si>
    <t>生豆包</t>
    <phoneticPr fontId="2" type="noConversion"/>
  </si>
  <si>
    <t>小蝦米</t>
    <phoneticPr fontId="2" type="noConversion"/>
  </si>
  <si>
    <t>筍絲</t>
    <phoneticPr fontId="2" type="noConversion"/>
  </si>
  <si>
    <t>豬肉絲</t>
    <phoneticPr fontId="2" type="noConversion"/>
  </si>
  <si>
    <t>烏龍麵</t>
    <phoneticPr fontId="2" type="noConversion"/>
  </si>
  <si>
    <t>粉粿</t>
    <phoneticPr fontId="2" type="noConversion"/>
  </si>
  <si>
    <t>米苔目</t>
    <phoneticPr fontId="2" type="noConversion"/>
  </si>
  <si>
    <t>黑糖</t>
    <phoneticPr fontId="2" type="noConversion"/>
  </si>
  <si>
    <t>棒腿</t>
    <phoneticPr fontId="2" type="noConversion"/>
  </si>
  <si>
    <t>甜不辣</t>
    <phoneticPr fontId="2" type="noConversion"/>
  </si>
  <si>
    <t>去皮大黃瓜</t>
    <phoneticPr fontId="2" type="noConversion"/>
  </si>
  <si>
    <t>小魚丸</t>
    <phoneticPr fontId="2" type="noConversion"/>
  </si>
  <si>
    <t>紅蘿蔔</t>
    <phoneticPr fontId="2" type="noConversion"/>
  </si>
  <si>
    <t>生豆皮</t>
    <phoneticPr fontId="2" type="noConversion"/>
  </si>
  <si>
    <t>米粉</t>
    <phoneticPr fontId="2" type="noConversion"/>
  </si>
  <si>
    <t>榨菜絲</t>
    <phoneticPr fontId="2" type="noConversion"/>
  </si>
  <si>
    <t>高麗菜</t>
    <phoneticPr fontId="2" type="noConversion"/>
  </si>
  <si>
    <t>斤</t>
    <phoneticPr fontId="2" type="noConversion"/>
  </si>
  <si>
    <t>養樂多</t>
    <phoneticPr fontId="2" type="noConversion"/>
  </si>
  <si>
    <t>組</t>
    <phoneticPr fontId="2" type="noConversion"/>
  </si>
  <si>
    <t>雞翅</t>
    <phoneticPr fontId="2" type="noConversion"/>
  </si>
  <si>
    <t>桶</t>
    <phoneticPr fontId="2" type="noConversion"/>
  </si>
  <si>
    <t>大西瓜</t>
    <phoneticPr fontId="2" type="noConversion"/>
  </si>
  <si>
    <t>味素</t>
    <phoneticPr fontId="2" type="noConversion"/>
  </si>
  <si>
    <t>盒</t>
    <phoneticPr fontId="2" type="noConversion"/>
  </si>
  <si>
    <t>胡椒鹽</t>
    <phoneticPr fontId="2" type="noConversion"/>
  </si>
  <si>
    <t>調味豬排</t>
    <phoneticPr fontId="2" type="noConversion"/>
  </si>
  <si>
    <t>件</t>
    <phoneticPr fontId="2" type="noConversion"/>
  </si>
  <si>
    <t>起司豬排</t>
    <phoneticPr fontId="2" type="noConversion"/>
  </si>
  <si>
    <t>高麗菜</t>
    <phoneticPr fontId="2" type="noConversion"/>
  </si>
  <si>
    <t>調理米酒</t>
    <phoneticPr fontId="2" type="noConversion"/>
  </si>
  <si>
    <t>瓶</t>
    <phoneticPr fontId="2" type="noConversion"/>
  </si>
  <si>
    <t>醬油</t>
    <phoneticPr fontId="2" type="noConversion"/>
  </si>
  <si>
    <t>桶</t>
    <phoneticPr fontId="2" type="noConversion"/>
  </si>
  <si>
    <t>油膏</t>
    <phoneticPr fontId="2" type="noConversion"/>
  </si>
  <si>
    <t>香油</t>
    <phoneticPr fontId="2" type="noConversion"/>
  </si>
  <si>
    <t>胡椒粉</t>
    <phoneticPr fontId="2" type="noConversion"/>
  </si>
  <si>
    <t>水餃</t>
    <phoneticPr fontId="2" type="noConversion"/>
  </si>
  <si>
    <t>包</t>
    <phoneticPr fontId="2" type="noConversion"/>
  </si>
  <si>
    <t>番茄醬</t>
    <phoneticPr fontId="2" type="noConversion"/>
  </si>
  <si>
    <t>香蕉</t>
    <phoneticPr fontId="2" type="noConversion"/>
  </si>
  <si>
    <t>油菜</t>
    <phoneticPr fontId="2" type="noConversion"/>
  </si>
  <si>
    <t>斤</t>
    <phoneticPr fontId="2" type="noConversion"/>
  </si>
  <si>
    <t>雞排</t>
    <phoneticPr fontId="2" type="noConversion"/>
  </si>
  <si>
    <t>小籠包</t>
    <phoneticPr fontId="2" type="noConversion"/>
  </si>
  <si>
    <t>個</t>
    <phoneticPr fontId="2" type="noConversion"/>
  </si>
  <si>
    <t>大西瓜</t>
    <phoneticPr fontId="2" type="noConversion"/>
  </si>
  <si>
    <t>庫存</t>
    <phoneticPr fontId="2" type="noConversion"/>
  </si>
  <si>
    <t>絞肉</t>
    <phoneticPr fontId="2" type="noConversion"/>
  </si>
  <si>
    <t>香腸</t>
    <phoneticPr fontId="2" type="noConversion"/>
  </si>
  <si>
    <t>五花絞肉</t>
    <phoneticPr fontId="2" type="noConversion"/>
  </si>
  <si>
    <t>烏龍茶</t>
    <phoneticPr fontId="2" type="noConversion"/>
  </si>
  <si>
    <t>件</t>
    <phoneticPr fontId="2" type="noConversion"/>
  </si>
  <si>
    <t>無骨清雞腿肉</t>
    <phoneticPr fontId="2" type="noConversion"/>
  </si>
  <si>
    <t>蜂蜜</t>
    <phoneticPr fontId="2" type="noConversion"/>
  </si>
  <si>
    <t>桶</t>
    <phoneticPr fontId="2" type="noConversion"/>
  </si>
  <si>
    <t>巧克力醬</t>
    <phoneticPr fontId="2" type="noConversion"/>
  </si>
  <si>
    <t>罐</t>
    <phoneticPr fontId="2" type="noConversion"/>
  </si>
  <si>
    <t>滷蛋</t>
    <phoneticPr fontId="2" type="noConversion"/>
  </si>
  <si>
    <t>高麗菜</t>
    <phoneticPr fontId="2" type="noConversion"/>
  </si>
  <si>
    <t>羊肉片</t>
    <phoneticPr fontId="2" type="noConversion"/>
  </si>
  <si>
    <t>洋蔥</t>
    <phoneticPr fontId="2" type="noConversion"/>
  </si>
  <si>
    <t>杏鮑菇</t>
    <phoneticPr fontId="2" type="noConversion"/>
  </si>
  <si>
    <t>馬鈴薯</t>
    <phoneticPr fontId="2" type="noConversion"/>
  </si>
  <si>
    <t>二砂</t>
    <phoneticPr fontId="2" type="noConversion"/>
  </si>
  <si>
    <t>包</t>
    <phoneticPr fontId="2" type="noConversion"/>
  </si>
  <si>
    <t>三好米</t>
    <phoneticPr fontId="2" type="noConversion"/>
  </si>
  <si>
    <t>沙拉油</t>
    <phoneticPr fontId="2" type="noConversion"/>
  </si>
  <si>
    <t>金蘭醬油</t>
    <phoneticPr fontId="2" type="noConversion"/>
  </si>
  <si>
    <t>素蠔油</t>
    <phoneticPr fontId="2" type="noConversion"/>
  </si>
  <si>
    <t>番茄醬</t>
    <phoneticPr fontId="2" type="noConversion"/>
  </si>
  <si>
    <t>果醋</t>
    <phoneticPr fontId="2" type="noConversion"/>
  </si>
  <si>
    <t>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</si>
</sst>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abSelected="1" topLeftCell="A26" workbookViewId="0">
      <selection activeCell="H53" sqref="H5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9" t="s">
        <v>60</v>
      </c>
      <c r="B1" s="40"/>
      <c r="C1" s="40"/>
      <c r="D1" s="40"/>
      <c r="E1" s="40"/>
      <c r="F1" s="40"/>
      <c r="G1" s="40"/>
      <c r="H1" s="4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2" t="s">
        <v>36</v>
      </c>
      <c r="B3" s="1" t="s">
        <v>39</v>
      </c>
      <c r="C3" s="1">
        <v>2</v>
      </c>
      <c r="D3" s="1">
        <v>300</v>
      </c>
      <c r="E3" s="21">
        <v>2</v>
      </c>
      <c r="F3" s="21" t="s">
        <v>52</v>
      </c>
      <c r="G3" s="22">
        <f>D3*E3</f>
        <v>600</v>
      </c>
      <c r="H3" s="1"/>
    </row>
    <row r="4" spans="1:8" x14ac:dyDescent="0.25">
      <c r="A4" s="42"/>
      <c r="B4" s="10" t="s">
        <v>40</v>
      </c>
      <c r="C4" s="10">
        <v>2</v>
      </c>
      <c r="D4" s="10">
        <v>270</v>
      </c>
      <c r="E4" s="10">
        <v>2</v>
      </c>
      <c r="F4" s="10" t="s">
        <v>53</v>
      </c>
      <c r="G4" s="22">
        <f t="shared" ref="G4:G6" si="0">D4*E4</f>
        <v>540</v>
      </c>
      <c r="H4" s="1"/>
    </row>
    <row r="5" spans="1:8" x14ac:dyDescent="0.25">
      <c r="A5" s="42"/>
      <c r="B5" s="1" t="s">
        <v>41</v>
      </c>
      <c r="C5" s="1">
        <v>15</v>
      </c>
      <c r="D5" s="1">
        <v>27.54</v>
      </c>
      <c r="E5" s="1">
        <v>15</v>
      </c>
      <c r="F5" s="1" t="s">
        <v>55</v>
      </c>
      <c r="G5" s="22">
        <f t="shared" si="0"/>
        <v>413.09999999999997</v>
      </c>
      <c r="H5" s="1"/>
    </row>
    <row r="6" spans="1:8" x14ac:dyDescent="0.25">
      <c r="A6" s="42"/>
      <c r="B6" s="1" t="s">
        <v>42</v>
      </c>
      <c r="C6" s="1">
        <v>65</v>
      </c>
      <c r="D6" s="1">
        <v>168</v>
      </c>
      <c r="E6" s="3">
        <v>65</v>
      </c>
      <c r="F6" s="30" t="s">
        <v>54</v>
      </c>
      <c r="G6" s="22">
        <f t="shared" si="0"/>
        <v>10920</v>
      </c>
      <c r="H6" s="1"/>
    </row>
    <row r="7" spans="1:8" x14ac:dyDescent="0.25">
      <c r="A7" s="42"/>
      <c r="B7" s="36" t="s">
        <v>7</v>
      </c>
      <c r="C7" s="37"/>
      <c r="D7" s="38"/>
      <c r="E7" s="3"/>
      <c r="F7" s="3"/>
      <c r="G7" s="14">
        <f>SUM(G3:G6)</f>
        <v>12473.1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2" t="s">
        <v>37</v>
      </c>
      <c r="B9" s="1" t="s">
        <v>43</v>
      </c>
      <c r="C9" s="1">
        <v>1</v>
      </c>
      <c r="D9" s="1">
        <v>587</v>
      </c>
      <c r="E9" s="1">
        <v>1</v>
      </c>
      <c r="F9" s="1" t="s">
        <v>56</v>
      </c>
      <c r="G9" s="1">
        <f>D9*E9</f>
        <v>587</v>
      </c>
      <c r="H9" s="1"/>
    </row>
    <row r="10" spans="1:8" x14ac:dyDescent="0.25">
      <c r="A10" s="42"/>
      <c r="B10" s="1" t="s">
        <v>44</v>
      </c>
      <c r="C10" s="1">
        <v>25</v>
      </c>
      <c r="D10" s="1">
        <v>60</v>
      </c>
      <c r="E10" s="1">
        <v>25</v>
      </c>
      <c r="F10" s="31" t="s">
        <v>54</v>
      </c>
      <c r="G10" s="10">
        <f t="shared" ref="G10:G13" si="1">D10*E10</f>
        <v>1500</v>
      </c>
      <c r="H10" s="1"/>
    </row>
    <row r="11" spans="1:8" x14ac:dyDescent="0.25">
      <c r="A11" s="42"/>
      <c r="B11" s="1" t="s">
        <v>45</v>
      </c>
      <c r="C11" s="1">
        <v>3</v>
      </c>
      <c r="D11" s="1">
        <v>220</v>
      </c>
      <c r="E11" s="1">
        <v>3</v>
      </c>
      <c r="F11" s="1" t="s">
        <v>56</v>
      </c>
      <c r="G11" s="10">
        <f t="shared" si="1"/>
        <v>660</v>
      </c>
      <c r="H11" s="1"/>
    </row>
    <row r="12" spans="1:8" x14ac:dyDescent="0.25">
      <c r="A12" s="42"/>
      <c r="B12" s="1" t="s">
        <v>46</v>
      </c>
      <c r="C12" s="1">
        <v>1</v>
      </c>
      <c r="D12" s="1">
        <v>210</v>
      </c>
      <c r="E12" s="1">
        <v>1</v>
      </c>
      <c r="F12" s="1" t="s">
        <v>56</v>
      </c>
      <c r="G12" s="10">
        <f t="shared" si="1"/>
        <v>210</v>
      </c>
      <c r="H12" s="1"/>
    </row>
    <row r="13" spans="1:8" x14ac:dyDescent="0.25">
      <c r="A13" s="42"/>
      <c r="B13" s="31" t="s">
        <v>47</v>
      </c>
      <c r="C13" s="31">
        <v>1</v>
      </c>
      <c r="D13" s="31">
        <v>70</v>
      </c>
      <c r="E13" s="31">
        <v>10</v>
      </c>
      <c r="F13" s="31" t="s">
        <v>104</v>
      </c>
      <c r="G13" s="32">
        <f t="shared" si="1"/>
        <v>700</v>
      </c>
      <c r="H13" s="31"/>
    </row>
    <row r="14" spans="1:8" x14ac:dyDescent="0.25">
      <c r="A14" s="42"/>
      <c r="B14" s="1"/>
      <c r="C14" s="1"/>
      <c r="D14" s="1"/>
      <c r="E14" s="1"/>
      <c r="F14" s="1"/>
      <c r="G14" s="1"/>
      <c r="H14" s="1"/>
    </row>
    <row r="15" spans="1:8" x14ac:dyDescent="0.25">
      <c r="A15" s="42"/>
      <c r="B15" s="36" t="s">
        <v>7</v>
      </c>
      <c r="C15" s="37"/>
      <c r="D15" s="38"/>
      <c r="E15" s="3"/>
      <c r="F15" s="3"/>
      <c r="G15" s="14">
        <f>SUM(G9:G14)</f>
        <v>3657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42" t="s">
        <v>38</v>
      </c>
      <c r="B17" s="1" t="s">
        <v>48</v>
      </c>
      <c r="C17" s="1">
        <v>35</v>
      </c>
      <c r="D17" s="1">
        <v>11.7</v>
      </c>
      <c r="E17" s="1">
        <v>35</v>
      </c>
      <c r="F17" s="31" t="s">
        <v>54</v>
      </c>
      <c r="G17" s="1">
        <f>D17*E17</f>
        <v>409.5</v>
      </c>
      <c r="H17" s="1"/>
    </row>
    <row r="18" spans="1:8" x14ac:dyDescent="0.25">
      <c r="A18" s="42"/>
      <c r="B18" s="1" t="s">
        <v>49</v>
      </c>
      <c r="C18" s="1">
        <v>15</v>
      </c>
      <c r="D18" s="1">
        <v>141</v>
      </c>
      <c r="E18" s="1">
        <v>15</v>
      </c>
      <c r="F18" s="31" t="s">
        <v>54</v>
      </c>
      <c r="G18" s="17">
        <f t="shared" ref="G18:G20" si="2">D18*E18</f>
        <v>2115</v>
      </c>
      <c r="H18" s="1"/>
    </row>
    <row r="19" spans="1:8" x14ac:dyDescent="0.25">
      <c r="A19" s="42"/>
      <c r="B19" s="1" t="s">
        <v>50</v>
      </c>
      <c r="C19" s="1">
        <v>3</v>
      </c>
      <c r="D19" s="1">
        <v>21.66</v>
      </c>
      <c r="E19" s="1">
        <v>3</v>
      </c>
      <c r="F19" s="31" t="s">
        <v>54</v>
      </c>
      <c r="G19" s="2">
        <f t="shared" si="2"/>
        <v>64.98</v>
      </c>
      <c r="H19" s="1"/>
    </row>
    <row r="20" spans="1:8" x14ac:dyDescent="0.25">
      <c r="A20" s="42"/>
      <c r="B20" s="1" t="s">
        <v>51</v>
      </c>
      <c r="C20" s="1">
        <v>4</v>
      </c>
      <c r="D20" s="1">
        <v>60</v>
      </c>
      <c r="E20" s="3">
        <v>4</v>
      </c>
      <c r="F20" s="30" t="s">
        <v>54</v>
      </c>
      <c r="G20" s="17">
        <f t="shared" si="2"/>
        <v>240</v>
      </c>
      <c r="H20" s="1"/>
    </row>
    <row r="21" spans="1:8" x14ac:dyDescent="0.25">
      <c r="A21" s="42"/>
      <c r="B21" s="36"/>
      <c r="C21" s="37"/>
      <c r="D21" s="38"/>
      <c r="E21" s="3"/>
      <c r="F21" s="3"/>
      <c r="G21" s="14">
        <f>SUM(G17:G20)</f>
        <v>2829.48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42"/>
      <c r="B23" s="1" t="s">
        <v>31</v>
      </c>
      <c r="C23" s="1">
        <v>2</v>
      </c>
      <c r="D23" s="1">
        <v>150</v>
      </c>
      <c r="E23" s="1">
        <v>2</v>
      </c>
      <c r="F23" s="1" t="s">
        <v>32</v>
      </c>
      <c r="G23" s="1">
        <f>D23*E23</f>
        <v>300</v>
      </c>
      <c r="H23" s="1"/>
    </row>
    <row r="24" spans="1:8" x14ac:dyDescent="0.25">
      <c r="A24" s="42"/>
      <c r="B24" s="26" t="s">
        <v>33</v>
      </c>
      <c r="C24" s="1" t="s">
        <v>34</v>
      </c>
      <c r="D24" s="1">
        <v>76.5</v>
      </c>
      <c r="E24" s="1">
        <v>0.5</v>
      </c>
      <c r="F24" s="1" t="s">
        <v>28</v>
      </c>
      <c r="G24" s="10">
        <f>D24*E24</f>
        <v>38.25</v>
      </c>
      <c r="H24" s="1"/>
    </row>
    <row r="25" spans="1:8" x14ac:dyDescent="0.25">
      <c r="A25" s="42"/>
      <c r="B25" s="26" t="s">
        <v>21</v>
      </c>
      <c r="C25" s="1">
        <v>8</v>
      </c>
      <c r="D25" s="1">
        <v>81.599999999999994</v>
      </c>
      <c r="E25" s="1">
        <v>8</v>
      </c>
      <c r="F25" s="1" t="s">
        <v>20</v>
      </c>
      <c r="G25" s="10">
        <f t="shared" ref="G25:G27" si="3">D25*E25</f>
        <v>652.79999999999995</v>
      </c>
      <c r="H25" s="1"/>
    </row>
    <row r="26" spans="1:8" x14ac:dyDescent="0.25">
      <c r="A26" s="42"/>
      <c r="B26" s="1" t="s">
        <v>22</v>
      </c>
      <c r="C26" s="1">
        <v>6</v>
      </c>
      <c r="D26" s="1">
        <v>84.6</v>
      </c>
      <c r="E26" s="1">
        <v>4</v>
      </c>
      <c r="F26" s="1" t="s">
        <v>20</v>
      </c>
      <c r="G26" s="2">
        <f t="shared" si="3"/>
        <v>338.4</v>
      </c>
      <c r="H26" s="1"/>
    </row>
    <row r="27" spans="1:8" x14ac:dyDescent="0.25">
      <c r="A27" s="42"/>
      <c r="B27" s="10" t="s">
        <v>23</v>
      </c>
      <c r="C27" s="10">
        <v>2</v>
      </c>
      <c r="D27" s="10">
        <v>45.6</v>
      </c>
      <c r="E27" s="10">
        <v>20</v>
      </c>
      <c r="F27" s="11" t="s">
        <v>17</v>
      </c>
      <c r="G27" s="10">
        <f t="shared" si="3"/>
        <v>912</v>
      </c>
      <c r="H27" s="10"/>
    </row>
    <row r="28" spans="1:8" x14ac:dyDescent="0.25">
      <c r="A28" s="42"/>
      <c r="B28" s="10" t="s">
        <v>24</v>
      </c>
      <c r="C28" s="10">
        <v>4</v>
      </c>
      <c r="D28" s="10">
        <v>90</v>
      </c>
      <c r="E28" s="10">
        <v>4</v>
      </c>
      <c r="F28" s="10" t="s">
        <v>32</v>
      </c>
      <c r="G28" s="2">
        <f>D28*E28</f>
        <v>360</v>
      </c>
      <c r="H28" s="10"/>
    </row>
    <row r="29" spans="1:8" x14ac:dyDescent="0.25">
      <c r="A29" s="42"/>
      <c r="B29" s="10"/>
      <c r="C29" s="10"/>
      <c r="D29" s="10"/>
      <c r="E29" s="10"/>
      <c r="F29" s="10"/>
      <c r="G29" s="2">
        <f t="shared" ref="G29:G30" si="4">D29*E29</f>
        <v>0</v>
      </c>
      <c r="H29" s="10"/>
    </row>
    <row r="30" spans="1:8" x14ac:dyDescent="0.25">
      <c r="A30" s="42"/>
      <c r="B30" s="10"/>
      <c r="C30" s="10"/>
      <c r="D30" s="10"/>
      <c r="E30" s="10"/>
      <c r="F30" s="10"/>
      <c r="G30" s="2">
        <f t="shared" si="4"/>
        <v>0</v>
      </c>
      <c r="H30" s="10"/>
    </row>
    <row r="31" spans="1:8" x14ac:dyDescent="0.25">
      <c r="A31" s="42"/>
      <c r="B31" s="10"/>
      <c r="C31" s="10"/>
      <c r="D31" s="10"/>
      <c r="E31" s="10"/>
      <c r="F31" s="10"/>
      <c r="G31" s="2"/>
      <c r="H31" s="10"/>
    </row>
    <row r="32" spans="1:8" x14ac:dyDescent="0.25">
      <c r="A32" s="42"/>
      <c r="B32" s="10"/>
      <c r="C32" s="10"/>
      <c r="D32" s="10"/>
      <c r="E32" s="10"/>
      <c r="F32" s="10"/>
      <c r="G32" s="2"/>
      <c r="H32" s="10"/>
    </row>
    <row r="33" spans="1:8" x14ac:dyDescent="0.25">
      <c r="A33" s="42"/>
      <c r="B33" s="28" t="s">
        <v>30</v>
      </c>
      <c r="C33" s="28">
        <v>1</v>
      </c>
      <c r="D33" s="28">
        <v>270</v>
      </c>
      <c r="E33" s="28">
        <v>1</v>
      </c>
      <c r="F33" s="28" t="s">
        <v>29</v>
      </c>
      <c r="G33" s="2">
        <f>D33*E33</f>
        <v>270</v>
      </c>
      <c r="H33" s="1"/>
    </row>
    <row r="34" spans="1:8" x14ac:dyDescent="0.25">
      <c r="A34" s="10"/>
      <c r="B34" s="36" t="s">
        <v>18</v>
      </c>
      <c r="C34" s="37"/>
      <c r="D34" s="38"/>
      <c r="E34" s="28"/>
      <c r="F34" s="28"/>
      <c r="G34" s="15">
        <f>SUM(G23:G33)</f>
        <v>2871.45</v>
      </c>
      <c r="H34" s="10"/>
    </row>
    <row r="35" spans="1:8" x14ac:dyDescent="0.25">
      <c r="A35" s="1" t="s">
        <v>11</v>
      </c>
      <c r="B35" s="28" t="s">
        <v>1</v>
      </c>
      <c r="C35" s="28" t="s">
        <v>2</v>
      </c>
      <c r="D35" s="28" t="s">
        <v>3</v>
      </c>
      <c r="E35" s="28" t="s">
        <v>4</v>
      </c>
      <c r="F35" s="28"/>
      <c r="G35" s="1" t="s">
        <v>5</v>
      </c>
      <c r="H35" s="1" t="s">
        <v>6</v>
      </c>
    </row>
    <row r="36" spans="1:8" x14ac:dyDescent="0.25">
      <c r="A36" s="42" t="s">
        <v>57</v>
      </c>
      <c r="B36" s="28" t="s">
        <v>58</v>
      </c>
      <c r="C36" s="28">
        <v>15</v>
      </c>
      <c r="D36" s="28">
        <v>11.7</v>
      </c>
      <c r="E36" s="28">
        <v>15.84</v>
      </c>
      <c r="F36" s="28" t="s">
        <v>32</v>
      </c>
      <c r="G36" s="2">
        <f>D36*E36</f>
        <v>185.32799999999997</v>
      </c>
      <c r="H36" s="1"/>
    </row>
    <row r="37" spans="1:8" x14ac:dyDescent="0.25">
      <c r="A37" s="42"/>
      <c r="B37" s="28" t="s">
        <v>59</v>
      </c>
      <c r="C37" s="28">
        <v>15</v>
      </c>
      <c r="D37" s="28">
        <v>141</v>
      </c>
      <c r="E37" s="28">
        <v>15</v>
      </c>
      <c r="F37" s="31" t="s">
        <v>54</v>
      </c>
      <c r="G37" s="2">
        <f>D37*E37</f>
        <v>2115</v>
      </c>
      <c r="H37" s="1" t="s">
        <v>15</v>
      </c>
    </row>
    <row r="38" spans="1:8" x14ac:dyDescent="0.25">
      <c r="A38" s="42"/>
      <c r="B38" s="28"/>
      <c r="C38" s="28"/>
      <c r="D38" s="28"/>
      <c r="E38" s="28"/>
      <c r="F38" s="28"/>
      <c r="G38" s="1"/>
      <c r="H38" s="1"/>
    </row>
    <row r="39" spans="1:8" x14ac:dyDescent="0.25">
      <c r="A39" s="42"/>
      <c r="B39" s="36"/>
      <c r="C39" s="37"/>
      <c r="D39" s="38"/>
      <c r="E39" s="29"/>
      <c r="F39" s="29"/>
      <c r="G39" s="14">
        <f>SUM(G36:G38)</f>
        <v>2300.328</v>
      </c>
      <c r="H39" s="1"/>
    </row>
    <row r="40" spans="1:8" x14ac:dyDescent="0.25">
      <c r="A40" s="1" t="s">
        <v>12</v>
      </c>
      <c r="B40" s="28" t="s">
        <v>1</v>
      </c>
      <c r="C40" s="28" t="s">
        <v>2</v>
      </c>
      <c r="D40" s="28" t="s">
        <v>3</v>
      </c>
      <c r="E40" s="29" t="s">
        <v>4</v>
      </c>
      <c r="F40" s="29"/>
      <c r="G40" s="3" t="s">
        <v>5</v>
      </c>
      <c r="H40" s="1" t="s">
        <v>6</v>
      </c>
    </row>
    <row r="41" spans="1:8" x14ac:dyDescent="0.25">
      <c r="A41" s="43"/>
      <c r="B41" s="1" t="s">
        <v>127</v>
      </c>
      <c r="C41" s="1"/>
      <c r="D41" s="1">
        <v>28.56</v>
      </c>
      <c r="E41" s="1">
        <v>70</v>
      </c>
      <c r="F41" s="1" t="s">
        <v>128</v>
      </c>
      <c r="G41" s="2">
        <f>D41*E41</f>
        <v>1999.1999999999998</v>
      </c>
      <c r="H41" s="1"/>
    </row>
    <row r="42" spans="1:8" x14ac:dyDescent="0.25">
      <c r="A42" s="44"/>
      <c r="B42" s="1" t="s">
        <v>129</v>
      </c>
      <c r="C42" s="1"/>
      <c r="D42" s="1">
        <v>239</v>
      </c>
      <c r="E42" s="1">
        <v>7.5</v>
      </c>
      <c r="F42" s="1" t="s">
        <v>130</v>
      </c>
      <c r="G42" s="2">
        <f>D42*E42</f>
        <v>1792.5</v>
      </c>
      <c r="H42" s="1"/>
    </row>
    <row r="43" spans="1:8" x14ac:dyDescent="0.25">
      <c r="A43" s="45"/>
      <c r="B43" s="36" t="s">
        <v>7</v>
      </c>
      <c r="C43" s="37"/>
      <c r="D43" s="38"/>
      <c r="E43" s="3"/>
      <c r="F43" s="3"/>
      <c r="G43" s="14">
        <f>SUM(G41:G42)</f>
        <v>3791.7</v>
      </c>
      <c r="H43" s="6"/>
    </row>
    <row r="44" spans="1:8" x14ac:dyDescent="0.25">
      <c r="A44" s="7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42"/>
      <c r="B45" s="1"/>
      <c r="C45" s="1"/>
      <c r="D45" s="1"/>
      <c r="E45" s="1"/>
      <c r="F45" s="1"/>
      <c r="G45" s="1">
        <f>D45*E45</f>
        <v>0</v>
      </c>
      <c r="H45" s="1"/>
    </row>
    <row r="46" spans="1:8" x14ac:dyDescent="0.25">
      <c r="A46" s="42"/>
      <c r="B46" s="1"/>
      <c r="C46" s="1"/>
      <c r="D46" s="1"/>
      <c r="E46" s="1"/>
      <c r="F46" s="1"/>
      <c r="G46" s="2">
        <f>D46*E46</f>
        <v>0</v>
      </c>
      <c r="H46" s="1"/>
    </row>
    <row r="47" spans="1:8" x14ac:dyDescent="0.25">
      <c r="A47" s="42"/>
      <c r="B47" s="1"/>
      <c r="C47" s="1"/>
      <c r="D47" s="1"/>
      <c r="E47" s="1"/>
      <c r="F47" s="1"/>
      <c r="G47" s="17">
        <f>D47*E47</f>
        <v>0</v>
      </c>
      <c r="H47" s="1"/>
    </row>
    <row r="48" spans="1:8" x14ac:dyDescent="0.25">
      <c r="A48" s="42"/>
      <c r="B48" s="1"/>
      <c r="C48" s="1"/>
      <c r="D48" s="1"/>
      <c r="E48" s="1"/>
      <c r="F48" s="1"/>
      <c r="G48" s="1"/>
      <c r="H48" s="1"/>
    </row>
    <row r="49" spans="1:8" x14ac:dyDescent="0.25">
      <c r="A49" s="42"/>
      <c r="B49" s="36" t="s">
        <v>7</v>
      </c>
      <c r="C49" s="37"/>
      <c r="D49" s="38"/>
      <c r="E49" s="3"/>
      <c r="F49" s="3"/>
      <c r="G49" s="16">
        <f>SUM(G45:G48)</f>
        <v>0</v>
      </c>
      <c r="H49" s="1"/>
    </row>
    <row r="50" spans="1:8" x14ac:dyDescent="0.25">
      <c r="A50" s="1"/>
      <c r="B50" s="46" t="s">
        <v>14</v>
      </c>
      <c r="C50" s="47"/>
      <c r="D50" s="48"/>
      <c r="E50" s="8"/>
      <c r="F50" s="8"/>
      <c r="G50" s="9">
        <f>G49+G43+G39+G21+G15+G7+G34</f>
        <v>27923.058000000001</v>
      </c>
      <c r="H50" s="1"/>
    </row>
  </sheetData>
  <mergeCells count="16">
    <mergeCell ref="B50:D50"/>
    <mergeCell ref="B49:D49"/>
    <mergeCell ref="B43:D43"/>
    <mergeCell ref="B39:D39"/>
    <mergeCell ref="B34:D34"/>
    <mergeCell ref="A45:A49"/>
    <mergeCell ref="A23:A33"/>
    <mergeCell ref="A36:A39"/>
    <mergeCell ref="A41:A43"/>
    <mergeCell ref="A17:A21"/>
    <mergeCell ref="B21:D21"/>
    <mergeCell ref="A1:H1"/>
    <mergeCell ref="A3:A7"/>
    <mergeCell ref="B7:D7"/>
    <mergeCell ref="A9:A15"/>
    <mergeCell ref="B15:D15"/>
  </mergeCells>
  <phoneticPr fontId="2" type="noConversion"/>
  <pageMargins left="0.7" right="0.7" top="0.75" bottom="0.75" header="0.3" footer="0.3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opLeftCell="A28" workbookViewId="0">
      <selection activeCell="H45" sqref="A1:H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9" t="s">
        <v>61</v>
      </c>
      <c r="B1" s="40"/>
      <c r="C1" s="40"/>
      <c r="D1" s="40"/>
      <c r="E1" s="40"/>
      <c r="F1" s="40"/>
      <c r="G1" s="40"/>
      <c r="H1" s="4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2" t="s">
        <v>65</v>
      </c>
      <c r="B3" s="1" t="s">
        <v>83</v>
      </c>
      <c r="C3" s="1">
        <v>20</v>
      </c>
      <c r="D3" s="1">
        <v>180</v>
      </c>
      <c r="E3" s="1">
        <v>20</v>
      </c>
      <c r="F3" s="31" t="s">
        <v>54</v>
      </c>
      <c r="G3" s="2">
        <f>D3*E3</f>
        <v>3600</v>
      </c>
      <c r="H3" s="1"/>
    </row>
    <row r="4" spans="1:8" x14ac:dyDescent="0.25">
      <c r="A4" s="42"/>
      <c r="B4" s="1" t="s">
        <v>84</v>
      </c>
      <c r="C4" s="1">
        <v>30</v>
      </c>
      <c r="D4" s="1">
        <v>141</v>
      </c>
      <c r="E4" s="1">
        <v>30</v>
      </c>
      <c r="F4" s="31" t="s">
        <v>54</v>
      </c>
      <c r="G4" s="2">
        <f t="shared" ref="G4:G6" si="0">D4*E4</f>
        <v>4230</v>
      </c>
      <c r="H4" s="1"/>
    </row>
    <row r="5" spans="1:8" x14ac:dyDescent="0.25">
      <c r="A5" s="42"/>
      <c r="B5" s="1" t="s">
        <v>85</v>
      </c>
      <c r="C5" s="1">
        <v>20</v>
      </c>
      <c r="D5" s="1">
        <v>23.46</v>
      </c>
      <c r="E5" s="1">
        <v>20</v>
      </c>
      <c r="F5" s="31" t="s">
        <v>54</v>
      </c>
      <c r="G5" s="2">
        <f t="shared" si="0"/>
        <v>469.20000000000005</v>
      </c>
      <c r="H5" s="1"/>
    </row>
    <row r="6" spans="1:8" x14ac:dyDescent="0.25">
      <c r="A6" s="42"/>
      <c r="B6" s="1" t="s">
        <v>86</v>
      </c>
      <c r="C6" s="1" t="s">
        <v>90</v>
      </c>
      <c r="D6" s="1">
        <v>96.9</v>
      </c>
      <c r="E6" s="3">
        <v>0.5</v>
      </c>
      <c r="F6" s="30" t="s">
        <v>54</v>
      </c>
      <c r="G6" s="2">
        <f t="shared" si="0"/>
        <v>48.45</v>
      </c>
      <c r="H6" s="1"/>
    </row>
    <row r="7" spans="1:8" x14ac:dyDescent="0.25">
      <c r="A7" s="42"/>
      <c r="B7" s="36" t="s">
        <v>7</v>
      </c>
      <c r="C7" s="37"/>
      <c r="D7" s="38"/>
      <c r="E7" s="3"/>
      <c r="F7" s="3"/>
      <c r="G7" s="14">
        <f>SUM(G3:G6)</f>
        <v>8347.6500000000015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2" t="s">
        <v>66</v>
      </c>
      <c r="B9" s="1" t="s">
        <v>87</v>
      </c>
      <c r="C9" s="1">
        <v>15</v>
      </c>
      <c r="D9" s="1">
        <v>45.9</v>
      </c>
      <c r="E9" s="1">
        <v>15</v>
      </c>
      <c r="F9" s="31" t="s">
        <v>54</v>
      </c>
      <c r="G9" s="1">
        <f>D9*E9</f>
        <v>688.5</v>
      </c>
      <c r="H9" s="1"/>
    </row>
    <row r="10" spans="1:8" x14ac:dyDescent="0.25">
      <c r="A10" s="42"/>
      <c r="B10" s="1" t="s">
        <v>88</v>
      </c>
      <c r="C10" s="1">
        <v>1</v>
      </c>
      <c r="D10" s="1">
        <v>45.6</v>
      </c>
      <c r="E10" s="1">
        <v>20</v>
      </c>
      <c r="F10" s="1" t="s">
        <v>17</v>
      </c>
      <c r="G10" s="19">
        <f>D10*E10</f>
        <v>912</v>
      </c>
      <c r="H10" s="1"/>
    </row>
    <row r="11" spans="1:8" x14ac:dyDescent="0.25">
      <c r="A11" s="42"/>
      <c r="B11" s="1"/>
      <c r="C11" s="1"/>
      <c r="D11" s="1"/>
      <c r="E11" s="1"/>
      <c r="F11" s="1"/>
      <c r="G11" s="1"/>
      <c r="H11" s="1"/>
    </row>
    <row r="12" spans="1:8" x14ac:dyDescent="0.25">
      <c r="A12" s="42"/>
      <c r="B12" s="1"/>
      <c r="C12" s="1"/>
      <c r="D12" s="1"/>
      <c r="E12" s="1"/>
      <c r="F12" s="1"/>
      <c r="G12" s="1"/>
      <c r="H12" s="1"/>
    </row>
    <row r="13" spans="1:8" x14ac:dyDescent="0.25">
      <c r="A13" s="42"/>
      <c r="B13" s="1"/>
      <c r="C13" s="1"/>
      <c r="D13" s="1"/>
      <c r="E13" s="1"/>
      <c r="F13" s="1"/>
      <c r="G13" s="1"/>
      <c r="H13" s="1"/>
    </row>
    <row r="14" spans="1:8" x14ac:dyDescent="0.25">
      <c r="A14" s="42"/>
      <c r="B14" s="36" t="s">
        <v>7</v>
      </c>
      <c r="C14" s="37"/>
      <c r="D14" s="38"/>
      <c r="E14" s="3"/>
      <c r="F14" s="3"/>
      <c r="G14" s="14">
        <f>SUM(G9:G13)</f>
        <v>1600.5</v>
      </c>
      <c r="H14" s="1"/>
    </row>
    <row r="15" spans="1:8" x14ac:dyDescent="0.25">
      <c r="A15" s="28" t="s">
        <v>35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2" t="s">
        <v>67</v>
      </c>
      <c r="B16" s="1" t="s">
        <v>86</v>
      </c>
      <c r="C16" s="1">
        <v>1</v>
      </c>
      <c r="D16" s="1">
        <v>96.9</v>
      </c>
      <c r="E16" s="1">
        <v>1</v>
      </c>
      <c r="F16" s="31" t="s">
        <v>54</v>
      </c>
      <c r="G16" s="1">
        <f>D16*E16</f>
        <v>96.9</v>
      </c>
      <c r="H16" s="1"/>
    </row>
    <row r="17" spans="1:8" x14ac:dyDescent="0.25">
      <c r="A17" s="42"/>
      <c r="B17" s="1" t="s">
        <v>89</v>
      </c>
      <c r="C17" s="1">
        <v>45</v>
      </c>
      <c r="D17" s="1">
        <v>18.239999999999998</v>
      </c>
      <c r="E17" s="1">
        <v>45</v>
      </c>
      <c r="F17" s="31" t="s">
        <v>54</v>
      </c>
      <c r="G17" s="19">
        <f t="shared" ref="G17:G20" si="1">D17*E17</f>
        <v>820.8</v>
      </c>
      <c r="H17" s="1"/>
    </row>
    <row r="18" spans="1:8" x14ac:dyDescent="0.25">
      <c r="A18" s="42"/>
      <c r="B18" s="1"/>
      <c r="C18" s="1"/>
      <c r="D18" s="1"/>
      <c r="E18" s="1"/>
      <c r="F18" s="1"/>
      <c r="G18" s="19">
        <f t="shared" si="1"/>
        <v>0</v>
      </c>
      <c r="H18" s="1"/>
    </row>
    <row r="19" spans="1:8" x14ac:dyDescent="0.25">
      <c r="A19" s="42"/>
      <c r="B19" s="1"/>
      <c r="C19" s="1"/>
      <c r="D19" s="1"/>
      <c r="E19" s="3"/>
      <c r="F19" s="3"/>
      <c r="G19" s="19">
        <f t="shared" si="1"/>
        <v>0</v>
      </c>
      <c r="H19" s="1"/>
    </row>
    <row r="20" spans="1:8" x14ac:dyDescent="0.25">
      <c r="A20" s="42"/>
      <c r="B20" s="1"/>
      <c r="C20" s="1"/>
      <c r="D20" s="1"/>
      <c r="E20" s="3"/>
      <c r="F20" s="3"/>
      <c r="G20" s="19">
        <f t="shared" si="1"/>
        <v>0</v>
      </c>
      <c r="H20" s="1"/>
    </row>
    <row r="21" spans="1:8" x14ac:dyDescent="0.25">
      <c r="A21" s="42"/>
      <c r="B21" s="1"/>
      <c r="C21" s="1"/>
      <c r="D21" s="1"/>
      <c r="E21" s="3"/>
      <c r="F21" s="3"/>
      <c r="G21" s="1"/>
      <c r="H21" s="1"/>
    </row>
    <row r="22" spans="1:8" x14ac:dyDescent="0.25">
      <c r="A22" s="42"/>
      <c r="B22" s="36" t="s">
        <v>7</v>
      </c>
      <c r="C22" s="37"/>
      <c r="D22" s="38"/>
      <c r="E22" s="3"/>
      <c r="F22" s="3"/>
      <c r="G22" s="14">
        <f>SUM(G16:G21)</f>
        <v>917.69999999999993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2"/>
      <c r="B24" s="1" t="s">
        <v>25</v>
      </c>
      <c r="C24" s="1">
        <v>20</v>
      </c>
      <c r="D24" s="1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42"/>
      <c r="B25" s="1" t="s">
        <v>68</v>
      </c>
      <c r="C25" s="1">
        <v>2</v>
      </c>
      <c r="D25" s="1">
        <v>530</v>
      </c>
      <c r="E25" s="1">
        <v>8</v>
      </c>
      <c r="F25" s="1" t="s">
        <v>106</v>
      </c>
      <c r="G25" s="19">
        <f t="shared" ref="G25:G28" si="2">D25*E25</f>
        <v>4240</v>
      </c>
      <c r="H25" s="1"/>
    </row>
    <row r="26" spans="1:8" x14ac:dyDescent="0.25">
      <c r="A26" s="42"/>
      <c r="B26" s="1" t="s">
        <v>49</v>
      </c>
      <c r="C26" s="1">
        <v>3</v>
      </c>
      <c r="D26" s="1">
        <v>141</v>
      </c>
      <c r="E26" s="1">
        <v>3</v>
      </c>
      <c r="F26" s="31" t="s">
        <v>54</v>
      </c>
      <c r="G26" s="19">
        <f t="shared" si="2"/>
        <v>423</v>
      </c>
      <c r="H26" s="1"/>
    </row>
    <row r="27" spans="1:8" x14ac:dyDescent="0.25">
      <c r="A27" s="42"/>
      <c r="B27" s="1" t="s">
        <v>91</v>
      </c>
      <c r="C27" s="1">
        <v>8</v>
      </c>
      <c r="D27" s="1">
        <v>22.8</v>
      </c>
      <c r="E27" s="1">
        <v>8</v>
      </c>
      <c r="F27" s="31" t="s">
        <v>54</v>
      </c>
      <c r="G27" s="19">
        <f t="shared" si="2"/>
        <v>182.4</v>
      </c>
      <c r="H27" s="1"/>
    </row>
    <row r="28" spans="1:8" x14ac:dyDescent="0.25">
      <c r="A28" s="42"/>
      <c r="B28" s="19" t="s">
        <v>131</v>
      </c>
      <c r="C28" s="19"/>
      <c r="D28" s="19">
        <v>78</v>
      </c>
      <c r="E28" s="19">
        <v>6.2</v>
      </c>
      <c r="F28" s="20" t="s">
        <v>128</v>
      </c>
      <c r="G28" s="19">
        <f t="shared" si="2"/>
        <v>483.6</v>
      </c>
      <c r="H28" s="19"/>
    </row>
    <row r="29" spans="1:8" x14ac:dyDescent="0.25">
      <c r="A29" s="42"/>
      <c r="B29" s="36" t="s">
        <v>7</v>
      </c>
      <c r="C29" s="37"/>
      <c r="D29" s="38"/>
      <c r="E29" s="3"/>
      <c r="F29" s="3"/>
      <c r="G29" s="16">
        <f>SUM(G24:G28)</f>
        <v>6529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42" t="s">
        <v>69</v>
      </c>
      <c r="B31" s="1" t="s">
        <v>92</v>
      </c>
      <c r="C31" s="1">
        <v>30</v>
      </c>
      <c r="D31" s="1">
        <v>120</v>
      </c>
      <c r="E31" s="1">
        <v>2</v>
      </c>
      <c r="F31" s="31" t="s">
        <v>132</v>
      </c>
      <c r="G31" s="1">
        <f>D31*E31</f>
        <v>240</v>
      </c>
      <c r="H31" s="1"/>
    </row>
    <row r="32" spans="1:8" x14ac:dyDescent="0.25">
      <c r="A32" s="42"/>
      <c r="B32" s="1" t="s">
        <v>93</v>
      </c>
      <c r="C32" s="1">
        <v>10</v>
      </c>
      <c r="D32" s="1">
        <v>27.84</v>
      </c>
      <c r="E32" s="1">
        <v>1.5</v>
      </c>
      <c r="F32" s="1" t="s">
        <v>17</v>
      </c>
      <c r="G32" s="32">
        <f t="shared" ref="G32:G33" si="3">D32*E32</f>
        <v>41.76</v>
      </c>
      <c r="H32" s="1"/>
    </row>
    <row r="33" spans="1:8" x14ac:dyDescent="0.25">
      <c r="A33" s="42"/>
      <c r="B33" s="1" t="s">
        <v>94</v>
      </c>
      <c r="C33" s="1">
        <v>3</v>
      </c>
      <c r="D33" s="1">
        <v>225</v>
      </c>
      <c r="E33" s="1">
        <v>3</v>
      </c>
      <c r="F33" s="1" t="s">
        <v>53</v>
      </c>
      <c r="G33" s="32">
        <f t="shared" si="3"/>
        <v>675</v>
      </c>
      <c r="H33" s="1"/>
    </row>
    <row r="34" spans="1:8" x14ac:dyDescent="0.25">
      <c r="A34" s="42"/>
      <c r="B34" s="36"/>
      <c r="C34" s="37"/>
      <c r="D34" s="38"/>
      <c r="E34" s="3"/>
      <c r="F34" s="3"/>
      <c r="G34" s="14">
        <f>SUM(G31:G33)</f>
        <v>956.76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43"/>
      <c r="B36" s="1" t="s">
        <v>127</v>
      </c>
      <c r="C36" s="1"/>
      <c r="D36" s="1">
        <v>28.56</v>
      </c>
      <c r="E36" s="1">
        <v>70</v>
      </c>
      <c r="F36" s="1" t="s">
        <v>128</v>
      </c>
      <c r="G36" s="2">
        <f>D36*E36</f>
        <v>1999.1999999999998</v>
      </c>
      <c r="H36" s="1"/>
    </row>
    <row r="37" spans="1:8" x14ac:dyDescent="0.25">
      <c r="A37" s="44"/>
      <c r="B37" s="1" t="s">
        <v>133</v>
      </c>
      <c r="C37" s="1"/>
      <c r="D37" s="1">
        <v>26.88</v>
      </c>
      <c r="E37" s="1">
        <v>126.17</v>
      </c>
      <c r="F37" s="34" t="s">
        <v>17</v>
      </c>
      <c r="G37" s="2">
        <f>D37*E37</f>
        <v>3391.4495999999999</v>
      </c>
      <c r="H37" s="1"/>
    </row>
    <row r="38" spans="1:8" x14ac:dyDescent="0.25">
      <c r="A38" s="45"/>
      <c r="B38" s="36" t="s">
        <v>7</v>
      </c>
      <c r="C38" s="37"/>
      <c r="D38" s="38"/>
      <c r="E38" s="3"/>
      <c r="F38" s="3"/>
      <c r="G38" s="14">
        <f>SUM(G36:G37)</f>
        <v>5390.6495999999997</v>
      </c>
      <c r="H38" s="6"/>
    </row>
    <row r="39" spans="1:8" x14ac:dyDescent="0.25">
      <c r="A39" s="7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42"/>
      <c r="B40" s="1"/>
      <c r="C40" s="1"/>
      <c r="D40" s="1"/>
      <c r="E40" s="1"/>
      <c r="F40" s="1"/>
      <c r="G40" s="1"/>
      <c r="H40" s="1"/>
    </row>
    <row r="41" spans="1:8" x14ac:dyDescent="0.25">
      <c r="A41" s="42"/>
      <c r="B41" s="1"/>
      <c r="C41" s="1"/>
      <c r="D41" s="1"/>
      <c r="E41" s="1"/>
      <c r="F41" s="1"/>
      <c r="G41" s="1"/>
      <c r="H41" s="1"/>
    </row>
    <row r="42" spans="1:8" x14ac:dyDescent="0.25">
      <c r="A42" s="42"/>
      <c r="B42" s="1"/>
      <c r="C42" s="1"/>
      <c r="D42" s="1"/>
      <c r="E42" s="1"/>
      <c r="F42" s="1"/>
      <c r="G42" s="1"/>
      <c r="H42" s="1"/>
    </row>
    <row r="43" spans="1:8" x14ac:dyDescent="0.25">
      <c r="A43" s="42"/>
      <c r="B43" s="1"/>
      <c r="C43" s="1"/>
      <c r="D43" s="1"/>
      <c r="E43" s="1"/>
      <c r="F43" s="1"/>
      <c r="G43" s="1"/>
      <c r="H43" s="1"/>
    </row>
    <row r="44" spans="1:8" x14ac:dyDescent="0.25">
      <c r="A44" s="42"/>
      <c r="B44" s="36" t="s">
        <v>7</v>
      </c>
      <c r="C44" s="37"/>
      <c r="D44" s="38"/>
      <c r="E44" s="3"/>
      <c r="F44" s="3"/>
      <c r="G44" s="4">
        <f>SUM(G40:G43)</f>
        <v>0</v>
      </c>
      <c r="H44" s="1"/>
    </row>
    <row r="45" spans="1:8" x14ac:dyDescent="0.25">
      <c r="A45" s="1"/>
      <c r="B45" s="46" t="s">
        <v>14</v>
      </c>
      <c r="C45" s="47"/>
      <c r="D45" s="48"/>
      <c r="E45" s="8"/>
      <c r="F45" s="8"/>
      <c r="G45" s="9">
        <f>G44+G38+G34+G22+G14+G7+G29</f>
        <v>23742.259600000001</v>
      </c>
      <c r="H45" s="1"/>
    </row>
  </sheetData>
  <mergeCells count="16">
    <mergeCell ref="A40:A44"/>
    <mergeCell ref="B44:D44"/>
    <mergeCell ref="B45:D45"/>
    <mergeCell ref="A24:A29"/>
    <mergeCell ref="B29:D29"/>
    <mergeCell ref="A31:A34"/>
    <mergeCell ref="B34:D34"/>
    <mergeCell ref="A36:A38"/>
    <mergeCell ref="B38:D38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opLeftCell="A30" workbookViewId="0">
      <selection activeCell="H47" sqref="A1:H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9" t="s">
        <v>62</v>
      </c>
      <c r="B1" s="40"/>
      <c r="C1" s="40"/>
      <c r="D1" s="40"/>
      <c r="E1" s="40"/>
      <c r="F1" s="40"/>
      <c r="G1" s="40"/>
      <c r="H1" s="4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2" t="s">
        <v>70</v>
      </c>
      <c r="B3" s="1" t="s">
        <v>70</v>
      </c>
      <c r="C3" s="1">
        <v>65</v>
      </c>
      <c r="D3" s="1">
        <v>21</v>
      </c>
      <c r="E3" s="1">
        <v>65</v>
      </c>
      <c r="F3" s="31" t="s">
        <v>54</v>
      </c>
      <c r="G3" s="2">
        <f>D3*E3</f>
        <v>1365</v>
      </c>
      <c r="H3" s="1"/>
    </row>
    <row r="4" spans="1:8" x14ac:dyDescent="0.25">
      <c r="A4" s="42"/>
      <c r="B4" s="1" t="s">
        <v>96</v>
      </c>
      <c r="C4" s="1">
        <v>10</v>
      </c>
      <c r="D4" s="1">
        <v>81</v>
      </c>
      <c r="E4" s="1">
        <v>10</v>
      </c>
      <c r="F4" s="31" t="s">
        <v>54</v>
      </c>
      <c r="G4" s="2">
        <f t="shared" ref="G4:G6" si="0">D4*E4</f>
        <v>810</v>
      </c>
      <c r="H4" s="1"/>
    </row>
    <row r="5" spans="1:8" x14ac:dyDescent="0.25">
      <c r="A5" s="42"/>
      <c r="B5" s="1" t="s">
        <v>97</v>
      </c>
      <c r="C5" s="1">
        <v>3</v>
      </c>
      <c r="D5" s="1">
        <v>360</v>
      </c>
      <c r="E5" s="1">
        <v>3</v>
      </c>
      <c r="F5" s="1" t="s">
        <v>106</v>
      </c>
      <c r="G5" s="2">
        <f t="shared" si="0"/>
        <v>1080</v>
      </c>
      <c r="H5" s="1"/>
    </row>
    <row r="6" spans="1:8" x14ac:dyDescent="0.25">
      <c r="A6" s="42"/>
      <c r="B6" s="1" t="s">
        <v>107</v>
      </c>
      <c r="C6" s="1">
        <v>3</v>
      </c>
      <c r="D6" s="1">
        <v>91.2</v>
      </c>
      <c r="E6" s="3">
        <v>3</v>
      </c>
      <c r="F6" s="30" t="s">
        <v>54</v>
      </c>
      <c r="G6" s="2">
        <f t="shared" si="0"/>
        <v>273.60000000000002</v>
      </c>
      <c r="H6" s="1"/>
    </row>
    <row r="7" spans="1:8" x14ac:dyDescent="0.25">
      <c r="A7" s="42"/>
      <c r="B7" s="36" t="s">
        <v>7</v>
      </c>
      <c r="C7" s="37"/>
      <c r="D7" s="38"/>
      <c r="E7" s="3"/>
      <c r="F7" s="3"/>
      <c r="G7" s="14">
        <f>SUM(G3:G6)</f>
        <v>3528.6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2" t="s">
        <v>71</v>
      </c>
      <c r="B9" s="1" t="s">
        <v>98</v>
      </c>
      <c r="C9" s="1">
        <v>560</v>
      </c>
      <c r="D9" s="1">
        <v>11.5</v>
      </c>
      <c r="E9" s="27">
        <v>500</v>
      </c>
      <c r="F9" s="1" t="s">
        <v>105</v>
      </c>
      <c r="G9" s="1">
        <f>D9*E9</f>
        <v>5750</v>
      </c>
      <c r="H9" s="1"/>
    </row>
    <row r="10" spans="1:8" x14ac:dyDescent="0.25">
      <c r="A10" s="42"/>
      <c r="B10" s="1"/>
      <c r="C10" s="1"/>
      <c r="D10" s="1"/>
      <c r="E10" s="1"/>
      <c r="F10" s="1"/>
      <c r="G10" s="23">
        <f t="shared" ref="G10:G12" si="1">D10*E10</f>
        <v>0</v>
      </c>
      <c r="H10" s="1"/>
    </row>
    <row r="11" spans="1:8" x14ac:dyDescent="0.25">
      <c r="A11" s="42"/>
      <c r="B11" s="1"/>
      <c r="C11" s="1"/>
      <c r="D11" s="1"/>
      <c r="E11" s="1"/>
      <c r="F11" s="1"/>
      <c r="G11" s="23">
        <f t="shared" si="1"/>
        <v>0</v>
      </c>
      <c r="H11" s="1"/>
    </row>
    <row r="12" spans="1:8" x14ac:dyDescent="0.25">
      <c r="A12" s="42"/>
      <c r="B12" s="1"/>
      <c r="C12" s="1"/>
      <c r="D12" s="1"/>
      <c r="E12" s="1"/>
      <c r="F12" s="1"/>
      <c r="G12" s="23">
        <f t="shared" si="1"/>
        <v>0</v>
      </c>
      <c r="H12" s="1"/>
    </row>
    <row r="13" spans="1:8" x14ac:dyDescent="0.25">
      <c r="A13" s="42"/>
      <c r="B13" s="1"/>
      <c r="C13" s="1"/>
      <c r="D13" s="1"/>
      <c r="E13" s="1"/>
      <c r="F13" s="1"/>
      <c r="G13" s="1"/>
      <c r="H13" s="1"/>
    </row>
    <row r="14" spans="1:8" x14ac:dyDescent="0.25">
      <c r="A14" s="42"/>
      <c r="B14" s="36" t="s">
        <v>7</v>
      </c>
      <c r="C14" s="37"/>
      <c r="D14" s="38"/>
      <c r="E14" s="3"/>
      <c r="F14" s="3"/>
      <c r="G14" s="14">
        <f>SUM(G9:G13)</f>
        <v>5750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9" t="s">
        <v>73</v>
      </c>
      <c r="B16" s="1" t="s">
        <v>72</v>
      </c>
      <c r="C16" s="1">
        <v>30</v>
      </c>
      <c r="D16" s="1">
        <v>150</v>
      </c>
      <c r="E16" s="1">
        <v>30</v>
      </c>
      <c r="F16" s="31" t="s">
        <v>54</v>
      </c>
      <c r="G16" s="1">
        <f>E16*D16</f>
        <v>4500</v>
      </c>
      <c r="H16" s="1"/>
    </row>
    <row r="17" spans="1:8" x14ac:dyDescent="0.25">
      <c r="A17" s="42"/>
      <c r="B17" s="1" t="s">
        <v>85</v>
      </c>
      <c r="C17" s="1">
        <v>5</v>
      </c>
      <c r="D17" s="1">
        <v>23.46</v>
      </c>
      <c r="E17" s="1">
        <v>5</v>
      </c>
      <c r="F17" s="31" t="s">
        <v>54</v>
      </c>
      <c r="G17" s="34">
        <f t="shared" ref="G17:G18" si="2">E17*D17</f>
        <v>117.30000000000001</v>
      </c>
      <c r="H17" s="1"/>
    </row>
    <row r="18" spans="1:8" x14ac:dyDescent="0.25">
      <c r="A18" s="42"/>
      <c r="B18" s="1" t="s">
        <v>99</v>
      </c>
      <c r="C18" s="1">
        <v>290</v>
      </c>
      <c r="D18" s="1">
        <v>16</v>
      </c>
      <c r="E18" s="1">
        <v>400</v>
      </c>
      <c r="F18" s="1" t="s">
        <v>95</v>
      </c>
      <c r="G18" s="34">
        <f t="shared" si="2"/>
        <v>6400</v>
      </c>
      <c r="H18" s="1"/>
    </row>
    <row r="19" spans="1:8" x14ac:dyDescent="0.25">
      <c r="A19" s="42"/>
      <c r="B19" s="1"/>
      <c r="C19" s="1"/>
      <c r="D19" s="1"/>
      <c r="E19" s="3"/>
      <c r="F19" s="3"/>
      <c r="G19" s="1"/>
      <c r="H19" s="1"/>
    </row>
    <row r="20" spans="1:8" x14ac:dyDescent="0.25">
      <c r="A20" s="42"/>
      <c r="B20" s="36" t="s">
        <v>7</v>
      </c>
      <c r="C20" s="37"/>
      <c r="D20" s="38"/>
      <c r="E20" s="3"/>
      <c r="F20" s="3"/>
      <c r="G20" s="14">
        <f>SUM(G16:G19)</f>
        <v>11017.3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2"/>
      <c r="B22" s="1" t="s">
        <v>100</v>
      </c>
      <c r="C22" s="1">
        <v>1</v>
      </c>
      <c r="D22" s="1">
        <v>45</v>
      </c>
      <c r="E22" s="1">
        <v>1</v>
      </c>
      <c r="F22" s="31" t="s">
        <v>54</v>
      </c>
      <c r="G22" s="1">
        <f>D22*E22</f>
        <v>45</v>
      </c>
      <c r="H22" s="1"/>
    </row>
    <row r="23" spans="1:8" x14ac:dyDescent="0.25">
      <c r="A23" s="42"/>
      <c r="B23" s="1" t="s">
        <v>101</v>
      </c>
      <c r="C23" s="1" t="s">
        <v>90</v>
      </c>
      <c r="D23" s="1">
        <v>69</v>
      </c>
      <c r="E23" s="1">
        <v>0.5</v>
      </c>
      <c r="F23" s="31" t="s">
        <v>54</v>
      </c>
      <c r="G23" s="23">
        <f t="shared" ref="G23:G27" si="3">D23*E23</f>
        <v>34.5</v>
      </c>
      <c r="H23" s="1"/>
    </row>
    <row r="24" spans="1:8" x14ac:dyDescent="0.25">
      <c r="A24" s="42"/>
      <c r="B24" s="1" t="s">
        <v>134</v>
      </c>
      <c r="C24" s="1"/>
      <c r="D24" s="1">
        <v>235</v>
      </c>
      <c r="E24" s="1">
        <v>3</v>
      </c>
      <c r="F24" s="1" t="s">
        <v>135</v>
      </c>
      <c r="G24" s="23">
        <f t="shared" si="3"/>
        <v>705</v>
      </c>
      <c r="H24" s="1"/>
    </row>
    <row r="25" spans="1:8" x14ac:dyDescent="0.25">
      <c r="A25" s="42"/>
      <c r="B25" s="1" t="s">
        <v>136</v>
      </c>
      <c r="C25" s="1"/>
      <c r="D25" s="1">
        <v>120</v>
      </c>
      <c r="E25" s="1">
        <v>1</v>
      </c>
      <c r="F25" s="1" t="s">
        <v>135</v>
      </c>
      <c r="G25" s="23">
        <f t="shared" si="3"/>
        <v>120</v>
      </c>
      <c r="H25" s="1"/>
    </row>
    <row r="26" spans="1:8" x14ac:dyDescent="0.25">
      <c r="A26" s="42"/>
      <c r="B26" s="23" t="s">
        <v>137</v>
      </c>
      <c r="C26" s="23"/>
      <c r="D26" s="23">
        <v>1350</v>
      </c>
      <c r="E26" s="23">
        <v>1</v>
      </c>
      <c r="F26" s="24" t="s">
        <v>138</v>
      </c>
      <c r="G26" s="24">
        <f t="shared" si="3"/>
        <v>1350</v>
      </c>
      <c r="H26" s="23"/>
    </row>
    <row r="27" spans="1:8" x14ac:dyDescent="0.25">
      <c r="A27" s="42"/>
      <c r="B27" s="23" t="s">
        <v>139</v>
      </c>
      <c r="C27" s="23"/>
      <c r="D27" s="23">
        <v>1250</v>
      </c>
      <c r="E27" s="23">
        <v>1</v>
      </c>
      <c r="F27" s="24" t="s">
        <v>138</v>
      </c>
      <c r="G27" s="24">
        <f t="shared" si="3"/>
        <v>1250</v>
      </c>
      <c r="H27" s="23"/>
    </row>
    <row r="28" spans="1:8" x14ac:dyDescent="0.25">
      <c r="A28" s="42"/>
      <c r="B28" s="36" t="s">
        <v>7</v>
      </c>
      <c r="C28" s="37"/>
      <c r="D28" s="38"/>
      <c r="E28" s="3"/>
      <c r="F28" s="3"/>
      <c r="G28" s="14">
        <f>SUM(G22:G27)</f>
        <v>3504.5</v>
      </c>
      <c r="H28" s="1"/>
    </row>
    <row r="29" spans="1:8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42" t="s">
        <v>74</v>
      </c>
      <c r="B30" s="1" t="s">
        <v>102</v>
      </c>
      <c r="C30" s="1">
        <v>1</v>
      </c>
      <c r="D30" s="1">
        <v>187</v>
      </c>
      <c r="E30" s="1">
        <v>1</v>
      </c>
      <c r="F30" s="12" t="s">
        <v>52</v>
      </c>
      <c r="G30" s="1">
        <f>D30*E30</f>
        <v>187</v>
      </c>
      <c r="H30" s="1"/>
    </row>
    <row r="31" spans="1:8" x14ac:dyDescent="0.25">
      <c r="A31" s="42"/>
      <c r="B31" s="1" t="s">
        <v>103</v>
      </c>
      <c r="C31" s="1">
        <v>3</v>
      </c>
      <c r="D31" s="1">
        <v>101.4</v>
      </c>
      <c r="E31" s="1">
        <v>15</v>
      </c>
      <c r="F31" s="1" t="s">
        <v>17</v>
      </c>
      <c r="G31" s="23">
        <f>D31*E31</f>
        <v>1521</v>
      </c>
      <c r="H31" s="1" t="s">
        <v>26</v>
      </c>
    </row>
    <row r="32" spans="1:8" x14ac:dyDescent="0.25">
      <c r="A32" s="42"/>
      <c r="B32" s="1"/>
      <c r="C32" s="1"/>
      <c r="D32" s="1"/>
      <c r="E32" s="1"/>
      <c r="F32" s="1"/>
      <c r="G32" s="1"/>
      <c r="H32" s="1"/>
    </row>
    <row r="33" spans="1:8" x14ac:dyDescent="0.25">
      <c r="A33" s="42"/>
      <c r="B33" s="36" t="s">
        <v>16</v>
      </c>
      <c r="C33" s="37"/>
      <c r="D33" s="38"/>
      <c r="E33" s="3"/>
      <c r="F33" s="3"/>
      <c r="G33" s="14">
        <f>SUM(G30:G32)</f>
        <v>1708</v>
      </c>
      <c r="H33" s="1"/>
    </row>
    <row r="34" spans="1:8" x14ac:dyDescent="0.25">
      <c r="A34" s="1" t="s">
        <v>12</v>
      </c>
      <c r="B34" s="1" t="s">
        <v>1</v>
      </c>
      <c r="C34" s="1" t="s">
        <v>2</v>
      </c>
      <c r="D34" s="1" t="s">
        <v>3</v>
      </c>
      <c r="E34" s="3" t="s">
        <v>4</v>
      </c>
      <c r="F34" s="3"/>
      <c r="G34" s="3" t="s">
        <v>5</v>
      </c>
      <c r="H34" s="1" t="s">
        <v>6</v>
      </c>
    </row>
    <row r="35" spans="1:8" x14ac:dyDescent="0.25">
      <c r="A35" s="43"/>
      <c r="B35" s="1" t="s">
        <v>140</v>
      </c>
      <c r="C35" s="1"/>
      <c r="D35" s="1">
        <v>27.54</v>
      </c>
      <c r="E35" s="1">
        <v>70</v>
      </c>
      <c r="F35" s="1" t="s">
        <v>19</v>
      </c>
      <c r="G35" s="1">
        <f>D35*E35</f>
        <v>1927.8</v>
      </c>
      <c r="H35" s="1"/>
    </row>
    <row r="36" spans="1:8" x14ac:dyDescent="0.25">
      <c r="A36" s="44"/>
      <c r="B36" s="1" t="s">
        <v>151</v>
      </c>
      <c r="C36" s="1"/>
      <c r="D36" s="1">
        <v>32.64</v>
      </c>
      <c r="E36" s="53"/>
      <c r="F36" s="23" t="s">
        <v>17</v>
      </c>
      <c r="G36" s="53">
        <f>D36*E36</f>
        <v>0</v>
      </c>
      <c r="H36" s="1"/>
    </row>
    <row r="37" spans="1:8" x14ac:dyDescent="0.25">
      <c r="A37" s="45"/>
      <c r="B37" s="36" t="s">
        <v>7</v>
      </c>
      <c r="C37" s="37"/>
      <c r="D37" s="38"/>
      <c r="E37" s="3"/>
      <c r="F37" s="3"/>
      <c r="G37" s="14">
        <f>SUM(G35:G36)</f>
        <v>1927.8</v>
      </c>
      <c r="H37" s="6"/>
    </row>
    <row r="38" spans="1:8" x14ac:dyDescent="0.25">
      <c r="A38" s="7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43"/>
      <c r="B39" s="1" t="s">
        <v>141</v>
      </c>
      <c r="C39" s="1"/>
      <c r="D39" s="1">
        <v>37</v>
      </c>
      <c r="E39" s="1">
        <v>20</v>
      </c>
      <c r="F39" s="12" t="s">
        <v>142</v>
      </c>
      <c r="G39" s="1">
        <f>D39*E39</f>
        <v>740</v>
      </c>
      <c r="H39" s="1"/>
    </row>
    <row r="40" spans="1:8" x14ac:dyDescent="0.25">
      <c r="A40" s="44"/>
      <c r="B40" s="1" t="s">
        <v>143</v>
      </c>
      <c r="C40" s="1"/>
      <c r="D40" s="1">
        <v>255</v>
      </c>
      <c r="E40" s="1">
        <v>3</v>
      </c>
      <c r="F40" s="12" t="s">
        <v>144</v>
      </c>
      <c r="G40" s="23">
        <f t="shared" ref="G40:G45" si="4">D40*E40</f>
        <v>765</v>
      </c>
      <c r="H40" s="1"/>
    </row>
    <row r="41" spans="1:8" x14ac:dyDescent="0.25">
      <c r="A41" s="44"/>
      <c r="B41" s="1" t="s">
        <v>145</v>
      </c>
      <c r="C41" s="1"/>
      <c r="D41" s="1">
        <v>270</v>
      </c>
      <c r="E41" s="1">
        <v>2</v>
      </c>
      <c r="F41" s="12" t="s">
        <v>144</v>
      </c>
      <c r="G41" s="23">
        <f t="shared" si="4"/>
        <v>540</v>
      </c>
      <c r="H41" s="1"/>
    </row>
    <row r="42" spans="1:8" x14ac:dyDescent="0.25">
      <c r="A42" s="44"/>
      <c r="B42" s="1" t="s">
        <v>146</v>
      </c>
      <c r="C42" s="1"/>
      <c r="D42" s="1">
        <v>270</v>
      </c>
      <c r="E42" s="1">
        <v>2</v>
      </c>
      <c r="F42" s="12" t="s">
        <v>144</v>
      </c>
      <c r="G42" s="23">
        <f t="shared" si="4"/>
        <v>540</v>
      </c>
      <c r="H42" s="1"/>
    </row>
    <row r="43" spans="1:8" x14ac:dyDescent="0.25">
      <c r="A43" s="44"/>
      <c r="B43" s="34" t="s">
        <v>148</v>
      </c>
      <c r="C43" s="34"/>
      <c r="D43" s="33">
        <v>125</v>
      </c>
      <c r="E43" s="33">
        <v>12</v>
      </c>
      <c r="F43" s="33" t="s">
        <v>149</v>
      </c>
      <c r="G43" s="34">
        <f t="shared" si="4"/>
        <v>1500</v>
      </c>
      <c r="H43" s="34"/>
    </row>
    <row r="44" spans="1:8" x14ac:dyDescent="0.25">
      <c r="A44" s="44"/>
      <c r="B44" s="34" t="s">
        <v>150</v>
      </c>
      <c r="C44" s="34"/>
      <c r="D44" s="33">
        <v>273</v>
      </c>
      <c r="E44" s="33">
        <v>2</v>
      </c>
      <c r="F44" s="33" t="s">
        <v>144</v>
      </c>
      <c r="G44" s="34">
        <f t="shared" si="4"/>
        <v>546</v>
      </c>
      <c r="H44" s="34"/>
    </row>
    <row r="45" spans="1:8" x14ac:dyDescent="0.25">
      <c r="A45" s="44"/>
      <c r="B45" s="12" t="s">
        <v>147</v>
      </c>
      <c r="C45" s="12"/>
      <c r="D45" s="13">
        <v>120</v>
      </c>
      <c r="E45" s="13">
        <v>1</v>
      </c>
      <c r="F45" s="13" t="s">
        <v>135</v>
      </c>
      <c r="G45" s="23">
        <f t="shared" si="4"/>
        <v>120</v>
      </c>
      <c r="H45" s="12"/>
    </row>
    <row r="46" spans="1:8" x14ac:dyDescent="0.25">
      <c r="A46" s="45"/>
      <c r="B46" s="36" t="s">
        <v>7</v>
      </c>
      <c r="C46" s="37"/>
      <c r="D46" s="38"/>
      <c r="E46" s="3"/>
      <c r="F46" s="3"/>
      <c r="G46" s="14">
        <f>SUM(G39:G45)</f>
        <v>4751</v>
      </c>
      <c r="H46" s="1"/>
    </row>
    <row r="47" spans="1:8" x14ac:dyDescent="0.25">
      <c r="A47" s="12"/>
      <c r="B47" s="46" t="s">
        <v>14</v>
      </c>
      <c r="C47" s="47"/>
      <c r="D47" s="48"/>
      <c r="E47" s="8"/>
      <c r="F47" s="8"/>
      <c r="G47" s="9">
        <f>G46+G37+G33+G20+G14+G7+G28</f>
        <v>32187.199999999997</v>
      </c>
      <c r="H47" s="1"/>
    </row>
  </sheetData>
  <mergeCells count="16">
    <mergeCell ref="B46:D46"/>
    <mergeCell ref="B47:D47"/>
    <mergeCell ref="A22:A28"/>
    <mergeCell ref="B28:D28"/>
    <mergeCell ref="A30:A33"/>
    <mergeCell ref="B33:D33"/>
    <mergeCell ref="A35:A37"/>
    <mergeCell ref="B37:D37"/>
    <mergeCell ref="A39:A46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25" workbookViewId="0">
      <selection activeCell="C54" sqref="C5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9" t="s">
        <v>63</v>
      </c>
      <c r="B1" s="40"/>
      <c r="C1" s="40"/>
      <c r="D1" s="40"/>
      <c r="E1" s="40"/>
      <c r="F1" s="40"/>
      <c r="G1" s="40"/>
      <c r="H1" s="4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2" t="s">
        <v>75</v>
      </c>
      <c r="B3" s="1" t="s">
        <v>85</v>
      </c>
      <c r="C3" s="1">
        <v>10</v>
      </c>
      <c r="D3" s="1">
        <v>23.46</v>
      </c>
      <c r="E3" s="1">
        <v>10</v>
      </c>
      <c r="F3" s="31" t="s">
        <v>54</v>
      </c>
      <c r="G3" s="2">
        <f>D3*E3</f>
        <v>234.60000000000002</v>
      </c>
      <c r="H3" s="1"/>
    </row>
    <row r="4" spans="1:8" x14ac:dyDescent="0.25">
      <c r="A4" s="42"/>
      <c r="B4" s="1" t="s">
        <v>108</v>
      </c>
      <c r="C4" s="1">
        <v>5</v>
      </c>
      <c r="D4" s="1">
        <v>103.5</v>
      </c>
      <c r="E4" s="1">
        <v>5</v>
      </c>
      <c r="F4" s="31" t="s">
        <v>54</v>
      </c>
      <c r="G4" s="2">
        <f t="shared" ref="G4:G6" si="0">D4*E4</f>
        <v>517.5</v>
      </c>
      <c r="H4" s="1"/>
    </row>
    <row r="5" spans="1:8" x14ac:dyDescent="0.25">
      <c r="A5" s="42"/>
      <c r="B5" s="1" t="s">
        <v>109</v>
      </c>
      <c r="C5" s="1">
        <v>5</v>
      </c>
      <c r="D5" s="1">
        <v>135</v>
      </c>
      <c r="E5" s="1">
        <v>5</v>
      </c>
      <c r="F5" s="31" t="s">
        <v>54</v>
      </c>
      <c r="G5" s="2">
        <f t="shared" si="0"/>
        <v>675</v>
      </c>
      <c r="H5" s="1"/>
    </row>
    <row r="6" spans="1:8" x14ac:dyDescent="0.25">
      <c r="A6" s="42"/>
      <c r="B6" s="18" t="s">
        <v>42</v>
      </c>
      <c r="C6" s="1">
        <v>65</v>
      </c>
      <c r="D6" s="1">
        <v>168</v>
      </c>
      <c r="E6" s="3">
        <v>65</v>
      </c>
      <c r="F6" s="30" t="s">
        <v>54</v>
      </c>
      <c r="G6" s="2">
        <f t="shared" si="0"/>
        <v>10920</v>
      </c>
      <c r="H6" s="1"/>
    </row>
    <row r="7" spans="1:8" x14ac:dyDescent="0.25">
      <c r="A7" s="42"/>
      <c r="B7" s="36" t="s">
        <v>7</v>
      </c>
      <c r="C7" s="37"/>
      <c r="D7" s="38"/>
      <c r="E7" s="3"/>
      <c r="F7" s="3"/>
      <c r="G7" s="14">
        <f>SUM(G3:G6)</f>
        <v>12347.1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2" t="s">
        <v>76</v>
      </c>
      <c r="B9" s="18" t="s">
        <v>110</v>
      </c>
      <c r="C9" s="1">
        <v>60</v>
      </c>
      <c r="D9" s="1">
        <v>25.5</v>
      </c>
      <c r="E9" s="1">
        <v>60</v>
      </c>
      <c r="F9" s="31" t="s">
        <v>54</v>
      </c>
      <c r="G9" s="1">
        <f>D9*E9</f>
        <v>1530</v>
      </c>
      <c r="H9" s="1"/>
    </row>
    <row r="10" spans="1:8" x14ac:dyDescent="0.25">
      <c r="A10" s="42"/>
      <c r="B10" s="1" t="s">
        <v>51</v>
      </c>
      <c r="C10" s="1">
        <v>8</v>
      </c>
      <c r="D10" s="1">
        <v>60</v>
      </c>
      <c r="E10" s="1">
        <v>8</v>
      </c>
      <c r="F10" s="31" t="s">
        <v>54</v>
      </c>
      <c r="G10" s="35">
        <f t="shared" ref="G10:G12" si="1">D10*E10</f>
        <v>480</v>
      </c>
      <c r="H10" s="1"/>
    </row>
    <row r="11" spans="1:8" x14ac:dyDescent="0.25">
      <c r="A11" s="42"/>
      <c r="B11" s="1" t="s">
        <v>111</v>
      </c>
      <c r="C11" s="1">
        <v>8</v>
      </c>
      <c r="D11" s="1">
        <v>123</v>
      </c>
      <c r="E11" s="1">
        <v>8</v>
      </c>
      <c r="F11" s="31" t="s">
        <v>54</v>
      </c>
      <c r="G11" s="35">
        <f t="shared" si="1"/>
        <v>984</v>
      </c>
      <c r="H11" s="1"/>
    </row>
    <row r="12" spans="1:8" x14ac:dyDescent="0.25">
      <c r="A12" s="42"/>
      <c r="B12" s="1" t="s">
        <v>112</v>
      </c>
      <c r="C12" s="1" t="s">
        <v>90</v>
      </c>
      <c r="D12" s="1">
        <v>666.6</v>
      </c>
      <c r="E12" s="1">
        <v>0.5</v>
      </c>
      <c r="F12" s="31" t="s">
        <v>54</v>
      </c>
      <c r="G12" s="35">
        <f t="shared" si="1"/>
        <v>333.3</v>
      </c>
      <c r="H12" s="1"/>
    </row>
    <row r="13" spans="1:8" x14ac:dyDescent="0.25">
      <c r="A13" s="42"/>
      <c r="B13" s="1"/>
      <c r="C13" s="1"/>
      <c r="D13" s="1"/>
      <c r="E13" s="1"/>
      <c r="F13" s="1"/>
      <c r="G13" s="1"/>
      <c r="H13" s="1"/>
    </row>
    <row r="14" spans="1:8" x14ac:dyDescent="0.25">
      <c r="A14" s="42"/>
      <c r="B14" s="36" t="s">
        <v>7</v>
      </c>
      <c r="C14" s="37"/>
      <c r="D14" s="38"/>
      <c r="E14" s="3"/>
      <c r="F14" s="3"/>
      <c r="G14" s="14">
        <f>SUM(G9:G13)</f>
        <v>3327.3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2" t="s">
        <v>77</v>
      </c>
      <c r="B16" s="1" t="s">
        <v>50</v>
      </c>
      <c r="C16" s="1">
        <v>3</v>
      </c>
      <c r="D16" s="1">
        <v>22.8</v>
      </c>
      <c r="E16" s="1">
        <v>3</v>
      </c>
      <c r="F16" s="31" t="s">
        <v>54</v>
      </c>
      <c r="G16" s="1">
        <f>D16*E16</f>
        <v>68.400000000000006</v>
      </c>
      <c r="H16" s="1"/>
    </row>
    <row r="17" spans="1:8" x14ac:dyDescent="0.25">
      <c r="A17" s="42"/>
      <c r="B17" s="1" t="s">
        <v>113</v>
      </c>
      <c r="C17" s="1">
        <v>25</v>
      </c>
      <c r="D17" s="1">
        <v>58.14</v>
      </c>
      <c r="E17" s="1">
        <v>25</v>
      </c>
      <c r="F17" s="31" t="s">
        <v>54</v>
      </c>
      <c r="G17" s="35">
        <f t="shared" ref="G17:G18" si="2">D17*E17</f>
        <v>1453.5</v>
      </c>
      <c r="H17" s="1"/>
    </row>
    <row r="18" spans="1:8" x14ac:dyDescent="0.25">
      <c r="A18" s="42"/>
      <c r="B18" s="1" t="s">
        <v>114</v>
      </c>
      <c r="C18" s="1">
        <v>20</v>
      </c>
      <c r="D18" s="1">
        <v>141</v>
      </c>
      <c r="E18" s="1">
        <v>20</v>
      </c>
      <c r="F18" s="31" t="s">
        <v>54</v>
      </c>
      <c r="G18" s="35">
        <f t="shared" si="2"/>
        <v>2820</v>
      </c>
      <c r="H18" s="1"/>
    </row>
    <row r="19" spans="1:8" x14ac:dyDescent="0.25">
      <c r="A19" s="42"/>
      <c r="B19" s="25"/>
      <c r="C19" s="25"/>
      <c r="D19" s="25"/>
      <c r="E19" s="25"/>
      <c r="F19" s="25"/>
      <c r="G19" s="1"/>
      <c r="H19" s="1"/>
    </row>
    <row r="20" spans="1:8" x14ac:dyDescent="0.25">
      <c r="A20" s="42"/>
      <c r="B20" s="36" t="s">
        <v>7</v>
      </c>
      <c r="C20" s="37"/>
      <c r="D20" s="38"/>
      <c r="E20" s="3"/>
      <c r="F20" s="3"/>
      <c r="G20" s="14">
        <f>SUM(G16:G19)</f>
        <v>4341.8999999999996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2"/>
      <c r="B22" s="1" t="s">
        <v>115</v>
      </c>
      <c r="C22" s="1">
        <v>8</v>
      </c>
      <c r="D22" s="1">
        <v>21</v>
      </c>
      <c r="E22" s="1">
        <v>8</v>
      </c>
      <c r="F22" s="31" t="s">
        <v>54</v>
      </c>
      <c r="G22" s="1">
        <f>D22*E22</f>
        <v>168</v>
      </c>
      <c r="H22" s="1"/>
    </row>
    <row r="23" spans="1:8" x14ac:dyDescent="0.25">
      <c r="A23" s="42"/>
      <c r="B23" s="1" t="s">
        <v>154</v>
      </c>
      <c r="C23" s="1"/>
      <c r="D23" s="1">
        <v>72</v>
      </c>
      <c r="E23" s="1">
        <v>7.77</v>
      </c>
      <c r="F23" s="1" t="s">
        <v>153</v>
      </c>
      <c r="G23" s="35">
        <f>D23*E23</f>
        <v>559.43999999999994</v>
      </c>
      <c r="H23" s="1" t="s">
        <v>27</v>
      </c>
    </row>
    <row r="24" spans="1:8" x14ac:dyDescent="0.25">
      <c r="A24" s="42"/>
      <c r="B24" s="1" t="s">
        <v>155</v>
      </c>
      <c r="C24" s="1"/>
      <c r="D24" s="1">
        <v>4.5</v>
      </c>
      <c r="E24" s="1">
        <v>50</v>
      </c>
      <c r="F24" s="1" t="s">
        <v>156</v>
      </c>
      <c r="G24" s="35">
        <f>D24*E24</f>
        <v>225</v>
      </c>
      <c r="H24" s="1"/>
    </row>
    <row r="25" spans="1:8" x14ac:dyDescent="0.25">
      <c r="A25" s="42"/>
      <c r="B25" s="1"/>
      <c r="C25" s="1"/>
      <c r="D25" s="1"/>
      <c r="E25" s="1"/>
      <c r="F25" s="1"/>
      <c r="G25" s="1"/>
      <c r="H25" s="1"/>
    </row>
    <row r="26" spans="1:8" x14ac:dyDescent="0.25">
      <c r="A26" s="42"/>
      <c r="B26" s="36" t="s">
        <v>7</v>
      </c>
      <c r="C26" s="37"/>
      <c r="D26" s="38"/>
      <c r="E26" s="3"/>
      <c r="F26" s="3"/>
      <c r="G26" s="14">
        <f>SUM(G22:G25)</f>
        <v>952.43999999999994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42" t="s">
        <v>78</v>
      </c>
      <c r="B28" s="25" t="s">
        <v>116</v>
      </c>
      <c r="C28" s="25">
        <v>15</v>
      </c>
      <c r="D28" s="25">
        <v>36</v>
      </c>
      <c r="E28" s="25">
        <v>15</v>
      </c>
      <c r="F28" t="s">
        <v>54</v>
      </c>
      <c r="G28" s="1">
        <f>D28*E28</f>
        <v>540</v>
      </c>
      <c r="H28" s="1"/>
    </row>
    <row r="29" spans="1:8" x14ac:dyDescent="0.25">
      <c r="A29" s="42"/>
      <c r="B29" s="1" t="s">
        <v>117</v>
      </c>
      <c r="C29" s="1">
        <v>15</v>
      </c>
      <c r="D29" s="1">
        <v>30</v>
      </c>
      <c r="E29" s="1">
        <v>15</v>
      </c>
      <c r="F29" s="31" t="s">
        <v>54</v>
      </c>
      <c r="G29" s="35">
        <f t="shared" ref="G29:G30" si="3">D29*E29</f>
        <v>450</v>
      </c>
      <c r="H29" s="1"/>
    </row>
    <row r="30" spans="1:8" x14ac:dyDescent="0.25">
      <c r="A30" s="42"/>
      <c r="B30" s="1" t="s">
        <v>118</v>
      </c>
      <c r="C30" s="1">
        <v>5</v>
      </c>
      <c r="D30" s="1">
        <v>30</v>
      </c>
      <c r="E30" s="1">
        <v>5</v>
      </c>
      <c r="F30" s="1" t="s">
        <v>104</v>
      </c>
      <c r="G30" s="35">
        <f t="shared" si="3"/>
        <v>150</v>
      </c>
      <c r="H30" s="1"/>
    </row>
    <row r="31" spans="1:8" x14ac:dyDescent="0.25">
      <c r="A31" s="42"/>
      <c r="B31" s="36"/>
      <c r="C31" s="37"/>
      <c r="D31" s="38"/>
      <c r="E31" s="3"/>
      <c r="F31" s="3"/>
      <c r="G31" s="16">
        <f>SUM(G28:G30)</f>
        <v>1140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43"/>
      <c r="B33" s="1" t="s">
        <v>152</v>
      </c>
      <c r="C33" s="1"/>
      <c r="D33" s="1">
        <v>39.6</v>
      </c>
      <c r="E33" s="1">
        <v>75</v>
      </c>
      <c r="F33" s="1" t="s">
        <v>153</v>
      </c>
      <c r="G33" s="1">
        <f>D33*E33</f>
        <v>2970</v>
      </c>
      <c r="H33" s="1"/>
    </row>
    <row r="34" spans="1:8" x14ac:dyDescent="0.25">
      <c r="A34" s="44"/>
      <c r="B34" s="1" t="s">
        <v>157</v>
      </c>
      <c r="C34" s="1"/>
      <c r="D34" s="1"/>
      <c r="E34" s="1"/>
      <c r="F34" s="1"/>
      <c r="G34" s="2">
        <v>0</v>
      </c>
      <c r="H34" s="1" t="s">
        <v>158</v>
      </c>
    </row>
    <row r="35" spans="1:8" x14ac:dyDescent="0.25">
      <c r="A35" s="45"/>
      <c r="B35" s="36" t="s">
        <v>7</v>
      </c>
      <c r="C35" s="37"/>
      <c r="D35" s="38"/>
      <c r="E35" s="3"/>
      <c r="F35" s="3"/>
      <c r="G35" s="14">
        <f>SUM(G33:G34)</f>
        <v>2970</v>
      </c>
      <c r="H35" s="6"/>
    </row>
    <row r="36" spans="1:8" x14ac:dyDescent="0.25">
      <c r="A36" s="7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42"/>
      <c r="B37" s="1"/>
      <c r="C37" s="1"/>
      <c r="D37" s="1"/>
      <c r="E37" s="1"/>
      <c r="F37" s="1"/>
      <c r="G37" s="1"/>
      <c r="H37" s="1"/>
    </row>
    <row r="38" spans="1:8" x14ac:dyDescent="0.25">
      <c r="A38" s="42"/>
      <c r="B38" s="1"/>
      <c r="C38" s="1"/>
      <c r="D38" s="1"/>
      <c r="E38" s="1"/>
      <c r="F38" s="1"/>
      <c r="G38" s="1"/>
      <c r="H38" s="1"/>
    </row>
    <row r="39" spans="1:8" x14ac:dyDescent="0.25">
      <c r="A39" s="42"/>
      <c r="B39" s="1"/>
      <c r="C39" s="1"/>
      <c r="D39" s="1"/>
      <c r="E39" s="1"/>
      <c r="F39" s="1"/>
      <c r="G39" s="1"/>
      <c r="H39" s="1"/>
    </row>
    <row r="40" spans="1:8" x14ac:dyDescent="0.25">
      <c r="A40" s="42"/>
      <c r="B40" s="1"/>
      <c r="C40" s="1"/>
      <c r="D40" s="1"/>
      <c r="E40" s="1"/>
      <c r="F40" s="1"/>
      <c r="G40" s="1"/>
      <c r="H40" s="1"/>
    </row>
    <row r="41" spans="1:8" x14ac:dyDescent="0.25">
      <c r="A41" s="42"/>
      <c r="B41" s="36" t="s">
        <v>7</v>
      </c>
      <c r="C41" s="37"/>
      <c r="D41" s="38"/>
      <c r="E41" s="3"/>
      <c r="F41" s="3"/>
      <c r="G41" s="4">
        <f>SUM(G37:G40)</f>
        <v>0</v>
      </c>
      <c r="H41" s="1"/>
    </row>
    <row r="42" spans="1:8" x14ac:dyDescent="0.25">
      <c r="A42" s="1"/>
      <c r="B42" s="46" t="s">
        <v>14</v>
      </c>
      <c r="C42" s="47"/>
      <c r="D42" s="48"/>
      <c r="E42" s="8"/>
      <c r="F42" s="8"/>
      <c r="G42" s="9">
        <f>G41+G35+G31+G20+G14+G7+G26</f>
        <v>25078.74</v>
      </c>
      <c r="H42" s="1"/>
    </row>
  </sheetData>
  <mergeCells count="16"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workbookViewId="0">
      <selection activeCell="H57" sqref="A1:H5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9" t="s">
        <v>64</v>
      </c>
      <c r="B1" s="40"/>
      <c r="C1" s="40"/>
      <c r="D1" s="40"/>
      <c r="E1" s="40"/>
      <c r="F1" s="40"/>
      <c r="G1" s="40"/>
      <c r="H1" s="4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2" t="s">
        <v>79</v>
      </c>
      <c r="B3" s="1" t="s">
        <v>119</v>
      </c>
      <c r="C3" s="1">
        <v>260</v>
      </c>
      <c r="D3" s="1">
        <v>99</v>
      </c>
      <c r="E3" s="1">
        <v>63.37</v>
      </c>
      <c r="F3" s="1" t="s">
        <v>17</v>
      </c>
      <c r="G3" s="2">
        <f>D3*E3</f>
        <v>6273.63</v>
      </c>
      <c r="H3" s="1"/>
    </row>
    <row r="4" spans="1:8" x14ac:dyDescent="0.25">
      <c r="A4" s="42"/>
      <c r="B4" s="1"/>
      <c r="C4" s="1"/>
      <c r="D4" s="1"/>
      <c r="E4" s="1"/>
      <c r="F4" s="1"/>
      <c r="G4" s="1"/>
      <c r="H4" s="1"/>
    </row>
    <row r="5" spans="1:8" x14ac:dyDescent="0.25">
      <c r="A5" s="42"/>
      <c r="B5" s="1"/>
      <c r="C5" s="1"/>
      <c r="D5" s="1"/>
      <c r="E5" s="1"/>
      <c r="F5" s="1"/>
      <c r="G5" s="1"/>
      <c r="H5" s="1"/>
    </row>
    <row r="6" spans="1:8" x14ac:dyDescent="0.25">
      <c r="A6" s="42"/>
      <c r="B6" s="1"/>
      <c r="C6" s="1"/>
      <c r="D6" s="1"/>
      <c r="E6" s="3"/>
      <c r="F6" s="3"/>
      <c r="G6" s="3"/>
      <c r="H6" s="1"/>
    </row>
    <row r="7" spans="1:8" x14ac:dyDescent="0.25">
      <c r="A7" s="42"/>
      <c r="B7" s="1"/>
      <c r="C7" s="1"/>
      <c r="D7" s="1"/>
      <c r="E7" s="3"/>
      <c r="F7" s="3"/>
      <c r="G7" s="3"/>
      <c r="H7" s="1"/>
    </row>
    <row r="8" spans="1:8" x14ac:dyDescent="0.25">
      <c r="A8" s="42"/>
      <c r="B8" s="36" t="s">
        <v>7</v>
      </c>
      <c r="C8" s="37"/>
      <c r="D8" s="38"/>
      <c r="E8" s="3"/>
      <c r="F8" s="3"/>
      <c r="G8" s="14">
        <f>SUM(G3:G7)</f>
        <v>6273.63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3" t="s">
        <v>80</v>
      </c>
      <c r="B10" s="25" t="s">
        <v>120</v>
      </c>
      <c r="C10" s="25">
        <v>40</v>
      </c>
      <c r="D10" s="25">
        <v>48</v>
      </c>
      <c r="E10" s="25">
        <v>40</v>
      </c>
      <c r="F10" s="31" t="s">
        <v>54</v>
      </c>
      <c r="G10" s="25">
        <f>D10*E10</f>
        <v>1920</v>
      </c>
      <c r="H10" s="25"/>
    </row>
    <row r="11" spans="1:8" x14ac:dyDescent="0.25">
      <c r="A11" s="44"/>
      <c r="B11" s="1"/>
      <c r="C11" s="1"/>
      <c r="D11" s="1"/>
      <c r="E11" s="1"/>
      <c r="F11" s="12"/>
      <c r="G11" s="1"/>
      <c r="H11" s="1"/>
    </row>
    <row r="12" spans="1:8" x14ac:dyDescent="0.25">
      <c r="A12" s="44"/>
      <c r="B12" s="1"/>
      <c r="C12" s="1"/>
      <c r="D12" s="1"/>
      <c r="E12" s="1"/>
      <c r="F12" s="12"/>
      <c r="G12" s="1"/>
      <c r="H12" s="1"/>
    </row>
    <row r="13" spans="1:8" x14ac:dyDescent="0.25">
      <c r="A13" s="44"/>
      <c r="B13" s="1"/>
      <c r="C13" s="1"/>
      <c r="D13" s="1"/>
      <c r="E13" s="1"/>
      <c r="F13" s="12"/>
      <c r="G13" s="1"/>
      <c r="H13" s="1"/>
    </row>
    <row r="14" spans="1:8" x14ac:dyDescent="0.25">
      <c r="A14" s="44"/>
      <c r="B14" s="1"/>
      <c r="C14" s="1"/>
      <c r="D14" s="1"/>
      <c r="E14" s="1"/>
      <c r="F14" s="12"/>
      <c r="G14" s="1"/>
      <c r="H14" s="1"/>
    </row>
    <row r="15" spans="1:8" x14ac:dyDescent="0.25">
      <c r="A15" s="44"/>
      <c r="B15" s="18"/>
      <c r="C15" s="1"/>
      <c r="D15" s="1"/>
      <c r="E15" s="1"/>
      <c r="F15" s="1"/>
      <c r="G15" s="1"/>
      <c r="H15" s="12"/>
    </row>
    <row r="16" spans="1:8" x14ac:dyDescent="0.25">
      <c r="A16" s="45"/>
      <c r="B16" s="36" t="s">
        <v>7</v>
      </c>
      <c r="C16" s="37"/>
      <c r="D16" s="38"/>
      <c r="E16" s="3"/>
      <c r="F16" s="3"/>
      <c r="G16" s="14">
        <f>SUM(G10:G15)</f>
        <v>1920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2" t="s">
        <v>81</v>
      </c>
      <c r="B18" s="1" t="s">
        <v>121</v>
      </c>
      <c r="C18" s="1">
        <v>50</v>
      </c>
      <c r="D18" s="1">
        <v>33.659999999999997</v>
      </c>
      <c r="E18" s="1">
        <v>50</v>
      </c>
      <c r="F18" s="31" t="s">
        <v>54</v>
      </c>
      <c r="G18" s="1">
        <f>D18*E18</f>
        <v>1682.9999999999998</v>
      </c>
      <c r="H18" s="1"/>
    </row>
    <row r="19" spans="1:8" x14ac:dyDescent="0.25">
      <c r="A19" s="42"/>
      <c r="B19" s="1" t="s">
        <v>122</v>
      </c>
      <c r="C19" s="1">
        <v>3</v>
      </c>
      <c r="D19" s="1">
        <v>78.599999999999994</v>
      </c>
      <c r="E19" s="1">
        <v>15</v>
      </c>
      <c r="F19" s="31" t="s">
        <v>17</v>
      </c>
      <c r="G19" s="35">
        <f t="shared" ref="G19:G20" si="0">D19*E19</f>
        <v>1179</v>
      </c>
      <c r="H19" s="1"/>
    </row>
    <row r="20" spans="1:8" x14ac:dyDescent="0.25">
      <c r="A20" s="42"/>
      <c r="B20" s="1" t="s">
        <v>123</v>
      </c>
      <c r="C20" s="1">
        <v>2</v>
      </c>
      <c r="D20" s="1">
        <v>17.100000000000001</v>
      </c>
      <c r="E20" s="1">
        <v>2</v>
      </c>
      <c r="F20" s="31" t="s">
        <v>54</v>
      </c>
      <c r="G20" s="35">
        <f t="shared" si="0"/>
        <v>34.200000000000003</v>
      </c>
      <c r="H20" s="1"/>
    </row>
    <row r="21" spans="1:8" x14ac:dyDescent="0.25">
      <c r="A21" s="42"/>
      <c r="B21" s="1"/>
      <c r="C21" s="1"/>
      <c r="D21" s="1"/>
      <c r="E21" s="3"/>
      <c r="F21" s="3"/>
      <c r="G21" s="1"/>
      <c r="H21" s="1"/>
    </row>
    <row r="22" spans="1:8" x14ac:dyDescent="0.25">
      <c r="A22" s="42"/>
      <c r="B22" s="36" t="s">
        <v>7</v>
      </c>
      <c r="C22" s="37"/>
      <c r="D22" s="38"/>
      <c r="E22" s="3"/>
      <c r="F22" s="3"/>
      <c r="G22" s="14">
        <f>SUM(G18:G21)</f>
        <v>2896.2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0"/>
      <c r="B24" s="18" t="s">
        <v>124</v>
      </c>
      <c r="C24" s="12">
        <v>2</v>
      </c>
      <c r="D24" s="12">
        <v>123</v>
      </c>
      <c r="E24" s="12">
        <v>0.5</v>
      </c>
      <c r="F24" s="31" t="s">
        <v>54</v>
      </c>
      <c r="G24" s="12">
        <f>D24*E24</f>
        <v>61.5</v>
      </c>
      <c r="H24" s="12"/>
    </row>
    <row r="25" spans="1:8" x14ac:dyDescent="0.25">
      <c r="A25" s="51"/>
      <c r="B25" s="12" t="s">
        <v>125</v>
      </c>
      <c r="C25" s="12">
        <v>1</v>
      </c>
      <c r="D25" s="12">
        <v>40</v>
      </c>
      <c r="E25" s="12">
        <v>1</v>
      </c>
      <c r="F25" s="12" t="s">
        <v>104</v>
      </c>
      <c r="G25" s="35">
        <f t="shared" ref="G25:G33" si="1">D25*E25</f>
        <v>40</v>
      </c>
      <c r="H25" s="12"/>
    </row>
    <row r="26" spans="1:8" x14ac:dyDescent="0.25">
      <c r="A26" s="51"/>
      <c r="B26" s="35" t="s">
        <v>159</v>
      </c>
      <c r="C26" s="35"/>
      <c r="D26" s="35">
        <v>117</v>
      </c>
      <c r="E26" s="35">
        <v>4</v>
      </c>
      <c r="F26" s="35" t="s">
        <v>153</v>
      </c>
      <c r="G26" s="35">
        <f t="shared" si="1"/>
        <v>468</v>
      </c>
      <c r="H26" s="1"/>
    </row>
    <row r="27" spans="1:8" x14ac:dyDescent="0.25">
      <c r="A27" s="51"/>
      <c r="B27" s="1" t="s">
        <v>160</v>
      </c>
      <c r="C27" s="1"/>
      <c r="D27" s="1">
        <v>132</v>
      </c>
      <c r="E27" s="1">
        <v>2.5</v>
      </c>
      <c r="F27" s="1" t="s">
        <v>153</v>
      </c>
      <c r="G27" s="35">
        <f t="shared" si="1"/>
        <v>330</v>
      </c>
      <c r="H27" s="12"/>
    </row>
    <row r="28" spans="1:8" x14ac:dyDescent="0.25">
      <c r="A28" s="51"/>
      <c r="B28" s="1" t="s">
        <v>161</v>
      </c>
      <c r="C28" s="1"/>
      <c r="D28" s="1">
        <v>180</v>
      </c>
      <c r="E28" s="1">
        <v>4</v>
      </c>
      <c r="F28" s="1" t="s">
        <v>153</v>
      </c>
      <c r="G28" s="35">
        <f t="shared" si="1"/>
        <v>720</v>
      </c>
      <c r="H28" s="12"/>
    </row>
    <row r="29" spans="1:8" x14ac:dyDescent="0.25">
      <c r="A29" s="51"/>
      <c r="B29" s="1" t="s">
        <v>162</v>
      </c>
      <c r="C29" s="1"/>
      <c r="D29" s="1">
        <v>240</v>
      </c>
      <c r="E29" s="1">
        <v>1</v>
      </c>
      <c r="F29" s="1" t="s">
        <v>163</v>
      </c>
      <c r="G29" s="35">
        <f t="shared" si="1"/>
        <v>240</v>
      </c>
      <c r="H29" s="25"/>
    </row>
    <row r="30" spans="1:8" x14ac:dyDescent="0.25">
      <c r="A30" s="51"/>
      <c r="B30" s="1" t="s">
        <v>164</v>
      </c>
      <c r="C30" s="1"/>
      <c r="D30" s="1">
        <v>168</v>
      </c>
      <c r="E30" s="1">
        <v>4</v>
      </c>
      <c r="F30" s="1" t="s">
        <v>153</v>
      </c>
      <c r="G30" s="35">
        <f t="shared" si="1"/>
        <v>672</v>
      </c>
      <c r="H30" s="1"/>
    </row>
    <row r="31" spans="1:8" x14ac:dyDescent="0.25">
      <c r="A31" s="51"/>
      <c r="B31" s="35" t="s">
        <v>165</v>
      </c>
      <c r="C31" s="35"/>
      <c r="D31" s="35">
        <v>480</v>
      </c>
      <c r="E31" s="35">
        <v>1</v>
      </c>
      <c r="F31" s="35" t="s">
        <v>166</v>
      </c>
      <c r="G31" s="35">
        <f t="shared" si="1"/>
        <v>480</v>
      </c>
      <c r="H31" s="35"/>
    </row>
    <row r="32" spans="1:8" x14ac:dyDescent="0.25">
      <c r="A32" s="51"/>
      <c r="B32" s="35" t="s">
        <v>167</v>
      </c>
      <c r="C32" s="35"/>
      <c r="D32" s="35">
        <v>250</v>
      </c>
      <c r="E32" s="35">
        <v>1</v>
      </c>
      <c r="F32" s="35" t="s">
        <v>168</v>
      </c>
      <c r="G32" s="35">
        <f t="shared" si="1"/>
        <v>250</v>
      </c>
      <c r="H32" s="35"/>
    </row>
    <row r="33" spans="1:8" x14ac:dyDescent="0.25">
      <c r="A33" s="51"/>
      <c r="B33" s="35" t="s">
        <v>160</v>
      </c>
      <c r="C33" s="35"/>
      <c r="D33" s="35">
        <v>132</v>
      </c>
      <c r="E33" s="53"/>
      <c r="F33" s="35" t="s">
        <v>153</v>
      </c>
      <c r="G33" s="35">
        <f t="shared" si="1"/>
        <v>0</v>
      </c>
      <c r="H33" s="35"/>
    </row>
    <row r="34" spans="1:8" x14ac:dyDescent="0.25">
      <c r="A34" s="52"/>
      <c r="B34" s="36" t="s">
        <v>7</v>
      </c>
      <c r="C34" s="37"/>
      <c r="D34" s="38"/>
      <c r="E34" s="3"/>
      <c r="F34" s="3"/>
      <c r="G34" s="14">
        <f>SUM(G24:G33)</f>
        <v>3261.5</v>
      </c>
      <c r="H34" s="1"/>
    </row>
    <row r="35" spans="1:8" x14ac:dyDescent="0.25">
      <c r="A35" s="1" t="s">
        <v>11</v>
      </c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5</v>
      </c>
      <c r="H35" s="1" t="s">
        <v>6</v>
      </c>
    </row>
    <row r="36" spans="1:8" x14ac:dyDescent="0.25">
      <c r="A36" s="42" t="s">
        <v>82</v>
      </c>
      <c r="B36" s="1" t="s">
        <v>126</v>
      </c>
      <c r="C36" s="1">
        <v>8</v>
      </c>
      <c r="D36" s="1">
        <v>21</v>
      </c>
      <c r="E36" s="1">
        <v>8</v>
      </c>
      <c r="F36" s="31" t="s">
        <v>54</v>
      </c>
      <c r="G36" s="1">
        <f>D36*E36</f>
        <v>168</v>
      </c>
      <c r="H36" s="1"/>
    </row>
    <row r="37" spans="1:8" x14ac:dyDescent="0.25">
      <c r="A37" s="42"/>
      <c r="B37" s="1" t="s">
        <v>114</v>
      </c>
      <c r="C37" s="1">
        <v>15</v>
      </c>
      <c r="D37" s="1">
        <v>141</v>
      </c>
      <c r="E37" s="1">
        <v>15</v>
      </c>
      <c r="F37" s="31" t="s">
        <v>54</v>
      </c>
      <c r="G37" s="35">
        <f>D37*E37</f>
        <v>2115</v>
      </c>
      <c r="H37" s="1"/>
    </row>
    <row r="38" spans="1:8" x14ac:dyDescent="0.25">
      <c r="A38" s="42"/>
      <c r="B38" s="1"/>
      <c r="C38" s="1"/>
      <c r="D38" s="1"/>
      <c r="E38" s="1"/>
      <c r="F38" s="1"/>
      <c r="G38" s="1"/>
      <c r="H38" s="1"/>
    </row>
    <row r="39" spans="1:8" x14ac:dyDescent="0.25">
      <c r="A39" s="42"/>
      <c r="B39" s="36"/>
      <c r="C39" s="37"/>
      <c r="D39" s="38"/>
      <c r="E39" s="3"/>
      <c r="F39" s="3"/>
      <c r="G39" s="16">
        <f>SUM(G36:G38)</f>
        <v>2283</v>
      </c>
      <c r="H39" s="1"/>
    </row>
    <row r="40" spans="1:8" x14ac:dyDescent="0.25">
      <c r="A40" s="1" t="s">
        <v>12</v>
      </c>
      <c r="B40" s="1" t="s">
        <v>1</v>
      </c>
      <c r="C40" s="1" t="s">
        <v>2</v>
      </c>
      <c r="D40" s="1" t="s">
        <v>3</v>
      </c>
      <c r="E40" s="3" t="s">
        <v>4</v>
      </c>
      <c r="F40" s="3"/>
      <c r="G40" s="3" t="s">
        <v>5</v>
      </c>
      <c r="H40" s="1" t="s">
        <v>6</v>
      </c>
    </row>
    <row r="41" spans="1:8" x14ac:dyDescent="0.25">
      <c r="A41" s="43"/>
      <c r="B41" s="1" t="s">
        <v>170</v>
      </c>
      <c r="C41" s="1"/>
      <c r="D41" s="1">
        <v>25.5</v>
      </c>
      <c r="E41" s="1">
        <v>70</v>
      </c>
      <c r="F41" s="1" t="s">
        <v>153</v>
      </c>
      <c r="G41" s="1">
        <f>D41*E41</f>
        <v>1785</v>
      </c>
      <c r="H41" s="1"/>
    </row>
    <row r="42" spans="1:8" x14ac:dyDescent="0.25">
      <c r="A42" s="44"/>
      <c r="B42" s="1" t="s">
        <v>182</v>
      </c>
      <c r="C42" s="1"/>
      <c r="D42" s="1">
        <v>237.5</v>
      </c>
      <c r="E42" s="1">
        <v>9</v>
      </c>
      <c r="F42" s="1" t="s">
        <v>183</v>
      </c>
      <c r="G42" s="35">
        <f>D42*E42</f>
        <v>2137.5</v>
      </c>
      <c r="H42" s="1"/>
    </row>
    <row r="43" spans="1:8" x14ac:dyDescent="0.25">
      <c r="A43" s="45"/>
      <c r="B43" s="36" t="s">
        <v>7</v>
      </c>
      <c r="C43" s="37"/>
      <c r="D43" s="38"/>
      <c r="E43" s="3"/>
      <c r="F43" s="3"/>
      <c r="G43" s="14">
        <f>SUM(G41:G42)</f>
        <v>3922.5</v>
      </c>
      <c r="H43" s="6"/>
    </row>
    <row r="44" spans="1:8" x14ac:dyDescent="0.25">
      <c r="A44" s="7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42"/>
      <c r="B45" s="1" t="s">
        <v>169</v>
      </c>
      <c r="C45" s="1"/>
      <c r="D45" s="1">
        <v>10</v>
      </c>
      <c r="E45" s="1">
        <v>25</v>
      </c>
      <c r="F45" s="1" t="s">
        <v>156</v>
      </c>
      <c r="G45" s="1">
        <f>D45*E45</f>
        <v>250</v>
      </c>
      <c r="H45" s="1"/>
    </row>
    <row r="46" spans="1:8" x14ac:dyDescent="0.25">
      <c r="A46" s="42"/>
      <c r="B46" s="1" t="s">
        <v>171</v>
      </c>
      <c r="C46" s="1"/>
      <c r="D46" s="1">
        <v>174</v>
      </c>
      <c r="E46" s="1">
        <v>3</v>
      </c>
      <c r="F46" s="1" t="s">
        <v>153</v>
      </c>
      <c r="G46" s="35">
        <f t="shared" ref="G46:G55" si="2">D46*E46</f>
        <v>522</v>
      </c>
      <c r="H46" s="1"/>
    </row>
    <row r="47" spans="1:8" x14ac:dyDescent="0.25">
      <c r="A47" s="42"/>
      <c r="B47" s="1" t="s">
        <v>172</v>
      </c>
      <c r="C47" s="1"/>
      <c r="D47" s="1">
        <v>20.7</v>
      </c>
      <c r="E47" s="1">
        <v>1</v>
      </c>
      <c r="F47" s="1" t="s">
        <v>153</v>
      </c>
      <c r="G47" s="35">
        <f t="shared" si="2"/>
        <v>20.7</v>
      </c>
      <c r="H47" s="1"/>
    </row>
    <row r="48" spans="1:8" x14ac:dyDescent="0.25">
      <c r="A48" s="42"/>
      <c r="B48" s="1" t="s">
        <v>173</v>
      </c>
      <c r="C48" s="1"/>
      <c r="D48" s="1">
        <v>90</v>
      </c>
      <c r="E48" s="1">
        <v>2</v>
      </c>
      <c r="F48" s="1" t="s">
        <v>153</v>
      </c>
      <c r="G48" s="35">
        <f t="shared" si="2"/>
        <v>180</v>
      </c>
      <c r="H48" s="1"/>
    </row>
    <row r="49" spans="1:8" x14ac:dyDescent="0.25">
      <c r="A49" s="42"/>
      <c r="B49" s="35" t="s">
        <v>174</v>
      </c>
      <c r="C49" s="35"/>
      <c r="D49" s="35">
        <v>24.3</v>
      </c>
      <c r="E49" s="35">
        <v>2</v>
      </c>
      <c r="F49" s="35" t="s">
        <v>153</v>
      </c>
      <c r="G49" s="35">
        <f t="shared" si="2"/>
        <v>48.6</v>
      </c>
      <c r="H49" s="35"/>
    </row>
    <row r="50" spans="1:8" x14ac:dyDescent="0.25">
      <c r="A50" s="42"/>
      <c r="B50" s="35" t="s">
        <v>175</v>
      </c>
      <c r="C50" s="35"/>
      <c r="D50" s="35">
        <v>844</v>
      </c>
      <c r="E50" s="35">
        <v>1</v>
      </c>
      <c r="F50" s="35" t="s">
        <v>176</v>
      </c>
      <c r="G50" s="35">
        <f t="shared" si="2"/>
        <v>844</v>
      </c>
      <c r="H50" s="35"/>
    </row>
    <row r="51" spans="1:8" x14ac:dyDescent="0.25">
      <c r="A51" s="42"/>
      <c r="B51" s="35" t="s">
        <v>178</v>
      </c>
      <c r="C51" s="35"/>
      <c r="D51" s="35">
        <v>1188</v>
      </c>
      <c r="E51" s="35">
        <v>2</v>
      </c>
      <c r="F51" s="35" t="s">
        <v>166</v>
      </c>
      <c r="G51" s="35">
        <f t="shared" si="2"/>
        <v>2376</v>
      </c>
      <c r="H51" s="35"/>
    </row>
    <row r="52" spans="1:8" x14ac:dyDescent="0.25">
      <c r="A52" s="42"/>
      <c r="B52" s="35" t="s">
        <v>179</v>
      </c>
      <c r="C52" s="35"/>
      <c r="D52" s="35">
        <v>255</v>
      </c>
      <c r="E52" s="35">
        <v>1</v>
      </c>
      <c r="F52" s="35" t="s">
        <v>166</v>
      </c>
      <c r="G52" s="35">
        <f t="shared" si="2"/>
        <v>255</v>
      </c>
      <c r="H52" s="35"/>
    </row>
    <row r="53" spans="1:8" x14ac:dyDescent="0.25">
      <c r="A53" s="42"/>
      <c r="B53" s="35" t="s">
        <v>181</v>
      </c>
      <c r="C53" s="35"/>
      <c r="D53" s="35">
        <v>273</v>
      </c>
      <c r="E53" s="35">
        <v>2</v>
      </c>
      <c r="F53" s="35" t="s">
        <v>166</v>
      </c>
      <c r="G53" s="35">
        <f t="shared" si="2"/>
        <v>546</v>
      </c>
      <c r="H53" s="35"/>
    </row>
    <row r="54" spans="1:8" x14ac:dyDescent="0.25">
      <c r="A54" s="42"/>
      <c r="B54" s="35" t="s">
        <v>180</v>
      </c>
      <c r="C54" s="35"/>
      <c r="D54" s="35">
        <v>310</v>
      </c>
      <c r="E54" s="35">
        <v>1</v>
      </c>
      <c r="F54" s="35" t="s">
        <v>166</v>
      </c>
      <c r="G54" s="35">
        <f t="shared" si="2"/>
        <v>310</v>
      </c>
      <c r="H54" s="35"/>
    </row>
    <row r="55" spans="1:8" x14ac:dyDescent="0.25">
      <c r="A55" s="42"/>
      <c r="B55" s="35" t="s">
        <v>177</v>
      </c>
      <c r="C55" s="35"/>
      <c r="D55" s="35">
        <v>32</v>
      </c>
      <c r="E55" s="35">
        <v>100</v>
      </c>
      <c r="F55" s="35" t="s">
        <v>153</v>
      </c>
      <c r="G55" s="35">
        <f t="shared" si="2"/>
        <v>3200</v>
      </c>
      <c r="H55" s="35"/>
    </row>
    <row r="56" spans="1:8" x14ac:dyDescent="0.25">
      <c r="A56" s="42"/>
      <c r="B56" s="36" t="s">
        <v>7</v>
      </c>
      <c r="C56" s="37"/>
      <c r="D56" s="38"/>
      <c r="E56" s="3"/>
      <c r="F56" s="3"/>
      <c r="G56" s="14">
        <f>SUM(G45:G55)</f>
        <v>8552.2999999999993</v>
      </c>
      <c r="H56" s="1"/>
    </row>
    <row r="57" spans="1:8" x14ac:dyDescent="0.25">
      <c r="A57" s="1"/>
      <c r="B57" s="46" t="s">
        <v>14</v>
      </c>
      <c r="C57" s="47"/>
      <c r="D57" s="48"/>
      <c r="E57" s="8"/>
      <c r="F57" s="8"/>
      <c r="G57" s="9">
        <f>G56+G43+G39+G22+G16+G8+G34</f>
        <v>29109.13</v>
      </c>
      <c r="H57" s="1"/>
    </row>
  </sheetData>
  <mergeCells count="16">
    <mergeCell ref="A45:A56"/>
    <mergeCell ref="B56:D56"/>
    <mergeCell ref="B57:D57"/>
    <mergeCell ref="B34:D34"/>
    <mergeCell ref="A36:A39"/>
    <mergeCell ref="B39:D39"/>
    <mergeCell ref="A41:A43"/>
    <mergeCell ref="B43:D43"/>
    <mergeCell ref="A24:A34"/>
    <mergeCell ref="A18:A22"/>
    <mergeCell ref="B22:D22"/>
    <mergeCell ref="A1:H1"/>
    <mergeCell ref="A3:A8"/>
    <mergeCell ref="B8:D8"/>
    <mergeCell ref="B16:D16"/>
    <mergeCell ref="A10:A16"/>
  </mergeCells>
  <phoneticPr fontId="2" type="noConversion"/>
  <pageMargins left="0.7" right="0.7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0721</vt:lpstr>
      <vt:lpstr>0722</vt:lpstr>
      <vt:lpstr>0723</vt:lpstr>
      <vt:lpstr>0724</vt:lpstr>
      <vt:lpstr>0725</vt:lpstr>
      <vt:lpstr>'0721'!Print_Area</vt:lpstr>
      <vt:lpstr>'0722'!Print_Area</vt:lpstr>
      <vt:lpstr>'0723'!Print_Area</vt:lpstr>
      <vt:lpstr>'0724'!Print_Area</vt:lpstr>
      <vt:lpstr>'0725'!Print_Area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2025-07-24T02:27:09Z</cp:lastPrinted>
  <dcterms:created xsi:type="dcterms:W3CDTF">2025-02-19T17:01:12Z</dcterms:created>
  <dcterms:modified xsi:type="dcterms:W3CDTF">2025-07-24T02:27:40Z</dcterms:modified>
</cp:coreProperties>
</file>