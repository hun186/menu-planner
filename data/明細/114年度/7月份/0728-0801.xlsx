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7月份\"/>
    </mc:Choice>
  </mc:AlternateContent>
  <bookViews>
    <workbookView xWindow="0" yWindow="0" windowWidth="28800" windowHeight="12255" activeTab="4"/>
  </bookViews>
  <sheets>
    <sheet name="0728" sheetId="1" r:id="rId1"/>
    <sheet name="0729" sheetId="2" r:id="rId2"/>
    <sheet name="0730" sheetId="3" r:id="rId3"/>
    <sheet name="0731" sheetId="4" r:id="rId4"/>
    <sheet name="0801" sheetId="5" r:id="rId5"/>
  </sheets>
  <definedNames>
    <definedName name="_xlnm.Print_Area" localSheetId="0">'0728'!$A$1:$H$49</definedName>
    <definedName name="_xlnm.Print_Area" localSheetId="1">'0729'!$A$1:$H$49</definedName>
    <definedName name="_xlnm.Print_Area" localSheetId="2">'0730'!$A$1:$H$52</definedName>
    <definedName name="_xlnm.Print_Area" localSheetId="3">'0731'!$A$1:$H$67</definedName>
    <definedName name="_xlnm.Print_Area" localSheetId="4">'0801'!$A$1:$H$54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1" i="5" l="1"/>
  <c r="G50" i="5"/>
  <c r="G65" i="4" l="1"/>
  <c r="G66" i="4"/>
  <c r="G64" i="4"/>
  <c r="G63" i="4"/>
  <c r="G62" i="4"/>
  <c r="G61" i="4"/>
  <c r="G60" i="4"/>
  <c r="G59" i="4"/>
  <c r="G58" i="4"/>
  <c r="G57" i="4"/>
  <c r="G56" i="4"/>
  <c r="G55" i="4"/>
  <c r="G54" i="4"/>
  <c r="G28" i="4"/>
  <c r="G29" i="4"/>
  <c r="G30" i="4"/>
  <c r="G31" i="4"/>
  <c r="G32" i="4"/>
  <c r="G33" i="4"/>
  <c r="G34" i="4"/>
  <c r="G35" i="4"/>
  <c r="G36" i="4"/>
  <c r="G37" i="4"/>
  <c r="G38" i="4"/>
  <c r="G51" i="4"/>
  <c r="G52" i="4"/>
  <c r="G53" i="4"/>
  <c r="G50" i="4"/>
  <c r="G26" i="4"/>
  <c r="G39" i="4" s="1"/>
  <c r="G27" i="4"/>
  <c r="G4" i="4"/>
  <c r="G10" i="4" s="1"/>
  <c r="G5" i="4"/>
  <c r="G6" i="4"/>
  <c r="G7" i="4"/>
  <c r="G8" i="4"/>
  <c r="G9" i="4"/>
  <c r="G17" i="4"/>
  <c r="G52" i="3"/>
  <c r="G44" i="3"/>
  <c r="G40" i="3" l="1"/>
  <c r="G9" i="3"/>
  <c r="G29" i="2" l="1"/>
  <c r="G7" i="2"/>
  <c r="G14" i="2" l="1"/>
  <c r="G26" i="2"/>
  <c r="G27" i="2"/>
  <c r="G36" i="2"/>
  <c r="G42" i="2"/>
  <c r="G39" i="2"/>
  <c r="G40" i="2"/>
  <c r="G5" i="2"/>
  <c r="G17" i="2"/>
  <c r="G49" i="1"/>
  <c r="G33" i="1"/>
  <c r="G20" i="1"/>
  <c r="G38" i="1"/>
  <c r="G45" i="5" l="1"/>
  <c r="G46" i="5"/>
  <c r="G47" i="5"/>
  <c r="G48" i="5"/>
  <c r="G49" i="5"/>
  <c r="G52" i="5"/>
  <c r="G11" i="5"/>
  <c r="G12" i="5"/>
  <c r="G13" i="5"/>
  <c r="G14" i="5"/>
  <c r="G15" i="5"/>
  <c r="G10" i="5"/>
  <c r="G39" i="5"/>
  <c r="G38" i="5"/>
  <c r="G43" i="5"/>
  <c r="G44" i="5"/>
  <c r="G4" i="5"/>
  <c r="G5" i="5"/>
  <c r="G3" i="5"/>
  <c r="G42" i="5"/>
  <c r="G26" i="5"/>
  <c r="G27" i="5"/>
  <c r="G28" i="5"/>
  <c r="G29" i="5"/>
  <c r="G30" i="5"/>
  <c r="G25" i="5"/>
  <c r="G24" i="5"/>
  <c r="G34" i="5"/>
  <c r="G33" i="5"/>
  <c r="G19" i="5"/>
  <c r="G20" i="5"/>
  <c r="G18" i="5"/>
  <c r="G47" i="4"/>
  <c r="G22" i="5" l="1"/>
  <c r="G16" i="5"/>
  <c r="G8" i="5"/>
  <c r="G53" i="5"/>
  <c r="G31" i="5"/>
  <c r="G46" i="4"/>
  <c r="G42" i="4"/>
  <c r="G43" i="4"/>
  <c r="G41" i="4"/>
  <c r="G25" i="4"/>
  <c r="G20" i="4"/>
  <c r="G19" i="4"/>
  <c r="G13" i="4"/>
  <c r="G14" i="4"/>
  <c r="G12" i="4"/>
  <c r="G3" i="4"/>
  <c r="G44" i="4" l="1"/>
  <c r="G36" i="3"/>
  <c r="G37" i="3"/>
  <c r="G38" i="3"/>
  <c r="G4" i="3"/>
  <c r="G5" i="3"/>
  <c r="G6" i="3"/>
  <c r="G32" i="3"/>
  <c r="G31" i="3"/>
  <c r="G30" i="3"/>
  <c r="G27" i="3"/>
  <c r="G18" i="3"/>
  <c r="G32" i="2" l="1"/>
  <c r="G33" i="2"/>
  <c r="G34" i="2"/>
  <c r="G44" i="2"/>
  <c r="G10" i="2"/>
  <c r="G11" i="2"/>
  <c r="G12" i="2"/>
  <c r="G41" i="1"/>
  <c r="G36" i="1"/>
  <c r="G37" i="1"/>
  <c r="G35" i="1"/>
  <c r="G17" i="1"/>
  <c r="G27" i="1"/>
  <c r="G30" i="1"/>
  <c r="G31" i="1"/>
  <c r="G32" i="1"/>
  <c r="G43" i="3" l="1"/>
  <c r="G42" i="3"/>
  <c r="G12" i="3"/>
  <c r="G13" i="3"/>
  <c r="G14" i="3"/>
  <c r="G11" i="3"/>
  <c r="G29" i="3"/>
  <c r="G28" i="3"/>
  <c r="G25" i="3"/>
  <c r="G26" i="3"/>
  <c r="G24" i="3"/>
  <c r="G35" i="3"/>
  <c r="G3" i="3"/>
  <c r="G47" i="3"/>
  <c r="G48" i="3"/>
  <c r="G49" i="3"/>
  <c r="G50" i="3"/>
  <c r="G46" i="3"/>
  <c r="G16" i="3" l="1"/>
  <c r="G51" i="3"/>
  <c r="G33" i="3"/>
  <c r="G24" i="2"/>
  <c r="G41" i="2"/>
  <c r="G9" i="2"/>
  <c r="G16" i="2"/>
  <c r="G22" i="2" s="1"/>
  <c r="G31" i="2"/>
  <c r="G4" i="2"/>
  <c r="G6" i="2"/>
  <c r="G3" i="2"/>
  <c r="G38" i="2"/>
  <c r="G45" i="1" l="1"/>
  <c r="G46" i="1"/>
  <c r="G18" i="1"/>
  <c r="G19" i="1"/>
  <c r="G3" i="1"/>
  <c r="G48" i="1" l="1"/>
  <c r="G16" i="1"/>
  <c r="G40" i="1"/>
  <c r="G42" i="1" s="1"/>
  <c r="G26" i="1"/>
  <c r="G24" i="1" l="1"/>
  <c r="G25" i="1"/>
  <c r="G23" i="1"/>
  <c r="G22" i="1"/>
  <c r="G10" i="1"/>
  <c r="G11" i="1"/>
  <c r="G12" i="1"/>
  <c r="G9" i="1"/>
  <c r="G14" i="1" l="1"/>
  <c r="G40" i="5"/>
  <c r="G36" i="5"/>
  <c r="G54" i="5" s="1"/>
  <c r="G48" i="4"/>
  <c r="G67" i="4" s="1"/>
  <c r="G23" i="4"/>
  <c r="G22" i="3"/>
  <c r="G48" i="2"/>
  <c r="G49" i="2"/>
  <c r="G7" i="1"/>
</calcChain>
</file>

<file path=xl/sharedStrings.xml><?xml version="1.0" encoding="utf-8"?>
<sst xmlns="http://schemas.openxmlformats.org/spreadsheetml/2006/main" count="565" uniqueCount="208">
  <si>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</si>
  <si>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</si>
  <si>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</si>
  <si>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</si>
  <si>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</si>
  <si>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</si>
  <si>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</si>
  <si>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</si>
  <si>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</si>
  <si>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</si>
  <si>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</si>
  <si>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</si>
  <si>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</si>
  <si>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</si>
  <si>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</si>
  <si>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</si>
  <si>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</si>
  <si>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</si>
  <si>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</si>
  <si>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</si>
  <si>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</si>
  <si>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</si>
  <si>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</si>
  <si>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</si>
  <si>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</si>
  <si>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</si>
  <si>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五穀米</t>
    <phoneticPr fontId="2" type="noConversion"/>
  </si>
  <si>
    <t>庫存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</si>
  <si>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</si>
  <si>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</si>
  <si>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</si>
  <si>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</si>
  <si>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</si>
  <si>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</si>
  <si>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</si>
  <si>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</si>
  <si>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</si>
  <si>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t>半</t>
    <phoneticPr fontId="2" type="noConversion"/>
  </si>
  <si>
    <t>油麵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</si>
  <si>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</si>
  <si>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蔥油雞</t>
    <phoneticPr fontId="2" type="noConversion"/>
  </si>
  <si>
    <t>糖醋豆包</t>
    <phoneticPr fontId="2" type="noConversion"/>
  </si>
  <si>
    <t>菜圃蛋</t>
    <phoneticPr fontId="2" type="noConversion"/>
  </si>
  <si>
    <t>味噌豆腐湯</t>
    <phoneticPr fontId="2" type="noConversion"/>
  </si>
  <si>
    <t>棒腿</t>
    <phoneticPr fontId="2" type="noConversion"/>
  </si>
  <si>
    <t>炸豆包</t>
    <phoneticPr fontId="2" type="noConversion"/>
  </si>
  <si>
    <t>菜圃碎</t>
    <phoneticPr fontId="2" type="noConversion"/>
  </si>
  <si>
    <t>斤</t>
  </si>
  <si>
    <t>斤</t>
    <phoneticPr fontId="2" type="noConversion"/>
  </si>
  <si>
    <t>去皮洋蔥</t>
    <phoneticPr fontId="2" type="noConversion"/>
  </si>
  <si>
    <t>紅蘿蔔絲</t>
    <phoneticPr fontId="2" type="noConversion"/>
  </si>
  <si>
    <t>梅花肉片</t>
    <phoneticPr fontId="2" type="noConversion"/>
  </si>
  <si>
    <t>4.3板豆腐</t>
    <phoneticPr fontId="2" type="noConversion"/>
  </si>
  <si>
    <t>板</t>
    <phoneticPr fontId="2" type="noConversion"/>
  </si>
  <si>
    <t>味噌</t>
    <phoneticPr fontId="2" type="noConversion"/>
  </si>
  <si>
    <t>小排</t>
    <phoneticPr fontId="2" type="noConversion"/>
  </si>
  <si>
    <t>木耳絲</t>
    <phoneticPr fontId="2" type="noConversion"/>
  </si>
  <si>
    <t>青蛙下蛋</t>
    <phoneticPr fontId="2" type="noConversion"/>
  </si>
  <si>
    <t>冬瓜磚</t>
    <phoneticPr fontId="2" type="noConversion"/>
  </si>
  <si>
    <t>檸檬</t>
    <phoneticPr fontId="2" type="noConversion"/>
  </si>
  <si>
    <t>檸檬汁</t>
    <phoneticPr fontId="2" type="noConversion"/>
  </si>
  <si>
    <t>山粉圓</t>
    <phoneticPr fontId="2" type="noConversion"/>
  </si>
  <si>
    <t>瓶</t>
    <phoneticPr fontId="2" type="noConversion"/>
  </si>
  <si>
    <t>包</t>
    <phoneticPr fontId="2" type="noConversion"/>
  </si>
  <si>
    <t>雞塊</t>
    <phoneticPr fontId="2" type="noConversion"/>
  </si>
  <si>
    <t>雞塊
薯條</t>
    <phoneticPr fontId="2" type="noConversion"/>
  </si>
  <si>
    <t>薯條</t>
    <phoneticPr fontId="2" type="noConversion"/>
  </si>
  <si>
    <t>桶</t>
    <phoneticPr fontId="2" type="noConversion"/>
  </si>
  <si>
    <t>玉米濃湯</t>
    <phoneticPr fontId="2" type="noConversion"/>
  </si>
  <si>
    <t>玉米醬</t>
    <phoneticPr fontId="2" type="noConversion"/>
  </si>
  <si>
    <t>冷凍玉米粒</t>
    <phoneticPr fontId="2" type="noConversion"/>
  </si>
  <si>
    <t>鮮奶油</t>
    <phoneticPr fontId="2" type="noConversion"/>
  </si>
  <si>
    <t>玉米濃湯粉</t>
    <phoneticPr fontId="2" type="noConversion"/>
  </si>
  <si>
    <t>個</t>
    <phoneticPr fontId="2" type="noConversion"/>
  </si>
  <si>
    <t>胡瓜切絲</t>
    <phoneticPr fontId="2" type="noConversion"/>
  </si>
  <si>
    <t>雪白菇</t>
    <phoneticPr fontId="2" type="noConversion"/>
  </si>
  <si>
    <t>白蘿蔔</t>
    <phoneticPr fontId="2" type="noConversion"/>
  </si>
  <si>
    <t>斤</t>
    <phoneticPr fontId="2" type="noConversion"/>
  </si>
  <si>
    <t>斤</t>
    <phoneticPr fontId="2" type="noConversion"/>
  </si>
  <si>
    <t>雞翅</t>
    <phoneticPr fontId="2" type="noConversion"/>
  </si>
  <si>
    <t>雞翅</t>
    <phoneticPr fontId="2" type="noConversion"/>
  </si>
  <si>
    <t>包</t>
    <phoneticPr fontId="2" type="noConversion"/>
  </si>
  <si>
    <t>電訊科技中心(安康營區)     114年     7月   28日      午餐明細表</t>
    <phoneticPr fontId="2" type="noConversion"/>
  </si>
  <si>
    <t>電訊科技中心(安康營區)     114年      7月   29日      午餐明細表</t>
    <phoneticPr fontId="2" type="noConversion"/>
  </si>
  <si>
    <t>電訊科技中心(安康營區)     114年      7月   30日      午餐明細表</t>
    <phoneticPr fontId="2" type="noConversion"/>
  </si>
  <si>
    <t>電訊科技中心(安康營區)     114年      7月   31日      午餐明細表</t>
    <phoneticPr fontId="2" type="noConversion"/>
  </si>
  <si>
    <t>電訊科技中心(安康營區)     114年      8月   1日      午餐明細表</t>
    <phoneticPr fontId="2" type="noConversion"/>
  </si>
  <si>
    <t>盒</t>
    <phoneticPr fontId="2" type="noConversion"/>
  </si>
  <si>
    <t>黑胡椒鐵板麵</t>
    <phoneticPr fontId="2" type="noConversion"/>
  </si>
  <si>
    <t>黑胡椒醬</t>
    <phoneticPr fontId="2" type="noConversion"/>
  </si>
  <si>
    <t>乳瑪琳</t>
    <phoneticPr fontId="2" type="noConversion"/>
  </si>
  <si>
    <t>火腿</t>
    <phoneticPr fontId="2" type="noConversion"/>
  </si>
  <si>
    <t>油麵</t>
    <phoneticPr fontId="2" type="noConversion"/>
  </si>
  <si>
    <t>絞肉</t>
    <phoneticPr fontId="2" type="noConversion"/>
  </si>
  <si>
    <t>桶</t>
    <phoneticPr fontId="2" type="noConversion"/>
  </si>
  <si>
    <t>罐</t>
    <phoneticPr fontId="2" type="noConversion"/>
  </si>
  <si>
    <t>麻油肉片</t>
    <phoneticPr fontId="2" type="noConversion"/>
  </si>
  <si>
    <t>胡瓜菇菇</t>
    <phoneticPr fontId="2" type="noConversion"/>
  </si>
  <si>
    <t>涼拌豆干</t>
    <phoneticPr fontId="2" type="noConversion"/>
  </si>
  <si>
    <t>4*4豆干</t>
    <phoneticPr fontId="2" type="noConversion"/>
  </si>
  <si>
    <t>豬肉片</t>
    <phoneticPr fontId="2" type="noConversion"/>
  </si>
  <si>
    <t>五花肉片</t>
    <phoneticPr fontId="2" type="noConversion"/>
  </si>
  <si>
    <t>薑</t>
    <phoneticPr fontId="2" type="noConversion"/>
  </si>
  <si>
    <t>枸杞</t>
    <phoneticPr fontId="2" type="noConversion"/>
  </si>
  <si>
    <t>杏鮑菇</t>
    <phoneticPr fontId="2" type="noConversion"/>
  </si>
  <si>
    <t>薑絲</t>
    <phoneticPr fontId="2" type="noConversion"/>
  </si>
  <si>
    <t>紅豆蓮子湯</t>
    <phoneticPr fontId="2" type="noConversion"/>
  </si>
  <si>
    <t>蓮子</t>
    <phoneticPr fontId="2" type="noConversion"/>
  </si>
  <si>
    <t>紅豆</t>
    <phoneticPr fontId="2" type="noConversion"/>
  </si>
  <si>
    <t>去皮洋蔥</t>
    <phoneticPr fontId="2" type="noConversion"/>
  </si>
  <si>
    <t>卡拉雞</t>
    <phoneticPr fontId="2" type="noConversion"/>
  </si>
  <si>
    <t>芹香肉絲</t>
    <phoneticPr fontId="2" type="noConversion"/>
  </si>
  <si>
    <t>荷包蛋</t>
    <phoneticPr fontId="2" type="noConversion"/>
  </si>
  <si>
    <t>蛋</t>
    <phoneticPr fontId="2" type="noConversion"/>
  </si>
  <si>
    <t>去葉芹菜</t>
    <phoneticPr fontId="2" type="noConversion"/>
  </si>
  <si>
    <t>肉絲</t>
    <phoneticPr fontId="2" type="noConversion"/>
  </si>
  <si>
    <t>紅蘿蔔絲</t>
    <phoneticPr fontId="2" type="noConversion"/>
  </si>
  <si>
    <t>片</t>
    <phoneticPr fontId="2" type="noConversion"/>
  </si>
  <si>
    <t>大西瓜</t>
    <phoneticPr fontId="2" type="noConversion"/>
  </si>
  <si>
    <t>高麗菜</t>
    <phoneticPr fontId="2" type="noConversion"/>
  </si>
  <si>
    <t>梅子粉</t>
    <phoneticPr fontId="2" type="noConversion"/>
  </si>
  <si>
    <t>包</t>
    <phoneticPr fontId="2" type="noConversion"/>
  </si>
  <si>
    <t>冷凍青花菜</t>
    <phoneticPr fontId="2" type="noConversion"/>
  </si>
  <si>
    <t>芥花油</t>
    <phoneticPr fontId="2" type="noConversion"/>
  </si>
  <si>
    <t>桶</t>
    <phoneticPr fontId="2" type="noConversion"/>
  </si>
  <si>
    <t>蒸肉粉</t>
    <phoneticPr fontId="2" type="noConversion"/>
  </si>
  <si>
    <t>螞蟻上樹</t>
    <phoneticPr fontId="2" type="noConversion"/>
  </si>
  <si>
    <t>冬粉</t>
    <phoneticPr fontId="2" type="noConversion"/>
  </si>
  <si>
    <t>地瓜梅粉</t>
    <phoneticPr fontId="2" type="noConversion"/>
  </si>
  <si>
    <t>地瓜切塊</t>
    <phoneticPr fontId="2" type="noConversion"/>
  </si>
  <si>
    <t>生豆包</t>
    <phoneticPr fontId="2" type="noConversion"/>
  </si>
  <si>
    <t>斤</t>
    <phoneticPr fontId="2" type="noConversion"/>
  </si>
  <si>
    <t>鮮木耳</t>
    <phoneticPr fontId="2" type="noConversion"/>
  </si>
  <si>
    <t>紅蘿蔔切片</t>
    <phoneticPr fontId="2" type="noConversion"/>
  </si>
  <si>
    <t>香蕉</t>
    <phoneticPr fontId="2" type="noConversion"/>
  </si>
  <si>
    <t>粉蒸排骨</t>
    <phoneticPr fontId="2" type="noConversion"/>
  </si>
  <si>
    <t>前腿肉片</t>
    <phoneticPr fontId="2" type="noConversion"/>
  </si>
  <si>
    <t>斤</t>
    <phoneticPr fontId="2" type="noConversion"/>
  </si>
  <si>
    <t>高麗菜</t>
    <phoneticPr fontId="2" type="noConversion"/>
  </si>
  <si>
    <t>五花肉片</t>
    <phoneticPr fontId="2" type="noConversion"/>
  </si>
  <si>
    <t>大西瓜</t>
    <phoneticPr fontId="2" type="noConversion"/>
  </si>
  <si>
    <t>斤</t>
    <phoneticPr fontId="2" type="noConversion"/>
  </si>
  <si>
    <t>前腿肉絲</t>
    <phoneticPr fontId="2" type="noConversion"/>
  </si>
  <si>
    <t>綠豆芽</t>
    <phoneticPr fontId="2" type="noConversion"/>
  </si>
  <si>
    <t>鮮筍切絲</t>
    <phoneticPr fontId="2" type="noConversion"/>
  </si>
  <si>
    <t>番茄醬</t>
    <phoneticPr fontId="2" type="noConversion"/>
  </si>
  <si>
    <t>桶</t>
    <phoneticPr fontId="2" type="noConversion"/>
  </si>
  <si>
    <t>香油</t>
    <phoneticPr fontId="2" type="noConversion"/>
  </si>
  <si>
    <t>黑麻油</t>
    <phoneticPr fontId="2" type="noConversion"/>
  </si>
  <si>
    <t>烏醋</t>
    <phoneticPr fontId="2" type="noConversion"/>
  </si>
  <si>
    <t>吐司</t>
    <phoneticPr fontId="2" type="noConversion"/>
  </si>
  <si>
    <t>條</t>
    <phoneticPr fontId="2" type="noConversion"/>
  </si>
  <si>
    <t>五花肉片</t>
    <phoneticPr fontId="2" type="noConversion"/>
  </si>
  <si>
    <t>里肌肉排</t>
    <phoneticPr fontId="2" type="noConversion"/>
  </si>
  <si>
    <t>里肌肉排(小)</t>
    <phoneticPr fontId="2" type="noConversion"/>
  </si>
  <si>
    <t>黃金魚塊</t>
    <phoneticPr fontId="2" type="noConversion"/>
  </si>
  <si>
    <t>高鮮味素</t>
    <phoneticPr fontId="2" type="noConversion"/>
  </si>
  <si>
    <t>盒</t>
    <phoneticPr fontId="2" type="noConversion"/>
  </si>
  <si>
    <t>厚片土司</t>
    <phoneticPr fontId="2" type="noConversion"/>
  </si>
  <si>
    <t>光泉鮮奶</t>
    <phoneticPr fontId="2" type="noConversion"/>
  </si>
  <si>
    <t>瓶</t>
    <phoneticPr fontId="2" type="noConversion"/>
  </si>
  <si>
    <t>春捲</t>
    <phoneticPr fontId="2" type="noConversion"/>
  </si>
  <si>
    <t>油條</t>
    <phoneticPr fontId="2" type="noConversion"/>
  </si>
  <si>
    <t>起司豬排</t>
    <phoneticPr fontId="2" type="noConversion"/>
  </si>
  <si>
    <t>件</t>
    <phoneticPr fontId="2" type="noConversion"/>
  </si>
  <si>
    <t>熟白芝麻</t>
    <phoneticPr fontId="2" type="noConversion"/>
  </si>
  <si>
    <t>洗選蛋</t>
    <phoneticPr fontId="2" type="noConversion"/>
  </si>
  <si>
    <t>鯛魚片</t>
    <phoneticPr fontId="2" type="noConversion"/>
  </si>
  <si>
    <t>包</t>
    <phoneticPr fontId="2" type="noConversion"/>
  </si>
  <si>
    <t>骨腿塊</t>
    <phoneticPr fontId="2" type="noConversion"/>
  </si>
  <si>
    <t>前腿肉片</t>
    <phoneticPr fontId="2" type="noConversion"/>
  </si>
  <si>
    <t>九層塔</t>
    <phoneticPr fontId="2" type="noConversion"/>
  </si>
  <si>
    <t>皮蛋</t>
    <phoneticPr fontId="2" type="noConversion"/>
  </si>
  <si>
    <t>個</t>
    <phoneticPr fontId="2" type="noConversion"/>
  </si>
  <si>
    <t>絞肉</t>
    <phoneticPr fontId="2" type="noConversion"/>
  </si>
  <si>
    <t>洋蔥</t>
    <phoneticPr fontId="2" type="noConversion"/>
  </si>
  <si>
    <t>無骨香雞排</t>
    <phoneticPr fontId="2" type="noConversion"/>
  </si>
  <si>
    <t>豆腐</t>
    <phoneticPr fontId="2" type="noConversion"/>
  </si>
  <si>
    <t>洋蔥切丁</t>
    <phoneticPr fontId="2" type="noConversion"/>
  </si>
  <si>
    <t>香腸</t>
    <phoneticPr fontId="2" type="noConversion"/>
  </si>
  <si>
    <t>斤</t>
    <phoneticPr fontId="2" type="noConversion"/>
  </si>
  <si>
    <t>紅茶鋁箔包</t>
    <phoneticPr fontId="2" type="noConversion"/>
  </si>
  <si>
    <t>件</t>
    <phoneticPr fontId="2" type="noConversion"/>
  </si>
  <si>
    <t>塔塔醬</t>
    <phoneticPr fontId="2" type="noConversion"/>
  </si>
  <si>
    <t>包</t>
    <phoneticPr fontId="2" type="noConversion"/>
  </si>
  <si>
    <t>烤肉醬</t>
    <phoneticPr fontId="2" type="noConversion"/>
  </si>
  <si>
    <t>桶</t>
    <phoneticPr fontId="2" type="noConversion"/>
  </si>
  <si>
    <t>蜂蜜</t>
    <phoneticPr fontId="2" type="noConversion"/>
  </si>
  <si>
    <t>鹼片</t>
    <phoneticPr fontId="2" type="noConversion"/>
  </si>
  <si>
    <t>辣豆辦</t>
    <phoneticPr fontId="2" type="noConversion"/>
  </si>
  <si>
    <t>滷蛋</t>
    <phoneticPr fontId="2" type="noConversion"/>
  </si>
  <si>
    <t>個</t>
    <phoneticPr fontId="2" type="noConversion"/>
  </si>
  <si>
    <t>油麵</t>
    <phoneticPr fontId="2" type="noConversion"/>
  </si>
  <si>
    <t>生香菇</t>
    <phoneticPr fontId="2" type="noConversion"/>
  </si>
  <si>
    <t>大西瓜</t>
    <phoneticPr fontId="2" type="noConversion"/>
  </si>
  <si>
    <t>海帶結</t>
    <phoneticPr fontId="2" type="noConversion"/>
  </si>
  <si>
    <t>洗選蛋</t>
    <phoneticPr fontId="2" type="noConversion"/>
  </si>
  <si>
    <t>蒜仁</t>
    <phoneticPr fontId="2" type="noConversion"/>
  </si>
  <si>
    <t>青蔥</t>
    <phoneticPr fontId="2" type="noConversion"/>
  </si>
  <si>
    <t>調理米酒</t>
    <phoneticPr fontId="2" type="noConversion"/>
  </si>
  <si>
    <t>瓶</t>
    <phoneticPr fontId="2" type="noConversion"/>
  </si>
  <si>
    <t>油膏</t>
    <phoneticPr fontId="2" type="noConversion"/>
  </si>
  <si>
    <t>素蠔油</t>
    <phoneticPr fontId="2" type="noConversion"/>
  </si>
  <si>
    <t>酥炸粉</t>
    <phoneticPr fontId="2" type="noConversion"/>
  </si>
  <si>
    <t>高麗菜</t>
    <phoneticPr fontId="2" type="noConversion"/>
  </si>
  <si>
    <t>香蕉</t>
    <phoneticPr fontId="2" type="noConversion"/>
  </si>
  <si>
    <t>蘿蔔海帶湯</t>
    <phoneticPr fontId="2" type="noConversion"/>
  </si>
  <si>
    <t>庫存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</si>
</sst>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opLeftCell="A16" workbookViewId="0">
      <selection activeCell="G49" sqref="G4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1" t="s">
        <v>82</v>
      </c>
      <c r="B1" s="62"/>
      <c r="C1" s="62"/>
      <c r="D1" s="62"/>
      <c r="E1" s="62"/>
      <c r="F1" s="62"/>
      <c r="G1" s="62"/>
      <c r="H1" s="6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40</v>
      </c>
      <c r="B3" s="1" t="s">
        <v>44</v>
      </c>
      <c r="C3" s="1">
        <v>260</v>
      </c>
      <c r="D3" s="1">
        <v>99</v>
      </c>
      <c r="E3" s="20">
        <v>64.069999999999993</v>
      </c>
      <c r="F3" s="20" t="s">
        <v>77</v>
      </c>
      <c r="G3" s="44">
        <f>D3*E3</f>
        <v>6342.9299999999994</v>
      </c>
      <c r="H3" s="1"/>
    </row>
    <row r="4" spans="1:8" x14ac:dyDescent="0.25">
      <c r="A4" s="57"/>
      <c r="B4" s="10"/>
      <c r="C4" s="10"/>
      <c r="D4" s="10"/>
      <c r="E4" s="10"/>
      <c r="F4" s="10"/>
      <c r="G4" s="2"/>
      <c r="H4" s="1"/>
    </row>
    <row r="5" spans="1:8" x14ac:dyDescent="0.25">
      <c r="A5" s="57"/>
      <c r="B5" s="1"/>
      <c r="C5" s="1"/>
      <c r="D5" s="1"/>
      <c r="E5" s="1"/>
      <c r="F5" s="1"/>
      <c r="G5" s="1"/>
      <c r="H5" s="1"/>
    </row>
    <row r="6" spans="1:8" x14ac:dyDescent="0.25">
      <c r="A6" s="57"/>
      <c r="B6" s="1"/>
      <c r="C6" s="1"/>
      <c r="D6" s="1"/>
      <c r="E6" s="3"/>
      <c r="F6" s="3"/>
      <c r="G6" s="3"/>
      <c r="H6" s="1"/>
    </row>
    <row r="7" spans="1:8" x14ac:dyDescent="0.25">
      <c r="A7" s="57"/>
      <c r="B7" s="54" t="s">
        <v>7</v>
      </c>
      <c r="C7" s="55"/>
      <c r="D7" s="56"/>
      <c r="E7" s="3"/>
      <c r="F7" s="3"/>
      <c r="G7" s="13">
        <f>SUM(G3:G6)</f>
        <v>6342.9299999999994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7" t="s">
        <v>41</v>
      </c>
      <c r="B9" s="1" t="s">
        <v>45</v>
      </c>
      <c r="C9" s="1">
        <v>250</v>
      </c>
      <c r="D9" s="1">
        <v>150</v>
      </c>
      <c r="E9" s="1">
        <v>20.329999999999998</v>
      </c>
      <c r="F9" s="1" t="s">
        <v>17</v>
      </c>
      <c r="G9" s="1">
        <f>D9*E9</f>
        <v>3049.4999999999995</v>
      </c>
      <c r="H9" s="1"/>
    </row>
    <row r="10" spans="1:8" x14ac:dyDescent="0.25">
      <c r="A10" s="57"/>
      <c r="B10" s="1" t="s">
        <v>49</v>
      </c>
      <c r="C10" s="1">
        <v>6</v>
      </c>
      <c r="D10" s="1">
        <v>23.46</v>
      </c>
      <c r="E10" s="1">
        <v>6</v>
      </c>
      <c r="F10" s="29" t="s">
        <v>47</v>
      </c>
      <c r="G10" s="10">
        <f t="shared" ref="G10:G12" si="0">D10*E10</f>
        <v>140.76</v>
      </c>
      <c r="H10" s="1"/>
    </row>
    <row r="11" spans="1:8" x14ac:dyDescent="0.25">
      <c r="A11" s="57"/>
      <c r="B11" s="1" t="s">
        <v>50</v>
      </c>
      <c r="C11" s="1">
        <v>2</v>
      </c>
      <c r="D11" s="1">
        <v>19.38</v>
      </c>
      <c r="E11" s="1">
        <v>2</v>
      </c>
      <c r="F11" s="29" t="s">
        <v>47</v>
      </c>
      <c r="G11" s="10">
        <f t="shared" si="0"/>
        <v>38.76</v>
      </c>
      <c r="H11" s="1"/>
    </row>
    <row r="12" spans="1:8" x14ac:dyDescent="0.25">
      <c r="A12" s="57"/>
      <c r="B12" s="1"/>
      <c r="C12" s="1"/>
      <c r="D12" s="1"/>
      <c r="E12" s="1"/>
      <c r="F12" s="1"/>
      <c r="G12" s="10">
        <f t="shared" si="0"/>
        <v>0</v>
      </c>
      <c r="H12" s="1"/>
    </row>
    <row r="13" spans="1:8" x14ac:dyDescent="0.25">
      <c r="A13" s="57"/>
      <c r="B13" s="1"/>
      <c r="C13" s="1"/>
      <c r="D13" s="1"/>
      <c r="E13" s="1"/>
      <c r="F13" s="1"/>
      <c r="G13" s="1"/>
      <c r="H13" s="1"/>
    </row>
    <row r="14" spans="1:8" x14ac:dyDescent="0.25">
      <c r="A14" s="57"/>
      <c r="B14" s="54" t="s">
        <v>7</v>
      </c>
      <c r="C14" s="55"/>
      <c r="D14" s="56"/>
      <c r="E14" s="3"/>
      <c r="F14" s="3"/>
      <c r="G14" s="13">
        <f>SUM(G9:G13)</f>
        <v>3229.0199999999995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7" t="s">
        <v>42</v>
      </c>
      <c r="B16" s="1" t="s">
        <v>46</v>
      </c>
      <c r="C16" s="1">
        <v>15</v>
      </c>
      <c r="D16" s="1">
        <v>30</v>
      </c>
      <c r="E16" s="31">
        <v>15</v>
      </c>
      <c r="F16" s="31" t="s">
        <v>48</v>
      </c>
      <c r="G16" s="1">
        <f>D16*E16</f>
        <v>450</v>
      </c>
      <c r="H16" s="1"/>
    </row>
    <row r="17" spans="1:8" x14ac:dyDescent="0.25">
      <c r="A17" s="57"/>
      <c r="B17" s="31" t="s">
        <v>24</v>
      </c>
      <c r="C17" s="31">
        <v>2</v>
      </c>
      <c r="D17" s="31">
        <v>45.6</v>
      </c>
      <c r="E17" s="31">
        <v>40</v>
      </c>
      <c r="F17" s="30" t="s">
        <v>17</v>
      </c>
      <c r="G17" s="31">
        <f t="shared" ref="G17" si="1">D17*E17</f>
        <v>1824</v>
      </c>
      <c r="H17" s="1"/>
    </row>
    <row r="18" spans="1:8" x14ac:dyDescent="0.25">
      <c r="A18" s="57"/>
      <c r="B18" s="1"/>
      <c r="C18" s="1"/>
      <c r="D18" s="1"/>
      <c r="E18" s="1"/>
      <c r="F18" s="1"/>
      <c r="G18" s="2">
        <f t="shared" ref="G18:G19" si="2">D18*E18</f>
        <v>0</v>
      </c>
      <c r="H18" s="1"/>
    </row>
    <row r="19" spans="1:8" x14ac:dyDescent="0.25">
      <c r="A19" s="57"/>
      <c r="B19" s="1"/>
      <c r="C19" s="1"/>
      <c r="D19" s="1"/>
      <c r="E19" s="3"/>
      <c r="F19" s="3"/>
      <c r="G19" s="16">
        <f t="shared" si="2"/>
        <v>0</v>
      </c>
      <c r="H19" s="1"/>
    </row>
    <row r="20" spans="1:8" x14ac:dyDescent="0.25">
      <c r="A20" s="57"/>
      <c r="B20" s="54"/>
      <c r="C20" s="55"/>
      <c r="D20" s="56"/>
      <c r="E20" s="3"/>
      <c r="F20" s="3"/>
      <c r="G20" s="13">
        <f>SUM(G16:G19)</f>
        <v>2274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7"/>
      <c r="B22" s="1" t="s">
        <v>33</v>
      </c>
      <c r="C22" s="1">
        <v>2</v>
      </c>
      <c r="D22" s="1">
        <v>150</v>
      </c>
      <c r="E22" s="1">
        <v>2</v>
      </c>
      <c r="F22" s="1" t="s">
        <v>17</v>
      </c>
      <c r="G22" s="1">
        <f>D22*E22</f>
        <v>300</v>
      </c>
      <c r="H22" s="1"/>
    </row>
    <row r="23" spans="1:8" x14ac:dyDescent="0.25">
      <c r="A23" s="57"/>
      <c r="B23" s="24" t="s">
        <v>36</v>
      </c>
      <c r="C23" s="1" t="s">
        <v>37</v>
      </c>
      <c r="D23" s="1">
        <v>76.5</v>
      </c>
      <c r="E23" s="1">
        <v>0.5</v>
      </c>
      <c r="F23" s="1" t="s">
        <v>30</v>
      </c>
      <c r="G23" s="10">
        <f>D23*E23</f>
        <v>38.25</v>
      </c>
      <c r="H23" s="1"/>
    </row>
    <row r="24" spans="1:8" x14ac:dyDescent="0.25">
      <c r="A24" s="57"/>
      <c r="B24" s="24" t="s">
        <v>22</v>
      </c>
      <c r="C24" s="1">
        <v>8</v>
      </c>
      <c r="D24" s="1">
        <v>81.599999999999994</v>
      </c>
      <c r="E24" s="1">
        <v>8</v>
      </c>
      <c r="F24" s="1" t="s">
        <v>21</v>
      </c>
      <c r="G24" s="10">
        <f t="shared" ref="G24:G25" si="3">D24*E24</f>
        <v>652.79999999999995</v>
      </c>
      <c r="H24" s="1"/>
    </row>
    <row r="25" spans="1:8" x14ac:dyDescent="0.25">
      <c r="A25" s="57"/>
      <c r="B25" s="1" t="s">
        <v>23</v>
      </c>
      <c r="C25" s="1">
        <v>6</v>
      </c>
      <c r="D25" s="1">
        <v>66.599999999999994</v>
      </c>
      <c r="E25" s="1">
        <v>6</v>
      </c>
      <c r="F25" s="1" t="s">
        <v>21</v>
      </c>
      <c r="G25" s="2">
        <f t="shared" si="3"/>
        <v>399.59999999999997</v>
      </c>
      <c r="H25" s="1"/>
    </row>
    <row r="26" spans="1:8" x14ac:dyDescent="0.25">
      <c r="A26" s="57"/>
      <c r="B26" s="10" t="s">
        <v>25</v>
      </c>
      <c r="C26" s="10">
        <v>4</v>
      </c>
      <c r="D26" s="10">
        <v>90</v>
      </c>
      <c r="E26" s="10">
        <v>4</v>
      </c>
      <c r="F26" s="10" t="s">
        <v>34</v>
      </c>
      <c r="G26" s="2">
        <f>D26*E26</f>
        <v>360</v>
      </c>
      <c r="H26" s="10"/>
    </row>
    <row r="27" spans="1:8" x14ac:dyDescent="0.25">
      <c r="A27" s="57"/>
      <c r="B27" s="10" t="s">
        <v>38</v>
      </c>
      <c r="C27" s="10">
        <v>8</v>
      </c>
      <c r="D27" s="10">
        <v>22.8</v>
      </c>
      <c r="E27" s="10">
        <v>8</v>
      </c>
      <c r="F27" s="10" t="s">
        <v>34</v>
      </c>
      <c r="G27" s="2">
        <f>D27*E27</f>
        <v>182.4</v>
      </c>
      <c r="H27" s="10"/>
    </row>
    <row r="28" spans="1:8" x14ac:dyDescent="0.25">
      <c r="A28" s="57"/>
      <c r="B28" s="34"/>
      <c r="C28" s="34"/>
      <c r="D28" s="34"/>
      <c r="E28" s="34"/>
      <c r="F28" s="34"/>
      <c r="G28" s="34"/>
      <c r="H28" s="10"/>
    </row>
    <row r="29" spans="1:8" x14ac:dyDescent="0.25">
      <c r="A29" s="57"/>
      <c r="B29" s="31"/>
      <c r="C29" s="31"/>
      <c r="D29" s="31"/>
      <c r="E29" s="31"/>
      <c r="F29" s="31"/>
      <c r="G29" s="2"/>
      <c r="H29" s="10"/>
    </row>
    <row r="30" spans="1:8" x14ac:dyDescent="0.25">
      <c r="A30" s="57"/>
      <c r="B30" s="10" t="s">
        <v>51</v>
      </c>
      <c r="C30" s="10">
        <v>45</v>
      </c>
      <c r="D30" s="10">
        <v>177</v>
      </c>
      <c r="E30" s="10"/>
      <c r="F30" s="10" t="s">
        <v>17</v>
      </c>
      <c r="G30" s="43">
        <f t="shared" ref="G30:G32" si="4">D30*E30</f>
        <v>0</v>
      </c>
      <c r="H30" s="10"/>
    </row>
    <row r="31" spans="1:8" x14ac:dyDescent="0.25">
      <c r="A31" s="57"/>
      <c r="B31" s="10" t="s">
        <v>35</v>
      </c>
      <c r="C31" s="10">
        <v>1</v>
      </c>
      <c r="D31" s="10">
        <v>4.5</v>
      </c>
      <c r="E31" s="10">
        <v>50</v>
      </c>
      <c r="F31" s="10" t="s">
        <v>73</v>
      </c>
      <c r="G31" s="2">
        <f t="shared" si="4"/>
        <v>225</v>
      </c>
      <c r="H31" s="10"/>
    </row>
    <row r="32" spans="1:8" x14ac:dyDescent="0.25">
      <c r="A32" s="57"/>
      <c r="B32" s="26" t="s">
        <v>32</v>
      </c>
      <c r="C32" s="26">
        <v>1</v>
      </c>
      <c r="D32" s="26">
        <v>240</v>
      </c>
      <c r="E32" s="26">
        <v>1</v>
      </c>
      <c r="F32" s="26" t="s">
        <v>31</v>
      </c>
      <c r="G32" s="2">
        <f t="shared" si="4"/>
        <v>240</v>
      </c>
      <c r="H32" s="1"/>
    </row>
    <row r="33" spans="1:8" x14ac:dyDescent="0.25">
      <c r="A33" s="10"/>
      <c r="B33" s="54" t="s">
        <v>18</v>
      </c>
      <c r="C33" s="55"/>
      <c r="D33" s="56"/>
      <c r="E33" s="26"/>
      <c r="F33" s="26"/>
      <c r="G33" s="14">
        <f>SUM(G22:G32)</f>
        <v>2398.0500000000002</v>
      </c>
      <c r="H33" s="10"/>
    </row>
    <row r="34" spans="1:8" x14ac:dyDescent="0.25">
      <c r="A34" s="1" t="s">
        <v>11</v>
      </c>
      <c r="B34" s="26" t="s">
        <v>1</v>
      </c>
      <c r="C34" s="26" t="s">
        <v>2</v>
      </c>
      <c r="D34" s="26" t="s">
        <v>3</v>
      </c>
      <c r="E34" s="26" t="s">
        <v>4</v>
      </c>
      <c r="F34" s="26"/>
      <c r="G34" s="1" t="s">
        <v>5</v>
      </c>
      <c r="H34" s="1" t="s">
        <v>6</v>
      </c>
    </row>
    <row r="35" spans="1:8" x14ac:dyDescent="0.25">
      <c r="A35" s="57" t="s">
        <v>43</v>
      </c>
      <c r="B35" s="26" t="s">
        <v>52</v>
      </c>
      <c r="C35" s="26">
        <v>4</v>
      </c>
      <c r="D35" s="26">
        <v>180</v>
      </c>
      <c r="E35" s="26">
        <v>4</v>
      </c>
      <c r="F35" s="26" t="s">
        <v>53</v>
      </c>
      <c r="G35" s="1">
        <f>D35*E35</f>
        <v>720</v>
      </c>
      <c r="H35" s="1"/>
    </row>
    <row r="36" spans="1:8" x14ac:dyDescent="0.25">
      <c r="A36" s="57"/>
      <c r="B36" s="26" t="s">
        <v>54</v>
      </c>
      <c r="C36" s="26">
        <v>1</v>
      </c>
      <c r="D36" s="26">
        <v>187</v>
      </c>
      <c r="E36" s="26">
        <v>1</v>
      </c>
      <c r="F36" s="26" t="s">
        <v>87</v>
      </c>
      <c r="G36" s="31">
        <f t="shared" ref="G36:G37" si="5">D36*E36</f>
        <v>187</v>
      </c>
      <c r="H36" s="1" t="s">
        <v>15</v>
      </c>
    </row>
    <row r="37" spans="1:8" x14ac:dyDescent="0.25">
      <c r="A37" s="57"/>
      <c r="B37" s="26"/>
      <c r="C37" s="26"/>
      <c r="D37" s="26"/>
      <c r="E37" s="26"/>
      <c r="F37" s="26"/>
      <c r="G37" s="31">
        <f t="shared" si="5"/>
        <v>0</v>
      </c>
      <c r="H37" s="1"/>
    </row>
    <row r="38" spans="1:8" x14ac:dyDescent="0.25">
      <c r="A38" s="57"/>
      <c r="B38" s="54"/>
      <c r="C38" s="55"/>
      <c r="D38" s="56"/>
      <c r="E38" s="27"/>
      <c r="F38" s="27"/>
      <c r="G38" s="15">
        <f>SUM(G35:G37)</f>
        <v>907</v>
      </c>
      <c r="H38" s="1"/>
    </row>
    <row r="39" spans="1:8" x14ac:dyDescent="0.25">
      <c r="A39" s="1" t="s">
        <v>12</v>
      </c>
      <c r="B39" s="26" t="s">
        <v>1</v>
      </c>
      <c r="C39" s="26" t="s">
        <v>2</v>
      </c>
      <c r="D39" s="26" t="s">
        <v>3</v>
      </c>
      <c r="E39" s="27" t="s">
        <v>4</v>
      </c>
      <c r="F39" s="27"/>
      <c r="G39" s="3" t="s">
        <v>5</v>
      </c>
      <c r="H39" s="1" t="s">
        <v>6</v>
      </c>
    </row>
    <row r="40" spans="1:8" x14ac:dyDescent="0.25">
      <c r="A40" s="58"/>
      <c r="B40" s="1" t="s">
        <v>118</v>
      </c>
      <c r="C40" s="1"/>
      <c r="D40" s="1">
        <v>26.88</v>
      </c>
      <c r="E40" s="1">
        <v>118.17</v>
      </c>
      <c r="F40" s="1" t="s">
        <v>77</v>
      </c>
      <c r="G40" s="2">
        <f>D40*E40</f>
        <v>3176.4096</v>
      </c>
      <c r="H40" s="1"/>
    </row>
    <row r="41" spans="1:8" x14ac:dyDescent="0.25">
      <c r="A41" s="59"/>
      <c r="B41" s="1" t="s">
        <v>119</v>
      </c>
      <c r="C41" s="1"/>
      <c r="D41" s="1">
        <v>26.52</v>
      </c>
      <c r="E41" s="1">
        <v>75</v>
      </c>
      <c r="F41" s="1" t="s">
        <v>77</v>
      </c>
      <c r="G41" s="2">
        <f>D41*E41</f>
        <v>1989</v>
      </c>
      <c r="H41" s="1"/>
    </row>
    <row r="42" spans="1:8" x14ac:dyDescent="0.25">
      <c r="A42" s="60"/>
      <c r="B42" s="54" t="s">
        <v>7</v>
      </c>
      <c r="C42" s="55"/>
      <c r="D42" s="56"/>
      <c r="E42" s="3"/>
      <c r="F42" s="3"/>
      <c r="G42" s="13">
        <f>SUM(G40:G41)</f>
        <v>5165.4096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57"/>
      <c r="B44" s="1"/>
      <c r="C44" s="1"/>
      <c r="D44" s="1"/>
      <c r="E44" s="1"/>
      <c r="F44" s="1"/>
      <c r="G44" s="1"/>
      <c r="H44" s="1"/>
    </row>
    <row r="45" spans="1:8" x14ac:dyDescent="0.25">
      <c r="A45" s="57"/>
      <c r="B45" s="1"/>
      <c r="C45" s="1"/>
      <c r="D45" s="1"/>
      <c r="E45" s="1"/>
      <c r="F45" s="1"/>
      <c r="G45" s="2">
        <f>D45*E45</f>
        <v>0</v>
      </c>
      <c r="H45" s="1"/>
    </row>
    <row r="46" spans="1:8" x14ac:dyDescent="0.25">
      <c r="A46" s="57"/>
      <c r="B46" s="1"/>
      <c r="C46" s="1"/>
      <c r="D46" s="1"/>
      <c r="E46" s="1"/>
      <c r="F46" s="1"/>
      <c r="G46" s="16">
        <f>D46*E46</f>
        <v>0</v>
      </c>
      <c r="H46" s="1"/>
    </row>
    <row r="47" spans="1:8" x14ac:dyDescent="0.25">
      <c r="A47" s="57"/>
      <c r="B47" s="1"/>
      <c r="C47" s="1"/>
      <c r="D47" s="1"/>
      <c r="E47" s="1"/>
      <c r="F47" s="1"/>
      <c r="G47" s="1"/>
      <c r="H47" s="1"/>
    </row>
    <row r="48" spans="1:8" x14ac:dyDescent="0.25">
      <c r="A48" s="57"/>
      <c r="B48" s="54" t="s">
        <v>7</v>
      </c>
      <c r="C48" s="55"/>
      <c r="D48" s="56"/>
      <c r="E48" s="3"/>
      <c r="F48" s="3"/>
      <c r="G48" s="15">
        <f>SUM(G44:G47)</f>
        <v>0</v>
      </c>
      <c r="H48" s="1"/>
    </row>
    <row r="49" spans="1:8" x14ac:dyDescent="0.25">
      <c r="A49" s="1"/>
      <c r="B49" s="51" t="s">
        <v>14</v>
      </c>
      <c r="C49" s="52"/>
      <c r="D49" s="53"/>
      <c r="E49" s="8"/>
      <c r="F49" s="8"/>
      <c r="G49" s="9">
        <f>G48+G42+G38+G20+G14+G7+G33</f>
        <v>20316.409599999999</v>
      </c>
      <c r="H49" s="1"/>
    </row>
  </sheetData>
  <mergeCells count="16">
    <mergeCell ref="B20:D20"/>
    <mergeCell ref="A1:H1"/>
    <mergeCell ref="A3:A7"/>
    <mergeCell ref="B7:D7"/>
    <mergeCell ref="A9:A14"/>
    <mergeCell ref="B14:D14"/>
    <mergeCell ref="A44:A48"/>
    <mergeCell ref="A22:A32"/>
    <mergeCell ref="A35:A38"/>
    <mergeCell ref="A40:A42"/>
    <mergeCell ref="A16:A20"/>
    <mergeCell ref="B49:D49"/>
    <mergeCell ref="B48:D48"/>
    <mergeCell ref="B42:D42"/>
    <mergeCell ref="B38:D38"/>
    <mergeCell ref="B33:D33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opLeftCell="A22" workbookViewId="0">
      <selection activeCell="G30" sqref="G3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1" t="s">
        <v>83</v>
      </c>
      <c r="B1" s="62"/>
      <c r="C1" s="62"/>
      <c r="D1" s="62"/>
      <c r="E1" s="62"/>
      <c r="F1" s="62"/>
      <c r="G1" s="62"/>
      <c r="H1" s="6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135</v>
      </c>
      <c r="B3" s="1" t="s">
        <v>55</v>
      </c>
      <c r="C3" s="1">
        <v>60</v>
      </c>
      <c r="D3" s="1">
        <v>141</v>
      </c>
      <c r="E3" s="1">
        <v>70</v>
      </c>
      <c r="F3" s="29" t="s">
        <v>47</v>
      </c>
      <c r="G3" s="2">
        <f>D3*E3</f>
        <v>9870</v>
      </c>
      <c r="H3" s="1"/>
    </row>
    <row r="4" spans="1:8" x14ac:dyDescent="0.25">
      <c r="A4" s="57"/>
      <c r="B4" s="1" t="s">
        <v>49</v>
      </c>
      <c r="C4" s="1">
        <v>10</v>
      </c>
      <c r="D4" s="1">
        <v>23.46</v>
      </c>
      <c r="E4" s="1">
        <v>10</v>
      </c>
      <c r="F4" s="29" t="s">
        <v>47</v>
      </c>
      <c r="G4" s="2">
        <f t="shared" ref="G4:G6" si="0">D4*E4</f>
        <v>234.60000000000002</v>
      </c>
      <c r="H4" s="1"/>
    </row>
    <row r="5" spans="1:8" x14ac:dyDescent="0.25">
      <c r="A5" s="57"/>
      <c r="B5" s="41" t="s">
        <v>125</v>
      </c>
      <c r="C5" s="41"/>
      <c r="D5" s="41">
        <v>87</v>
      </c>
      <c r="E5" s="41">
        <v>6</v>
      </c>
      <c r="F5" s="40" t="s">
        <v>121</v>
      </c>
      <c r="G5" s="41">
        <f>D5*E5</f>
        <v>522</v>
      </c>
      <c r="H5" s="1"/>
    </row>
    <row r="6" spans="1:8" x14ac:dyDescent="0.25">
      <c r="A6" s="57"/>
      <c r="B6" s="1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57"/>
      <c r="B7" s="54" t="s">
        <v>7</v>
      </c>
      <c r="C7" s="55"/>
      <c r="D7" s="56"/>
      <c r="E7" s="3"/>
      <c r="F7" s="3"/>
      <c r="G7" s="13">
        <f>SUM(G3:G6)</f>
        <v>10626.6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7" t="s">
        <v>126</v>
      </c>
      <c r="B9" s="1" t="s">
        <v>127</v>
      </c>
      <c r="C9" s="1">
        <v>10</v>
      </c>
      <c r="D9" s="1">
        <v>93</v>
      </c>
      <c r="E9" s="1">
        <v>10</v>
      </c>
      <c r="F9" s="29" t="s">
        <v>47</v>
      </c>
      <c r="G9" s="1">
        <f>D9*E9</f>
        <v>930</v>
      </c>
      <c r="H9" s="1"/>
    </row>
    <row r="10" spans="1:8" x14ac:dyDescent="0.25">
      <c r="A10" s="57"/>
      <c r="B10" s="1" t="s">
        <v>93</v>
      </c>
      <c r="C10" s="1">
        <v>15</v>
      </c>
      <c r="D10" s="1">
        <v>117</v>
      </c>
      <c r="E10" s="1">
        <v>10</v>
      </c>
      <c r="F10" s="29" t="s">
        <v>47</v>
      </c>
      <c r="G10" s="31">
        <f t="shared" ref="G10:G12" si="1">D10*E10</f>
        <v>1170</v>
      </c>
      <c r="H10" s="1"/>
    </row>
    <row r="11" spans="1:8" x14ac:dyDescent="0.25">
      <c r="A11" s="57"/>
      <c r="B11" s="1" t="s">
        <v>50</v>
      </c>
      <c r="C11" s="1">
        <v>2</v>
      </c>
      <c r="D11" s="1">
        <v>19.38</v>
      </c>
      <c r="E11" s="1">
        <v>2</v>
      </c>
      <c r="F11" s="29" t="s">
        <v>47</v>
      </c>
      <c r="G11" s="31">
        <f t="shared" si="1"/>
        <v>38.76</v>
      </c>
      <c r="H11" s="1"/>
    </row>
    <row r="12" spans="1:8" x14ac:dyDescent="0.25">
      <c r="A12" s="57"/>
      <c r="B12" s="1" t="s">
        <v>56</v>
      </c>
      <c r="C12" s="1">
        <v>3</v>
      </c>
      <c r="D12" s="1">
        <v>60</v>
      </c>
      <c r="E12" s="1">
        <v>3</v>
      </c>
      <c r="F12" s="29" t="s">
        <v>47</v>
      </c>
      <c r="G12" s="31">
        <f t="shared" si="1"/>
        <v>180</v>
      </c>
      <c r="H12" s="1"/>
    </row>
    <row r="13" spans="1:8" x14ac:dyDescent="0.25">
      <c r="A13" s="57"/>
      <c r="B13" s="1"/>
      <c r="C13" s="1"/>
      <c r="D13" s="1"/>
      <c r="E13" s="1"/>
      <c r="F13" s="1"/>
      <c r="G13" s="1"/>
      <c r="H13" s="1"/>
    </row>
    <row r="14" spans="1:8" x14ac:dyDescent="0.25">
      <c r="A14" s="57"/>
      <c r="B14" s="54" t="s">
        <v>7</v>
      </c>
      <c r="C14" s="55"/>
      <c r="D14" s="56"/>
      <c r="E14" s="3"/>
      <c r="F14" s="3"/>
      <c r="G14" s="13">
        <f>SUM(G9:G13)</f>
        <v>2318.7600000000002</v>
      </c>
      <c r="H14" s="1"/>
    </row>
    <row r="15" spans="1:8" x14ac:dyDescent="0.25">
      <c r="A15" s="26" t="s">
        <v>39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7" t="s">
        <v>128</v>
      </c>
      <c r="B16" s="1" t="s">
        <v>129</v>
      </c>
      <c r="C16" s="1">
        <v>55</v>
      </c>
      <c r="D16" s="1">
        <v>30.78</v>
      </c>
      <c r="E16" s="1">
        <v>50</v>
      </c>
      <c r="F16" s="29" t="s">
        <v>47</v>
      </c>
      <c r="G16" s="1">
        <f>D16*E16</f>
        <v>1539</v>
      </c>
      <c r="H16" s="1"/>
    </row>
    <row r="17" spans="1:8" x14ac:dyDescent="0.25">
      <c r="A17" s="57"/>
      <c r="B17" s="41" t="s">
        <v>120</v>
      </c>
      <c r="C17" s="34"/>
      <c r="D17" s="34">
        <v>150</v>
      </c>
      <c r="E17" s="34">
        <v>1</v>
      </c>
      <c r="F17" s="34" t="s">
        <v>121</v>
      </c>
      <c r="G17" s="41">
        <f t="shared" ref="G17" si="2">D17*E17</f>
        <v>150</v>
      </c>
      <c r="H17" s="1"/>
    </row>
    <row r="18" spans="1:8" x14ac:dyDescent="0.25">
      <c r="A18" s="57"/>
      <c r="B18" s="1"/>
      <c r="C18" s="1"/>
      <c r="D18" s="1"/>
      <c r="E18" s="1"/>
      <c r="F18" s="1"/>
      <c r="G18" s="18"/>
      <c r="H18" s="1"/>
    </row>
    <row r="19" spans="1:8" x14ac:dyDescent="0.25">
      <c r="A19" s="57"/>
      <c r="B19" s="1"/>
      <c r="C19" s="1"/>
      <c r="D19" s="1"/>
      <c r="E19" s="3"/>
      <c r="F19" s="3"/>
      <c r="G19" s="18"/>
      <c r="H19" s="1"/>
    </row>
    <row r="20" spans="1:8" x14ac:dyDescent="0.25">
      <c r="A20" s="57"/>
      <c r="B20" s="1"/>
      <c r="C20" s="1"/>
      <c r="D20" s="1"/>
      <c r="E20" s="3"/>
      <c r="F20" s="3"/>
      <c r="G20" s="18"/>
      <c r="H20" s="1"/>
    </row>
    <row r="21" spans="1:8" x14ac:dyDescent="0.25">
      <c r="A21" s="57"/>
      <c r="B21" s="1"/>
      <c r="C21" s="1"/>
      <c r="D21" s="1"/>
      <c r="E21" s="3"/>
      <c r="F21" s="3"/>
      <c r="G21" s="1"/>
      <c r="H21" s="1"/>
    </row>
    <row r="22" spans="1:8" x14ac:dyDescent="0.25">
      <c r="A22" s="57"/>
      <c r="B22" s="54" t="s">
        <v>7</v>
      </c>
      <c r="C22" s="55"/>
      <c r="D22" s="56"/>
      <c r="E22" s="3"/>
      <c r="F22" s="3"/>
      <c r="G22" s="13">
        <f>SUM(G16:G21)</f>
        <v>1689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7"/>
      <c r="B24" s="1" t="s">
        <v>26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57"/>
      <c r="B25" s="34"/>
      <c r="C25" s="34"/>
      <c r="D25" s="34"/>
      <c r="E25" s="34"/>
      <c r="F25" s="34"/>
      <c r="G25" s="34"/>
      <c r="H25" s="1"/>
    </row>
    <row r="26" spans="1:8" x14ac:dyDescent="0.25">
      <c r="A26" s="57"/>
      <c r="B26" s="1" t="s">
        <v>123</v>
      </c>
      <c r="C26" s="1"/>
      <c r="D26" s="1">
        <v>530</v>
      </c>
      <c r="E26" s="1">
        <v>8</v>
      </c>
      <c r="F26" s="1" t="s">
        <v>124</v>
      </c>
      <c r="G26" s="41">
        <f t="shared" ref="G26:G27" si="3">D26*E26</f>
        <v>4240</v>
      </c>
      <c r="H26" s="1"/>
    </row>
    <row r="27" spans="1:8" x14ac:dyDescent="0.25">
      <c r="A27" s="57"/>
      <c r="B27" s="18" t="s">
        <v>130</v>
      </c>
      <c r="C27" s="18"/>
      <c r="D27" s="18">
        <v>123</v>
      </c>
      <c r="E27" s="18">
        <v>0.5</v>
      </c>
      <c r="F27" s="19" t="s">
        <v>131</v>
      </c>
      <c r="G27" s="41">
        <f t="shared" si="3"/>
        <v>61.5</v>
      </c>
      <c r="H27" s="1"/>
    </row>
    <row r="28" spans="1:8" x14ac:dyDescent="0.25">
      <c r="A28" s="57"/>
      <c r="B28" s="34"/>
      <c r="C28" s="34"/>
      <c r="D28" s="34"/>
      <c r="E28" s="34"/>
      <c r="F28" s="34"/>
      <c r="G28" s="34"/>
      <c r="H28" s="18"/>
    </row>
    <row r="29" spans="1:8" x14ac:dyDescent="0.25">
      <c r="A29" s="57"/>
      <c r="B29" s="54" t="s">
        <v>7</v>
      </c>
      <c r="C29" s="55"/>
      <c r="D29" s="56"/>
      <c r="E29" s="3"/>
      <c r="F29" s="3"/>
      <c r="G29" s="15">
        <f>SUM(G24:G27)</f>
        <v>5501.5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57" t="s">
        <v>57</v>
      </c>
      <c r="B31" s="1" t="s">
        <v>58</v>
      </c>
      <c r="C31" s="1">
        <v>1</v>
      </c>
      <c r="D31" s="1">
        <v>40.200000000000003</v>
      </c>
      <c r="E31" s="1">
        <v>10</v>
      </c>
      <c r="F31" s="1" t="s">
        <v>17</v>
      </c>
      <c r="G31" s="1">
        <f>D31*E31</f>
        <v>402</v>
      </c>
      <c r="H31" s="1"/>
    </row>
    <row r="32" spans="1:8" x14ac:dyDescent="0.25">
      <c r="A32" s="57"/>
      <c r="B32" s="29" t="s">
        <v>59</v>
      </c>
      <c r="C32" s="29">
        <v>10</v>
      </c>
      <c r="D32" s="29">
        <v>31.68</v>
      </c>
      <c r="E32" s="29">
        <v>1.34</v>
      </c>
      <c r="F32" s="29" t="s">
        <v>17</v>
      </c>
      <c r="G32" s="31">
        <f t="shared" ref="G32:G34" si="4">D32*E32</f>
        <v>42.4512</v>
      </c>
      <c r="H32" s="29"/>
    </row>
    <row r="33" spans="1:8" x14ac:dyDescent="0.25">
      <c r="A33" s="57"/>
      <c r="B33" s="29" t="s">
        <v>60</v>
      </c>
      <c r="C33" s="29">
        <v>3</v>
      </c>
      <c r="D33" s="29">
        <v>225</v>
      </c>
      <c r="E33" s="29">
        <v>3</v>
      </c>
      <c r="F33" s="29" t="s">
        <v>62</v>
      </c>
      <c r="G33" s="31">
        <f t="shared" si="4"/>
        <v>675</v>
      </c>
      <c r="H33" s="29"/>
    </row>
    <row r="34" spans="1:8" x14ac:dyDescent="0.25">
      <c r="A34" s="57"/>
      <c r="B34" s="1" t="s">
        <v>61</v>
      </c>
      <c r="C34" s="1">
        <v>10</v>
      </c>
      <c r="D34" s="1">
        <v>75</v>
      </c>
      <c r="E34" s="1">
        <v>10</v>
      </c>
      <c r="F34" s="29" t="s">
        <v>47</v>
      </c>
      <c r="G34" s="31">
        <f t="shared" si="4"/>
        <v>750</v>
      </c>
      <c r="H34" s="1"/>
    </row>
    <row r="35" spans="1:8" x14ac:dyDescent="0.25">
      <c r="A35" s="57"/>
      <c r="B35" s="1"/>
      <c r="C35" s="1"/>
      <c r="D35" s="1"/>
      <c r="E35" s="1"/>
      <c r="F35" s="1"/>
      <c r="G35" s="1"/>
      <c r="H35" s="1"/>
    </row>
    <row r="36" spans="1:8" x14ac:dyDescent="0.25">
      <c r="A36" s="57"/>
      <c r="B36" s="54"/>
      <c r="C36" s="55"/>
      <c r="D36" s="56"/>
      <c r="E36" s="3"/>
      <c r="F36" s="3"/>
      <c r="G36" s="13">
        <f>SUM(G31:G35)</f>
        <v>1869.4512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58"/>
      <c r="B38" s="1" t="s">
        <v>122</v>
      </c>
      <c r="C38" s="1"/>
      <c r="D38" s="1">
        <v>70</v>
      </c>
      <c r="E38" s="1">
        <v>40</v>
      </c>
      <c r="F38" s="1" t="s">
        <v>63</v>
      </c>
      <c r="G38" s="2">
        <f>D38*E38</f>
        <v>2800</v>
      </c>
      <c r="H38" s="1"/>
    </row>
    <row r="39" spans="1:8" x14ac:dyDescent="0.25">
      <c r="A39" s="59"/>
      <c r="B39" s="41" t="s">
        <v>132</v>
      </c>
      <c r="C39" s="41"/>
      <c r="D39" s="41">
        <v>100</v>
      </c>
      <c r="E39" s="41">
        <v>4</v>
      </c>
      <c r="F39" s="41" t="s">
        <v>131</v>
      </c>
      <c r="G39" s="2">
        <f t="shared" ref="G39:G40" si="5">D39*E39</f>
        <v>400</v>
      </c>
      <c r="H39" s="41"/>
    </row>
    <row r="40" spans="1:8" x14ac:dyDescent="0.25">
      <c r="A40" s="59"/>
      <c r="B40" s="41" t="s">
        <v>133</v>
      </c>
      <c r="C40" s="41"/>
      <c r="D40" s="41">
        <v>19.38</v>
      </c>
      <c r="E40" s="41">
        <v>3</v>
      </c>
      <c r="F40" s="41" t="s">
        <v>131</v>
      </c>
      <c r="G40" s="2">
        <f t="shared" si="5"/>
        <v>58.14</v>
      </c>
      <c r="H40" s="41"/>
    </row>
    <row r="41" spans="1:8" x14ac:dyDescent="0.25">
      <c r="A41" s="59"/>
      <c r="B41" s="1"/>
      <c r="C41" s="1"/>
      <c r="D41" s="1"/>
      <c r="E41" s="1"/>
      <c r="F41" s="1" t="s">
        <v>78</v>
      </c>
      <c r="G41" s="2">
        <f>D41*E41</f>
        <v>0</v>
      </c>
      <c r="H41" s="1"/>
    </row>
    <row r="42" spans="1:8" x14ac:dyDescent="0.25">
      <c r="A42" s="60"/>
      <c r="B42" s="54" t="s">
        <v>7</v>
      </c>
      <c r="C42" s="55"/>
      <c r="D42" s="56"/>
      <c r="E42" s="3"/>
      <c r="F42" s="3"/>
      <c r="G42" s="13">
        <f>SUM(G38:G41)</f>
        <v>3258.14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57"/>
      <c r="B44" s="1" t="s">
        <v>134</v>
      </c>
      <c r="C44" s="1"/>
      <c r="D44" s="1">
        <v>29.76</v>
      </c>
      <c r="E44" s="1"/>
      <c r="F44" s="1" t="s">
        <v>77</v>
      </c>
      <c r="G44" s="46">
        <f>D44*E44</f>
        <v>0</v>
      </c>
      <c r="H44" s="1"/>
    </row>
    <row r="45" spans="1:8" x14ac:dyDescent="0.25">
      <c r="A45" s="57"/>
      <c r="B45" s="1"/>
      <c r="C45" s="1"/>
      <c r="D45" s="1"/>
      <c r="E45" s="1"/>
      <c r="F45" s="1"/>
      <c r="G45" s="1"/>
      <c r="H45" s="1"/>
    </row>
    <row r="46" spans="1:8" x14ac:dyDescent="0.25">
      <c r="A46" s="57"/>
      <c r="B46" s="1"/>
      <c r="C46" s="1"/>
      <c r="D46" s="1"/>
      <c r="E46" s="1"/>
      <c r="F46" s="1"/>
      <c r="G46" s="1"/>
      <c r="H46" s="1"/>
    </row>
    <row r="47" spans="1:8" x14ac:dyDescent="0.25">
      <c r="A47" s="57"/>
      <c r="B47" s="1"/>
      <c r="C47" s="1"/>
      <c r="D47" s="1"/>
      <c r="E47" s="1"/>
      <c r="F47" s="1"/>
      <c r="G47" s="1"/>
      <c r="H47" s="1"/>
    </row>
    <row r="48" spans="1:8" x14ac:dyDescent="0.25">
      <c r="A48" s="57"/>
      <c r="B48" s="54" t="s">
        <v>7</v>
      </c>
      <c r="C48" s="55"/>
      <c r="D48" s="56"/>
      <c r="E48" s="3"/>
      <c r="F48" s="3"/>
      <c r="G48" s="4">
        <f>SUM(G44:G47)</f>
        <v>0</v>
      </c>
      <c r="H48" s="1"/>
    </row>
    <row r="49" spans="1:8" x14ac:dyDescent="0.25">
      <c r="A49" s="1"/>
      <c r="B49" s="51" t="s">
        <v>14</v>
      </c>
      <c r="C49" s="52"/>
      <c r="D49" s="53"/>
      <c r="E49" s="8"/>
      <c r="F49" s="8"/>
      <c r="G49" s="9">
        <f>G48+G42+G36+G22+G14+G7+G29</f>
        <v>25263.451200000003</v>
      </c>
      <c r="H49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4:A48"/>
    <mergeCell ref="B48:D48"/>
    <mergeCell ref="B49:D49"/>
    <mergeCell ref="A24:A29"/>
    <mergeCell ref="B29:D29"/>
    <mergeCell ref="A31:A36"/>
    <mergeCell ref="B36:D36"/>
    <mergeCell ref="A38:A42"/>
    <mergeCell ref="B42:D42"/>
  </mergeCells>
  <phoneticPr fontId="2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35" workbookViewId="0">
      <selection activeCell="H52" sqref="A1:H5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1" t="s">
        <v>84</v>
      </c>
      <c r="B1" s="62"/>
      <c r="C1" s="62"/>
      <c r="D1" s="62"/>
      <c r="E1" s="62"/>
      <c r="F1" s="62"/>
      <c r="G1" s="62"/>
      <c r="H1" s="6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88</v>
      </c>
      <c r="B3" s="1" t="s">
        <v>89</v>
      </c>
      <c r="C3" s="1">
        <v>2</v>
      </c>
      <c r="D3" s="1">
        <v>587</v>
      </c>
      <c r="E3" s="1">
        <v>2</v>
      </c>
      <c r="F3" s="1" t="s">
        <v>94</v>
      </c>
      <c r="G3" s="2">
        <f>D3*E3</f>
        <v>1174</v>
      </c>
      <c r="H3" s="1"/>
    </row>
    <row r="4" spans="1:8" x14ac:dyDescent="0.25">
      <c r="A4" s="57"/>
      <c r="B4" s="1" t="s">
        <v>90</v>
      </c>
      <c r="C4" s="1">
        <v>2</v>
      </c>
      <c r="D4" s="1">
        <v>210</v>
      </c>
      <c r="E4" s="1">
        <v>2</v>
      </c>
      <c r="F4" s="29" t="s">
        <v>95</v>
      </c>
      <c r="G4" s="2">
        <f t="shared" ref="G4:G6" si="0">D4*E4</f>
        <v>420</v>
      </c>
      <c r="H4" s="1"/>
    </row>
    <row r="5" spans="1:8" x14ac:dyDescent="0.25">
      <c r="A5" s="57"/>
      <c r="B5" s="1" t="s">
        <v>91</v>
      </c>
      <c r="C5" s="1">
        <v>1</v>
      </c>
      <c r="D5" s="1">
        <v>540</v>
      </c>
      <c r="E5" s="46"/>
      <c r="F5" s="1" t="s">
        <v>17</v>
      </c>
      <c r="G5" s="43">
        <f t="shared" si="0"/>
        <v>0</v>
      </c>
      <c r="H5" s="1"/>
    </row>
    <row r="6" spans="1:8" x14ac:dyDescent="0.25">
      <c r="A6" s="57"/>
      <c r="B6" s="29" t="s">
        <v>92</v>
      </c>
      <c r="C6" s="29">
        <v>65</v>
      </c>
      <c r="D6" s="29">
        <v>22.8</v>
      </c>
      <c r="E6" s="28">
        <v>65</v>
      </c>
      <c r="F6" s="45" t="s">
        <v>17</v>
      </c>
      <c r="G6" s="2">
        <f t="shared" si="0"/>
        <v>1482</v>
      </c>
      <c r="H6" s="29"/>
    </row>
    <row r="7" spans="1:8" x14ac:dyDescent="0.25">
      <c r="A7" s="57"/>
      <c r="B7" s="39" t="s">
        <v>93</v>
      </c>
      <c r="C7" s="39">
        <v>15</v>
      </c>
      <c r="D7" s="39">
        <v>117</v>
      </c>
      <c r="E7" s="38">
        <v>15</v>
      </c>
      <c r="F7" s="45" t="s">
        <v>17</v>
      </c>
      <c r="G7" s="42"/>
      <c r="H7" s="39"/>
    </row>
    <row r="8" spans="1:8" x14ac:dyDescent="0.25">
      <c r="A8" s="57"/>
      <c r="B8" s="1"/>
      <c r="C8" s="1"/>
      <c r="D8" s="1"/>
      <c r="E8" s="3"/>
      <c r="F8" s="3"/>
      <c r="G8" s="3"/>
      <c r="H8" s="1"/>
    </row>
    <row r="9" spans="1:8" x14ac:dyDescent="0.25">
      <c r="A9" s="57"/>
      <c r="B9" s="54" t="s">
        <v>7</v>
      </c>
      <c r="C9" s="55"/>
      <c r="D9" s="56"/>
      <c r="E9" s="3"/>
      <c r="F9" s="3"/>
      <c r="G9" s="13">
        <f>SUM(G3:G8)</f>
        <v>3076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64" t="s">
        <v>65</v>
      </c>
      <c r="B11" s="1" t="s">
        <v>64</v>
      </c>
      <c r="C11" s="1">
        <v>50</v>
      </c>
      <c r="D11" s="1">
        <v>82.8</v>
      </c>
      <c r="E11" s="25">
        <v>50</v>
      </c>
      <c r="F11" s="29" t="s">
        <v>47</v>
      </c>
      <c r="G11" s="1">
        <f>D11*E11</f>
        <v>4140</v>
      </c>
      <c r="H11" s="1"/>
    </row>
    <row r="12" spans="1:8" x14ac:dyDescent="0.25">
      <c r="A12" s="57"/>
      <c r="B12" s="1" t="s">
        <v>66</v>
      </c>
      <c r="C12" s="1">
        <v>45</v>
      </c>
      <c r="D12" s="1">
        <v>180</v>
      </c>
      <c r="E12" s="1">
        <v>14</v>
      </c>
      <c r="F12" s="29" t="s">
        <v>81</v>
      </c>
      <c r="G12" s="21">
        <f t="shared" ref="G12:G14" si="1">D12*E12</f>
        <v>2520</v>
      </c>
      <c r="H12" s="1"/>
    </row>
    <row r="13" spans="1:8" x14ac:dyDescent="0.25">
      <c r="A13" s="57"/>
      <c r="B13" s="1"/>
      <c r="C13" s="1"/>
      <c r="D13" s="1"/>
      <c r="E13" s="1"/>
      <c r="F13" s="1"/>
      <c r="G13" s="21">
        <f t="shared" si="1"/>
        <v>0</v>
      </c>
      <c r="H13" s="1"/>
    </row>
    <row r="14" spans="1:8" x14ac:dyDescent="0.25">
      <c r="A14" s="57"/>
      <c r="B14" s="1"/>
      <c r="C14" s="1"/>
      <c r="D14" s="1"/>
      <c r="E14" s="1"/>
      <c r="F14" s="1"/>
      <c r="G14" s="21">
        <f t="shared" si="1"/>
        <v>0</v>
      </c>
      <c r="H14" s="1"/>
    </row>
    <row r="15" spans="1:8" x14ac:dyDescent="0.25">
      <c r="A15" s="57"/>
      <c r="B15" s="1"/>
      <c r="C15" s="1"/>
      <c r="D15" s="1"/>
      <c r="E15" s="1"/>
      <c r="F15" s="1"/>
      <c r="G15" s="1"/>
      <c r="H15" s="1"/>
    </row>
    <row r="16" spans="1:8" x14ac:dyDescent="0.25">
      <c r="A16" s="57"/>
      <c r="B16" s="54" t="s">
        <v>7</v>
      </c>
      <c r="C16" s="55"/>
      <c r="D16" s="56"/>
      <c r="E16" s="3"/>
      <c r="F16" s="3"/>
      <c r="G16" s="13">
        <f>SUM(G11:G15)</f>
        <v>6660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57" t="s">
        <v>79</v>
      </c>
      <c r="B18" s="1" t="s">
        <v>80</v>
      </c>
      <c r="C18" s="1">
        <v>300</v>
      </c>
      <c r="D18" s="1">
        <v>78</v>
      </c>
      <c r="E18" s="1">
        <v>52.82</v>
      </c>
      <c r="F18" s="29" t="s">
        <v>17</v>
      </c>
      <c r="G18" s="2">
        <f>D18*E18</f>
        <v>4119.96</v>
      </c>
      <c r="H18" s="1"/>
    </row>
    <row r="19" spans="1:8" x14ac:dyDescent="0.25">
      <c r="A19" s="57"/>
      <c r="B19" s="1"/>
      <c r="C19" s="1"/>
      <c r="D19" s="1"/>
      <c r="E19" s="1"/>
      <c r="F19" s="1"/>
      <c r="G19" s="1"/>
      <c r="H19" s="1"/>
    </row>
    <row r="20" spans="1:8" x14ac:dyDescent="0.25">
      <c r="A20" s="57"/>
      <c r="B20" s="34"/>
      <c r="C20" s="34"/>
      <c r="D20" s="34"/>
      <c r="E20" s="34"/>
      <c r="F20" s="34"/>
      <c r="G20" s="33"/>
      <c r="H20" s="1"/>
    </row>
    <row r="21" spans="1:8" x14ac:dyDescent="0.25">
      <c r="A21" s="57"/>
      <c r="B21" s="1"/>
      <c r="C21" s="1"/>
      <c r="D21" s="1"/>
      <c r="E21" s="3"/>
      <c r="F21" s="3"/>
      <c r="G21" s="1"/>
      <c r="H21" s="1"/>
    </row>
    <row r="22" spans="1:8" x14ac:dyDescent="0.25">
      <c r="A22" s="57"/>
      <c r="B22" s="54" t="s">
        <v>7</v>
      </c>
      <c r="C22" s="55"/>
      <c r="D22" s="56"/>
      <c r="E22" s="3"/>
      <c r="F22" s="3"/>
      <c r="G22" s="13">
        <f>SUM(G18:G21)</f>
        <v>4119.96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7"/>
      <c r="B24" s="1" t="s">
        <v>136</v>
      </c>
      <c r="C24" s="1"/>
      <c r="D24" s="1">
        <v>141</v>
      </c>
      <c r="E24" s="1">
        <v>5</v>
      </c>
      <c r="F24" s="29" t="s">
        <v>137</v>
      </c>
      <c r="G24" s="1">
        <f>D24*E24</f>
        <v>705</v>
      </c>
      <c r="H24" s="1" t="s">
        <v>28</v>
      </c>
    </row>
    <row r="25" spans="1:8" x14ac:dyDescent="0.25">
      <c r="A25" s="57"/>
      <c r="B25" s="1" t="s">
        <v>139</v>
      </c>
      <c r="C25" s="1"/>
      <c r="D25" s="45">
        <v>180</v>
      </c>
      <c r="E25" s="45">
        <v>5</v>
      </c>
      <c r="F25" s="45" t="s">
        <v>137</v>
      </c>
      <c r="G25" s="21">
        <f t="shared" ref="G25:G32" si="2">D25*E25</f>
        <v>900</v>
      </c>
      <c r="H25" s="1"/>
    </row>
    <row r="26" spans="1:8" x14ac:dyDescent="0.25">
      <c r="A26" s="57"/>
      <c r="B26" s="1"/>
      <c r="C26" s="1"/>
      <c r="D26" s="1"/>
      <c r="E26" s="1"/>
      <c r="F26" s="1"/>
      <c r="G26" s="21">
        <f t="shared" si="2"/>
        <v>0</v>
      </c>
      <c r="H26" s="1"/>
    </row>
    <row r="27" spans="1:8" x14ac:dyDescent="0.25">
      <c r="A27" s="57"/>
      <c r="B27" s="1"/>
      <c r="C27" s="1"/>
      <c r="D27" s="1"/>
      <c r="E27" s="1"/>
      <c r="F27" s="1"/>
      <c r="G27" s="33">
        <f t="shared" si="2"/>
        <v>0</v>
      </c>
      <c r="H27" s="1"/>
    </row>
    <row r="28" spans="1:8" x14ac:dyDescent="0.25">
      <c r="A28" s="57"/>
      <c r="B28" s="21"/>
      <c r="C28" s="21"/>
      <c r="D28" s="21"/>
      <c r="E28" s="21"/>
      <c r="F28" s="22"/>
      <c r="G28" s="22">
        <f t="shared" si="2"/>
        <v>0</v>
      </c>
      <c r="H28" s="21"/>
    </row>
    <row r="29" spans="1:8" x14ac:dyDescent="0.25">
      <c r="A29" s="57"/>
      <c r="B29" s="21"/>
      <c r="C29" s="21"/>
      <c r="D29" s="21"/>
      <c r="E29" s="21"/>
      <c r="F29" s="22"/>
      <c r="G29" s="22">
        <f t="shared" si="2"/>
        <v>0</v>
      </c>
      <c r="H29" s="21"/>
    </row>
    <row r="30" spans="1:8" x14ac:dyDescent="0.25">
      <c r="A30" s="57"/>
      <c r="B30" s="33"/>
      <c r="C30" s="33"/>
      <c r="D30" s="33"/>
      <c r="E30" s="33"/>
      <c r="F30" s="33"/>
      <c r="G30" s="32">
        <f t="shared" si="2"/>
        <v>0</v>
      </c>
      <c r="H30" s="33"/>
    </row>
    <row r="31" spans="1:8" x14ac:dyDescent="0.25">
      <c r="A31" s="57"/>
      <c r="B31" s="33"/>
      <c r="C31" s="33"/>
      <c r="D31" s="33"/>
      <c r="E31" s="33"/>
      <c r="F31" s="33"/>
      <c r="G31" s="32">
        <f t="shared" si="2"/>
        <v>0</v>
      </c>
      <c r="H31" s="33"/>
    </row>
    <row r="32" spans="1:8" x14ac:dyDescent="0.25">
      <c r="A32" s="57"/>
      <c r="B32" s="33"/>
      <c r="C32" s="33"/>
      <c r="D32" s="33"/>
      <c r="E32" s="33"/>
      <c r="F32" s="33"/>
      <c r="G32" s="32">
        <f t="shared" si="2"/>
        <v>0</v>
      </c>
      <c r="H32" s="33"/>
    </row>
    <row r="33" spans="1:8" x14ac:dyDescent="0.25">
      <c r="A33" s="57"/>
      <c r="B33" s="54" t="s">
        <v>7</v>
      </c>
      <c r="C33" s="55"/>
      <c r="D33" s="56"/>
      <c r="E33" s="3"/>
      <c r="F33" s="3"/>
      <c r="G33" s="15">
        <f>SUM(G24:G32)</f>
        <v>1605</v>
      </c>
      <c r="H33" s="1"/>
    </row>
    <row r="34" spans="1:8" x14ac:dyDescent="0.25">
      <c r="A34" s="1" t="s">
        <v>11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 t="s">
        <v>5</v>
      </c>
      <c r="H34" s="1" t="s">
        <v>6</v>
      </c>
    </row>
    <row r="35" spans="1:8" x14ac:dyDescent="0.25">
      <c r="A35" s="57" t="s">
        <v>68</v>
      </c>
      <c r="B35" s="1" t="s">
        <v>69</v>
      </c>
      <c r="C35" s="1">
        <v>1</v>
      </c>
      <c r="D35" s="1">
        <v>275</v>
      </c>
      <c r="E35" s="1">
        <v>2</v>
      </c>
      <c r="F35" s="11" t="s">
        <v>67</v>
      </c>
      <c r="G35" s="1">
        <f>D35*E35</f>
        <v>550</v>
      </c>
      <c r="H35" s="1"/>
    </row>
    <row r="36" spans="1:8" x14ac:dyDescent="0.25">
      <c r="A36" s="57"/>
      <c r="B36" s="29" t="s">
        <v>70</v>
      </c>
      <c r="C36" s="29">
        <v>8</v>
      </c>
      <c r="D36" s="29">
        <v>84</v>
      </c>
      <c r="E36" s="29">
        <v>8</v>
      </c>
      <c r="F36" s="29" t="s">
        <v>63</v>
      </c>
      <c r="G36" s="33">
        <f t="shared" ref="G36:G38" si="3">D36*E36</f>
        <v>672</v>
      </c>
      <c r="H36" s="29"/>
    </row>
    <row r="37" spans="1:8" x14ac:dyDescent="0.25">
      <c r="A37" s="57"/>
      <c r="B37" s="29" t="s">
        <v>71</v>
      </c>
      <c r="C37" s="29">
        <v>4</v>
      </c>
      <c r="D37" s="29">
        <v>270</v>
      </c>
      <c r="E37" s="29">
        <v>4</v>
      </c>
      <c r="F37" s="29" t="s">
        <v>62</v>
      </c>
      <c r="G37" s="33">
        <f t="shared" si="3"/>
        <v>1080</v>
      </c>
      <c r="H37" s="29"/>
    </row>
    <row r="38" spans="1:8" x14ac:dyDescent="0.25">
      <c r="A38" s="57"/>
      <c r="B38" s="1" t="s">
        <v>72</v>
      </c>
      <c r="C38" s="1">
        <v>1</v>
      </c>
      <c r="D38" s="1">
        <v>187</v>
      </c>
      <c r="E38" s="1">
        <v>1</v>
      </c>
      <c r="F38" s="1" t="s">
        <v>63</v>
      </c>
      <c r="G38" s="33">
        <f t="shared" si="3"/>
        <v>187</v>
      </c>
      <c r="H38" s="1" t="s">
        <v>27</v>
      </c>
    </row>
    <row r="39" spans="1:8" x14ac:dyDescent="0.25">
      <c r="A39" s="57"/>
      <c r="B39" s="1"/>
      <c r="C39" s="1"/>
      <c r="D39" s="1"/>
      <c r="E39" s="1"/>
      <c r="F39" s="1"/>
      <c r="G39" s="1"/>
      <c r="H39" s="1"/>
    </row>
    <row r="40" spans="1:8" x14ac:dyDescent="0.25">
      <c r="A40" s="57"/>
      <c r="B40" s="54" t="s">
        <v>16</v>
      </c>
      <c r="C40" s="55"/>
      <c r="D40" s="56"/>
      <c r="E40" s="3"/>
      <c r="F40" s="3"/>
      <c r="G40" s="13">
        <f>SUM(G35:G39)</f>
        <v>2489</v>
      </c>
      <c r="H40" s="1"/>
    </row>
    <row r="41" spans="1:8" x14ac:dyDescent="0.25">
      <c r="A41" s="1" t="s">
        <v>12</v>
      </c>
      <c r="B41" s="1" t="s">
        <v>1</v>
      </c>
      <c r="C41" s="1" t="s">
        <v>2</v>
      </c>
      <c r="D41" s="1" t="s">
        <v>3</v>
      </c>
      <c r="E41" s="3" t="s">
        <v>4</v>
      </c>
      <c r="F41" s="3"/>
      <c r="G41" s="3" t="s">
        <v>5</v>
      </c>
      <c r="H41" s="1" t="s">
        <v>6</v>
      </c>
    </row>
    <row r="42" spans="1:8" x14ac:dyDescent="0.25">
      <c r="A42" s="58"/>
      <c r="B42" s="1" t="s">
        <v>138</v>
      </c>
      <c r="C42" s="1"/>
      <c r="D42" s="1">
        <v>29.58</v>
      </c>
      <c r="E42" s="1">
        <v>75</v>
      </c>
      <c r="F42" s="1" t="s">
        <v>137</v>
      </c>
      <c r="G42" s="1">
        <f>D42*E42</f>
        <v>2218.5</v>
      </c>
      <c r="H42" s="1"/>
    </row>
    <row r="43" spans="1:8" x14ac:dyDescent="0.25">
      <c r="A43" s="59"/>
      <c r="B43" s="1" t="s">
        <v>140</v>
      </c>
      <c r="C43" s="1"/>
      <c r="D43" s="1">
        <v>26.88</v>
      </c>
      <c r="E43" s="1">
        <v>114.3</v>
      </c>
      <c r="F43" s="21" t="s">
        <v>141</v>
      </c>
      <c r="G43" s="2">
        <f>D43*E43</f>
        <v>3072.384</v>
      </c>
      <c r="H43" s="1"/>
    </row>
    <row r="44" spans="1:8" x14ac:dyDescent="0.25">
      <c r="A44" s="60"/>
      <c r="B44" s="54" t="s">
        <v>7</v>
      </c>
      <c r="C44" s="55"/>
      <c r="D44" s="56"/>
      <c r="E44" s="3"/>
      <c r="F44" s="3"/>
      <c r="G44" s="13">
        <f>SUM(G42:G43)</f>
        <v>5290.884</v>
      </c>
      <c r="H44" s="6"/>
    </row>
    <row r="45" spans="1:8" x14ac:dyDescent="0.25">
      <c r="A45" s="7" t="s">
        <v>13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 t="s">
        <v>5</v>
      </c>
      <c r="H45" s="1"/>
    </row>
    <row r="46" spans="1:8" x14ac:dyDescent="0.25">
      <c r="A46" s="58"/>
      <c r="B46" s="1"/>
      <c r="C46" s="1"/>
      <c r="D46" s="1"/>
      <c r="E46" s="1"/>
      <c r="F46" s="11"/>
      <c r="G46" s="1">
        <f>D46*E46</f>
        <v>0</v>
      </c>
      <c r="H46" s="1"/>
    </row>
    <row r="47" spans="1:8" x14ac:dyDescent="0.25">
      <c r="A47" s="59"/>
      <c r="B47" s="1"/>
      <c r="C47" s="1"/>
      <c r="D47" s="1"/>
      <c r="E47" s="1"/>
      <c r="F47" s="11"/>
      <c r="G47" s="21">
        <f t="shared" ref="G47:G50" si="4">D47*E47</f>
        <v>0</v>
      </c>
      <c r="H47" s="1"/>
    </row>
    <row r="48" spans="1:8" x14ac:dyDescent="0.25">
      <c r="A48" s="59"/>
      <c r="B48" s="1"/>
      <c r="C48" s="1"/>
      <c r="D48" s="1"/>
      <c r="E48" s="1"/>
      <c r="F48" s="11"/>
      <c r="G48" s="21">
        <f t="shared" si="4"/>
        <v>0</v>
      </c>
      <c r="H48" s="1"/>
    </row>
    <row r="49" spans="1:8" x14ac:dyDescent="0.25">
      <c r="A49" s="59"/>
      <c r="B49" s="1"/>
      <c r="C49" s="1"/>
      <c r="D49" s="1"/>
      <c r="E49" s="1"/>
      <c r="F49" s="11"/>
      <c r="G49" s="21">
        <f t="shared" si="4"/>
        <v>0</v>
      </c>
      <c r="H49" s="1"/>
    </row>
    <row r="50" spans="1:8" x14ac:dyDescent="0.25">
      <c r="A50" s="59"/>
      <c r="B50" s="11"/>
      <c r="C50" s="11"/>
      <c r="D50" s="12"/>
      <c r="E50" s="12"/>
      <c r="F50" s="12"/>
      <c r="G50" s="21">
        <f t="shared" si="4"/>
        <v>0</v>
      </c>
      <c r="H50" s="11"/>
    </row>
    <row r="51" spans="1:8" x14ac:dyDescent="0.25">
      <c r="A51" s="60"/>
      <c r="B51" s="54" t="s">
        <v>7</v>
      </c>
      <c r="C51" s="55"/>
      <c r="D51" s="56"/>
      <c r="E51" s="3"/>
      <c r="F51" s="3"/>
      <c r="G51" s="13">
        <f>SUM(G46:G50)</f>
        <v>0</v>
      </c>
      <c r="H51" s="1"/>
    </row>
    <row r="52" spans="1:8" x14ac:dyDescent="0.25">
      <c r="A52" s="11"/>
      <c r="B52" s="51" t="s">
        <v>14</v>
      </c>
      <c r="C52" s="52"/>
      <c r="D52" s="53"/>
      <c r="E52" s="8"/>
      <c r="F52" s="8"/>
      <c r="G52" s="9">
        <f>G51+G44+G40+G22+G16+G9+G33</f>
        <v>23240.844000000001</v>
      </c>
      <c r="H52" s="1"/>
    </row>
  </sheetData>
  <mergeCells count="16">
    <mergeCell ref="A18:A22"/>
    <mergeCell ref="B22:D22"/>
    <mergeCell ref="A1:H1"/>
    <mergeCell ref="A3:A9"/>
    <mergeCell ref="B9:D9"/>
    <mergeCell ref="A11:A16"/>
    <mergeCell ref="B16:D16"/>
    <mergeCell ref="B51:D51"/>
    <mergeCell ref="B52:D52"/>
    <mergeCell ref="A24:A33"/>
    <mergeCell ref="B33:D33"/>
    <mergeCell ref="A35:A40"/>
    <mergeCell ref="B40:D40"/>
    <mergeCell ref="A42:A44"/>
    <mergeCell ref="B44:D44"/>
    <mergeCell ref="A46:A51"/>
  </mergeCells>
  <phoneticPr fontId="2" type="noConversion"/>
  <pageMargins left="0.7" right="0.7" top="0.75" bottom="0.75" header="0.3" footer="0.3"/>
  <pageSetup paperSize="9" scale="8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50" workbookViewId="0">
      <selection activeCell="H67" sqref="H6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1" t="s">
        <v>85</v>
      </c>
      <c r="B1" s="62"/>
      <c r="C1" s="62"/>
      <c r="D1" s="62"/>
      <c r="E1" s="62"/>
      <c r="F1" s="62"/>
      <c r="G1" s="62"/>
      <c r="H1" s="6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96</v>
      </c>
      <c r="B3" s="1" t="s">
        <v>100</v>
      </c>
      <c r="C3" s="1">
        <v>30</v>
      </c>
      <c r="D3" s="1">
        <v>141</v>
      </c>
      <c r="E3" s="48">
        <v>30</v>
      </c>
      <c r="F3" s="48" t="s">
        <v>47</v>
      </c>
      <c r="G3" s="2">
        <f>D3*E3</f>
        <v>4230</v>
      </c>
      <c r="H3" s="1"/>
    </row>
    <row r="4" spans="1:8" x14ac:dyDescent="0.25">
      <c r="A4" s="57"/>
      <c r="B4" s="1" t="s">
        <v>101</v>
      </c>
      <c r="C4" s="1">
        <v>20</v>
      </c>
      <c r="D4" s="1">
        <v>180</v>
      </c>
      <c r="E4" s="48">
        <v>20</v>
      </c>
      <c r="F4" s="48" t="s">
        <v>47</v>
      </c>
      <c r="G4" s="2">
        <f t="shared" ref="G4:G9" si="0">D4*E4</f>
        <v>3600</v>
      </c>
      <c r="H4" s="1"/>
    </row>
    <row r="5" spans="1:8" x14ac:dyDescent="0.25">
      <c r="A5" s="57"/>
      <c r="B5" s="1" t="s">
        <v>102</v>
      </c>
      <c r="C5" s="1">
        <v>4</v>
      </c>
      <c r="D5" s="1">
        <v>76.5</v>
      </c>
      <c r="E5" s="48">
        <v>4</v>
      </c>
      <c r="F5" s="48" t="s">
        <v>47</v>
      </c>
      <c r="G5" s="2">
        <f t="shared" si="0"/>
        <v>306</v>
      </c>
      <c r="H5" s="1"/>
    </row>
    <row r="6" spans="1:8" x14ac:dyDescent="0.25">
      <c r="A6" s="57"/>
      <c r="B6" s="48" t="s">
        <v>103</v>
      </c>
      <c r="C6" s="39">
        <v>3</v>
      </c>
      <c r="D6" s="39">
        <v>187.8</v>
      </c>
      <c r="E6" s="48">
        <v>3</v>
      </c>
      <c r="F6" s="48" t="s">
        <v>47</v>
      </c>
      <c r="G6" s="2">
        <f t="shared" si="0"/>
        <v>563.40000000000009</v>
      </c>
      <c r="H6" s="39"/>
    </row>
    <row r="7" spans="1:8" x14ac:dyDescent="0.25">
      <c r="A7" s="57"/>
      <c r="B7" s="48" t="s">
        <v>105</v>
      </c>
      <c r="C7" s="39">
        <v>1</v>
      </c>
      <c r="D7" s="39">
        <v>96.9</v>
      </c>
      <c r="E7" s="48">
        <v>1</v>
      </c>
      <c r="F7" s="48" t="s">
        <v>47</v>
      </c>
      <c r="G7" s="2">
        <f t="shared" si="0"/>
        <v>96.9</v>
      </c>
      <c r="H7" s="39"/>
    </row>
    <row r="8" spans="1:8" x14ac:dyDescent="0.25">
      <c r="A8" s="57"/>
      <c r="B8" s="48" t="s">
        <v>109</v>
      </c>
      <c r="C8" s="39">
        <v>6</v>
      </c>
      <c r="D8" s="39">
        <v>23.46</v>
      </c>
      <c r="E8" s="48">
        <v>6</v>
      </c>
      <c r="F8" s="48" t="s">
        <v>47</v>
      </c>
      <c r="G8" s="2">
        <f t="shared" si="0"/>
        <v>140.76</v>
      </c>
      <c r="H8" s="39"/>
    </row>
    <row r="9" spans="1:8" x14ac:dyDescent="0.25">
      <c r="A9" s="57"/>
      <c r="B9" s="20" t="s">
        <v>104</v>
      </c>
      <c r="C9" s="1">
        <v>10</v>
      </c>
      <c r="D9" s="1">
        <v>90</v>
      </c>
      <c r="E9" s="48">
        <v>10</v>
      </c>
      <c r="F9" s="48" t="s">
        <v>47</v>
      </c>
      <c r="G9" s="2">
        <f t="shared" si="0"/>
        <v>900</v>
      </c>
      <c r="H9" s="1"/>
    </row>
    <row r="10" spans="1:8" x14ac:dyDescent="0.25">
      <c r="A10" s="57"/>
      <c r="B10" s="54" t="s">
        <v>7</v>
      </c>
      <c r="C10" s="55"/>
      <c r="D10" s="56"/>
      <c r="E10" s="3"/>
      <c r="F10" s="3"/>
      <c r="G10" s="13">
        <f>SUM(G3:G9)</f>
        <v>9837.06</v>
      </c>
      <c r="H10" s="1"/>
    </row>
    <row r="11" spans="1:8" x14ac:dyDescent="0.25">
      <c r="A11" s="1" t="s">
        <v>8</v>
      </c>
      <c r="B11" s="1" t="s">
        <v>1</v>
      </c>
      <c r="C11" s="1" t="s">
        <v>2</v>
      </c>
      <c r="D11" s="1" t="s">
        <v>3</v>
      </c>
      <c r="E11" s="1" t="s">
        <v>4</v>
      </c>
      <c r="F11" s="1"/>
      <c r="G11" s="1" t="s">
        <v>5</v>
      </c>
      <c r="H11" s="1" t="s">
        <v>6</v>
      </c>
    </row>
    <row r="12" spans="1:8" x14ac:dyDescent="0.25">
      <c r="A12" s="57" t="s">
        <v>97</v>
      </c>
      <c r="B12" s="17" t="s">
        <v>74</v>
      </c>
      <c r="C12" s="1">
        <v>30</v>
      </c>
      <c r="D12" s="1">
        <v>51.3</v>
      </c>
      <c r="E12" s="1">
        <v>30</v>
      </c>
      <c r="F12" s="29" t="s">
        <v>47</v>
      </c>
      <c r="G12" s="2">
        <f>D12*E12</f>
        <v>1539</v>
      </c>
      <c r="H12" s="1"/>
    </row>
    <row r="13" spans="1:8" x14ac:dyDescent="0.25">
      <c r="A13" s="57"/>
      <c r="B13" s="1" t="s">
        <v>75</v>
      </c>
      <c r="C13" s="1">
        <v>10</v>
      </c>
      <c r="D13" s="1">
        <v>112.5</v>
      </c>
      <c r="E13" s="1">
        <v>10</v>
      </c>
      <c r="F13" s="29" t="s">
        <v>47</v>
      </c>
      <c r="G13" s="2">
        <f t="shared" ref="G13:G14" si="1">D13*E13</f>
        <v>1125</v>
      </c>
      <c r="H13" s="1"/>
    </row>
    <row r="14" spans="1:8" x14ac:dyDescent="0.25">
      <c r="A14" s="57"/>
      <c r="B14" s="1" t="s">
        <v>50</v>
      </c>
      <c r="C14" s="1">
        <v>3</v>
      </c>
      <c r="D14" s="1">
        <v>18.239999999999998</v>
      </c>
      <c r="E14" s="1">
        <v>3</v>
      </c>
      <c r="F14" s="29" t="s">
        <v>47</v>
      </c>
      <c r="G14" s="2">
        <f t="shared" si="1"/>
        <v>54.72</v>
      </c>
      <c r="H14" s="1"/>
    </row>
    <row r="15" spans="1:8" x14ac:dyDescent="0.25">
      <c r="A15" s="57"/>
      <c r="B15" s="1"/>
      <c r="C15" s="1"/>
      <c r="D15" s="1"/>
      <c r="E15" s="1"/>
      <c r="F15" s="11"/>
      <c r="G15" s="1"/>
      <c r="H15" s="1"/>
    </row>
    <row r="16" spans="1:8" x14ac:dyDescent="0.25">
      <c r="A16" s="57"/>
      <c r="B16" s="1"/>
      <c r="C16" s="1"/>
      <c r="D16" s="1"/>
      <c r="E16" s="1"/>
      <c r="F16" s="1"/>
      <c r="G16" s="1"/>
      <c r="H16" s="1"/>
    </row>
    <row r="17" spans="1:8" x14ac:dyDescent="0.25">
      <c r="A17" s="57"/>
      <c r="B17" s="54" t="s">
        <v>7</v>
      </c>
      <c r="C17" s="55"/>
      <c r="D17" s="56"/>
      <c r="E17" s="3"/>
      <c r="F17" s="3"/>
      <c r="G17" s="13">
        <f>SUM(G12:G16)</f>
        <v>2718.72</v>
      </c>
      <c r="H17" s="1"/>
    </row>
    <row r="18" spans="1:8" x14ac:dyDescent="0.25">
      <c r="A18" s="1" t="s">
        <v>9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 t="s">
        <v>5</v>
      </c>
      <c r="H18" s="1" t="s">
        <v>6</v>
      </c>
    </row>
    <row r="19" spans="1:8" x14ac:dyDescent="0.25">
      <c r="A19" s="57" t="s">
        <v>98</v>
      </c>
      <c r="B19" s="1" t="s">
        <v>99</v>
      </c>
      <c r="C19" s="1"/>
      <c r="D19" s="1">
        <v>45</v>
      </c>
      <c r="E19" s="1">
        <v>40</v>
      </c>
      <c r="F19" s="29" t="s">
        <v>141</v>
      </c>
      <c r="G19" s="1">
        <f>D19*E19</f>
        <v>1800</v>
      </c>
      <c r="H19" s="1"/>
    </row>
    <row r="20" spans="1:8" x14ac:dyDescent="0.25">
      <c r="A20" s="57"/>
      <c r="B20" s="1"/>
      <c r="C20" s="1"/>
      <c r="D20" s="1"/>
      <c r="E20" s="1"/>
      <c r="F20" s="11"/>
      <c r="G20" s="35">
        <f>D20*E20</f>
        <v>0</v>
      </c>
      <c r="H20" s="1"/>
    </row>
    <row r="21" spans="1:8" x14ac:dyDescent="0.25">
      <c r="A21" s="57"/>
      <c r="B21" s="1"/>
      <c r="C21" s="1"/>
      <c r="D21" s="1"/>
      <c r="E21" s="1"/>
      <c r="F21" s="1"/>
      <c r="G21" s="1"/>
      <c r="H21" s="1"/>
    </row>
    <row r="22" spans="1:8" x14ac:dyDescent="0.25">
      <c r="A22" s="57"/>
      <c r="B22" s="23"/>
      <c r="C22" s="23"/>
      <c r="D22" s="23"/>
      <c r="E22" s="23"/>
      <c r="F22" s="23"/>
      <c r="G22" s="1"/>
      <c r="H22" s="1"/>
    </row>
    <row r="23" spans="1:8" x14ac:dyDescent="0.25">
      <c r="A23" s="57"/>
      <c r="B23" s="54" t="s">
        <v>7</v>
      </c>
      <c r="C23" s="55"/>
      <c r="D23" s="56"/>
      <c r="E23" s="3"/>
      <c r="F23" s="3"/>
      <c r="G23" s="15">
        <f>SUM(G19:G22)</f>
        <v>1800</v>
      </c>
      <c r="H23" s="1"/>
    </row>
    <row r="24" spans="1:8" x14ac:dyDescent="0.25">
      <c r="A24" s="5" t="s">
        <v>10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57"/>
      <c r="B25" s="1" t="s">
        <v>92</v>
      </c>
      <c r="C25" s="1">
        <v>8</v>
      </c>
      <c r="D25" s="1">
        <v>22.8</v>
      </c>
      <c r="E25" s="1">
        <v>8</v>
      </c>
      <c r="F25" s="11" t="s">
        <v>17</v>
      </c>
      <c r="G25" s="1">
        <f>D25*E25</f>
        <v>182.4</v>
      </c>
      <c r="H25" s="1"/>
    </row>
    <row r="26" spans="1:8" x14ac:dyDescent="0.25">
      <c r="A26" s="57"/>
      <c r="B26" s="1" t="s">
        <v>142</v>
      </c>
      <c r="C26" s="1"/>
      <c r="D26" s="1">
        <v>141</v>
      </c>
      <c r="E26" s="1">
        <v>3</v>
      </c>
      <c r="F26" s="1" t="s">
        <v>141</v>
      </c>
      <c r="G26" s="48">
        <f t="shared" ref="G26:G38" si="2">D26*E26</f>
        <v>423</v>
      </c>
      <c r="H26" s="1" t="s">
        <v>29</v>
      </c>
    </row>
    <row r="27" spans="1:8" x14ac:dyDescent="0.25">
      <c r="A27" s="57"/>
      <c r="B27" s="48" t="s">
        <v>147</v>
      </c>
      <c r="C27" s="48"/>
      <c r="D27" s="48">
        <v>362</v>
      </c>
      <c r="E27" s="48">
        <v>1</v>
      </c>
      <c r="F27" s="48" t="s">
        <v>146</v>
      </c>
      <c r="G27" s="48">
        <f t="shared" si="2"/>
        <v>362</v>
      </c>
      <c r="H27" s="48"/>
    </row>
    <row r="28" spans="1:8" x14ac:dyDescent="0.25">
      <c r="A28" s="57"/>
      <c r="B28" s="48" t="s">
        <v>148</v>
      </c>
      <c r="C28" s="48"/>
      <c r="D28" s="48">
        <v>630</v>
      </c>
      <c r="E28" s="48">
        <v>1</v>
      </c>
      <c r="F28" s="48" t="s">
        <v>146</v>
      </c>
      <c r="G28" s="48">
        <f t="shared" si="2"/>
        <v>630</v>
      </c>
      <c r="H28" s="48"/>
    </row>
    <row r="29" spans="1:8" x14ac:dyDescent="0.25">
      <c r="A29" s="57"/>
      <c r="B29" s="48" t="s">
        <v>150</v>
      </c>
      <c r="C29" s="48"/>
      <c r="D29" s="48">
        <v>56</v>
      </c>
      <c r="E29" s="48">
        <v>1</v>
      </c>
      <c r="F29" s="48" t="s">
        <v>151</v>
      </c>
      <c r="G29" s="48">
        <f t="shared" si="2"/>
        <v>56</v>
      </c>
      <c r="H29" s="48"/>
    </row>
    <row r="30" spans="1:8" x14ac:dyDescent="0.25">
      <c r="A30" s="57"/>
      <c r="B30" s="48" t="s">
        <v>149</v>
      </c>
      <c r="C30" s="48"/>
      <c r="D30" s="48">
        <v>240</v>
      </c>
      <c r="E30" s="48">
        <v>1</v>
      </c>
      <c r="F30" s="48" t="s">
        <v>146</v>
      </c>
      <c r="G30" s="48">
        <f t="shared" si="2"/>
        <v>240</v>
      </c>
      <c r="H30" s="48"/>
    </row>
    <row r="31" spans="1:8" x14ac:dyDescent="0.25">
      <c r="A31" s="57"/>
      <c r="B31" s="1" t="s">
        <v>144</v>
      </c>
      <c r="C31" s="1"/>
      <c r="D31" s="1">
        <v>62.7</v>
      </c>
      <c r="E31" s="1">
        <v>2</v>
      </c>
      <c r="F31" s="1" t="s">
        <v>141</v>
      </c>
      <c r="G31" s="48">
        <f t="shared" si="2"/>
        <v>125.4</v>
      </c>
      <c r="H31" s="1"/>
    </row>
    <row r="32" spans="1:8" x14ac:dyDescent="0.25">
      <c r="A32" s="57"/>
      <c r="B32" s="1" t="s">
        <v>145</v>
      </c>
      <c r="C32" s="1"/>
      <c r="D32" s="1">
        <v>273</v>
      </c>
      <c r="E32" s="1">
        <v>2</v>
      </c>
      <c r="F32" s="1" t="s">
        <v>146</v>
      </c>
      <c r="G32" s="48">
        <f t="shared" si="2"/>
        <v>546</v>
      </c>
      <c r="H32" s="1"/>
    </row>
    <row r="33" spans="1:8" x14ac:dyDescent="0.25">
      <c r="A33" s="57"/>
      <c r="B33" s="48" t="s">
        <v>152</v>
      </c>
      <c r="C33" s="48"/>
      <c r="D33" s="48">
        <v>180</v>
      </c>
      <c r="E33" s="48">
        <v>20</v>
      </c>
      <c r="F33" s="48" t="s">
        <v>141</v>
      </c>
      <c r="G33" s="48">
        <f t="shared" si="2"/>
        <v>3600</v>
      </c>
      <c r="H33" s="48"/>
    </row>
    <row r="34" spans="1:8" x14ac:dyDescent="0.25">
      <c r="A34" s="57"/>
      <c r="B34" s="48" t="s">
        <v>153</v>
      </c>
      <c r="C34" s="48"/>
      <c r="D34" s="48">
        <v>183</v>
      </c>
      <c r="E34" s="48"/>
      <c r="F34" s="48" t="s">
        <v>141</v>
      </c>
      <c r="G34" s="48">
        <f t="shared" si="2"/>
        <v>0</v>
      </c>
      <c r="H34" s="48"/>
    </row>
    <row r="35" spans="1:8" x14ac:dyDescent="0.25">
      <c r="A35" s="57"/>
      <c r="B35" s="48" t="s">
        <v>154</v>
      </c>
      <c r="C35" s="48"/>
      <c r="D35" s="48">
        <v>183</v>
      </c>
      <c r="E35" s="48"/>
      <c r="F35" s="48" t="s">
        <v>141</v>
      </c>
      <c r="G35" s="48">
        <f t="shared" si="2"/>
        <v>0</v>
      </c>
      <c r="H35" s="48"/>
    </row>
    <row r="36" spans="1:8" x14ac:dyDescent="0.25">
      <c r="A36" s="57"/>
      <c r="B36" s="48" t="s">
        <v>155</v>
      </c>
      <c r="C36" s="48"/>
      <c r="D36" s="48">
        <v>234</v>
      </c>
      <c r="E36" s="48">
        <v>10</v>
      </c>
      <c r="F36" s="48" t="s">
        <v>141</v>
      </c>
      <c r="G36" s="48">
        <f t="shared" si="2"/>
        <v>2340</v>
      </c>
      <c r="H36" s="48"/>
    </row>
    <row r="37" spans="1:8" x14ac:dyDescent="0.25">
      <c r="A37" s="57"/>
      <c r="B37" s="48" t="s">
        <v>156</v>
      </c>
      <c r="C37" s="48"/>
      <c r="D37" s="48">
        <v>235</v>
      </c>
      <c r="E37" s="48">
        <v>3</v>
      </c>
      <c r="F37" s="48" t="s">
        <v>157</v>
      </c>
      <c r="G37" s="48">
        <f t="shared" si="2"/>
        <v>705</v>
      </c>
      <c r="H37" s="48"/>
    </row>
    <row r="38" spans="1:8" x14ac:dyDescent="0.25">
      <c r="A38" s="57"/>
      <c r="B38" s="48" t="s">
        <v>158</v>
      </c>
      <c r="C38" s="48"/>
      <c r="D38" s="48">
        <v>60</v>
      </c>
      <c r="E38" s="48">
        <v>1</v>
      </c>
      <c r="F38" s="48" t="s">
        <v>151</v>
      </c>
      <c r="G38" s="48">
        <f t="shared" si="2"/>
        <v>60</v>
      </c>
      <c r="H38" s="48"/>
    </row>
    <row r="39" spans="1:8" x14ac:dyDescent="0.25">
      <c r="A39" s="57"/>
      <c r="B39" s="54" t="s">
        <v>7</v>
      </c>
      <c r="C39" s="55"/>
      <c r="D39" s="56"/>
      <c r="E39" s="3"/>
      <c r="F39" s="3"/>
      <c r="G39" s="13">
        <f>SUM(G25:G38)</f>
        <v>9269.7999999999993</v>
      </c>
      <c r="H39" s="1"/>
    </row>
    <row r="40" spans="1:8" x14ac:dyDescent="0.25">
      <c r="A40" s="1" t="s">
        <v>11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 t="s">
        <v>6</v>
      </c>
    </row>
    <row r="41" spans="1:8" x14ac:dyDescent="0.25">
      <c r="A41" s="57" t="s">
        <v>106</v>
      </c>
      <c r="B41" s="23" t="s">
        <v>107</v>
      </c>
      <c r="C41" s="23">
        <v>10</v>
      </c>
      <c r="D41" s="23">
        <v>250</v>
      </c>
      <c r="E41" s="50">
        <v>10</v>
      </c>
      <c r="F41" s="50" t="s">
        <v>17</v>
      </c>
      <c r="G41" s="1">
        <f>D41*E41</f>
        <v>2500</v>
      </c>
      <c r="H41" s="1" t="s">
        <v>15</v>
      </c>
    </row>
    <row r="42" spans="1:8" x14ac:dyDescent="0.25">
      <c r="A42" s="57"/>
      <c r="B42" s="1" t="s">
        <v>108</v>
      </c>
      <c r="C42" s="1"/>
      <c r="D42" s="1"/>
      <c r="E42" s="1"/>
      <c r="F42" s="29"/>
      <c r="G42" s="35">
        <f t="shared" ref="G42:G43" si="3">D42*E42</f>
        <v>0</v>
      </c>
      <c r="H42" s="1"/>
    </row>
    <row r="43" spans="1:8" x14ac:dyDescent="0.25">
      <c r="A43" s="57"/>
      <c r="B43" s="1"/>
      <c r="C43" s="1"/>
      <c r="D43" s="1"/>
      <c r="E43" s="1"/>
      <c r="F43" s="1"/>
      <c r="G43" s="35">
        <f t="shared" si="3"/>
        <v>0</v>
      </c>
      <c r="H43" s="1"/>
    </row>
    <row r="44" spans="1:8" x14ac:dyDescent="0.25">
      <c r="A44" s="57"/>
      <c r="B44" s="54"/>
      <c r="C44" s="55"/>
      <c r="D44" s="56"/>
      <c r="E44" s="3"/>
      <c r="F44" s="3"/>
      <c r="G44" s="15">
        <f>SUM(G41:G43)</f>
        <v>2500</v>
      </c>
      <c r="H44" s="1"/>
    </row>
    <row r="45" spans="1:8" x14ac:dyDescent="0.25">
      <c r="A45" s="1" t="s">
        <v>12</v>
      </c>
      <c r="B45" s="1" t="s">
        <v>1</v>
      </c>
      <c r="C45" s="1" t="s">
        <v>2</v>
      </c>
      <c r="D45" s="1" t="s">
        <v>3</v>
      </c>
      <c r="E45" s="3" t="s">
        <v>4</v>
      </c>
      <c r="F45" s="3"/>
      <c r="G45" s="3" t="s">
        <v>5</v>
      </c>
      <c r="H45" s="1" t="s">
        <v>6</v>
      </c>
    </row>
    <row r="46" spans="1:8" x14ac:dyDescent="0.25">
      <c r="A46" s="58"/>
      <c r="B46" s="1" t="s">
        <v>143</v>
      </c>
      <c r="C46" s="1"/>
      <c r="D46" s="1">
        <v>11.7</v>
      </c>
      <c r="E46" s="1">
        <v>65</v>
      </c>
      <c r="F46" s="1" t="s">
        <v>141</v>
      </c>
      <c r="G46" s="1">
        <f>D46*E46</f>
        <v>760.5</v>
      </c>
      <c r="H46" s="1"/>
    </row>
    <row r="47" spans="1:8" x14ac:dyDescent="0.25">
      <c r="A47" s="59"/>
      <c r="B47" s="1" t="s">
        <v>205</v>
      </c>
      <c r="C47" s="1"/>
      <c r="D47" s="1">
        <v>27.84</v>
      </c>
      <c r="E47" s="1">
        <v>75</v>
      </c>
      <c r="F47" s="1" t="s">
        <v>180</v>
      </c>
      <c r="G47" s="2">
        <f>D47*E47</f>
        <v>2088</v>
      </c>
      <c r="H47" s="1"/>
    </row>
    <row r="48" spans="1:8" x14ac:dyDescent="0.25">
      <c r="A48" s="60"/>
      <c r="B48" s="54" t="s">
        <v>7</v>
      </c>
      <c r="C48" s="55"/>
      <c r="D48" s="56"/>
      <c r="E48" s="3"/>
      <c r="F48" s="3"/>
      <c r="G48" s="13">
        <f>SUM(G46:G47)</f>
        <v>2848.5</v>
      </c>
      <c r="H48" s="6"/>
    </row>
    <row r="49" spans="1:8" x14ac:dyDescent="0.25">
      <c r="A49" s="7" t="s">
        <v>13</v>
      </c>
      <c r="B49" s="1" t="s">
        <v>1</v>
      </c>
      <c r="C49" s="1" t="s">
        <v>2</v>
      </c>
      <c r="D49" s="1" t="s">
        <v>3</v>
      </c>
      <c r="E49" s="1" t="s">
        <v>4</v>
      </c>
      <c r="F49" s="1"/>
      <c r="G49" s="1" t="s">
        <v>5</v>
      </c>
      <c r="H49" s="1"/>
    </row>
    <row r="50" spans="1:8" x14ac:dyDescent="0.25">
      <c r="A50" s="57"/>
      <c r="B50" s="1" t="s">
        <v>159</v>
      </c>
      <c r="C50" s="1"/>
      <c r="D50" s="1">
        <v>120</v>
      </c>
      <c r="E50" s="1">
        <v>2</v>
      </c>
      <c r="F50" s="1" t="s">
        <v>160</v>
      </c>
      <c r="G50" s="1">
        <f>D50*E50</f>
        <v>240</v>
      </c>
      <c r="H50" s="1"/>
    </row>
    <row r="51" spans="1:8" x14ac:dyDescent="0.25">
      <c r="A51" s="57"/>
      <c r="B51" s="1" t="s">
        <v>161</v>
      </c>
      <c r="C51" s="1"/>
      <c r="D51" s="1">
        <v>150</v>
      </c>
      <c r="E51" s="1">
        <v>5</v>
      </c>
      <c r="F51" s="1" t="s">
        <v>141</v>
      </c>
      <c r="G51" s="48">
        <f t="shared" ref="G51:G65" si="4">D51*E51</f>
        <v>750</v>
      </c>
      <c r="H51" s="1"/>
    </row>
    <row r="52" spans="1:8" x14ac:dyDescent="0.25">
      <c r="A52" s="57"/>
      <c r="B52" s="1" t="s">
        <v>162</v>
      </c>
      <c r="C52" s="1"/>
      <c r="D52" s="1">
        <v>15</v>
      </c>
      <c r="E52" s="1">
        <v>2</v>
      </c>
      <c r="F52" s="1" t="s">
        <v>151</v>
      </c>
      <c r="G52" s="48">
        <f t="shared" si="4"/>
        <v>30</v>
      </c>
      <c r="H52" s="1"/>
    </row>
    <row r="53" spans="1:8" x14ac:dyDescent="0.25">
      <c r="A53" s="57"/>
      <c r="B53" s="1" t="s">
        <v>163</v>
      </c>
      <c r="C53" s="1"/>
      <c r="D53" s="1">
        <v>1250</v>
      </c>
      <c r="E53" s="1">
        <v>1</v>
      </c>
      <c r="F53" s="1" t="s">
        <v>164</v>
      </c>
      <c r="G53" s="48">
        <f t="shared" si="4"/>
        <v>1250</v>
      </c>
      <c r="H53" s="1"/>
    </row>
    <row r="54" spans="1:8" x14ac:dyDescent="0.25">
      <c r="A54" s="57"/>
      <c r="B54" s="48" t="s">
        <v>165</v>
      </c>
      <c r="C54" s="48"/>
      <c r="D54" s="48">
        <v>121</v>
      </c>
      <c r="E54" s="48">
        <v>0.5</v>
      </c>
      <c r="F54" s="48" t="s">
        <v>141</v>
      </c>
      <c r="G54" s="48">
        <f t="shared" si="4"/>
        <v>60.5</v>
      </c>
      <c r="H54" s="48"/>
    </row>
    <row r="55" spans="1:8" x14ac:dyDescent="0.25">
      <c r="A55" s="57"/>
      <c r="B55" s="48" t="s">
        <v>166</v>
      </c>
      <c r="C55" s="48"/>
      <c r="D55" s="48">
        <v>48</v>
      </c>
      <c r="E55" s="48">
        <v>20</v>
      </c>
      <c r="F55" s="48" t="s">
        <v>141</v>
      </c>
      <c r="G55" s="48">
        <f t="shared" si="4"/>
        <v>960</v>
      </c>
      <c r="H55" s="48"/>
    </row>
    <row r="56" spans="1:8" x14ac:dyDescent="0.25">
      <c r="A56" s="57"/>
      <c r="B56" s="48" t="s">
        <v>167</v>
      </c>
      <c r="C56" s="48"/>
      <c r="D56" s="48">
        <v>225</v>
      </c>
      <c r="E56" s="48">
        <v>3</v>
      </c>
      <c r="F56" s="48" t="s">
        <v>168</v>
      </c>
      <c r="G56" s="48">
        <f t="shared" si="4"/>
        <v>675</v>
      </c>
      <c r="H56" s="48"/>
    </row>
    <row r="57" spans="1:8" x14ac:dyDescent="0.25">
      <c r="A57" s="57"/>
      <c r="B57" s="48" t="s">
        <v>169</v>
      </c>
      <c r="C57" s="48"/>
      <c r="D57" s="48">
        <v>81</v>
      </c>
      <c r="E57" s="48">
        <v>5</v>
      </c>
      <c r="F57" s="48" t="s">
        <v>141</v>
      </c>
      <c r="G57" s="48">
        <f t="shared" si="4"/>
        <v>405</v>
      </c>
      <c r="H57" s="48"/>
    </row>
    <row r="58" spans="1:8" x14ac:dyDescent="0.25">
      <c r="A58" s="57"/>
      <c r="B58" s="48" t="s">
        <v>170</v>
      </c>
      <c r="C58" s="48"/>
      <c r="D58" s="48">
        <v>141</v>
      </c>
      <c r="E58" s="48">
        <v>2</v>
      </c>
      <c r="F58" s="48" t="s">
        <v>141</v>
      </c>
      <c r="G58" s="48">
        <f t="shared" si="4"/>
        <v>282</v>
      </c>
      <c r="H58" s="48"/>
    </row>
    <row r="59" spans="1:8" x14ac:dyDescent="0.25">
      <c r="A59" s="57"/>
      <c r="B59" s="48" t="s">
        <v>171</v>
      </c>
      <c r="C59" s="48"/>
      <c r="D59" s="48">
        <v>30.6</v>
      </c>
      <c r="E59" s="48">
        <v>0.25</v>
      </c>
      <c r="F59" s="48" t="s">
        <v>141</v>
      </c>
      <c r="G59" s="48">
        <f t="shared" si="4"/>
        <v>7.65</v>
      </c>
      <c r="H59" s="48"/>
    </row>
    <row r="60" spans="1:8" x14ac:dyDescent="0.25">
      <c r="A60" s="57"/>
      <c r="B60" s="48" t="s">
        <v>172</v>
      </c>
      <c r="C60" s="48"/>
      <c r="D60" s="48">
        <v>12</v>
      </c>
      <c r="E60" s="48">
        <v>5</v>
      </c>
      <c r="F60" s="48" t="s">
        <v>173</v>
      </c>
      <c r="G60" s="48">
        <f t="shared" si="4"/>
        <v>60</v>
      </c>
      <c r="H60" s="48"/>
    </row>
    <row r="61" spans="1:8" x14ac:dyDescent="0.25">
      <c r="A61" s="57"/>
      <c r="B61" s="48" t="s">
        <v>174</v>
      </c>
      <c r="C61" s="48"/>
      <c r="D61" s="48">
        <v>117</v>
      </c>
      <c r="E61" s="48">
        <v>1</v>
      </c>
      <c r="F61" s="48" t="s">
        <v>141</v>
      </c>
      <c r="G61" s="48">
        <f t="shared" si="4"/>
        <v>117</v>
      </c>
      <c r="H61" s="48"/>
    </row>
    <row r="62" spans="1:8" x14ac:dyDescent="0.25">
      <c r="A62" s="57"/>
      <c r="B62" s="48" t="s">
        <v>175</v>
      </c>
      <c r="C62" s="48"/>
      <c r="D62" s="48">
        <v>20.7</v>
      </c>
      <c r="E62" s="48">
        <v>1</v>
      </c>
      <c r="F62" s="47" t="s">
        <v>141</v>
      </c>
      <c r="G62" s="47">
        <f t="shared" si="4"/>
        <v>20.7</v>
      </c>
      <c r="H62" s="48"/>
    </row>
    <row r="63" spans="1:8" x14ac:dyDescent="0.25">
      <c r="A63" s="57"/>
      <c r="B63" s="48" t="s">
        <v>176</v>
      </c>
      <c r="C63" s="48"/>
      <c r="D63" s="48">
        <v>1236</v>
      </c>
      <c r="E63" s="48">
        <v>1</v>
      </c>
      <c r="F63" s="47" t="s">
        <v>164</v>
      </c>
      <c r="G63" s="47">
        <f t="shared" si="4"/>
        <v>1236</v>
      </c>
      <c r="H63" s="48"/>
    </row>
    <row r="64" spans="1:8" x14ac:dyDescent="0.25">
      <c r="A64" s="57"/>
      <c r="B64" s="48" t="s">
        <v>177</v>
      </c>
      <c r="C64" s="48"/>
      <c r="D64" s="48">
        <v>16</v>
      </c>
      <c r="E64" s="48">
        <v>3</v>
      </c>
      <c r="F64" s="47" t="s">
        <v>157</v>
      </c>
      <c r="G64" s="47">
        <f t="shared" si="4"/>
        <v>48</v>
      </c>
      <c r="H64" s="48"/>
    </row>
    <row r="65" spans="1:8" x14ac:dyDescent="0.25">
      <c r="A65" s="57"/>
      <c r="B65" s="48" t="s">
        <v>178</v>
      </c>
      <c r="C65" s="48"/>
      <c r="D65" s="48">
        <v>26.22</v>
      </c>
      <c r="E65" s="48">
        <v>5</v>
      </c>
      <c r="F65" s="47" t="s">
        <v>141</v>
      </c>
      <c r="G65" s="47">
        <f t="shared" si="4"/>
        <v>131.1</v>
      </c>
      <c r="H65" s="48"/>
    </row>
    <row r="66" spans="1:8" x14ac:dyDescent="0.25">
      <c r="A66" s="57"/>
      <c r="B66" s="54" t="s">
        <v>7</v>
      </c>
      <c r="C66" s="55"/>
      <c r="D66" s="56"/>
      <c r="E66" s="3"/>
      <c r="F66" s="3"/>
      <c r="G66" s="15">
        <f>SUM(G50:G65)</f>
        <v>6272.95</v>
      </c>
      <c r="H66" s="1"/>
    </row>
    <row r="67" spans="1:8" x14ac:dyDescent="0.25">
      <c r="A67" s="1"/>
      <c r="B67" s="51" t="s">
        <v>14</v>
      </c>
      <c r="C67" s="52"/>
      <c r="D67" s="53"/>
      <c r="E67" s="8"/>
      <c r="F67" s="8"/>
      <c r="G67" s="9">
        <f>G66+G48+G44+G23+G17+G10+G39</f>
        <v>35247.03</v>
      </c>
      <c r="H67" s="1"/>
    </row>
  </sheetData>
  <mergeCells count="16">
    <mergeCell ref="A19:A23"/>
    <mergeCell ref="B23:D23"/>
    <mergeCell ref="A1:H1"/>
    <mergeCell ref="A3:A10"/>
    <mergeCell ref="B10:D10"/>
    <mergeCell ref="A12:A17"/>
    <mergeCell ref="B17:D17"/>
    <mergeCell ref="A50:A66"/>
    <mergeCell ref="B66:D66"/>
    <mergeCell ref="B67:D67"/>
    <mergeCell ref="A25:A39"/>
    <mergeCell ref="B39:D39"/>
    <mergeCell ref="A41:A44"/>
    <mergeCell ref="B44:D44"/>
    <mergeCell ref="A46:A48"/>
    <mergeCell ref="B48:D48"/>
  </mergeCells>
  <phoneticPr fontId="2" type="noConversion"/>
  <pageMargins left="0.7" right="0.7" top="0.75" bottom="0.75" header="0.3" footer="0.3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abSelected="1" topLeftCell="A28" workbookViewId="0">
      <selection activeCell="D27" sqref="D2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1" t="s">
        <v>86</v>
      </c>
      <c r="B1" s="62"/>
      <c r="C1" s="62"/>
      <c r="D1" s="62"/>
      <c r="E1" s="62"/>
      <c r="F1" s="62"/>
      <c r="G1" s="62"/>
      <c r="H1" s="6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110</v>
      </c>
      <c r="B3" s="1" t="s">
        <v>110</v>
      </c>
      <c r="C3" s="1">
        <v>270</v>
      </c>
      <c r="D3" s="1">
        <v>24</v>
      </c>
      <c r="E3" s="1">
        <v>270</v>
      </c>
      <c r="F3" s="29" t="s">
        <v>117</v>
      </c>
      <c r="G3" s="2">
        <f>D3*E3</f>
        <v>6480</v>
      </c>
      <c r="H3" s="1"/>
    </row>
    <row r="4" spans="1:8" x14ac:dyDescent="0.25">
      <c r="A4" s="57"/>
      <c r="B4" s="1"/>
      <c r="C4" s="1"/>
      <c r="D4" s="1"/>
      <c r="E4" s="1"/>
      <c r="F4" s="29"/>
      <c r="G4" s="2">
        <f t="shared" ref="G4:G5" si="0">D4*E4</f>
        <v>0</v>
      </c>
      <c r="H4" s="1"/>
    </row>
    <row r="5" spans="1:8" x14ac:dyDescent="0.25">
      <c r="A5" s="57"/>
      <c r="B5" s="1"/>
      <c r="C5" s="1"/>
      <c r="D5" s="1"/>
      <c r="E5" s="1"/>
      <c r="F5" s="29"/>
      <c r="G5" s="2">
        <f t="shared" si="0"/>
        <v>0</v>
      </c>
      <c r="H5" s="1"/>
    </row>
    <row r="6" spans="1:8" x14ac:dyDescent="0.25">
      <c r="A6" s="57"/>
      <c r="B6" s="1"/>
      <c r="C6" s="1"/>
      <c r="D6" s="1"/>
      <c r="E6" s="3"/>
      <c r="F6" s="3"/>
      <c r="G6" s="3"/>
      <c r="H6" s="1"/>
    </row>
    <row r="7" spans="1:8" x14ac:dyDescent="0.25">
      <c r="A7" s="57"/>
      <c r="B7" s="1"/>
      <c r="C7" s="1"/>
      <c r="D7" s="1"/>
      <c r="E7" s="3"/>
      <c r="F7" s="3"/>
      <c r="G7" s="3"/>
      <c r="H7" s="1"/>
    </row>
    <row r="8" spans="1:8" x14ac:dyDescent="0.25">
      <c r="A8" s="57"/>
      <c r="B8" s="54" t="s">
        <v>7</v>
      </c>
      <c r="C8" s="55"/>
      <c r="D8" s="56"/>
      <c r="E8" s="3"/>
      <c r="F8" s="3"/>
      <c r="G8" s="13">
        <f>SUM(G3:G7)</f>
        <v>6480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8" t="s">
        <v>111</v>
      </c>
      <c r="B10" s="23" t="s">
        <v>114</v>
      </c>
      <c r="C10" s="23">
        <v>10</v>
      </c>
      <c r="D10" s="23">
        <v>153</v>
      </c>
      <c r="E10" s="23">
        <v>10</v>
      </c>
      <c r="F10" s="50" t="s">
        <v>117</v>
      </c>
      <c r="G10" s="23">
        <f>D10*E10</f>
        <v>1530</v>
      </c>
      <c r="H10" s="23"/>
    </row>
    <row r="11" spans="1:8" x14ac:dyDescent="0.25">
      <c r="A11" s="59"/>
      <c r="B11" s="1" t="s">
        <v>115</v>
      </c>
      <c r="C11" s="1">
        <v>30</v>
      </c>
      <c r="D11" s="1">
        <v>141</v>
      </c>
      <c r="E11" s="1">
        <v>30</v>
      </c>
      <c r="F11" s="50" t="s">
        <v>117</v>
      </c>
      <c r="G11" s="37">
        <f t="shared" ref="G11:G15" si="1">D11*E11</f>
        <v>4230</v>
      </c>
      <c r="H11" s="1"/>
    </row>
    <row r="12" spans="1:8" x14ac:dyDescent="0.25">
      <c r="A12" s="59"/>
      <c r="B12" s="1" t="s">
        <v>116</v>
      </c>
      <c r="C12" s="1">
        <v>3</v>
      </c>
      <c r="D12" s="1">
        <v>20.52</v>
      </c>
      <c r="E12" s="1">
        <v>3</v>
      </c>
      <c r="F12" s="50" t="s">
        <v>117</v>
      </c>
      <c r="G12" s="37">
        <f t="shared" si="1"/>
        <v>61.56</v>
      </c>
      <c r="H12" s="1"/>
    </row>
    <row r="13" spans="1:8" x14ac:dyDescent="0.25">
      <c r="A13" s="59"/>
      <c r="B13" s="1"/>
      <c r="C13" s="1"/>
      <c r="D13" s="1"/>
      <c r="E13" s="1"/>
      <c r="F13" s="29"/>
      <c r="G13" s="37">
        <f t="shared" si="1"/>
        <v>0</v>
      </c>
      <c r="H13" s="1"/>
    </row>
    <row r="14" spans="1:8" x14ac:dyDescent="0.25">
      <c r="A14" s="59"/>
      <c r="B14" s="1"/>
      <c r="C14" s="1"/>
      <c r="D14" s="1"/>
      <c r="E14" s="1"/>
      <c r="F14" s="29"/>
      <c r="G14" s="37">
        <f t="shared" si="1"/>
        <v>0</v>
      </c>
      <c r="H14" s="1"/>
    </row>
    <row r="15" spans="1:8" x14ac:dyDescent="0.25">
      <c r="A15" s="59"/>
      <c r="B15" s="17"/>
      <c r="C15" s="1"/>
      <c r="D15" s="1"/>
      <c r="E15" s="1"/>
      <c r="F15" s="1"/>
      <c r="G15" s="37">
        <f t="shared" si="1"/>
        <v>0</v>
      </c>
      <c r="H15" s="11"/>
    </row>
    <row r="16" spans="1:8" x14ac:dyDescent="0.25">
      <c r="A16" s="60"/>
      <c r="B16" s="54" t="s">
        <v>7</v>
      </c>
      <c r="C16" s="55"/>
      <c r="D16" s="56"/>
      <c r="E16" s="3"/>
      <c r="F16" s="3"/>
      <c r="G16" s="13">
        <f>SUM(G10:G15)</f>
        <v>5821.56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57" t="s">
        <v>112</v>
      </c>
      <c r="B18" s="1" t="s">
        <v>113</v>
      </c>
      <c r="C18" s="1">
        <v>1</v>
      </c>
      <c r="D18" s="1">
        <v>48</v>
      </c>
      <c r="E18" s="1">
        <v>20</v>
      </c>
      <c r="F18" s="29" t="s">
        <v>17</v>
      </c>
      <c r="G18" s="1">
        <f>D18*E18</f>
        <v>960</v>
      </c>
      <c r="H18" s="1"/>
    </row>
    <row r="19" spans="1:8" x14ac:dyDescent="0.25">
      <c r="A19" s="57"/>
      <c r="B19" s="1"/>
      <c r="C19" s="1"/>
      <c r="D19" s="1"/>
      <c r="E19" s="1"/>
      <c r="F19" s="29"/>
      <c r="G19" s="37">
        <f t="shared" ref="G19:G20" si="2">D19*E19</f>
        <v>0</v>
      </c>
      <c r="H19" s="1"/>
    </row>
    <row r="20" spans="1:8" x14ac:dyDescent="0.25">
      <c r="A20" s="57"/>
      <c r="B20" s="1"/>
      <c r="C20" s="1"/>
      <c r="D20" s="1"/>
      <c r="E20" s="1"/>
      <c r="F20" s="29"/>
      <c r="G20" s="37">
        <f t="shared" si="2"/>
        <v>0</v>
      </c>
      <c r="H20" s="1"/>
    </row>
    <row r="21" spans="1:8" x14ac:dyDescent="0.25">
      <c r="A21" s="57"/>
      <c r="B21" s="1"/>
      <c r="C21" s="1"/>
      <c r="D21" s="1"/>
      <c r="E21" s="3"/>
      <c r="F21" s="3"/>
      <c r="G21" s="1"/>
      <c r="H21" s="1"/>
    </row>
    <row r="22" spans="1:8" x14ac:dyDescent="0.25">
      <c r="A22" s="57"/>
      <c r="B22" s="54" t="s">
        <v>7</v>
      </c>
      <c r="C22" s="55"/>
      <c r="D22" s="56"/>
      <c r="E22" s="3"/>
      <c r="F22" s="3"/>
      <c r="G22" s="13">
        <f>SUM(G18:G21)</f>
        <v>960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65"/>
      <c r="B24" s="17" t="s">
        <v>179</v>
      </c>
      <c r="C24" s="11"/>
      <c r="D24" s="11">
        <v>132</v>
      </c>
      <c r="E24" s="11">
        <v>2.5</v>
      </c>
      <c r="F24" s="29" t="s">
        <v>180</v>
      </c>
      <c r="G24" s="11">
        <f>D24*E24</f>
        <v>330</v>
      </c>
      <c r="H24" s="11" t="s">
        <v>20</v>
      </c>
    </row>
    <row r="25" spans="1:8" x14ac:dyDescent="0.25">
      <c r="A25" s="66"/>
      <c r="B25" s="11" t="s">
        <v>181</v>
      </c>
      <c r="C25" s="11"/>
      <c r="D25" s="11">
        <v>240</v>
      </c>
      <c r="E25" s="11">
        <v>1</v>
      </c>
      <c r="F25" s="37" t="s">
        <v>182</v>
      </c>
      <c r="G25" s="37">
        <f t="shared" ref="G25:G30" si="3">D25*E25</f>
        <v>240</v>
      </c>
      <c r="H25" s="11" t="s">
        <v>20</v>
      </c>
    </row>
    <row r="26" spans="1:8" x14ac:dyDescent="0.25">
      <c r="A26" s="66"/>
      <c r="B26" s="11" t="s">
        <v>183</v>
      </c>
      <c r="C26" s="11"/>
      <c r="D26" s="11">
        <v>85</v>
      </c>
      <c r="E26" s="11">
        <v>1</v>
      </c>
      <c r="F26" s="37" t="s">
        <v>184</v>
      </c>
      <c r="G26" s="37">
        <f t="shared" si="3"/>
        <v>85</v>
      </c>
      <c r="H26" s="1" t="s">
        <v>19</v>
      </c>
    </row>
    <row r="27" spans="1:8" x14ac:dyDescent="0.25">
      <c r="A27" s="66"/>
      <c r="B27" s="1" t="s">
        <v>185</v>
      </c>
      <c r="C27" s="1"/>
      <c r="D27" s="1">
        <v>480</v>
      </c>
      <c r="E27" s="1">
        <v>1</v>
      </c>
      <c r="F27" s="37" t="s">
        <v>186</v>
      </c>
      <c r="G27" s="37">
        <f t="shared" si="3"/>
        <v>480</v>
      </c>
      <c r="H27" s="11" t="s">
        <v>19</v>
      </c>
    </row>
    <row r="28" spans="1:8" x14ac:dyDescent="0.25">
      <c r="A28" s="66"/>
      <c r="B28" s="1" t="s">
        <v>187</v>
      </c>
      <c r="C28" s="1"/>
      <c r="D28" s="1">
        <v>480</v>
      </c>
      <c r="E28" s="1">
        <v>1</v>
      </c>
      <c r="F28" s="37" t="s">
        <v>186</v>
      </c>
      <c r="G28" s="37">
        <f t="shared" si="3"/>
        <v>480</v>
      </c>
      <c r="H28" s="11" t="s">
        <v>19</v>
      </c>
    </row>
    <row r="29" spans="1:8" x14ac:dyDescent="0.25">
      <c r="A29" s="66"/>
      <c r="B29" s="1" t="s">
        <v>188</v>
      </c>
      <c r="C29" s="1"/>
      <c r="D29" s="1">
        <v>1480</v>
      </c>
      <c r="E29" s="1">
        <v>1</v>
      </c>
      <c r="F29" s="37" t="s">
        <v>182</v>
      </c>
      <c r="G29" s="37">
        <f t="shared" si="3"/>
        <v>1480</v>
      </c>
      <c r="H29" s="23"/>
    </row>
    <row r="30" spans="1:8" x14ac:dyDescent="0.25">
      <c r="A30" s="66"/>
      <c r="B30" s="1" t="s">
        <v>189</v>
      </c>
      <c r="C30" s="1"/>
      <c r="D30" s="1">
        <v>280</v>
      </c>
      <c r="E30" s="1">
        <v>1</v>
      </c>
      <c r="F30" s="37" t="s">
        <v>186</v>
      </c>
      <c r="G30" s="37">
        <f t="shared" si="3"/>
        <v>280</v>
      </c>
      <c r="H30" s="1"/>
    </row>
    <row r="31" spans="1:8" x14ac:dyDescent="0.25">
      <c r="A31" s="67"/>
      <c r="B31" s="54" t="s">
        <v>7</v>
      </c>
      <c r="C31" s="55"/>
      <c r="D31" s="56"/>
      <c r="E31" s="3"/>
      <c r="F31" s="3"/>
      <c r="G31" s="13">
        <f>SUM(G24:G30)</f>
        <v>3375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57" t="s">
        <v>206</v>
      </c>
      <c r="B33" s="1" t="s">
        <v>76</v>
      </c>
      <c r="C33" s="1">
        <v>15</v>
      </c>
      <c r="D33" s="1">
        <v>12.6</v>
      </c>
      <c r="E33" s="1">
        <v>15</v>
      </c>
      <c r="F33" s="29" t="s">
        <v>180</v>
      </c>
      <c r="G33" s="1">
        <f>D33*E33</f>
        <v>189</v>
      </c>
      <c r="H33" s="1"/>
    </row>
    <row r="34" spans="1:8" x14ac:dyDescent="0.25">
      <c r="A34" s="57"/>
      <c r="B34" s="1" t="s">
        <v>195</v>
      </c>
      <c r="C34" s="1">
        <v>20</v>
      </c>
      <c r="D34" s="1"/>
      <c r="E34" s="1"/>
      <c r="F34" s="29"/>
      <c r="G34" s="37">
        <f>D34*E34</f>
        <v>0</v>
      </c>
      <c r="H34" s="1" t="s">
        <v>207</v>
      </c>
    </row>
    <row r="35" spans="1:8" x14ac:dyDescent="0.25">
      <c r="A35" s="57"/>
      <c r="B35" s="1"/>
      <c r="C35" s="1"/>
      <c r="D35" s="1"/>
      <c r="E35" s="1"/>
      <c r="F35" s="1"/>
      <c r="G35" s="1"/>
      <c r="H35" s="1"/>
    </row>
    <row r="36" spans="1:8" x14ac:dyDescent="0.25">
      <c r="A36" s="57"/>
      <c r="B36" s="54"/>
      <c r="C36" s="55"/>
      <c r="D36" s="56"/>
      <c r="E36" s="3"/>
      <c r="F36" s="3"/>
      <c r="G36" s="13">
        <f>SUM(G33:G35)</f>
        <v>189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58"/>
      <c r="B38" s="1" t="s">
        <v>194</v>
      </c>
      <c r="C38" s="1"/>
      <c r="D38" s="1">
        <v>26.88</v>
      </c>
      <c r="E38" s="1">
        <v>130.5</v>
      </c>
      <c r="F38" s="1" t="s">
        <v>180</v>
      </c>
      <c r="G38" s="1">
        <f>D38*E38</f>
        <v>3507.8399999999997</v>
      </c>
      <c r="H38" s="1"/>
    </row>
    <row r="39" spans="1:8" x14ac:dyDescent="0.25">
      <c r="A39" s="59"/>
      <c r="B39" s="1" t="s">
        <v>204</v>
      </c>
      <c r="C39" s="1"/>
      <c r="D39" s="1">
        <v>37.74</v>
      </c>
      <c r="E39" s="1">
        <v>75</v>
      </c>
      <c r="F39" s="1" t="s">
        <v>180</v>
      </c>
      <c r="G39" s="37">
        <f>D39*E39</f>
        <v>2830.5</v>
      </c>
      <c r="H39" s="1"/>
    </row>
    <row r="40" spans="1:8" x14ac:dyDescent="0.25">
      <c r="A40" s="60"/>
      <c r="B40" s="54" t="s">
        <v>7</v>
      </c>
      <c r="C40" s="55"/>
      <c r="D40" s="56"/>
      <c r="E40" s="3"/>
      <c r="F40" s="3"/>
      <c r="G40" s="13">
        <f>SUM(G38:G39)</f>
        <v>6338.34</v>
      </c>
      <c r="H40" s="6"/>
    </row>
    <row r="41" spans="1:8" x14ac:dyDescent="0.25">
      <c r="A41" s="7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57"/>
      <c r="B42" s="1" t="s">
        <v>190</v>
      </c>
      <c r="C42" s="1"/>
      <c r="D42" s="1">
        <v>10</v>
      </c>
      <c r="E42" s="1">
        <v>25</v>
      </c>
      <c r="F42" s="1" t="s">
        <v>191</v>
      </c>
      <c r="G42" s="1">
        <f>D42*E42</f>
        <v>250</v>
      </c>
      <c r="H42" s="1"/>
    </row>
    <row r="43" spans="1:8" x14ac:dyDescent="0.25">
      <c r="A43" s="57"/>
      <c r="B43" s="1" t="s">
        <v>192</v>
      </c>
      <c r="C43" s="1"/>
      <c r="D43" s="1">
        <v>22.8</v>
      </c>
      <c r="E43" s="1">
        <v>2</v>
      </c>
      <c r="F43" s="37" t="s">
        <v>180</v>
      </c>
      <c r="G43" s="37">
        <f t="shared" ref="G43:G52" si="4">D43*E43</f>
        <v>45.6</v>
      </c>
      <c r="H43" s="1"/>
    </row>
    <row r="44" spans="1:8" x14ac:dyDescent="0.25">
      <c r="A44" s="57"/>
      <c r="B44" s="1" t="s">
        <v>193</v>
      </c>
      <c r="C44" s="1"/>
      <c r="D44" s="1">
        <v>135</v>
      </c>
      <c r="E44" s="1">
        <v>1</v>
      </c>
      <c r="F44" s="1" t="s">
        <v>180</v>
      </c>
      <c r="G44" s="37">
        <f t="shared" si="4"/>
        <v>135</v>
      </c>
      <c r="H44" s="1"/>
    </row>
    <row r="45" spans="1:8" x14ac:dyDescent="0.25">
      <c r="A45" s="57"/>
      <c r="B45" s="1" t="s">
        <v>195</v>
      </c>
      <c r="C45" s="1"/>
      <c r="D45" s="1">
        <v>63</v>
      </c>
      <c r="E45" s="1">
        <v>5</v>
      </c>
      <c r="F45" s="37" t="s">
        <v>180</v>
      </c>
      <c r="G45" s="37">
        <f t="shared" si="4"/>
        <v>315</v>
      </c>
      <c r="H45" s="1"/>
    </row>
    <row r="46" spans="1:8" x14ac:dyDescent="0.25">
      <c r="A46" s="57"/>
      <c r="B46" s="37" t="s">
        <v>196</v>
      </c>
      <c r="C46" s="37"/>
      <c r="D46" s="37">
        <v>48</v>
      </c>
      <c r="E46" s="37">
        <v>20</v>
      </c>
      <c r="F46" s="37" t="s">
        <v>180</v>
      </c>
      <c r="G46" s="37">
        <f t="shared" si="4"/>
        <v>960</v>
      </c>
      <c r="H46" s="37"/>
    </row>
    <row r="47" spans="1:8" x14ac:dyDescent="0.25">
      <c r="A47" s="57"/>
      <c r="B47" s="37" t="s">
        <v>197</v>
      </c>
      <c r="C47" s="37"/>
      <c r="D47" s="37">
        <v>81.599999999999994</v>
      </c>
      <c r="E47" s="37">
        <v>3</v>
      </c>
      <c r="F47" s="37" t="s">
        <v>180</v>
      </c>
      <c r="G47" s="37">
        <f t="shared" si="4"/>
        <v>244.79999999999998</v>
      </c>
      <c r="H47" s="37"/>
    </row>
    <row r="48" spans="1:8" x14ac:dyDescent="0.25">
      <c r="A48" s="57"/>
      <c r="B48" s="37" t="s">
        <v>198</v>
      </c>
      <c r="C48" s="37"/>
      <c r="D48" s="37">
        <v>66.599999999999994</v>
      </c>
      <c r="E48" s="37">
        <v>3</v>
      </c>
      <c r="F48" s="37" t="s">
        <v>180</v>
      </c>
      <c r="G48" s="37">
        <f t="shared" si="4"/>
        <v>199.79999999999998</v>
      </c>
      <c r="H48" s="37"/>
    </row>
    <row r="49" spans="1:8" x14ac:dyDescent="0.25">
      <c r="A49" s="57"/>
      <c r="B49" s="37" t="s">
        <v>199</v>
      </c>
      <c r="C49" s="37"/>
      <c r="D49" s="37">
        <v>37</v>
      </c>
      <c r="E49" s="37">
        <v>20</v>
      </c>
      <c r="F49" s="37" t="s">
        <v>200</v>
      </c>
      <c r="G49" s="37">
        <f t="shared" si="4"/>
        <v>740</v>
      </c>
      <c r="H49" s="37"/>
    </row>
    <row r="50" spans="1:8" x14ac:dyDescent="0.25">
      <c r="A50" s="57"/>
      <c r="B50" s="50" t="s">
        <v>202</v>
      </c>
      <c r="C50" s="50"/>
      <c r="D50" s="50">
        <v>310</v>
      </c>
      <c r="E50" s="50">
        <v>1</v>
      </c>
      <c r="F50" s="49" t="s">
        <v>186</v>
      </c>
      <c r="G50" s="50">
        <f t="shared" si="4"/>
        <v>310</v>
      </c>
      <c r="H50" s="50"/>
    </row>
    <row r="51" spans="1:8" x14ac:dyDescent="0.25">
      <c r="A51" s="57"/>
      <c r="B51" s="50" t="s">
        <v>203</v>
      </c>
      <c r="C51" s="50"/>
      <c r="D51" s="50">
        <v>93</v>
      </c>
      <c r="E51" s="50">
        <v>5</v>
      </c>
      <c r="F51" s="49" t="s">
        <v>184</v>
      </c>
      <c r="G51" s="50">
        <f t="shared" si="4"/>
        <v>465</v>
      </c>
      <c r="H51" s="50"/>
    </row>
    <row r="52" spans="1:8" x14ac:dyDescent="0.25">
      <c r="A52" s="57"/>
      <c r="B52" s="37" t="s">
        <v>201</v>
      </c>
      <c r="C52" s="37"/>
      <c r="D52" s="37">
        <v>270</v>
      </c>
      <c r="E52" s="37">
        <v>1</v>
      </c>
      <c r="F52" s="36" t="s">
        <v>186</v>
      </c>
      <c r="G52" s="37">
        <f t="shared" si="4"/>
        <v>270</v>
      </c>
      <c r="H52" s="37"/>
    </row>
    <row r="53" spans="1:8" x14ac:dyDescent="0.25">
      <c r="A53" s="57"/>
      <c r="B53" s="54" t="s">
        <v>7</v>
      </c>
      <c r="C53" s="55"/>
      <c r="D53" s="56"/>
      <c r="E53" s="3"/>
      <c r="F53" s="3"/>
      <c r="G53" s="13">
        <f>SUM(G42:G52)</f>
        <v>3935.2</v>
      </c>
      <c r="H53" s="1"/>
    </row>
    <row r="54" spans="1:8" x14ac:dyDescent="0.25">
      <c r="A54" s="1"/>
      <c r="B54" s="51" t="s">
        <v>14</v>
      </c>
      <c r="C54" s="52"/>
      <c r="D54" s="53"/>
      <c r="E54" s="8"/>
      <c r="F54" s="8"/>
      <c r="G54" s="9">
        <f>G53+G40+G36+G22+G16+G8+G31</f>
        <v>27099.100000000002</v>
      </c>
      <c r="H54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42:A53"/>
    <mergeCell ref="B53:D53"/>
    <mergeCell ref="B54:D54"/>
    <mergeCell ref="B31:D31"/>
    <mergeCell ref="A33:A36"/>
    <mergeCell ref="B36:D36"/>
    <mergeCell ref="A38:A40"/>
    <mergeCell ref="B40:D40"/>
    <mergeCell ref="A24:A31"/>
  </mergeCells>
  <phoneticPr fontId="2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0728</vt:lpstr>
      <vt:lpstr>0729</vt:lpstr>
      <vt:lpstr>0730</vt:lpstr>
      <vt:lpstr>0731</vt:lpstr>
      <vt:lpstr>0801</vt:lpstr>
      <vt:lpstr>'0728'!Print_Area</vt:lpstr>
      <vt:lpstr>'0729'!Print_Area</vt:lpstr>
      <vt:lpstr>'0730'!Print_Area</vt:lpstr>
      <vt:lpstr>'0731'!Print_Area</vt:lpstr>
      <vt:lpstr>'0801'!Print_Area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2025-07-31T02:08:26Z</cp:lastPrinted>
  <dcterms:created xsi:type="dcterms:W3CDTF">2025-02-19T17:01:12Z</dcterms:created>
  <dcterms:modified xsi:type="dcterms:W3CDTF">2025-08-01T05:40:54Z</dcterms:modified>
</cp:coreProperties>
</file>