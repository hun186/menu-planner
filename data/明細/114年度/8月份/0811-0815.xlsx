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8月份\"/>
    </mc:Choice>
  </mc:AlternateContent>
  <bookViews>
    <workbookView xWindow="0" yWindow="0" windowWidth="28800" windowHeight="12255" activeTab="4"/>
  </bookViews>
  <sheets>
    <sheet name="0811" sheetId="1" r:id="rId1"/>
    <sheet name="0812" sheetId="2" r:id="rId2"/>
    <sheet name="0813" sheetId="3" r:id="rId3"/>
    <sheet name="0814" sheetId="4" r:id="rId4"/>
    <sheet name="0815" sheetId="5" r:id="rId5"/>
  </sheets>
  <definedNames>
    <definedName name="_xlnm.Print_Area" localSheetId="0">'0811'!$A$1:$H$50</definedName>
    <definedName name="_xlnm.Print_Area" localSheetId="1">'0812'!$A$1:$H$46</definedName>
    <definedName name="_xlnm.Print_Area" localSheetId="2">'0813'!$A$1:$H$58</definedName>
    <definedName name="_xlnm.Print_Area" localSheetId="3">'0814'!$A$1:$H$43</definedName>
    <definedName name="_xlnm.Print_Area" localSheetId="4">'0815'!$A$1:$H$60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" i="5" l="1"/>
  <c r="G59" i="5"/>
  <c r="G54" i="5"/>
  <c r="G53" i="5"/>
  <c r="G52" i="5"/>
  <c r="G55" i="5"/>
  <c r="G51" i="5"/>
  <c r="G50" i="5"/>
  <c r="G49" i="5"/>
  <c r="G40" i="5"/>
  <c r="G58" i="5"/>
  <c r="G57" i="5"/>
  <c r="G56" i="5"/>
  <c r="G48" i="5"/>
  <c r="G46" i="5"/>
  <c r="G35" i="5"/>
  <c r="G32" i="5"/>
  <c r="G16" i="5"/>
  <c r="G11" i="5"/>
  <c r="G10" i="5"/>
  <c r="G47" i="5"/>
  <c r="G39" i="5"/>
  <c r="G26" i="5"/>
  <c r="G27" i="5"/>
  <c r="G28" i="5"/>
  <c r="G29" i="5"/>
  <c r="G30" i="5"/>
  <c r="G31" i="5"/>
  <c r="G25" i="5"/>
  <c r="G23" i="5"/>
  <c r="G19" i="5"/>
  <c r="G20" i="5"/>
  <c r="G21" i="5"/>
  <c r="G22" i="5"/>
  <c r="G18" i="5"/>
  <c r="G3" i="5"/>
  <c r="G44" i="5"/>
  <c r="G45" i="5"/>
  <c r="G43" i="5"/>
  <c r="G35" i="4"/>
  <c r="G17" i="4" l="1"/>
  <c r="G18" i="4"/>
  <c r="G19" i="4"/>
  <c r="G16" i="4"/>
  <c r="G39" i="4"/>
  <c r="G40" i="4"/>
  <c r="G41" i="4"/>
  <c r="G38" i="4"/>
  <c r="G34" i="4"/>
  <c r="G30" i="4"/>
  <c r="G29" i="4"/>
  <c r="G27" i="4"/>
  <c r="G23" i="4"/>
  <c r="G24" i="4"/>
  <c r="G25" i="4"/>
  <c r="G26" i="4"/>
  <c r="G22" i="4"/>
  <c r="G10" i="4"/>
  <c r="G11" i="4"/>
  <c r="G14" i="4" s="1"/>
  <c r="G12" i="4"/>
  <c r="G13" i="4"/>
  <c r="G9" i="4"/>
  <c r="G4" i="4"/>
  <c r="G3" i="4"/>
  <c r="G41" i="3" l="1"/>
  <c r="G37" i="3"/>
  <c r="G14" i="3"/>
  <c r="G17" i="3"/>
  <c r="G18" i="3"/>
  <c r="G19" i="3"/>
  <c r="G20" i="3"/>
  <c r="G16" i="3"/>
  <c r="G57" i="3"/>
  <c r="G48" i="3"/>
  <c r="G49" i="3"/>
  <c r="G50" i="3"/>
  <c r="G51" i="3"/>
  <c r="G52" i="3"/>
  <c r="G53" i="3"/>
  <c r="G54" i="3"/>
  <c r="G55" i="3"/>
  <c r="G56" i="3"/>
  <c r="G29" i="3"/>
  <c r="G32" i="3"/>
  <c r="G33" i="3"/>
  <c r="G34" i="3"/>
  <c r="G35" i="3"/>
  <c r="G36" i="3"/>
  <c r="G13" i="3"/>
  <c r="G37" i="2" l="1"/>
  <c r="G34" i="2"/>
  <c r="G32" i="2"/>
  <c r="G33" i="2"/>
  <c r="G29" i="2"/>
  <c r="G22" i="2"/>
  <c r="G14" i="2"/>
  <c r="G7" i="2"/>
  <c r="G41" i="2"/>
  <c r="G42" i="1"/>
  <c r="G37" i="1"/>
  <c r="G36" i="1"/>
  <c r="G34" i="1"/>
  <c r="G26" i="1"/>
  <c r="G27" i="1"/>
  <c r="G28" i="1"/>
  <c r="G29" i="1"/>
  <c r="G30" i="1"/>
  <c r="G31" i="1"/>
  <c r="G32" i="1"/>
  <c r="G33" i="1"/>
  <c r="G21" i="1"/>
  <c r="G15" i="1"/>
  <c r="G7" i="1"/>
  <c r="G4" i="1"/>
  <c r="G5" i="1"/>
  <c r="G6" i="1"/>
  <c r="G40" i="3" l="1"/>
  <c r="G39" i="3"/>
  <c r="G10" i="3"/>
  <c r="G11" i="3"/>
  <c r="G12" i="3"/>
  <c r="G9" i="3"/>
  <c r="G28" i="3"/>
  <c r="G27" i="3"/>
  <c r="G24" i="3"/>
  <c r="G25" i="3"/>
  <c r="G26" i="3"/>
  <c r="G23" i="3"/>
  <c r="G31" i="3"/>
  <c r="G3" i="3"/>
  <c r="G44" i="3"/>
  <c r="G45" i="3"/>
  <c r="G46" i="3"/>
  <c r="G47" i="3"/>
  <c r="G43" i="3"/>
  <c r="G25" i="2" l="1"/>
  <c r="G26" i="2"/>
  <c r="G27" i="2"/>
  <c r="G28" i="2"/>
  <c r="G24" i="2"/>
  <c r="G38" i="2"/>
  <c r="G39" i="2" s="1"/>
  <c r="G46" i="2" s="1"/>
  <c r="G10" i="2"/>
  <c r="G9" i="2"/>
  <c r="G17" i="2"/>
  <c r="G18" i="2"/>
  <c r="G19" i="2"/>
  <c r="G20" i="2"/>
  <c r="G16" i="2"/>
  <c r="G31" i="2"/>
  <c r="G4" i="2"/>
  <c r="G5" i="2"/>
  <c r="G6" i="2"/>
  <c r="G3" i="2"/>
  <c r="G36" i="2"/>
  <c r="G46" i="1" l="1"/>
  <c r="G47" i="1"/>
  <c r="G18" i="1"/>
  <c r="G19" i="1"/>
  <c r="G20" i="1"/>
  <c r="G3" i="1"/>
  <c r="G45" i="1" l="1"/>
  <c r="G49" i="1" s="1"/>
  <c r="G17" i="1"/>
  <c r="G41" i="1"/>
  <c r="G43" i="1" s="1"/>
  <c r="G50" i="1" s="1"/>
  <c r="G25" i="1" l="1"/>
  <c r="G24" i="1"/>
  <c r="G23" i="1"/>
  <c r="G10" i="1"/>
  <c r="G11" i="1"/>
  <c r="G12" i="1"/>
  <c r="G9" i="1"/>
  <c r="G41" i="5" l="1"/>
  <c r="G37" i="5"/>
  <c r="G8" i="5"/>
  <c r="G42" i="4"/>
  <c r="G36" i="4"/>
  <c r="G43" i="4" s="1"/>
  <c r="G32" i="4"/>
  <c r="G20" i="4"/>
  <c r="G7" i="4"/>
  <c r="G58" i="3"/>
  <c r="G21" i="3"/>
  <c r="G7" i="3"/>
  <c r="G45" i="2"/>
  <c r="G39" i="1"/>
</calcChain>
</file>

<file path=xl/sharedStrings.xml><?xml version="1.0" encoding="utf-8"?>
<sst xmlns="http://schemas.openxmlformats.org/spreadsheetml/2006/main" count="596" uniqueCount="211">
  <si>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</si>
  <si>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</si>
  <si>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</si>
  <si>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</si>
  <si>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</si>
  <si>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</si>
  <si>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</si>
  <si>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</si>
  <si>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</si>
  <si>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</si>
  <si>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</si>
  <si>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</si>
  <si>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</si>
  <si>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</si>
  <si>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</si>
  <si>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</si>
  <si>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</si>
  <si>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</si>
  <si>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</si>
  <si>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</si>
  <si>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</si>
  <si>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</si>
  <si>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</si>
  <si>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</si>
  <si>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</si>
  <si>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</si>
  <si>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</si>
  <si>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</si>
  <si>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</si>
  <si>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</si>
  <si>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</si>
  <si>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</si>
  <si>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</si>
  <si>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</si>
  <si>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</si>
  <si>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</si>
  <si>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電訊科技中心(安康營區)     114年     8月   11日      午餐明細表</t>
    <phoneticPr fontId="2" type="noConversion"/>
  </si>
  <si>
    <t>電訊科技中心(安康營區)     114年      8月   12日      午餐明細表</t>
    <phoneticPr fontId="2" type="noConversion"/>
  </si>
  <si>
    <t>電訊科技中心(安康營區)     114年      8月   13日      午餐明細表</t>
    <phoneticPr fontId="2" type="noConversion"/>
  </si>
  <si>
    <t>電訊科技中心(安康營區)     114年      8月   14日      午餐明細表</t>
    <phoneticPr fontId="2" type="noConversion"/>
  </si>
  <si>
    <t>電訊科技中心(安康營區)     114年      8月   15日      午餐明細表</t>
    <phoneticPr fontId="2" type="noConversion"/>
  </si>
  <si>
    <t>薑汁燒肉</t>
    <phoneticPr fontId="2" type="noConversion"/>
  </si>
  <si>
    <t>玉米洋芋</t>
    <phoneticPr fontId="2" type="noConversion"/>
  </si>
  <si>
    <t>涼拌素雞</t>
    <phoneticPr fontId="2" type="noConversion"/>
  </si>
  <si>
    <t>蘿蔔排骨湯</t>
    <phoneticPr fontId="2" type="noConversion"/>
  </si>
  <si>
    <t>豬肉片</t>
    <phoneticPr fontId="2" type="noConversion"/>
  </si>
  <si>
    <t>五花肉片</t>
    <phoneticPr fontId="2" type="noConversion"/>
  </si>
  <si>
    <t>去皮洋蔥</t>
    <phoneticPr fontId="2" type="noConversion"/>
  </si>
  <si>
    <t>薑泥</t>
    <phoneticPr fontId="2" type="noConversion"/>
  </si>
  <si>
    <t>斤</t>
  </si>
  <si>
    <t>斤</t>
    <phoneticPr fontId="2" type="noConversion"/>
  </si>
  <si>
    <t>冷凍玉米粒</t>
    <phoneticPr fontId="2" type="noConversion"/>
  </si>
  <si>
    <t>冷凍洋芋丁</t>
    <phoneticPr fontId="2" type="noConversion"/>
  </si>
  <si>
    <t>火腿</t>
    <phoneticPr fontId="2" type="noConversion"/>
  </si>
  <si>
    <t>條</t>
    <phoneticPr fontId="2" type="noConversion"/>
  </si>
  <si>
    <t>素雞切片</t>
    <phoneticPr fontId="2" type="noConversion"/>
  </si>
  <si>
    <t>香菜</t>
    <phoneticPr fontId="2" type="noConversion"/>
  </si>
  <si>
    <t>花椒油</t>
    <phoneticPr fontId="2" type="noConversion"/>
  </si>
  <si>
    <t>腿排</t>
    <phoneticPr fontId="2" type="noConversion"/>
  </si>
  <si>
    <t>南瓜切片</t>
    <phoneticPr fontId="2" type="noConversion"/>
  </si>
  <si>
    <t>米粉</t>
    <phoneticPr fontId="2" type="noConversion"/>
  </si>
  <si>
    <t>去葉芹菜</t>
    <phoneticPr fontId="2" type="noConversion"/>
  </si>
  <si>
    <t>半</t>
    <phoneticPr fontId="2" type="noConversion"/>
  </si>
  <si>
    <t>個</t>
    <phoneticPr fontId="2" type="noConversion"/>
  </si>
  <si>
    <t>白蘿蔔</t>
    <phoneticPr fontId="2" type="noConversion"/>
  </si>
  <si>
    <t>軟排</t>
    <phoneticPr fontId="2" type="noConversion"/>
  </si>
  <si>
    <t>烤腿排</t>
    <phoneticPr fontId="2" type="noConversion"/>
  </si>
  <si>
    <t>洋蔥炒蛋</t>
    <phoneticPr fontId="2" type="noConversion"/>
  </si>
  <si>
    <t>木耳炒肉絲</t>
    <phoneticPr fontId="2" type="noConversion"/>
  </si>
  <si>
    <t>蛋</t>
    <phoneticPr fontId="2" type="noConversion"/>
  </si>
  <si>
    <t>木耳絲</t>
    <phoneticPr fontId="2" type="noConversion"/>
  </si>
  <si>
    <t>紅蘿蔔絲</t>
    <phoneticPr fontId="2" type="noConversion"/>
  </si>
  <si>
    <t>肉絲</t>
    <phoneticPr fontId="2" type="noConversion"/>
  </si>
  <si>
    <t>瓶</t>
    <phoneticPr fontId="2" type="noConversion"/>
  </si>
  <si>
    <t>雪白菇</t>
    <phoneticPr fontId="2" type="noConversion"/>
  </si>
  <si>
    <t>檸檬愛玉</t>
    <phoneticPr fontId="2" type="noConversion"/>
  </si>
  <si>
    <t>愛玉</t>
    <phoneticPr fontId="2" type="noConversion"/>
  </si>
  <si>
    <t>檸檬</t>
    <phoneticPr fontId="2" type="noConversion"/>
  </si>
  <si>
    <t>檸檬汁</t>
    <phoneticPr fontId="2" type="noConversion"/>
  </si>
  <si>
    <t>粒</t>
    <phoneticPr fontId="2" type="noConversion"/>
  </si>
  <si>
    <t>薑</t>
    <phoneticPr fontId="2" type="noConversion"/>
  </si>
  <si>
    <t>薑絲</t>
    <phoneticPr fontId="2" type="noConversion"/>
  </si>
  <si>
    <t>筍絲</t>
    <phoneticPr fontId="2" type="noConversion"/>
  </si>
  <si>
    <t>肉羹</t>
    <phoneticPr fontId="2" type="noConversion"/>
  </si>
  <si>
    <t>水餃</t>
    <phoneticPr fontId="2" type="noConversion"/>
  </si>
  <si>
    <t>山東水餃</t>
    <phoneticPr fontId="2" type="noConversion"/>
  </si>
  <si>
    <t>滷味拼盤</t>
    <phoneticPr fontId="2" type="noConversion"/>
  </si>
  <si>
    <t>涼拌干絲</t>
    <phoneticPr fontId="2" type="noConversion"/>
  </si>
  <si>
    <t>酸辣湯</t>
    <phoneticPr fontId="2" type="noConversion"/>
  </si>
  <si>
    <t>鳥蛋</t>
    <phoneticPr fontId="2" type="noConversion"/>
  </si>
  <si>
    <t>油豆腐丁</t>
    <phoneticPr fontId="2" type="noConversion"/>
  </si>
  <si>
    <t>甜不辣條</t>
    <phoneticPr fontId="2" type="noConversion"/>
  </si>
  <si>
    <t>米血丁</t>
    <phoneticPr fontId="2" type="noConversion"/>
  </si>
  <si>
    <t>海帶結(素用)</t>
    <phoneticPr fontId="2" type="noConversion"/>
  </si>
  <si>
    <t>海帶絲</t>
    <phoneticPr fontId="2" type="noConversion"/>
  </si>
  <si>
    <t>白干絲</t>
    <phoneticPr fontId="2" type="noConversion"/>
  </si>
  <si>
    <t>油麵</t>
    <phoneticPr fontId="2" type="noConversion"/>
  </si>
  <si>
    <t>棒腿</t>
    <phoneticPr fontId="2" type="noConversion"/>
  </si>
  <si>
    <t>鴨血</t>
    <phoneticPr fontId="2" type="noConversion"/>
  </si>
  <si>
    <t>家常豆腐</t>
    <phoneticPr fontId="2" type="noConversion"/>
  </si>
  <si>
    <t>盒</t>
    <phoneticPr fontId="2" type="noConversion"/>
  </si>
  <si>
    <t>紅燒豬腳</t>
    <phoneticPr fontId="2" type="noConversion"/>
  </si>
  <si>
    <t>芹菜炒魷魚</t>
    <phoneticPr fontId="2" type="noConversion"/>
  </si>
  <si>
    <t>麻辣鴨血</t>
    <phoneticPr fontId="2" type="noConversion"/>
  </si>
  <si>
    <t>仙草蜜</t>
    <phoneticPr fontId="2" type="noConversion"/>
  </si>
  <si>
    <t>豬腳丁</t>
    <phoneticPr fontId="2" type="noConversion"/>
  </si>
  <si>
    <t>紅蘿蔔</t>
    <phoneticPr fontId="2" type="noConversion"/>
  </si>
  <si>
    <t>魷魚細圈</t>
    <phoneticPr fontId="2" type="noConversion"/>
  </si>
  <si>
    <t>4*4豆干</t>
    <phoneticPr fontId="2" type="noConversion"/>
  </si>
  <si>
    <t>百頁豆腐</t>
    <phoneticPr fontId="2" type="noConversion"/>
  </si>
  <si>
    <t>角螺</t>
    <phoneticPr fontId="2" type="noConversion"/>
  </si>
  <si>
    <t>小魚丸</t>
    <phoneticPr fontId="2" type="noConversion"/>
  </si>
  <si>
    <t>黑糖</t>
    <phoneticPr fontId="2" type="noConversion"/>
  </si>
  <si>
    <t>仙草</t>
    <phoneticPr fontId="2" type="noConversion"/>
  </si>
  <si>
    <t>包</t>
    <phoneticPr fontId="2" type="noConversion"/>
  </si>
  <si>
    <t>滷雞腿</t>
    <phoneticPr fontId="2" type="noConversion"/>
  </si>
  <si>
    <t>三杯杏鮑菇</t>
    <phoneticPr fontId="2" type="noConversion"/>
  </si>
  <si>
    <t>味噌</t>
    <phoneticPr fontId="2" type="noConversion"/>
  </si>
  <si>
    <t>庫存</t>
    <phoneticPr fontId="2" type="noConversion"/>
  </si>
  <si>
    <t>生香菇</t>
    <phoneticPr fontId="2" type="noConversion"/>
  </si>
  <si>
    <t>杏鮑菇</t>
    <phoneticPr fontId="2" type="noConversion"/>
  </si>
  <si>
    <t>九層塔</t>
    <phoneticPr fontId="2" type="noConversion"/>
  </si>
  <si>
    <t>去皮馬鈴薯</t>
    <phoneticPr fontId="2" type="noConversion"/>
  </si>
  <si>
    <t>乳酪絲</t>
    <phoneticPr fontId="2" type="noConversion"/>
  </si>
  <si>
    <t>香腸</t>
    <phoneticPr fontId="2" type="noConversion"/>
  </si>
  <si>
    <t>滷蛋</t>
    <phoneticPr fontId="2" type="noConversion"/>
  </si>
  <si>
    <t>五花絞肉</t>
    <phoneticPr fontId="2" type="noConversion"/>
  </si>
  <si>
    <t>生香菇</t>
    <phoneticPr fontId="2" type="noConversion"/>
  </si>
  <si>
    <t>斤</t>
    <phoneticPr fontId="2" type="noConversion"/>
  </si>
  <si>
    <t>高麗菜</t>
    <phoneticPr fontId="2" type="noConversion"/>
  </si>
  <si>
    <t>包</t>
    <phoneticPr fontId="2" type="noConversion"/>
  </si>
  <si>
    <t>湯包</t>
    <phoneticPr fontId="2" type="noConversion"/>
  </si>
  <si>
    <t>個</t>
    <phoneticPr fontId="2" type="noConversion"/>
  </si>
  <si>
    <t>果醋</t>
    <phoneticPr fontId="2" type="noConversion"/>
  </si>
  <si>
    <t>箱</t>
    <phoneticPr fontId="2" type="noConversion"/>
  </si>
  <si>
    <t>桶</t>
    <phoneticPr fontId="2" type="noConversion"/>
  </si>
  <si>
    <t>冷凍青花菜</t>
    <phoneticPr fontId="2" type="noConversion"/>
  </si>
  <si>
    <t>桶</t>
    <phoneticPr fontId="2" type="noConversion"/>
  </si>
  <si>
    <t>鮮木耳</t>
    <phoneticPr fontId="2" type="noConversion"/>
  </si>
  <si>
    <t>雞腿排</t>
    <phoneticPr fontId="2" type="noConversion"/>
  </si>
  <si>
    <t>香蕉</t>
    <phoneticPr fontId="2" type="noConversion"/>
  </si>
  <si>
    <t>斤</t>
    <phoneticPr fontId="2" type="noConversion"/>
  </si>
  <si>
    <t>大黃瓜切片</t>
    <phoneticPr fontId="2" type="noConversion"/>
  </si>
  <si>
    <t>高麗菜</t>
    <phoneticPr fontId="2" type="noConversion"/>
  </si>
  <si>
    <t>洗選蛋</t>
    <phoneticPr fontId="2" type="noConversion"/>
  </si>
  <si>
    <t>阿在伯水餃</t>
    <phoneticPr fontId="2" type="noConversion"/>
  </si>
  <si>
    <t>包</t>
    <phoneticPr fontId="2" type="noConversion"/>
  </si>
  <si>
    <t>鹽</t>
    <phoneticPr fontId="2" type="noConversion"/>
  </si>
  <si>
    <t>水餃醬</t>
    <phoneticPr fontId="2" type="noConversion"/>
  </si>
  <si>
    <t>罐</t>
    <phoneticPr fontId="2" type="noConversion"/>
  </si>
  <si>
    <t>胡椒鹽</t>
    <phoneticPr fontId="2" type="noConversion"/>
  </si>
  <si>
    <t>盒</t>
    <phoneticPr fontId="2" type="noConversion"/>
  </si>
  <si>
    <t>厚片土司</t>
    <phoneticPr fontId="2" type="noConversion"/>
  </si>
  <si>
    <t>條</t>
    <phoneticPr fontId="2" type="noConversion"/>
  </si>
  <si>
    <t>大亨堡</t>
    <phoneticPr fontId="2" type="noConversion"/>
  </si>
  <si>
    <t>大熱狗</t>
    <phoneticPr fontId="2" type="noConversion"/>
  </si>
  <si>
    <t>桂冠沙拉</t>
    <phoneticPr fontId="2" type="noConversion"/>
  </si>
  <si>
    <t>蘿蔔糕</t>
    <phoneticPr fontId="2" type="noConversion"/>
  </si>
  <si>
    <t>鍋貼</t>
    <phoneticPr fontId="2" type="noConversion"/>
  </si>
  <si>
    <t>個</t>
    <phoneticPr fontId="2" type="noConversion"/>
  </si>
  <si>
    <t>蔥油餅</t>
    <phoneticPr fontId="2" type="noConversion"/>
  </si>
  <si>
    <t>香椿水餃</t>
    <phoneticPr fontId="2" type="noConversion"/>
  </si>
  <si>
    <t>布丁</t>
    <phoneticPr fontId="2" type="noConversion"/>
  </si>
  <si>
    <t>組</t>
    <phoneticPr fontId="2" type="noConversion"/>
  </si>
  <si>
    <t>去皮洋蔥</t>
    <phoneticPr fontId="2" type="noConversion"/>
  </si>
  <si>
    <t>斤</t>
    <phoneticPr fontId="2" type="noConversion"/>
  </si>
  <si>
    <t>咖哩塊</t>
    <phoneticPr fontId="2" type="noConversion"/>
  </si>
  <si>
    <t>盒</t>
    <phoneticPr fontId="2" type="noConversion"/>
  </si>
  <si>
    <t>去皮馬鈴薯</t>
    <phoneticPr fontId="2" type="noConversion"/>
  </si>
  <si>
    <t>紅蘿蔔</t>
    <phoneticPr fontId="2" type="noConversion"/>
  </si>
  <si>
    <t>桶</t>
    <phoneticPr fontId="2" type="noConversion"/>
  </si>
  <si>
    <t>綠豆芽</t>
    <phoneticPr fontId="2" type="noConversion"/>
  </si>
  <si>
    <t>清雞腿肉丁</t>
    <phoneticPr fontId="2" type="noConversion"/>
  </si>
  <si>
    <t>每日c葡萄</t>
    <phoneticPr fontId="2" type="noConversion"/>
  </si>
  <si>
    <t>瓶</t>
    <phoneticPr fontId="2" type="noConversion"/>
  </si>
  <si>
    <t>香蕉</t>
    <phoneticPr fontId="2" type="noConversion"/>
  </si>
  <si>
    <t>斤</t>
    <phoneticPr fontId="2" type="noConversion"/>
  </si>
  <si>
    <t>清雞腿肉</t>
    <phoneticPr fontId="2" type="noConversion"/>
  </si>
  <si>
    <t>中華豆腐</t>
    <phoneticPr fontId="2" type="noConversion"/>
  </si>
  <si>
    <t>盒</t>
    <phoneticPr fontId="2" type="noConversion"/>
  </si>
  <si>
    <t>銀絲卷</t>
    <phoneticPr fontId="2" type="noConversion"/>
  </si>
  <si>
    <t>個</t>
    <phoneticPr fontId="2" type="noConversion"/>
  </si>
  <si>
    <t>味素</t>
    <phoneticPr fontId="2" type="noConversion"/>
  </si>
  <si>
    <t>烤肉醬</t>
    <phoneticPr fontId="2" type="noConversion"/>
  </si>
  <si>
    <t>桶</t>
    <phoneticPr fontId="2" type="noConversion"/>
  </si>
  <si>
    <t>大黃瓜魚丸</t>
    <phoneticPr fontId="2" type="noConversion"/>
  </si>
  <si>
    <t>大黃瓜</t>
    <phoneticPr fontId="2" type="noConversion"/>
  </si>
  <si>
    <t>魚丸</t>
    <phoneticPr fontId="2" type="noConversion"/>
  </si>
  <si>
    <t>高麗菜</t>
    <phoneticPr fontId="2" type="noConversion"/>
  </si>
  <si>
    <t>盒裝豆腐</t>
    <phoneticPr fontId="2" type="noConversion"/>
  </si>
  <si>
    <t>盤</t>
    <phoneticPr fontId="2" type="noConversion"/>
  </si>
  <si>
    <t>紅蘿蔔</t>
    <phoneticPr fontId="2" type="noConversion"/>
  </si>
  <si>
    <t>味噌豆腐湯</t>
    <phoneticPr fontId="2" type="noConversion"/>
  </si>
  <si>
    <t>庫存</t>
    <phoneticPr fontId="2" type="noConversion"/>
  </si>
  <si>
    <t>金蘭醬油</t>
    <phoneticPr fontId="2" type="noConversion"/>
  </si>
  <si>
    <t>素蠔油</t>
    <phoneticPr fontId="2" type="noConversion"/>
  </si>
  <si>
    <t>油膏</t>
    <phoneticPr fontId="2" type="noConversion"/>
  </si>
  <si>
    <t>三好米</t>
    <phoneticPr fontId="2" type="noConversion"/>
  </si>
  <si>
    <t>蒜仁</t>
    <phoneticPr fontId="2" type="noConversion"/>
  </si>
  <si>
    <t>養樂多</t>
    <phoneticPr fontId="2" type="noConversion"/>
  </si>
  <si>
    <t>瓶</t>
    <phoneticPr fontId="2" type="noConversion"/>
  </si>
  <si>
    <t>蘿蔔切絲</t>
    <phoneticPr fontId="2" type="noConversion"/>
  </si>
  <si>
    <t>沙拉油</t>
    <phoneticPr fontId="2" type="noConversion"/>
  </si>
  <si>
    <t>黑胡椒醬</t>
    <phoneticPr fontId="2" type="noConversion"/>
  </si>
  <si>
    <t>台糖二砂</t>
    <phoneticPr fontId="2" type="noConversion"/>
  </si>
  <si>
    <t>袋</t>
    <phoneticPr fontId="2" type="noConversion"/>
  </si>
  <si>
    <t>白蘿蔔</t>
    <phoneticPr fontId="2" type="noConversion"/>
  </si>
  <si>
    <t>無骨香雞排</t>
    <phoneticPr fontId="2" type="noConversion"/>
  </si>
  <si>
    <t>件</t>
    <phoneticPr fontId="2" type="noConversion"/>
  </si>
  <si>
    <t>冷凍玉米粒</t>
    <phoneticPr fontId="2" type="noConversion"/>
  </si>
  <si>
    <t>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</si>
</sst>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36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41</v>
      </c>
      <c r="B3" s="1" t="s">
        <v>45</v>
      </c>
      <c r="C3" s="1">
        <v>30</v>
      </c>
      <c r="D3" s="1">
        <v>141</v>
      </c>
      <c r="E3" s="18">
        <v>30</v>
      </c>
      <c r="F3" s="18" t="s">
        <v>50</v>
      </c>
      <c r="G3" s="19">
        <f>D3*E3</f>
        <v>4230</v>
      </c>
      <c r="H3" s="1"/>
    </row>
    <row r="4" spans="1:8" x14ac:dyDescent="0.25">
      <c r="A4" s="46"/>
      <c r="B4" s="9" t="s">
        <v>46</v>
      </c>
      <c r="C4" s="9">
        <v>20</v>
      </c>
      <c r="D4" s="9">
        <v>180</v>
      </c>
      <c r="E4" s="9">
        <v>20</v>
      </c>
      <c r="F4" s="30" t="s">
        <v>49</v>
      </c>
      <c r="G4" s="19">
        <f t="shared" ref="G4:G6" si="0">D4*E4</f>
        <v>3600</v>
      </c>
      <c r="H4" s="1"/>
    </row>
    <row r="5" spans="1:8" x14ac:dyDescent="0.25">
      <c r="A5" s="46"/>
      <c r="B5" s="1" t="s">
        <v>47</v>
      </c>
      <c r="C5" s="1">
        <v>6</v>
      </c>
      <c r="D5" s="1">
        <v>25.5</v>
      </c>
      <c r="E5" s="1">
        <v>6</v>
      </c>
      <c r="F5" s="30" t="s">
        <v>49</v>
      </c>
      <c r="G5" s="19">
        <f t="shared" si="0"/>
        <v>153</v>
      </c>
      <c r="H5" s="1"/>
    </row>
    <row r="6" spans="1:8" x14ac:dyDescent="0.25">
      <c r="A6" s="46"/>
      <c r="B6" s="1" t="s">
        <v>48</v>
      </c>
      <c r="C6" s="1">
        <v>2</v>
      </c>
      <c r="D6" s="1">
        <v>96.9</v>
      </c>
      <c r="E6" s="3">
        <v>2</v>
      </c>
      <c r="F6" s="29" t="s">
        <v>49</v>
      </c>
      <c r="G6" s="19">
        <f t="shared" si="0"/>
        <v>193.8</v>
      </c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8176.8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42</v>
      </c>
      <c r="B9" s="1" t="s">
        <v>51</v>
      </c>
      <c r="C9" s="1">
        <v>1</v>
      </c>
      <c r="D9" s="1">
        <v>84</v>
      </c>
      <c r="E9" s="1">
        <v>15</v>
      </c>
      <c r="F9" s="1" t="s">
        <v>114</v>
      </c>
      <c r="G9" s="1">
        <f>D9*E9</f>
        <v>1260</v>
      </c>
      <c r="H9" s="1"/>
    </row>
    <row r="10" spans="1:8" x14ac:dyDescent="0.25">
      <c r="A10" s="46"/>
      <c r="B10" s="1" t="s">
        <v>52</v>
      </c>
      <c r="C10" s="1">
        <v>1</v>
      </c>
      <c r="D10" s="1">
        <v>100</v>
      </c>
      <c r="E10" s="1">
        <v>12</v>
      </c>
      <c r="F10" s="28" t="s">
        <v>114</v>
      </c>
      <c r="G10" s="9">
        <f t="shared" ref="G10:G12" si="1">D10*E10</f>
        <v>1200</v>
      </c>
      <c r="H10" s="1"/>
    </row>
    <row r="11" spans="1:8" x14ac:dyDescent="0.25">
      <c r="A11" s="46"/>
      <c r="B11" s="1" t="s">
        <v>53</v>
      </c>
      <c r="C11" s="1">
        <v>1</v>
      </c>
      <c r="D11" s="1">
        <v>540</v>
      </c>
      <c r="E11" s="1">
        <v>1</v>
      </c>
      <c r="F11" s="1" t="s">
        <v>54</v>
      </c>
      <c r="G11" s="9">
        <f t="shared" si="1"/>
        <v>540</v>
      </c>
      <c r="H11" s="1"/>
    </row>
    <row r="12" spans="1:8" x14ac:dyDescent="0.25">
      <c r="A12" s="46"/>
      <c r="B12" s="1"/>
      <c r="C12" s="1"/>
      <c r="D12" s="1"/>
      <c r="E12" s="1"/>
      <c r="F12" s="1"/>
      <c r="G12" s="9">
        <f t="shared" si="1"/>
        <v>0</v>
      </c>
      <c r="H12" s="1"/>
    </row>
    <row r="13" spans="1:8" x14ac:dyDescent="0.25">
      <c r="A13" s="46"/>
      <c r="B13" s="28"/>
      <c r="C13" s="28"/>
      <c r="D13" s="28"/>
      <c r="E13" s="28"/>
      <c r="F13" s="28"/>
      <c r="G13" s="28"/>
      <c r="H13" s="28"/>
    </row>
    <row r="14" spans="1:8" x14ac:dyDescent="0.25">
      <c r="A14" s="46"/>
      <c r="B14" s="1"/>
      <c r="C14" s="1"/>
      <c r="D14" s="1"/>
      <c r="E14" s="1"/>
      <c r="F14" s="1"/>
      <c r="G14" s="1"/>
      <c r="H14" s="1"/>
    </row>
    <row r="15" spans="1:8" x14ac:dyDescent="0.25">
      <c r="A15" s="46"/>
      <c r="B15" s="40" t="s">
        <v>7</v>
      </c>
      <c r="C15" s="41"/>
      <c r="D15" s="42"/>
      <c r="E15" s="3"/>
      <c r="F15" s="3"/>
      <c r="G15" s="13">
        <f>SUM(G9:G14)</f>
        <v>3000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6" t="s">
        <v>43</v>
      </c>
      <c r="B17" s="1" t="s">
        <v>47</v>
      </c>
      <c r="C17" s="1">
        <v>6</v>
      </c>
      <c r="D17" s="1">
        <v>25.5</v>
      </c>
      <c r="E17" s="1">
        <v>6</v>
      </c>
      <c r="F17" s="30" t="s">
        <v>49</v>
      </c>
      <c r="G17" s="1">
        <f>D17*E17</f>
        <v>153</v>
      </c>
      <c r="H17" s="1"/>
    </row>
    <row r="18" spans="1:8" x14ac:dyDescent="0.25">
      <c r="A18" s="46"/>
      <c r="B18" s="1" t="s">
        <v>55</v>
      </c>
      <c r="C18" s="1">
        <v>35</v>
      </c>
      <c r="D18" s="1">
        <v>102</v>
      </c>
      <c r="E18" s="1">
        <v>35</v>
      </c>
      <c r="F18" s="30" t="s">
        <v>49</v>
      </c>
      <c r="G18" s="15">
        <f t="shared" ref="G18:G20" si="2">D18*E18</f>
        <v>3570</v>
      </c>
      <c r="H18" s="1"/>
    </row>
    <row r="19" spans="1:8" x14ac:dyDescent="0.25">
      <c r="A19" s="46"/>
      <c r="B19" s="1" t="s">
        <v>56</v>
      </c>
      <c r="C19" s="1">
        <v>1</v>
      </c>
      <c r="D19" s="1">
        <v>102</v>
      </c>
      <c r="E19" s="1">
        <v>1</v>
      </c>
      <c r="F19" s="30" t="s">
        <v>49</v>
      </c>
      <c r="G19" s="2">
        <f t="shared" si="2"/>
        <v>102</v>
      </c>
      <c r="H19" s="1"/>
    </row>
    <row r="20" spans="1:8" x14ac:dyDescent="0.25">
      <c r="A20" s="46"/>
      <c r="B20" s="1" t="s">
        <v>57</v>
      </c>
      <c r="C20" s="1">
        <v>3</v>
      </c>
      <c r="D20" s="1">
        <v>300</v>
      </c>
      <c r="E20" s="3">
        <v>3</v>
      </c>
      <c r="F20" s="27" t="s">
        <v>73</v>
      </c>
      <c r="G20" s="15">
        <f t="shared" si="2"/>
        <v>900</v>
      </c>
      <c r="H20" s="1"/>
    </row>
    <row r="21" spans="1:8" x14ac:dyDescent="0.25">
      <c r="A21" s="46"/>
      <c r="B21" s="40"/>
      <c r="C21" s="41"/>
      <c r="D21" s="42"/>
      <c r="E21" s="3"/>
      <c r="F21" s="3"/>
      <c r="G21" s="13">
        <f>SUM(G17:G20)</f>
        <v>4725</v>
      </c>
      <c r="H21" s="1"/>
    </row>
    <row r="22" spans="1:8" x14ac:dyDescent="0.25">
      <c r="A22" s="4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6"/>
      <c r="B23" s="1" t="s">
        <v>30</v>
      </c>
      <c r="C23" s="1">
        <v>2</v>
      </c>
      <c r="D23" s="1">
        <v>150</v>
      </c>
      <c r="E23" s="1">
        <v>2</v>
      </c>
      <c r="F23" s="1" t="s">
        <v>31</v>
      </c>
      <c r="G23" s="1">
        <f>D23*E23</f>
        <v>300</v>
      </c>
      <c r="H23" s="1"/>
    </row>
    <row r="24" spans="1:8" x14ac:dyDescent="0.25">
      <c r="A24" s="46"/>
      <c r="B24" s="24" t="s">
        <v>32</v>
      </c>
      <c r="C24" s="1" t="s">
        <v>33</v>
      </c>
      <c r="D24" s="1">
        <v>76.5</v>
      </c>
      <c r="E24" s="1">
        <v>0.5</v>
      </c>
      <c r="F24" s="1" t="s">
        <v>27</v>
      </c>
      <c r="G24" s="9">
        <f>D24*E24</f>
        <v>38.25</v>
      </c>
      <c r="H24" s="1"/>
    </row>
    <row r="25" spans="1:8" x14ac:dyDescent="0.25">
      <c r="A25" s="46"/>
      <c r="B25" s="24" t="s">
        <v>20</v>
      </c>
      <c r="C25" s="1">
        <v>8</v>
      </c>
      <c r="D25" s="1">
        <v>102</v>
      </c>
      <c r="E25" s="1">
        <v>8</v>
      </c>
      <c r="F25" s="1" t="s">
        <v>19</v>
      </c>
      <c r="G25" s="9">
        <f t="shared" ref="G25:G33" si="3">D25*E25</f>
        <v>816</v>
      </c>
      <c r="H25" s="1"/>
    </row>
    <row r="26" spans="1:8" x14ac:dyDescent="0.25">
      <c r="A26" s="46"/>
      <c r="B26" s="1" t="s">
        <v>21</v>
      </c>
      <c r="C26" s="1">
        <v>6</v>
      </c>
      <c r="D26" s="1">
        <v>144</v>
      </c>
      <c r="E26" s="1">
        <v>4</v>
      </c>
      <c r="F26" s="1" t="s">
        <v>19</v>
      </c>
      <c r="G26" s="31">
        <f t="shared" si="3"/>
        <v>576</v>
      </c>
      <c r="H26" s="1"/>
    </row>
    <row r="27" spans="1:8" x14ac:dyDescent="0.25">
      <c r="A27" s="46"/>
      <c r="B27" s="9" t="s">
        <v>22</v>
      </c>
      <c r="C27" s="9">
        <v>2</v>
      </c>
      <c r="D27" s="9">
        <v>50.4</v>
      </c>
      <c r="E27" s="9">
        <v>20</v>
      </c>
      <c r="F27" s="10" t="s">
        <v>17</v>
      </c>
      <c r="G27" s="31">
        <f t="shared" si="3"/>
        <v>1008</v>
      </c>
      <c r="H27" s="9"/>
    </row>
    <row r="28" spans="1:8" x14ac:dyDescent="0.25">
      <c r="A28" s="46"/>
      <c r="B28" s="9" t="s">
        <v>23</v>
      </c>
      <c r="C28" s="9">
        <v>4</v>
      </c>
      <c r="D28" s="9">
        <v>90</v>
      </c>
      <c r="E28" s="9">
        <v>4</v>
      </c>
      <c r="F28" s="9" t="s">
        <v>31</v>
      </c>
      <c r="G28" s="31">
        <f t="shared" si="3"/>
        <v>360</v>
      </c>
      <c r="H28" s="9"/>
    </row>
    <row r="29" spans="1:8" x14ac:dyDescent="0.25">
      <c r="A29" s="46"/>
      <c r="B29" s="9" t="s">
        <v>58</v>
      </c>
      <c r="C29" s="9">
        <v>35</v>
      </c>
      <c r="D29" s="9">
        <v>72</v>
      </c>
      <c r="E29" s="9">
        <v>9.9700000000000006</v>
      </c>
      <c r="F29" s="9" t="s">
        <v>17</v>
      </c>
      <c r="G29" s="31">
        <f t="shared" si="3"/>
        <v>717.84</v>
      </c>
      <c r="H29" s="9"/>
    </row>
    <row r="30" spans="1:8" x14ac:dyDescent="0.25">
      <c r="A30" s="46"/>
      <c r="B30" s="9" t="s">
        <v>59</v>
      </c>
      <c r="C30" s="9" t="s">
        <v>62</v>
      </c>
      <c r="D30" s="9">
        <v>28.5</v>
      </c>
      <c r="E30" s="9">
        <v>0.5</v>
      </c>
      <c r="F30" s="30" t="s">
        <v>49</v>
      </c>
      <c r="G30" s="31">
        <f t="shared" si="3"/>
        <v>14.25</v>
      </c>
      <c r="H30" s="9"/>
    </row>
    <row r="31" spans="1:8" x14ac:dyDescent="0.25">
      <c r="A31" s="46"/>
      <c r="B31" s="9" t="s">
        <v>60</v>
      </c>
      <c r="C31" s="9" t="s">
        <v>62</v>
      </c>
      <c r="D31" s="9">
        <v>40</v>
      </c>
      <c r="E31" s="9">
        <v>2</v>
      </c>
      <c r="F31" s="30" t="s">
        <v>130</v>
      </c>
      <c r="G31" s="31">
        <f t="shared" si="3"/>
        <v>80</v>
      </c>
      <c r="H31" s="9"/>
    </row>
    <row r="32" spans="1:8" x14ac:dyDescent="0.25">
      <c r="A32" s="46"/>
      <c r="B32" s="9" t="s">
        <v>61</v>
      </c>
      <c r="C32" s="9" t="s">
        <v>62</v>
      </c>
      <c r="D32" s="9">
        <v>183.6</v>
      </c>
      <c r="E32" s="9">
        <v>0.5</v>
      </c>
      <c r="F32" s="30" t="s">
        <v>49</v>
      </c>
      <c r="G32" s="31">
        <f t="shared" si="3"/>
        <v>91.8</v>
      </c>
      <c r="H32" s="9"/>
    </row>
    <row r="33" spans="1:8" x14ac:dyDescent="0.25">
      <c r="A33" s="46"/>
      <c r="B33" s="25" t="s">
        <v>29</v>
      </c>
      <c r="C33" s="25">
        <v>1</v>
      </c>
      <c r="D33" s="25">
        <v>264</v>
      </c>
      <c r="E33" s="25">
        <v>1</v>
      </c>
      <c r="F33" s="25" t="s">
        <v>28</v>
      </c>
      <c r="G33" s="31">
        <f t="shared" si="3"/>
        <v>264</v>
      </c>
      <c r="H33" s="1"/>
    </row>
    <row r="34" spans="1:8" x14ac:dyDescent="0.25">
      <c r="A34" s="9"/>
      <c r="B34" s="40" t="s">
        <v>18</v>
      </c>
      <c r="C34" s="41"/>
      <c r="D34" s="42"/>
      <c r="E34" s="25"/>
      <c r="F34" s="25"/>
      <c r="G34" s="14">
        <f>SUM(G23:G33)</f>
        <v>4266.1400000000003</v>
      </c>
      <c r="H34" s="9"/>
    </row>
    <row r="35" spans="1:8" x14ac:dyDescent="0.25">
      <c r="A35" s="1" t="s">
        <v>11</v>
      </c>
      <c r="B35" s="25" t="s">
        <v>1</v>
      </c>
      <c r="C35" s="25" t="s">
        <v>2</v>
      </c>
      <c r="D35" s="25" t="s">
        <v>3</v>
      </c>
      <c r="E35" s="25" t="s">
        <v>4</v>
      </c>
      <c r="F35" s="25"/>
      <c r="G35" s="1" t="s">
        <v>5</v>
      </c>
      <c r="H35" s="1" t="s">
        <v>6</v>
      </c>
    </row>
    <row r="36" spans="1:8" x14ac:dyDescent="0.25">
      <c r="A36" s="46" t="s">
        <v>44</v>
      </c>
      <c r="B36" s="25" t="s">
        <v>64</v>
      </c>
      <c r="C36" s="25">
        <v>15</v>
      </c>
      <c r="D36" s="25">
        <v>15.3</v>
      </c>
      <c r="E36" s="25">
        <v>15</v>
      </c>
      <c r="F36" s="30" t="s">
        <v>49</v>
      </c>
      <c r="G36" s="1">
        <f>D36*E36</f>
        <v>229.5</v>
      </c>
      <c r="H36" s="1"/>
    </row>
    <row r="37" spans="1:8" x14ac:dyDescent="0.25">
      <c r="A37" s="46"/>
      <c r="B37" s="25" t="s">
        <v>65</v>
      </c>
      <c r="C37" s="25">
        <v>15</v>
      </c>
      <c r="D37" s="25">
        <v>141</v>
      </c>
      <c r="E37" s="25">
        <v>15</v>
      </c>
      <c r="F37" s="30" t="s">
        <v>49</v>
      </c>
      <c r="G37" s="31">
        <f>D37*E37</f>
        <v>2115</v>
      </c>
      <c r="H37" s="1" t="s">
        <v>15</v>
      </c>
    </row>
    <row r="38" spans="1:8" x14ac:dyDescent="0.25">
      <c r="A38" s="46"/>
      <c r="B38" s="25"/>
      <c r="C38" s="25"/>
      <c r="D38" s="25"/>
      <c r="E38" s="25"/>
      <c r="F38" s="25"/>
      <c r="G38" s="1"/>
      <c r="H38" s="1"/>
    </row>
    <row r="39" spans="1:8" x14ac:dyDescent="0.25">
      <c r="A39" s="46"/>
      <c r="B39" s="40"/>
      <c r="C39" s="41"/>
      <c r="D39" s="42"/>
      <c r="E39" s="26"/>
      <c r="F39" s="26"/>
      <c r="G39" s="13">
        <f>SUM(G36:G38)</f>
        <v>2344.5</v>
      </c>
      <c r="H39" s="1"/>
    </row>
    <row r="40" spans="1:8" x14ac:dyDescent="0.25">
      <c r="A40" s="1" t="s">
        <v>12</v>
      </c>
      <c r="B40" s="25" t="s">
        <v>1</v>
      </c>
      <c r="C40" s="25" t="s">
        <v>2</v>
      </c>
      <c r="D40" s="25" t="s">
        <v>3</v>
      </c>
      <c r="E40" s="26" t="s">
        <v>4</v>
      </c>
      <c r="F40" s="26"/>
      <c r="G40" s="3" t="s">
        <v>5</v>
      </c>
      <c r="H40" s="1" t="s">
        <v>6</v>
      </c>
    </row>
    <row r="41" spans="1:8" x14ac:dyDescent="0.25">
      <c r="A41" s="47"/>
      <c r="B41" s="1" t="s">
        <v>129</v>
      </c>
      <c r="C41" s="1"/>
      <c r="D41" s="1">
        <v>47.94</v>
      </c>
      <c r="E41" s="1">
        <v>75</v>
      </c>
      <c r="F41" s="1" t="s">
        <v>128</v>
      </c>
      <c r="G41" s="2">
        <f>D41*E41</f>
        <v>3595.5</v>
      </c>
      <c r="H41" s="1"/>
    </row>
    <row r="42" spans="1:8" x14ac:dyDescent="0.25">
      <c r="A42" s="48"/>
      <c r="B42" s="1" t="s">
        <v>133</v>
      </c>
      <c r="C42" s="1"/>
      <c r="D42" s="1">
        <v>238</v>
      </c>
      <c r="E42" s="1">
        <v>9</v>
      </c>
      <c r="F42" s="1" t="s">
        <v>134</v>
      </c>
      <c r="G42" s="2">
        <f>D42*E42</f>
        <v>2142</v>
      </c>
      <c r="H42" s="1"/>
    </row>
    <row r="43" spans="1:8" x14ac:dyDescent="0.25">
      <c r="A43" s="49"/>
      <c r="B43" s="40" t="s">
        <v>7</v>
      </c>
      <c r="C43" s="41"/>
      <c r="D43" s="42"/>
      <c r="E43" s="3"/>
      <c r="F43" s="3"/>
      <c r="G43" s="13">
        <f>SUM(G41:G42)</f>
        <v>5737.5</v>
      </c>
      <c r="H43" s="5"/>
    </row>
    <row r="44" spans="1:8" x14ac:dyDescent="0.25">
      <c r="A44" s="6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6"/>
      <c r="B45" s="1" t="s">
        <v>127</v>
      </c>
      <c r="C45" s="1"/>
      <c r="D45" s="1">
        <v>142.5</v>
      </c>
      <c r="E45" s="1">
        <v>0.5</v>
      </c>
      <c r="F45" s="1" t="s">
        <v>128</v>
      </c>
      <c r="G45" s="1">
        <f>D45*E45</f>
        <v>71.25</v>
      </c>
      <c r="H45" s="1"/>
    </row>
    <row r="46" spans="1:8" x14ac:dyDescent="0.25">
      <c r="A46" s="46"/>
      <c r="B46" s="1" t="s">
        <v>131</v>
      </c>
      <c r="C46" s="1"/>
      <c r="D46" s="1">
        <v>4.5</v>
      </c>
      <c r="E46" s="1">
        <v>50</v>
      </c>
      <c r="F46" s="1" t="s">
        <v>132</v>
      </c>
      <c r="G46" s="2">
        <f>D46*E46</f>
        <v>225</v>
      </c>
      <c r="H46" s="1"/>
    </row>
    <row r="47" spans="1:8" x14ac:dyDescent="0.25">
      <c r="A47" s="46"/>
      <c r="B47" s="1"/>
      <c r="C47" s="1"/>
      <c r="D47" s="1"/>
      <c r="E47" s="1"/>
      <c r="F47" s="1"/>
      <c r="G47" s="15">
        <f>D47*E47</f>
        <v>0</v>
      </c>
      <c r="H47" s="1"/>
    </row>
    <row r="48" spans="1:8" x14ac:dyDescent="0.25">
      <c r="A48" s="46"/>
      <c r="B48" s="1"/>
      <c r="C48" s="1"/>
      <c r="D48" s="1"/>
      <c r="E48" s="1"/>
      <c r="F48" s="1"/>
      <c r="G48" s="1"/>
      <c r="H48" s="1"/>
    </row>
    <row r="49" spans="1:8" x14ac:dyDescent="0.25">
      <c r="A49" s="46"/>
      <c r="B49" s="40" t="s">
        <v>7</v>
      </c>
      <c r="C49" s="41"/>
      <c r="D49" s="42"/>
      <c r="E49" s="3"/>
      <c r="F49" s="3"/>
      <c r="G49" s="13">
        <f>SUM(G45:G48)</f>
        <v>296.25</v>
      </c>
      <c r="H49" s="1"/>
    </row>
    <row r="50" spans="1:8" x14ac:dyDescent="0.25">
      <c r="A50" s="1"/>
      <c r="B50" s="50" t="s">
        <v>14</v>
      </c>
      <c r="C50" s="51"/>
      <c r="D50" s="52"/>
      <c r="E50" s="7"/>
      <c r="F50" s="7"/>
      <c r="G50" s="8">
        <f>G49+G43+G39+G21+G15+G7+G34</f>
        <v>28546.19</v>
      </c>
      <c r="H50" s="1"/>
    </row>
  </sheetData>
  <mergeCells count="16">
    <mergeCell ref="B50:D50"/>
    <mergeCell ref="B49:D49"/>
    <mergeCell ref="B43:D43"/>
    <mergeCell ref="B39:D39"/>
    <mergeCell ref="B34:D34"/>
    <mergeCell ref="A45:A49"/>
    <mergeCell ref="A23:A33"/>
    <mergeCell ref="A36:A39"/>
    <mergeCell ref="A41:A43"/>
    <mergeCell ref="A17:A21"/>
    <mergeCell ref="B21:D21"/>
    <mergeCell ref="A1:H1"/>
    <mergeCell ref="A3:A7"/>
    <mergeCell ref="B7:D7"/>
    <mergeCell ref="A9:A15"/>
    <mergeCell ref="B15:D15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J20" sqref="J2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37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66</v>
      </c>
      <c r="B3" s="1" t="s">
        <v>58</v>
      </c>
      <c r="C3" s="1">
        <v>280</v>
      </c>
      <c r="D3" s="1">
        <v>72</v>
      </c>
      <c r="E3" s="1">
        <v>52.65</v>
      </c>
      <c r="F3" s="28" t="s">
        <v>17</v>
      </c>
      <c r="G3" s="2">
        <f>D3*E3</f>
        <v>3790.7999999999997</v>
      </c>
      <c r="H3" s="1"/>
    </row>
    <row r="4" spans="1:8" x14ac:dyDescent="0.25">
      <c r="A4" s="46"/>
      <c r="B4" s="1"/>
      <c r="C4" s="1"/>
      <c r="D4" s="1"/>
      <c r="E4" s="1"/>
      <c r="F4" s="28"/>
      <c r="G4" s="2">
        <f t="shared" ref="G4:G6" si="0">D4*E4</f>
        <v>0</v>
      </c>
      <c r="H4" s="1"/>
    </row>
    <row r="5" spans="1:8" x14ac:dyDescent="0.25">
      <c r="A5" s="46"/>
      <c r="B5" s="1"/>
      <c r="C5" s="1"/>
      <c r="D5" s="1"/>
      <c r="E5" s="1"/>
      <c r="F5" s="28"/>
      <c r="G5" s="2">
        <f t="shared" si="0"/>
        <v>0</v>
      </c>
      <c r="H5" s="1"/>
    </row>
    <row r="6" spans="1:8" x14ac:dyDescent="0.25">
      <c r="A6" s="46"/>
      <c r="B6" s="1"/>
      <c r="C6" s="1"/>
      <c r="D6" s="1"/>
      <c r="E6" s="3"/>
      <c r="F6" s="27"/>
      <c r="G6" s="2">
        <f t="shared" si="0"/>
        <v>0</v>
      </c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3790.7999999999997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67</v>
      </c>
      <c r="B9" s="1" t="s">
        <v>47</v>
      </c>
      <c r="C9" s="1">
        <v>20</v>
      </c>
      <c r="D9" s="1">
        <v>25.5</v>
      </c>
      <c r="E9" s="1">
        <v>20</v>
      </c>
      <c r="F9" s="30" t="s">
        <v>49</v>
      </c>
      <c r="G9" s="1">
        <f>D9*E9</f>
        <v>510</v>
      </c>
      <c r="H9" s="1"/>
    </row>
    <row r="10" spans="1:8" x14ac:dyDescent="0.25">
      <c r="A10" s="46"/>
      <c r="B10" s="1" t="s">
        <v>69</v>
      </c>
      <c r="C10" s="1">
        <v>1</v>
      </c>
      <c r="D10" s="1">
        <v>50.4</v>
      </c>
      <c r="E10" s="1">
        <v>20</v>
      </c>
      <c r="F10" s="1" t="s">
        <v>17</v>
      </c>
      <c r="G10" s="17">
        <f>D10*E10</f>
        <v>1008</v>
      </c>
      <c r="H10" s="1"/>
    </row>
    <row r="11" spans="1:8" x14ac:dyDescent="0.25">
      <c r="A11" s="46"/>
      <c r="B11" s="1"/>
      <c r="C11" s="1"/>
      <c r="D11" s="1"/>
      <c r="E11" s="1"/>
      <c r="F11" s="1"/>
      <c r="G11" s="1"/>
      <c r="H11" s="1"/>
    </row>
    <row r="12" spans="1:8" x14ac:dyDescent="0.25">
      <c r="A12" s="46"/>
      <c r="B12" s="1"/>
      <c r="C12" s="1"/>
      <c r="D12" s="1"/>
      <c r="E12" s="1"/>
      <c r="F12" s="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1518</v>
      </c>
      <c r="H14" s="1"/>
    </row>
    <row r="15" spans="1:8" x14ac:dyDescent="0.25">
      <c r="A15" s="25" t="s">
        <v>34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68</v>
      </c>
      <c r="B16" s="1" t="s">
        <v>70</v>
      </c>
      <c r="C16" s="1">
        <v>20</v>
      </c>
      <c r="D16" s="1">
        <v>60</v>
      </c>
      <c r="E16" s="1">
        <v>20</v>
      </c>
      <c r="F16" s="30" t="s">
        <v>49</v>
      </c>
      <c r="G16" s="1">
        <f>D16*E16</f>
        <v>1200</v>
      </c>
      <c r="H16" s="1"/>
    </row>
    <row r="17" spans="1:8" x14ac:dyDescent="0.25">
      <c r="A17" s="46"/>
      <c r="B17" s="1" t="s">
        <v>71</v>
      </c>
      <c r="C17" s="1">
        <v>3</v>
      </c>
      <c r="D17" s="1">
        <v>22.8</v>
      </c>
      <c r="E17" s="1">
        <v>3</v>
      </c>
      <c r="F17" s="30" t="s">
        <v>49</v>
      </c>
      <c r="G17" s="17">
        <f t="shared" ref="G17:G20" si="1">D17*E17</f>
        <v>68.400000000000006</v>
      </c>
      <c r="H17" s="1"/>
    </row>
    <row r="18" spans="1:8" x14ac:dyDescent="0.25">
      <c r="A18" s="46"/>
      <c r="B18" s="1" t="s">
        <v>72</v>
      </c>
      <c r="C18" s="1">
        <v>20</v>
      </c>
      <c r="D18" s="1">
        <v>141</v>
      </c>
      <c r="E18" s="1">
        <v>20</v>
      </c>
      <c r="F18" s="30" t="s">
        <v>49</v>
      </c>
      <c r="G18" s="17">
        <f t="shared" si="1"/>
        <v>2820</v>
      </c>
      <c r="H18" s="1"/>
    </row>
    <row r="19" spans="1:8" x14ac:dyDescent="0.25">
      <c r="A19" s="46"/>
      <c r="B19" s="1" t="s">
        <v>74</v>
      </c>
      <c r="C19" s="1">
        <v>8</v>
      </c>
      <c r="D19" s="1">
        <v>120</v>
      </c>
      <c r="E19" s="3">
        <v>8</v>
      </c>
      <c r="F19" s="29" t="s">
        <v>49</v>
      </c>
      <c r="G19" s="17">
        <f t="shared" si="1"/>
        <v>960</v>
      </c>
      <c r="H19" s="1"/>
    </row>
    <row r="20" spans="1:8" x14ac:dyDescent="0.25">
      <c r="A20" s="46"/>
      <c r="B20" s="1" t="s">
        <v>80</v>
      </c>
      <c r="C20" s="1">
        <v>2</v>
      </c>
      <c r="D20" s="1">
        <v>76.5</v>
      </c>
      <c r="E20" s="3">
        <v>2</v>
      </c>
      <c r="F20" s="29" t="s">
        <v>49</v>
      </c>
      <c r="G20" s="17">
        <f t="shared" si="1"/>
        <v>153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0" t="s">
        <v>7</v>
      </c>
      <c r="C22" s="41"/>
      <c r="D22" s="42"/>
      <c r="E22" s="3"/>
      <c r="F22" s="3"/>
      <c r="G22" s="13">
        <f>SUM(G16:G21)</f>
        <v>5201.3999999999996</v>
      </c>
      <c r="H22" s="1"/>
    </row>
    <row r="23" spans="1:8" x14ac:dyDescent="0.25">
      <c r="A23" s="4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24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6"/>
      <c r="B25" s="1" t="s">
        <v>35</v>
      </c>
      <c r="C25" s="1">
        <v>2</v>
      </c>
      <c r="D25" s="1">
        <v>530</v>
      </c>
      <c r="E25" s="1">
        <v>8</v>
      </c>
      <c r="F25" s="1" t="s">
        <v>135</v>
      </c>
      <c r="G25" s="17">
        <f t="shared" ref="G25:G28" si="2">D25*E25</f>
        <v>4240</v>
      </c>
      <c r="H25" s="1"/>
    </row>
    <row r="26" spans="1:8" x14ac:dyDescent="0.25">
      <c r="A26" s="46"/>
      <c r="B26" s="1" t="s">
        <v>81</v>
      </c>
      <c r="C26" s="1">
        <v>1</v>
      </c>
      <c r="D26" s="1">
        <v>96.9</v>
      </c>
      <c r="E26" s="1">
        <v>1</v>
      </c>
      <c r="F26" s="30" t="s">
        <v>49</v>
      </c>
      <c r="G26" s="17">
        <f t="shared" si="2"/>
        <v>96.9</v>
      </c>
      <c r="H26" s="1"/>
    </row>
    <row r="27" spans="1:8" x14ac:dyDescent="0.25">
      <c r="A27" s="46"/>
      <c r="B27" s="1" t="s">
        <v>82</v>
      </c>
      <c r="C27" s="1">
        <v>2</v>
      </c>
      <c r="D27" s="1">
        <v>82.08</v>
      </c>
      <c r="E27" s="1">
        <v>2</v>
      </c>
      <c r="F27" s="30" t="s">
        <v>49</v>
      </c>
      <c r="G27" s="17">
        <f t="shared" si="2"/>
        <v>164.16</v>
      </c>
      <c r="H27" s="1"/>
    </row>
    <row r="28" spans="1:8" x14ac:dyDescent="0.25">
      <c r="A28" s="46"/>
      <c r="B28" s="17" t="s">
        <v>83</v>
      </c>
      <c r="C28" s="17">
        <v>5</v>
      </c>
      <c r="D28" s="17">
        <v>125</v>
      </c>
      <c r="E28" s="17">
        <v>5</v>
      </c>
      <c r="F28" s="29" t="s">
        <v>49</v>
      </c>
      <c r="G28" s="17">
        <f t="shared" si="2"/>
        <v>625</v>
      </c>
      <c r="H28" s="17"/>
    </row>
    <row r="29" spans="1:8" x14ac:dyDescent="0.25">
      <c r="A29" s="46"/>
      <c r="B29" s="40" t="s">
        <v>7</v>
      </c>
      <c r="C29" s="41"/>
      <c r="D29" s="42"/>
      <c r="E29" s="3"/>
      <c r="F29" s="3"/>
      <c r="G29" s="13">
        <f>SUM(G24:G28)</f>
        <v>6326.0599999999995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6" t="s">
        <v>75</v>
      </c>
      <c r="B31" s="1" t="s">
        <v>76</v>
      </c>
      <c r="C31" s="1">
        <v>30</v>
      </c>
      <c r="D31" s="1">
        <v>120</v>
      </c>
      <c r="E31" s="1">
        <v>3</v>
      </c>
      <c r="F31" s="30" t="s">
        <v>137</v>
      </c>
      <c r="G31" s="1">
        <f>D31*E31</f>
        <v>360</v>
      </c>
      <c r="H31" s="1"/>
    </row>
    <row r="32" spans="1:8" x14ac:dyDescent="0.25">
      <c r="A32" s="46"/>
      <c r="B32" s="1" t="s">
        <v>77</v>
      </c>
      <c r="C32" s="1">
        <v>15</v>
      </c>
      <c r="D32" s="1">
        <v>31.68</v>
      </c>
      <c r="E32" s="1">
        <v>2.67</v>
      </c>
      <c r="F32" s="1" t="s">
        <v>17</v>
      </c>
      <c r="G32" s="31">
        <f t="shared" ref="G32:G33" si="3">D32*E32</f>
        <v>84.585599999999999</v>
      </c>
      <c r="H32" s="1"/>
    </row>
    <row r="33" spans="1:8" x14ac:dyDescent="0.25">
      <c r="A33" s="46"/>
      <c r="B33" s="1" t="s">
        <v>78</v>
      </c>
      <c r="C33" s="1">
        <v>3</v>
      </c>
      <c r="D33" s="1">
        <v>225</v>
      </c>
      <c r="E33" s="1">
        <v>3</v>
      </c>
      <c r="F33" s="1" t="s">
        <v>73</v>
      </c>
      <c r="G33" s="31">
        <f t="shared" si="3"/>
        <v>675</v>
      </c>
      <c r="H33" s="1"/>
    </row>
    <row r="34" spans="1:8" x14ac:dyDescent="0.25">
      <c r="A34" s="46"/>
      <c r="B34" s="40"/>
      <c r="C34" s="41"/>
      <c r="D34" s="42"/>
      <c r="E34" s="3"/>
      <c r="F34" s="3"/>
      <c r="G34" s="13">
        <f>SUM(G31:G33)</f>
        <v>1119.5855999999999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7"/>
      <c r="B36" s="1" t="s">
        <v>136</v>
      </c>
      <c r="C36" s="1"/>
      <c r="D36" s="1">
        <v>70</v>
      </c>
      <c r="E36" s="1">
        <v>40</v>
      </c>
      <c r="F36" s="1" t="s">
        <v>130</v>
      </c>
      <c r="G36" s="22">
        <f>D36*E36</f>
        <v>2800</v>
      </c>
      <c r="H36" s="1"/>
    </row>
    <row r="37" spans="1:8" x14ac:dyDescent="0.25">
      <c r="A37" s="48"/>
      <c r="B37" s="31" t="s">
        <v>138</v>
      </c>
      <c r="C37" s="31"/>
      <c r="D37" s="31">
        <v>100</v>
      </c>
      <c r="E37" s="31">
        <v>4</v>
      </c>
      <c r="F37" s="31" t="s">
        <v>128</v>
      </c>
      <c r="G37" s="22">
        <f>D37*E37</f>
        <v>400</v>
      </c>
      <c r="H37" s="31"/>
    </row>
    <row r="38" spans="1:8" x14ac:dyDescent="0.25">
      <c r="A38" s="48"/>
      <c r="B38" s="1" t="s">
        <v>140</v>
      </c>
      <c r="C38" s="1"/>
      <c r="D38" s="1">
        <v>35.520000000000003</v>
      </c>
      <c r="E38" s="1">
        <v>75</v>
      </c>
      <c r="F38" s="1" t="s">
        <v>141</v>
      </c>
      <c r="G38" s="22">
        <f>D38*E38</f>
        <v>2664.0000000000005</v>
      </c>
      <c r="H38" s="1"/>
    </row>
    <row r="39" spans="1:8" x14ac:dyDescent="0.25">
      <c r="A39" s="49"/>
      <c r="B39" s="40" t="s">
        <v>7</v>
      </c>
      <c r="C39" s="41"/>
      <c r="D39" s="42"/>
      <c r="E39" s="3"/>
      <c r="F39" s="3"/>
      <c r="G39" s="13">
        <f>SUM(G36:G38)</f>
        <v>5864</v>
      </c>
      <c r="H39" s="5"/>
    </row>
    <row r="40" spans="1:8" x14ac:dyDescent="0.25">
      <c r="A40" s="6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6"/>
      <c r="B41" s="1" t="s">
        <v>139</v>
      </c>
      <c r="C41" s="1"/>
      <c r="D41" s="1">
        <v>72</v>
      </c>
      <c r="E41" s="1">
        <v>18.57</v>
      </c>
      <c r="F41" s="1" t="s">
        <v>128</v>
      </c>
      <c r="G41" s="2">
        <f>D41*E41</f>
        <v>1337.04</v>
      </c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1"/>
      <c r="C43" s="1"/>
      <c r="D43" s="1"/>
      <c r="E43" s="1"/>
      <c r="F43" s="1"/>
      <c r="G43" s="1"/>
      <c r="H43" s="1"/>
    </row>
    <row r="44" spans="1:8" x14ac:dyDescent="0.25">
      <c r="A44" s="46"/>
      <c r="B44" s="1"/>
      <c r="C44" s="1"/>
      <c r="D44" s="1"/>
      <c r="E44" s="1"/>
      <c r="F44" s="1"/>
      <c r="G44" s="1"/>
      <c r="H44" s="1"/>
    </row>
    <row r="45" spans="1:8" x14ac:dyDescent="0.25">
      <c r="A45" s="46"/>
      <c r="B45" s="40" t="s">
        <v>7</v>
      </c>
      <c r="C45" s="41"/>
      <c r="D45" s="42"/>
      <c r="E45" s="3"/>
      <c r="F45" s="3"/>
      <c r="G45" s="13">
        <f>SUM(G41:G44)</f>
        <v>1337.04</v>
      </c>
      <c r="H45" s="1"/>
    </row>
    <row r="46" spans="1:8" x14ac:dyDescent="0.25">
      <c r="A46" s="1"/>
      <c r="B46" s="50" t="s">
        <v>14</v>
      </c>
      <c r="C46" s="51"/>
      <c r="D46" s="52"/>
      <c r="E46" s="7"/>
      <c r="F46" s="7"/>
      <c r="G46" s="8">
        <f>G45+G39+G34+G22+G14+G7+G29</f>
        <v>25156.885600000001</v>
      </c>
      <c r="H46" s="1"/>
    </row>
  </sheetData>
  <mergeCells count="16">
    <mergeCell ref="A41:A45"/>
    <mergeCell ref="B45:D45"/>
    <mergeCell ref="B46:D46"/>
    <mergeCell ref="A24:A29"/>
    <mergeCell ref="B29:D29"/>
    <mergeCell ref="A31:A34"/>
    <mergeCell ref="B34:D34"/>
    <mergeCell ref="A36:A39"/>
    <mergeCell ref="B39:D39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opLeftCell="A25" workbookViewId="0">
      <selection activeCell="G42" sqref="G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38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84</v>
      </c>
      <c r="B3" s="1" t="s">
        <v>85</v>
      </c>
      <c r="C3" s="1"/>
      <c r="D3" s="1">
        <v>200</v>
      </c>
      <c r="E3" s="1">
        <v>55</v>
      </c>
      <c r="F3" s="28"/>
      <c r="G3" s="2">
        <f>D3*E3</f>
        <v>11000</v>
      </c>
      <c r="H3" s="1"/>
    </row>
    <row r="4" spans="1:8" x14ac:dyDescent="0.25">
      <c r="A4" s="46"/>
      <c r="B4" s="1"/>
      <c r="C4" s="1"/>
      <c r="D4" s="1"/>
      <c r="E4" s="1"/>
      <c r="F4" s="28"/>
      <c r="G4" s="1"/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"/>
      <c r="C6" s="1"/>
      <c r="D6" s="1"/>
      <c r="E6" s="3"/>
      <c r="F6" s="27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11000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86</v>
      </c>
      <c r="B9" s="1" t="s">
        <v>89</v>
      </c>
      <c r="C9" s="1">
        <v>700</v>
      </c>
      <c r="D9" s="1">
        <v>156</v>
      </c>
      <c r="E9" s="36"/>
      <c r="F9" s="1" t="s">
        <v>79</v>
      </c>
      <c r="G9" s="36">
        <f>D9*E9</f>
        <v>0</v>
      </c>
      <c r="H9" s="1"/>
    </row>
    <row r="10" spans="1:8" x14ac:dyDescent="0.25">
      <c r="A10" s="46"/>
      <c r="B10" s="1" t="s">
        <v>90</v>
      </c>
      <c r="C10" s="1">
        <v>15</v>
      </c>
      <c r="D10" s="1">
        <v>60</v>
      </c>
      <c r="E10" s="1">
        <v>15</v>
      </c>
      <c r="F10" s="30" t="s">
        <v>49</v>
      </c>
      <c r="G10" s="20">
        <f t="shared" ref="G10:G13" si="0">D10*E10</f>
        <v>900</v>
      </c>
      <c r="H10" s="1"/>
    </row>
    <row r="11" spans="1:8" x14ac:dyDescent="0.25">
      <c r="A11" s="46"/>
      <c r="B11" s="1" t="s">
        <v>91</v>
      </c>
      <c r="C11" s="1">
        <v>15</v>
      </c>
      <c r="D11" s="1">
        <v>48</v>
      </c>
      <c r="E11" s="1">
        <v>15</v>
      </c>
      <c r="F11" s="30" t="s">
        <v>49</v>
      </c>
      <c r="G11" s="20">
        <f t="shared" si="0"/>
        <v>720</v>
      </c>
      <c r="H11" s="1"/>
    </row>
    <row r="12" spans="1:8" x14ac:dyDescent="0.25">
      <c r="A12" s="46"/>
      <c r="B12" s="1" t="s">
        <v>92</v>
      </c>
      <c r="C12" s="1">
        <v>15</v>
      </c>
      <c r="D12" s="1">
        <v>48</v>
      </c>
      <c r="E12" s="1">
        <v>15</v>
      </c>
      <c r="F12" s="30" t="s">
        <v>49</v>
      </c>
      <c r="G12" s="20">
        <f t="shared" si="0"/>
        <v>720</v>
      </c>
      <c r="H12" s="1"/>
    </row>
    <row r="13" spans="1:8" x14ac:dyDescent="0.25">
      <c r="A13" s="46"/>
      <c r="B13" s="1" t="s">
        <v>93</v>
      </c>
      <c r="C13" s="1" t="s">
        <v>62</v>
      </c>
      <c r="D13" s="1">
        <v>63</v>
      </c>
      <c r="E13" s="1">
        <v>0.5</v>
      </c>
      <c r="F13" s="30" t="s">
        <v>49</v>
      </c>
      <c r="G13" s="1">
        <f t="shared" si="0"/>
        <v>31.5</v>
      </c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2371.5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3" t="s">
        <v>87</v>
      </c>
      <c r="B16" s="1" t="s">
        <v>81</v>
      </c>
      <c r="C16" s="1">
        <v>1</v>
      </c>
      <c r="D16" s="1">
        <v>96.9</v>
      </c>
      <c r="E16" s="1">
        <v>1</v>
      </c>
      <c r="F16" s="30" t="s">
        <v>49</v>
      </c>
      <c r="G16" s="1">
        <f>D16*E16</f>
        <v>96.9</v>
      </c>
      <c r="H16" s="1"/>
    </row>
    <row r="17" spans="1:8" x14ac:dyDescent="0.25">
      <c r="A17" s="46"/>
      <c r="B17" s="1" t="s">
        <v>94</v>
      </c>
      <c r="C17" s="1">
        <v>20</v>
      </c>
      <c r="D17" s="1">
        <v>57</v>
      </c>
      <c r="E17" s="1">
        <v>20</v>
      </c>
      <c r="F17" s="30" t="s">
        <v>49</v>
      </c>
      <c r="G17" s="33">
        <f t="shared" ref="G17:G20" si="1">D17*E17</f>
        <v>1140</v>
      </c>
      <c r="H17" s="1"/>
    </row>
    <row r="18" spans="1:8" x14ac:dyDescent="0.25">
      <c r="A18" s="46"/>
      <c r="B18" s="1" t="s">
        <v>95</v>
      </c>
      <c r="C18" s="1">
        <v>15</v>
      </c>
      <c r="D18" s="1">
        <v>96.6</v>
      </c>
      <c r="E18" s="1">
        <v>15</v>
      </c>
      <c r="F18" s="30" t="s">
        <v>49</v>
      </c>
      <c r="G18" s="33">
        <f t="shared" si="1"/>
        <v>1449</v>
      </c>
      <c r="H18" s="1"/>
    </row>
    <row r="19" spans="1:8" x14ac:dyDescent="0.25">
      <c r="A19" s="46"/>
      <c r="B19" s="30" t="s">
        <v>57</v>
      </c>
      <c r="C19" s="30">
        <v>2</v>
      </c>
      <c r="D19" s="30">
        <v>300</v>
      </c>
      <c r="E19" s="29">
        <v>2</v>
      </c>
      <c r="F19" s="29" t="s">
        <v>73</v>
      </c>
      <c r="G19" s="33">
        <f t="shared" si="1"/>
        <v>600</v>
      </c>
      <c r="H19" s="30"/>
    </row>
    <row r="20" spans="1:8" x14ac:dyDescent="0.25">
      <c r="A20" s="46"/>
      <c r="B20" s="1" t="s">
        <v>61</v>
      </c>
      <c r="C20" s="1">
        <v>5</v>
      </c>
      <c r="D20" s="1">
        <v>214.2</v>
      </c>
      <c r="E20" s="3">
        <v>5</v>
      </c>
      <c r="F20" s="29" t="s">
        <v>49</v>
      </c>
      <c r="G20" s="33">
        <f t="shared" si="1"/>
        <v>1071</v>
      </c>
      <c r="H20" s="1"/>
    </row>
    <row r="21" spans="1:8" x14ac:dyDescent="0.25">
      <c r="A21" s="46"/>
      <c r="B21" s="40" t="s">
        <v>7</v>
      </c>
      <c r="C21" s="41"/>
      <c r="D21" s="42"/>
      <c r="E21" s="3"/>
      <c r="F21" s="3"/>
      <c r="G21" s="13">
        <f>SUM(G16:G20)</f>
        <v>4356.8999999999996</v>
      </c>
      <c r="H21" s="1"/>
    </row>
    <row r="22" spans="1:8" x14ac:dyDescent="0.25">
      <c r="A22" s="4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6"/>
      <c r="B23" s="1" t="s">
        <v>45</v>
      </c>
      <c r="C23" s="1">
        <v>3</v>
      </c>
      <c r="D23" s="1">
        <v>141</v>
      </c>
      <c r="E23" s="1">
        <v>3</v>
      </c>
      <c r="F23" s="30" t="s">
        <v>49</v>
      </c>
      <c r="G23" s="1">
        <f>D23*E23</f>
        <v>423</v>
      </c>
      <c r="H23" s="1" t="s">
        <v>25</v>
      </c>
    </row>
    <row r="24" spans="1:8" x14ac:dyDescent="0.25">
      <c r="A24" s="46"/>
      <c r="B24" s="1" t="s">
        <v>96</v>
      </c>
      <c r="C24" s="1">
        <v>8</v>
      </c>
      <c r="D24" s="1">
        <v>22.8</v>
      </c>
      <c r="E24" s="1">
        <v>8</v>
      </c>
      <c r="F24" s="30" t="s">
        <v>49</v>
      </c>
      <c r="G24" s="20">
        <f t="shared" ref="G24:G28" si="2">D24*E24</f>
        <v>182.4</v>
      </c>
      <c r="H24" s="1"/>
    </row>
    <row r="25" spans="1:8" x14ac:dyDescent="0.25">
      <c r="A25" s="46"/>
      <c r="B25" s="1" t="s">
        <v>97</v>
      </c>
      <c r="C25" s="1">
        <v>35</v>
      </c>
      <c r="D25" s="1">
        <v>99</v>
      </c>
      <c r="E25" s="1">
        <v>8.9</v>
      </c>
      <c r="F25" s="1" t="s">
        <v>17</v>
      </c>
      <c r="G25" s="20">
        <f t="shared" si="2"/>
        <v>881.1</v>
      </c>
      <c r="H25" s="1"/>
    </row>
    <row r="26" spans="1:8" x14ac:dyDescent="0.25">
      <c r="A26" s="46"/>
      <c r="B26" s="1"/>
      <c r="C26" s="1"/>
      <c r="D26" s="1"/>
      <c r="E26" s="1"/>
      <c r="F26" s="1"/>
      <c r="G26" s="20">
        <f t="shared" si="2"/>
        <v>0</v>
      </c>
      <c r="H26" s="1"/>
    </row>
    <row r="27" spans="1:8" x14ac:dyDescent="0.25">
      <c r="A27" s="46"/>
      <c r="B27" s="20"/>
      <c r="C27" s="20"/>
      <c r="D27" s="20"/>
      <c r="E27" s="20"/>
      <c r="F27" s="21"/>
      <c r="G27" s="21">
        <f t="shared" si="2"/>
        <v>0</v>
      </c>
      <c r="H27" s="20"/>
    </row>
    <row r="28" spans="1:8" x14ac:dyDescent="0.25">
      <c r="A28" s="46"/>
      <c r="B28" s="20"/>
      <c r="C28" s="20"/>
      <c r="D28" s="20"/>
      <c r="E28" s="20"/>
      <c r="F28" s="21"/>
      <c r="G28" s="21">
        <f t="shared" si="2"/>
        <v>0</v>
      </c>
      <c r="H28" s="20"/>
    </row>
    <row r="29" spans="1:8" x14ac:dyDescent="0.25">
      <c r="A29" s="46"/>
      <c r="B29" s="40" t="s">
        <v>7</v>
      </c>
      <c r="C29" s="41"/>
      <c r="D29" s="42"/>
      <c r="E29" s="3"/>
      <c r="F29" s="3"/>
      <c r="G29" s="13">
        <f>SUM(G23:G28)</f>
        <v>1486.5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6" t="s">
        <v>88</v>
      </c>
      <c r="B31" s="1" t="s">
        <v>71</v>
      </c>
      <c r="C31" s="1">
        <v>4</v>
      </c>
      <c r="D31" s="1">
        <v>25.08</v>
      </c>
      <c r="E31" s="1">
        <v>4</v>
      </c>
      <c r="F31" s="30" t="s">
        <v>49</v>
      </c>
      <c r="G31" s="1">
        <f>D31*E31</f>
        <v>100.32</v>
      </c>
      <c r="H31" s="1"/>
    </row>
    <row r="32" spans="1:8" x14ac:dyDescent="0.25">
      <c r="A32" s="46"/>
      <c r="B32" s="1" t="s">
        <v>98</v>
      </c>
      <c r="C32" s="1">
        <v>10</v>
      </c>
      <c r="D32" s="1">
        <v>11</v>
      </c>
      <c r="E32" s="1">
        <v>10</v>
      </c>
      <c r="F32" s="1" t="s">
        <v>63</v>
      </c>
      <c r="G32" s="33">
        <f t="shared" ref="G32:G36" si="3">D32*E32</f>
        <v>110</v>
      </c>
      <c r="H32" s="1"/>
    </row>
    <row r="33" spans="1:8" x14ac:dyDescent="0.25">
      <c r="A33" s="46"/>
      <c r="B33" s="30" t="s">
        <v>99</v>
      </c>
      <c r="C33" s="30">
        <v>10</v>
      </c>
      <c r="D33" s="30">
        <v>16</v>
      </c>
      <c r="E33" s="30">
        <v>10</v>
      </c>
      <c r="F33" s="30" t="s">
        <v>100</v>
      </c>
      <c r="G33" s="33">
        <f t="shared" si="3"/>
        <v>160</v>
      </c>
      <c r="H33" s="30"/>
    </row>
    <row r="34" spans="1:8" x14ac:dyDescent="0.25">
      <c r="A34" s="46"/>
      <c r="B34" s="30" t="s">
        <v>72</v>
      </c>
      <c r="C34" s="30">
        <v>10</v>
      </c>
      <c r="D34" s="30">
        <v>141</v>
      </c>
      <c r="E34" s="30">
        <v>10</v>
      </c>
      <c r="F34" s="30" t="s">
        <v>49</v>
      </c>
      <c r="G34" s="33">
        <f t="shared" si="3"/>
        <v>1410</v>
      </c>
      <c r="H34" s="30"/>
    </row>
    <row r="35" spans="1:8" x14ac:dyDescent="0.25">
      <c r="A35" s="46"/>
      <c r="B35" s="30" t="s">
        <v>70</v>
      </c>
      <c r="C35" s="30">
        <v>4</v>
      </c>
      <c r="D35" s="30">
        <v>60</v>
      </c>
      <c r="E35" s="30">
        <v>4</v>
      </c>
      <c r="F35" s="30" t="s">
        <v>49</v>
      </c>
      <c r="G35" s="33">
        <f t="shared" si="3"/>
        <v>240</v>
      </c>
      <c r="H35" s="30"/>
    </row>
    <row r="36" spans="1:8" x14ac:dyDescent="0.25">
      <c r="A36" s="46"/>
      <c r="B36" s="1" t="s">
        <v>82</v>
      </c>
      <c r="C36" s="1">
        <v>8</v>
      </c>
      <c r="D36" s="1">
        <v>87.78</v>
      </c>
      <c r="E36" s="1">
        <v>8</v>
      </c>
      <c r="F36" s="30" t="s">
        <v>49</v>
      </c>
      <c r="G36" s="33">
        <f t="shared" si="3"/>
        <v>702.24</v>
      </c>
      <c r="H36" s="1"/>
    </row>
    <row r="37" spans="1:8" x14ac:dyDescent="0.25">
      <c r="A37" s="46"/>
      <c r="B37" s="40" t="s">
        <v>16</v>
      </c>
      <c r="C37" s="41"/>
      <c r="D37" s="42"/>
      <c r="E37" s="3"/>
      <c r="F37" s="3"/>
      <c r="G37" s="13">
        <f>SUM(G31:G36)</f>
        <v>2722.56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47"/>
      <c r="B39" s="1" t="s">
        <v>143</v>
      </c>
      <c r="C39" s="1"/>
      <c r="D39" s="1">
        <v>49.98</v>
      </c>
      <c r="E39" s="1">
        <v>75</v>
      </c>
      <c r="F39" s="1" t="s">
        <v>141</v>
      </c>
      <c r="G39" s="1">
        <f>D39*E39</f>
        <v>3748.4999999999995</v>
      </c>
      <c r="H39" s="1"/>
    </row>
    <row r="40" spans="1:8" x14ac:dyDescent="0.25">
      <c r="A40" s="48"/>
      <c r="B40" s="1" t="s">
        <v>162</v>
      </c>
      <c r="C40" s="1"/>
      <c r="D40" s="1">
        <v>239</v>
      </c>
      <c r="E40" s="1">
        <v>45</v>
      </c>
      <c r="F40" s="20" t="s">
        <v>163</v>
      </c>
      <c r="G40" s="20">
        <f>D40*E40</f>
        <v>10755</v>
      </c>
      <c r="H40" s="1"/>
    </row>
    <row r="41" spans="1:8" x14ac:dyDescent="0.25">
      <c r="A41" s="49"/>
      <c r="B41" s="40" t="s">
        <v>7</v>
      </c>
      <c r="C41" s="41"/>
      <c r="D41" s="42"/>
      <c r="E41" s="3"/>
      <c r="F41" s="3"/>
      <c r="G41" s="13">
        <f>SUM(G39:G40)</f>
        <v>14503.5</v>
      </c>
      <c r="H41" s="5"/>
    </row>
    <row r="42" spans="1:8" x14ac:dyDescent="0.25">
      <c r="A42" s="6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47"/>
      <c r="B43" s="1" t="s">
        <v>142</v>
      </c>
      <c r="C43" s="1"/>
      <c r="D43" s="1">
        <v>59.28</v>
      </c>
      <c r="E43" s="1">
        <v>2</v>
      </c>
      <c r="F43" s="11" t="s">
        <v>141</v>
      </c>
      <c r="G43" s="1">
        <f>D43*E43</f>
        <v>118.56</v>
      </c>
      <c r="H43" s="1"/>
    </row>
    <row r="44" spans="1:8" x14ac:dyDescent="0.25">
      <c r="A44" s="48"/>
      <c r="B44" s="1" t="s">
        <v>144</v>
      </c>
      <c r="C44" s="1"/>
      <c r="D44" s="1">
        <v>50.4</v>
      </c>
      <c r="E44" s="1">
        <v>20</v>
      </c>
      <c r="F44" s="11" t="s">
        <v>141</v>
      </c>
      <c r="G44" s="20">
        <f t="shared" ref="G44:G56" si="4">D44*E44</f>
        <v>1008</v>
      </c>
      <c r="H44" s="1"/>
    </row>
    <row r="45" spans="1:8" x14ac:dyDescent="0.25">
      <c r="A45" s="48"/>
      <c r="B45" s="1" t="s">
        <v>145</v>
      </c>
      <c r="C45" s="1"/>
      <c r="D45" s="1">
        <v>125</v>
      </c>
      <c r="E45" s="1">
        <v>12</v>
      </c>
      <c r="F45" s="11" t="s">
        <v>146</v>
      </c>
      <c r="G45" s="20">
        <f t="shared" si="4"/>
        <v>1500</v>
      </c>
      <c r="H45" s="1"/>
    </row>
    <row r="46" spans="1:8" x14ac:dyDescent="0.25">
      <c r="A46" s="48"/>
      <c r="B46" s="1" t="s">
        <v>147</v>
      </c>
      <c r="C46" s="1"/>
      <c r="D46" s="1">
        <v>467</v>
      </c>
      <c r="E46" s="1">
        <v>1</v>
      </c>
      <c r="F46" s="11" t="s">
        <v>146</v>
      </c>
      <c r="G46" s="20">
        <f t="shared" si="4"/>
        <v>467</v>
      </c>
      <c r="H46" s="1"/>
    </row>
    <row r="47" spans="1:8" x14ac:dyDescent="0.25">
      <c r="A47" s="48"/>
      <c r="B47" s="11" t="s">
        <v>148</v>
      </c>
      <c r="C47" s="11"/>
      <c r="D47" s="12">
        <v>66</v>
      </c>
      <c r="E47" s="12">
        <v>8</v>
      </c>
      <c r="F47" s="12" t="s">
        <v>149</v>
      </c>
      <c r="G47" s="20">
        <f t="shared" si="4"/>
        <v>528</v>
      </c>
      <c r="H47" s="11"/>
    </row>
    <row r="48" spans="1:8" x14ac:dyDescent="0.25">
      <c r="A48" s="48"/>
      <c r="B48" s="33" t="s">
        <v>150</v>
      </c>
      <c r="C48" s="33"/>
      <c r="D48" s="33">
        <v>120</v>
      </c>
      <c r="E48" s="33">
        <v>2</v>
      </c>
      <c r="F48" s="33" t="s">
        <v>151</v>
      </c>
      <c r="G48" s="33">
        <f t="shared" si="4"/>
        <v>240</v>
      </c>
      <c r="H48" s="33"/>
    </row>
    <row r="49" spans="1:8" x14ac:dyDescent="0.25">
      <c r="A49" s="48"/>
      <c r="B49" s="33" t="s">
        <v>152</v>
      </c>
      <c r="C49" s="33"/>
      <c r="D49" s="33">
        <v>60</v>
      </c>
      <c r="E49" s="33">
        <v>2</v>
      </c>
      <c r="F49" s="33" t="s">
        <v>153</v>
      </c>
      <c r="G49" s="33">
        <f t="shared" si="4"/>
        <v>120</v>
      </c>
      <c r="H49" s="33"/>
    </row>
    <row r="50" spans="1:8" x14ac:dyDescent="0.25">
      <c r="A50" s="48"/>
      <c r="B50" s="33" t="s">
        <v>154</v>
      </c>
      <c r="C50" s="33"/>
      <c r="D50" s="33">
        <v>12</v>
      </c>
      <c r="E50" s="36"/>
      <c r="F50" s="32"/>
      <c r="G50" s="33">
        <f t="shared" si="4"/>
        <v>0</v>
      </c>
      <c r="H50" s="33"/>
    </row>
    <row r="51" spans="1:8" x14ac:dyDescent="0.25">
      <c r="A51" s="48"/>
      <c r="B51" s="33" t="s">
        <v>155</v>
      </c>
      <c r="C51" s="33"/>
      <c r="D51" s="33">
        <v>17</v>
      </c>
      <c r="E51" s="33">
        <v>20</v>
      </c>
      <c r="F51" s="32" t="s">
        <v>153</v>
      </c>
      <c r="G51" s="33">
        <f t="shared" si="4"/>
        <v>340</v>
      </c>
      <c r="H51" s="33"/>
    </row>
    <row r="52" spans="1:8" x14ac:dyDescent="0.25">
      <c r="A52" s="48"/>
      <c r="B52" s="33" t="s">
        <v>156</v>
      </c>
      <c r="C52" s="33"/>
      <c r="D52" s="33">
        <v>77</v>
      </c>
      <c r="E52" s="33">
        <v>1</v>
      </c>
      <c r="F52" s="32" t="s">
        <v>146</v>
      </c>
      <c r="G52" s="33">
        <f t="shared" si="4"/>
        <v>77</v>
      </c>
      <c r="H52" s="33"/>
    </row>
    <row r="53" spans="1:8" x14ac:dyDescent="0.25">
      <c r="A53" s="48"/>
      <c r="B53" s="33" t="s">
        <v>157</v>
      </c>
      <c r="C53" s="33"/>
      <c r="D53" s="33">
        <v>210</v>
      </c>
      <c r="E53" s="33">
        <v>1</v>
      </c>
      <c r="F53" s="33" t="s">
        <v>146</v>
      </c>
      <c r="G53" s="33">
        <f t="shared" si="4"/>
        <v>210</v>
      </c>
      <c r="H53" s="33"/>
    </row>
    <row r="54" spans="1:8" x14ac:dyDescent="0.25">
      <c r="A54" s="48"/>
      <c r="B54" s="33" t="s">
        <v>158</v>
      </c>
      <c r="C54" s="33"/>
      <c r="D54" s="33">
        <v>4.5</v>
      </c>
      <c r="E54" s="33">
        <v>50</v>
      </c>
      <c r="F54" s="33" t="s">
        <v>159</v>
      </c>
      <c r="G54" s="33">
        <f t="shared" si="4"/>
        <v>225</v>
      </c>
      <c r="H54" s="33"/>
    </row>
    <row r="55" spans="1:8" x14ac:dyDescent="0.25">
      <c r="A55" s="48"/>
      <c r="B55" s="33" t="s">
        <v>160</v>
      </c>
      <c r="C55" s="33"/>
      <c r="D55" s="33">
        <v>110</v>
      </c>
      <c r="E55" s="33">
        <v>1</v>
      </c>
      <c r="F55" s="33" t="s">
        <v>146</v>
      </c>
      <c r="G55" s="33">
        <f t="shared" si="4"/>
        <v>110</v>
      </c>
      <c r="H55" s="33"/>
    </row>
    <row r="56" spans="1:8" x14ac:dyDescent="0.25">
      <c r="A56" s="48"/>
      <c r="B56" s="33" t="s">
        <v>161</v>
      </c>
      <c r="C56" s="33"/>
      <c r="D56" s="33">
        <v>132</v>
      </c>
      <c r="E56" s="33">
        <v>3</v>
      </c>
      <c r="F56" s="33" t="s">
        <v>146</v>
      </c>
      <c r="G56" s="33">
        <f t="shared" si="4"/>
        <v>396</v>
      </c>
      <c r="H56" s="33"/>
    </row>
    <row r="57" spans="1:8" x14ac:dyDescent="0.25">
      <c r="A57" s="49"/>
      <c r="B57" s="40" t="s">
        <v>7</v>
      </c>
      <c r="C57" s="41"/>
      <c r="D57" s="42"/>
      <c r="E57" s="3"/>
      <c r="F57" s="3"/>
      <c r="G57" s="13">
        <f>SUM(G43:G56)</f>
        <v>5339.5599999999995</v>
      </c>
      <c r="H57" s="1"/>
    </row>
    <row r="58" spans="1:8" x14ac:dyDescent="0.25">
      <c r="A58" s="11"/>
      <c r="B58" s="50" t="s">
        <v>14</v>
      </c>
      <c r="C58" s="51"/>
      <c r="D58" s="52"/>
      <c r="E58" s="7"/>
      <c r="F58" s="7"/>
      <c r="G58" s="8">
        <f>G57+G41+G37+G21+G14+G7+G29</f>
        <v>41780.519999999997</v>
      </c>
      <c r="H58" s="1"/>
    </row>
  </sheetData>
  <mergeCells count="16">
    <mergeCell ref="B57:D57"/>
    <mergeCell ref="B58:D58"/>
    <mergeCell ref="A23:A29"/>
    <mergeCell ref="B29:D29"/>
    <mergeCell ref="A31:A37"/>
    <mergeCell ref="B37:D37"/>
    <mergeCell ref="A39:A41"/>
    <mergeCell ref="B41:D41"/>
    <mergeCell ref="A43:A57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A1: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39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101</v>
      </c>
      <c r="B3" s="1" t="s">
        <v>105</v>
      </c>
      <c r="C3" s="1">
        <v>70</v>
      </c>
      <c r="D3" s="1">
        <v>111</v>
      </c>
      <c r="E3" s="1">
        <v>70</v>
      </c>
      <c r="F3" s="30" t="s">
        <v>49</v>
      </c>
      <c r="G3" s="2">
        <f>D3*E3</f>
        <v>7770</v>
      </c>
      <c r="H3" s="1"/>
    </row>
    <row r="4" spans="1:8" x14ac:dyDescent="0.25">
      <c r="A4" s="46"/>
      <c r="B4" s="1" t="s">
        <v>64</v>
      </c>
      <c r="C4" s="1">
        <v>10</v>
      </c>
      <c r="D4" s="1">
        <v>19.8</v>
      </c>
      <c r="E4" s="1">
        <v>10.5</v>
      </c>
      <c r="F4" s="30" t="s">
        <v>49</v>
      </c>
      <c r="G4" s="2">
        <f>D4*E4</f>
        <v>207.9</v>
      </c>
      <c r="H4" s="1"/>
    </row>
    <row r="5" spans="1:8" x14ac:dyDescent="0.25">
      <c r="A5" s="46"/>
      <c r="B5" s="1"/>
      <c r="C5" s="1"/>
      <c r="D5" s="1"/>
      <c r="E5" s="1"/>
      <c r="F5" s="28"/>
      <c r="G5" s="1"/>
      <c r="H5" s="1"/>
    </row>
    <row r="6" spans="1:8" x14ac:dyDescent="0.25">
      <c r="A6" s="46"/>
      <c r="B6" s="16"/>
      <c r="C6" s="1"/>
      <c r="D6" s="1"/>
      <c r="E6" s="3"/>
      <c r="F6" s="27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7977.9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102</v>
      </c>
      <c r="B9" s="16" t="s">
        <v>106</v>
      </c>
      <c r="C9" s="1">
        <v>2</v>
      </c>
      <c r="D9" s="1">
        <v>24.3</v>
      </c>
      <c r="E9" s="1">
        <v>2</v>
      </c>
      <c r="F9" s="30" t="s">
        <v>49</v>
      </c>
      <c r="G9" s="1">
        <f>D9*E9</f>
        <v>48.6</v>
      </c>
      <c r="H9" s="1"/>
    </row>
    <row r="10" spans="1:8" x14ac:dyDescent="0.25">
      <c r="A10" s="46"/>
      <c r="B10" s="1" t="s">
        <v>61</v>
      </c>
      <c r="C10" s="1">
        <v>10</v>
      </c>
      <c r="D10" s="1">
        <v>280.5</v>
      </c>
      <c r="E10" s="1">
        <v>10</v>
      </c>
      <c r="F10" s="30" t="s">
        <v>49</v>
      </c>
      <c r="G10" s="35">
        <f t="shared" ref="G10:G13" si="0">D10*E10</f>
        <v>2805</v>
      </c>
      <c r="H10" s="1"/>
    </row>
    <row r="11" spans="1:8" x14ac:dyDescent="0.25">
      <c r="A11" s="46"/>
      <c r="B11" s="1" t="s">
        <v>107</v>
      </c>
      <c r="C11" s="1">
        <v>40</v>
      </c>
      <c r="D11" s="1">
        <v>174</v>
      </c>
      <c r="E11" s="1">
        <v>40</v>
      </c>
      <c r="F11" s="30" t="s">
        <v>49</v>
      </c>
      <c r="G11" s="35">
        <f t="shared" si="0"/>
        <v>6960</v>
      </c>
      <c r="H11" s="1"/>
    </row>
    <row r="12" spans="1:8" x14ac:dyDescent="0.25">
      <c r="A12" s="46"/>
      <c r="B12" s="1" t="s">
        <v>108</v>
      </c>
      <c r="C12" s="1">
        <v>15</v>
      </c>
      <c r="D12" s="1">
        <v>45</v>
      </c>
      <c r="E12" s="1">
        <v>15</v>
      </c>
      <c r="F12" s="30" t="s">
        <v>49</v>
      </c>
      <c r="G12" s="35">
        <f t="shared" si="0"/>
        <v>675</v>
      </c>
      <c r="H12" s="1"/>
    </row>
    <row r="13" spans="1:8" x14ac:dyDescent="0.25">
      <c r="A13" s="46"/>
      <c r="B13" s="1" t="s">
        <v>81</v>
      </c>
      <c r="C13" s="1">
        <v>2</v>
      </c>
      <c r="D13" s="1">
        <v>96.9</v>
      </c>
      <c r="E13" s="1">
        <v>2</v>
      </c>
      <c r="F13" s="30" t="s">
        <v>49</v>
      </c>
      <c r="G13" s="35">
        <f t="shared" si="0"/>
        <v>193.8</v>
      </c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10682.4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103</v>
      </c>
      <c r="B16" s="1" t="s">
        <v>98</v>
      </c>
      <c r="C16" s="1">
        <v>60</v>
      </c>
      <c r="D16" s="1">
        <v>11</v>
      </c>
      <c r="E16" s="36"/>
      <c r="F16" s="28" t="s">
        <v>17</v>
      </c>
      <c r="G16" s="1">
        <f>D16*E16</f>
        <v>0</v>
      </c>
      <c r="H16" s="1"/>
    </row>
    <row r="17" spans="1:8" x14ac:dyDescent="0.25">
      <c r="A17" s="46"/>
      <c r="B17" s="1" t="s">
        <v>109</v>
      </c>
      <c r="C17" s="1">
        <v>40</v>
      </c>
      <c r="D17" s="1">
        <v>46.8</v>
      </c>
      <c r="E17" s="36"/>
      <c r="F17" s="35" t="s">
        <v>17</v>
      </c>
      <c r="G17" s="35">
        <f t="shared" ref="G17:G19" si="1">D17*E17</f>
        <v>0</v>
      </c>
      <c r="H17" s="1"/>
    </row>
    <row r="18" spans="1:8" x14ac:dyDescent="0.25">
      <c r="A18" s="46"/>
      <c r="B18" s="1" t="s">
        <v>110</v>
      </c>
      <c r="C18" s="1">
        <v>3</v>
      </c>
      <c r="D18" s="1">
        <v>150</v>
      </c>
      <c r="E18" s="1">
        <v>3</v>
      </c>
      <c r="F18" s="30" t="s">
        <v>49</v>
      </c>
      <c r="G18" s="35">
        <f t="shared" si="1"/>
        <v>450</v>
      </c>
      <c r="H18" s="1"/>
    </row>
    <row r="19" spans="1:8" x14ac:dyDescent="0.25">
      <c r="A19" s="46"/>
      <c r="B19" s="23" t="s">
        <v>111</v>
      </c>
      <c r="C19" s="23">
        <v>2</v>
      </c>
      <c r="D19" s="23">
        <v>78.599999999999994</v>
      </c>
      <c r="E19" s="23">
        <v>10</v>
      </c>
      <c r="F19" s="30" t="s">
        <v>17</v>
      </c>
      <c r="G19" s="35">
        <f t="shared" si="1"/>
        <v>786</v>
      </c>
      <c r="H19" s="1"/>
    </row>
    <row r="20" spans="1:8" x14ac:dyDescent="0.25">
      <c r="A20" s="46"/>
      <c r="B20" s="40" t="s">
        <v>7</v>
      </c>
      <c r="C20" s="41"/>
      <c r="D20" s="42"/>
      <c r="E20" s="3"/>
      <c r="F20" s="3"/>
      <c r="G20" s="39">
        <f>SUM(G16:G19)</f>
        <v>1236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71</v>
      </c>
      <c r="C22" s="1" t="s">
        <v>62</v>
      </c>
      <c r="D22" s="1">
        <v>30.78</v>
      </c>
      <c r="E22" s="1">
        <v>1</v>
      </c>
      <c r="F22" s="30" t="s">
        <v>49</v>
      </c>
      <c r="G22" s="2">
        <f>D22*E22</f>
        <v>30.78</v>
      </c>
      <c r="H22" s="1"/>
    </row>
    <row r="23" spans="1:8" x14ac:dyDescent="0.25">
      <c r="A23" s="46"/>
      <c r="B23" s="1" t="s">
        <v>119</v>
      </c>
      <c r="C23" s="1" t="s">
        <v>62</v>
      </c>
      <c r="D23" s="1">
        <v>142.5</v>
      </c>
      <c r="E23" s="1">
        <v>0.5</v>
      </c>
      <c r="F23" s="30" t="s">
        <v>49</v>
      </c>
      <c r="G23" s="2">
        <f t="shared" ref="G23:G26" si="2">D23*E23</f>
        <v>71.25</v>
      </c>
      <c r="H23" s="1" t="s">
        <v>26</v>
      </c>
    </row>
    <row r="24" spans="1:8" x14ac:dyDescent="0.25">
      <c r="A24" s="46"/>
      <c r="B24" s="1" t="s">
        <v>96</v>
      </c>
      <c r="C24" s="1">
        <v>3</v>
      </c>
      <c r="D24" s="1">
        <v>22.8</v>
      </c>
      <c r="E24" s="1">
        <v>3</v>
      </c>
      <c r="F24" s="30" t="s">
        <v>49</v>
      </c>
      <c r="G24" s="2">
        <f t="shared" si="2"/>
        <v>68.400000000000006</v>
      </c>
      <c r="H24" s="1"/>
    </row>
    <row r="25" spans="1:8" x14ac:dyDescent="0.25">
      <c r="A25" s="46"/>
      <c r="B25" s="1" t="s">
        <v>164</v>
      </c>
      <c r="C25" s="1"/>
      <c r="D25" s="1">
        <v>25.5</v>
      </c>
      <c r="E25" s="1">
        <v>3</v>
      </c>
      <c r="F25" s="1" t="s">
        <v>165</v>
      </c>
      <c r="G25" s="2">
        <f t="shared" si="2"/>
        <v>76.5</v>
      </c>
      <c r="H25" s="1"/>
    </row>
    <row r="26" spans="1:8" x14ac:dyDescent="0.25">
      <c r="A26" s="46"/>
      <c r="B26" s="35" t="s">
        <v>173</v>
      </c>
      <c r="C26" s="35"/>
      <c r="D26" s="35">
        <v>12</v>
      </c>
      <c r="E26" s="35">
        <v>24</v>
      </c>
      <c r="F26" s="34" t="s">
        <v>174</v>
      </c>
      <c r="G26" s="2">
        <f t="shared" si="2"/>
        <v>288</v>
      </c>
      <c r="H26" s="35"/>
    </row>
    <row r="27" spans="1:8" x14ac:dyDescent="0.25">
      <c r="A27" s="46"/>
      <c r="B27" s="40" t="s">
        <v>7</v>
      </c>
      <c r="C27" s="41"/>
      <c r="D27" s="42"/>
      <c r="E27" s="3"/>
      <c r="F27" s="3"/>
      <c r="G27" s="13">
        <f>SUM(G22:G26)</f>
        <v>534.93000000000006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6" t="s">
        <v>104</v>
      </c>
      <c r="B29" s="23" t="s">
        <v>112</v>
      </c>
      <c r="C29" s="23">
        <v>5</v>
      </c>
      <c r="D29" s="23">
        <v>30</v>
      </c>
      <c r="E29" s="23">
        <v>5</v>
      </c>
      <c r="F29" t="s">
        <v>114</v>
      </c>
      <c r="G29" s="1">
        <f>D29*E29</f>
        <v>150</v>
      </c>
      <c r="H29" s="1" t="s">
        <v>15</v>
      </c>
    </row>
    <row r="30" spans="1:8" x14ac:dyDescent="0.25">
      <c r="A30" s="46"/>
      <c r="B30" s="1" t="s">
        <v>113</v>
      </c>
      <c r="C30" s="1">
        <v>30</v>
      </c>
      <c r="D30" s="1">
        <v>120</v>
      </c>
      <c r="E30" s="1">
        <v>3</v>
      </c>
      <c r="F30" s="30" t="s">
        <v>170</v>
      </c>
      <c r="G30" s="35">
        <f>D30*E30</f>
        <v>360</v>
      </c>
      <c r="H30" s="1"/>
    </row>
    <row r="31" spans="1:8" x14ac:dyDescent="0.25">
      <c r="A31" s="46"/>
      <c r="B31" s="1"/>
      <c r="C31" s="1"/>
      <c r="D31" s="1"/>
      <c r="E31" s="1"/>
      <c r="F31" s="1"/>
      <c r="G31" s="1"/>
      <c r="H31" s="1"/>
    </row>
    <row r="32" spans="1:8" x14ac:dyDescent="0.25">
      <c r="A32" s="46"/>
      <c r="B32" s="40"/>
      <c r="C32" s="41"/>
      <c r="D32" s="42"/>
      <c r="E32" s="3"/>
      <c r="F32" s="3"/>
      <c r="G32" s="39">
        <f>SUM(G29:G31)</f>
        <v>510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47"/>
      <c r="B34" s="1" t="s">
        <v>171</v>
      </c>
      <c r="C34" s="1"/>
      <c r="D34" s="1">
        <v>11.7</v>
      </c>
      <c r="E34" s="1">
        <v>70</v>
      </c>
      <c r="F34" s="1" t="s">
        <v>165</v>
      </c>
      <c r="G34" s="1">
        <f>D34*E34</f>
        <v>819</v>
      </c>
      <c r="H34" s="1"/>
    </row>
    <row r="35" spans="1:8" x14ac:dyDescent="0.25">
      <c r="A35" s="48"/>
      <c r="B35" s="1" t="s">
        <v>175</v>
      </c>
      <c r="C35" s="1"/>
      <c r="D35" s="1">
        <v>28.8</v>
      </c>
      <c r="E35" s="1">
        <v>89</v>
      </c>
      <c r="F35" s="1" t="s">
        <v>176</v>
      </c>
      <c r="G35" s="2">
        <f>D35*E35</f>
        <v>2563.2000000000003</v>
      </c>
      <c r="H35" s="1"/>
    </row>
    <row r="36" spans="1:8" x14ac:dyDescent="0.25">
      <c r="A36" s="49"/>
      <c r="B36" s="40" t="s">
        <v>7</v>
      </c>
      <c r="C36" s="41"/>
      <c r="D36" s="42"/>
      <c r="E36" s="3"/>
      <c r="F36" s="3"/>
      <c r="G36" s="13">
        <f>SUM(G34:G35)</f>
        <v>3382.2000000000003</v>
      </c>
      <c r="H36" s="5"/>
    </row>
    <row r="37" spans="1:8" x14ac:dyDescent="0.25">
      <c r="A37" s="6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6"/>
      <c r="B38" s="1" t="s">
        <v>166</v>
      </c>
      <c r="C38" s="1"/>
      <c r="D38" s="1">
        <v>300</v>
      </c>
      <c r="E38" s="1">
        <v>1</v>
      </c>
      <c r="F38" s="1" t="s">
        <v>167</v>
      </c>
      <c r="G38" s="1">
        <f>D38*E38</f>
        <v>300</v>
      </c>
      <c r="H38" s="1"/>
    </row>
    <row r="39" spans="1:8" x14ac:dyDescent="0.25">
      <c r="A39" s="46"/>
      <c r="B39" s="1" t="s">
        <v>168</v>
      </c>
      <c r="C39" s="1"/>
      <c r="D39" s="1">
        <v>27.54</v>
      </c>
      <c r="E39" s="1">
        <v>8</v>
      </c>
      <c r="F39" s="1" t="s">
        <v>165</v>
      </c>
      <c r="G39" s="35">
        <f t="shared" ref="G39:G41" si="3">D39*E39</f>
        <v>220.32</v>
      </c>
      <c r="H39" s="1"/>
    </row>
    <row r="40" spans="1:8" x14ac:dyDescent="0.25">
      <c r="A40" s="46"/>
      <c r="B40" s="1" t="s">
        <v>169</v>
      </c>
      <c r="C40" s="1"/>
      <c r="D40" s="1">
        <v>24.3</v>
      </c>
      <c r="E40" s="1">
        <v>4</v>
      </c>
      <c r="F40" s="1" t="s">
        <v>165</v>
      </c>
      <c r="G40" s="35">
        <f t="shared" si="3"/>
        <v>97.2</v>
      </c>
      <c r="H40" s="1"/>
    </row>
    <row r="41" spans="1:8" x14ac:dyDescent="0.25">
      <c r="A41" s="46"/>
      <c r="B41" s="1" t="s">
        <v>172</v>
      </c>
      <c r="C41" s="1"/>
      <c r="D41" s="1">
        <v>168</v>
      </c>
      <c r="E41" s="1">
        <v>15</v>
      </c>
      <c r="F41" s="1" t="s">
        <v>165</v>
      </c>
      <c r="G41" s="35">
        <f t="shared" si="3"/>
        <v>2520</v>
      </c>
      <c r="H41" s="1"/>
    </row>
    <row r="42" spans="1:8" x14ac:dyDescent="0.25">
      <c r="A42" s="46"/>
      <c r="B42" s="40" t="s">
        <v>7</v>
      </c>
      <c r="C42" s="41"/>
      <c r="D42" s="42"/>
      <c r="E42" s="3"/>
      <c r="F42" s="3"/>
      <c r="G42" s="13">
        <f>SUM(G38:G41)</f>
        <v>3137.52</v>
      </c>
      <c r="H42" s="1"/>
    </row>
    <row r="43" spans="1:8" x14ac:dyDescent="0.25">
      <c r="A43" s="1"/>
      <c r="B43" s="50" t="s">
        <v>14</v>
      </c>
      <c r="C43" s="51"/>
      <c r="D43" s="52"/>
      <c r="E43" s="7"/>
      <c r="F43" s="7"/>
      <c r="G43" s="8">
        <f>G42+G36+G32+G20+G14+G7+G27</f>
        <v>27460.950000000004</v>
      </c>
      <c r="H43" s="1"/>
    </row>
  </sheetData>
  <mergeCells count="16"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tabSelected="1" topLeftCell="A43" workbookViewId="0">
      <selection activeCell="H60" sqref="A1:H6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40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115</v>
      </c>
      <c r="B3" s="1" t="s">
        <v>97</v>
      </c>
      <c r="C3" s="1">
        <v>260</v>
      </c>
      <c r="D3" s="1">
        <v>99</v>
      </c>
      <c r="E3" s="1">
        <v>63.44</v>
      </c>
      <c r="F3" s="1" t="s">
        <v>17</v>
      </c>
      <c r="G3" s="2">
        <f>D3*E3</f>
        <v>6280.5599999999995</v>
      </c>
      <c r="H3" s="1"/>
    </row>
    <row r="4" spans="1:8" x14ac:dyDescent="0.25">
      <c r="A4" s="46"/>
      <c r="B4" s="1"/>
      <c r="C4" s="1"/>
      <c r="D4" s="1"/>
      <c r="E4" s="1"/>
      <c r="F4" s="1"/>
      <c r="G4" s="1"/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"/>
      <c r="C6" s="1"/>
      <c r="D6" s="1"/>
      <c r="E6" s="3"/>
      <c r="F6" s="3"/>
      <c r="G6" s="3"/>
      <c r="H6" s="1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0" t="s">
        <v>7</v>
      </c>
      <c r="C8" s="41"/>
      <c r="D8" s="42"/>
      <c r="E8" s="3"/>
      <c r="F8" s="3"/>
      <c r="G8" s="13">
        <f>SUM(G3:G7)</f>
        <v>6280.5599999999995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7" t="s">
        <v>185</v>
      </c>
      <c r="B10" s="23" t="s">
        <v>186</v>
      </c>
      <c r="C10" s="23"/>
      <c r="D10" s="23">
        <v>58.14</v>
      </c>
      <c r="E10" s="23">
        <v>45</v>
      </c>
      <c r="F10" s="28" t="s">
        <v>176</v>
      </c>
      <c r="G10" s="23">
        <f>D10*E10</f>
        <v>2616.3000000000002</v>
      </c>
      <c r="H10" s="23"/>
    </row>
    <row r="11" spans="1:8" x14ac:dyDescent="0.25">
      <c r="A11" s="48"/>
      <c r="B11" s="1" t="s">
        <v>187</v>
      </c>
      <c r="C11" s="1"/>
      <c r="D11" s="1">
        <v>78.599999999999994</v>
      </c>
      <c r="E11" s="1">
        <v>15</v>
      </c>
      <c r="F11" s="30" t="s">
        <v>176</v>
      </c>
      <c r="G11" s="38">
        <f>D11*E11</f>
        <v>1179</v>
      </c>
      <c r="H11" s="1"/>
    </row>
    <row r="12" spans="1:8" x14ac:dyDescent="0.25">
      <c r="A12" s="48"/>
      <c r="B12" s="1"/>
      <c r="C12" s="1"/>
      <c r="D12" s="1"/>
      <c r="E12" s="1"/>
      <c r="F12" s="11"/>
      <c r="G12" s="1"/>
      <c r="H12" s="1"/>
    </row>
    <row r="13" spans="1:8" x14ac:dyDescent="0.25">
      <c r="A13" s="48"/>
      <c r="B13" s="1"/>
      <c r="C13" s="1"/>
      <c r="D13" s="1"/>
      <c r="E13" s="1"/>
      <c r="F13" s="11"/>
      <c r="G13" s="1"/>
      <c r="H13" s="1"/>
    </row>
    <row r="14" spans="1:8" x14ac:dyDescent="0.25">
      <c r="A14" s="48"/>
      <c r="B14" s="1"/>
      <c r="C14" s="1"/>
      <c r="D14" s="1"/>
      <c r="E14" s="1"/>
      <c r="F14" s="11"/>
      <c r="G14" s="1"/>
      <c r="H14" s="1"/>
    </row>
    <row r="15" spans="1:8" x14ac:dyDescent="0.25">
      <c r="A15" s="48"/>
      <c r="B15" s="16"/>
      <c r="C15" s="1"/>
      <c r="D15" s="1"/>
      <c r="E15" s="1"/>
      <c r="F15" s="1"/>
      <c r="G15" s="1"/>
      <c r="H15" s="11"/>
    </row>
    <row r="16" spans="1:8" x14ac:dyDescent="0.25">
      <c r="A16" s="49"/>
      <c r="B16" s="40" t="s">
        <v>7</v>
      </c>
      <c r="C16" s="41"/>
      <c r="D16" s="42"/>
      <c r="E16" s="3"/>
      <c r="F16" s="3"/>
      <c r="G16" s="13">
        <f>SUM(G10:G15)</f>
        <v>3795.3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6" t="s">
        <v>116</v>
      </c>
      <c r="B18" s="1" t="s">
        <v>120</v>
      </c>
      <c r="C18" s="1">
        <v>20</v>
      </c>
      <c r="D18" s="1">
        <v>90</v>
      </c>
      <c r="E18" s="1">
        <v>20</v>
      </c>
      <c r="F18" s="30" t="s">
        <v>49</v>
      </c>
      <c r="G18" s="1">
        <f>D18*E18</f>
        <v>1800</v>
      </c>
      <c r="H18" s="1"/>
    </row>
    <row r="19" spans="1:8" x14ac:dyDescent="0.25">
      <c r="A19" s="46"/>
      <c r="B19" s="1" t="s">
        <v>121</v>
      </c>
      <c r="C19" s="1">
        <v>1</v>
      </c>
      <c r="D19" s="1">
        <v>112.2</v>
      </c>
      <c r="E19" s="1">
        <v>1</v>
      </c>
      <c r="F19" s="30" t="s">
        <v>49</v>
      </c>
      <c r="G19" s="38">
        <f t="shared" ref="G19:G22" si="0">D19*E19</f>
        <v>112.2</v>
      </c>
      <c r="H19" s="1"/>
    </row>
    <row r="20" spans="1:8" x14ac:dyDescent="0.25">
      <c r="A20" s="46"/>
      <c r="B20" s="1" t="s">
        <v>108</v>
      </c>
      <c r="C20" s="1">
        <v>25</v>
      </c>
      <c r="D20" s="1">
        <v>45</v>
      </c>
      <c r="E20" s="1">
        <v>25</v>
      </c>
      <c r="F20" s="30" t="s">
        <v>49</v>
      </c>
      <c r="G20" s="38">
        <f t="shared" si="0"/>
        <v>1125</v>
      </c>
      <c r="H20" s="1"/>
    </row>
    <row r="21" spans="1:8" x14ac:dyDescent="0.25">
      <c r="A21" s="46"/>
      <c r="B21" s="30" t="s">
        <v>47</v>
      </c>
      <c r="C21" s="30">
        <v>6</v>
      </c>
      <c r="D21" s="30">
        <v>25.5</v>
      </c>
      <c r="E21" s="29">
        <v>6</v>
      </c>
      <c r="F21" s="29" t="s">
        <v>49</v>
      </c>
      <c r="G21" s="38">
        <f t="shared" si="0"/>
        <v>153</v>
      </c>
      <c r="H21" s="30"/>
    </row>
    <row r="22" spans="1:8" x14ac:dyDescent="0.25">
      <c r="A22" s="46"/>
      <c r="B22" s="1" t="s">
        <v>80</v>
      </c>
      <c r="C22" s="1">
        <v>1</v>
      </c>
      <c r="D22" s="1">
        <v>76.5</v>
      </c>
      <c r="E22" s="3">
        <v>1</v>
      </c>
      <c r="F22" s="29" t="s">
        <v>49</v>
      </c>
      <c r="G22" s="38">
        <f t="shared" si="0"/>
        <v>76.5</v>
      </c>
      <c r="H22" s="1"/>
    </row>
    <row r="23" spans="1:8" x14ac:dyDescent="0.25">
      <c r="A23" s="46"/>
      <c r="B23" s="40" t="s">
        <v>7</v>
      </c>
      <c r="C23" s="41"/>
      <c r="D23" s="42"/>
      <c r="E23" s="3"/>
      <c r="F23" s="3"/>
      <c r="G23" s="13">
        <f>SUM(G18:G22)</f>
        <v>3266.7</v>
      </c>
      <c r="H23" s="1"/>
    </row>
    <row r="24" spans="1:8" x14ac:dyDescent="0.25">
      <c r="A24" s="4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54"/>
      <c r="B25" s="16" t="s">
        <v>122</v>
      </c>
      <c r="C25" s="11">
        <v>4</v>
      </c>
      <c r="D25" s="11">
        <v>27.54</v>
      </c>
      <c r="E25" s="11">
        <v>4</v>
      </c>
      <c r="F25" s="30" t="s">
        <v>49</v>
      </c>
      <c r="G25" s="11">
        <f>D25*E25</f>
        <v>110.16</v>
      </c>
      <c r="H25" s="11"/>
    </row>
    <row r="26" spans="1:8" x14ac:dyDescent="0.25">
      <c r="A26" s="55"/>
      <c r="B26" s="11" t="s">
        <v>123</v>
      </c>
      <c r="C26" s="11">
        <v>2</v>
      </c>
      <c r="D26" s="11">
        <v>360</v>
      </c>
      <c r="E26" s="11">
        <v>2</v>
      </c>
      <c r="F26" s="11" t="s">
        <v>114</v>
      </c>
      <c r="G26" s="38">
        <f t="shared" ref="G26:G31" si="1">D26*E26</f>
        <v>720</v>
      </c>
      <c r="H26" s="11"/>
    </row>
    <row r="27" spans="1:8" x14ac:dyDescent="0.25">
      <c r="A27" s="55"/>
      <c r="B27" s="11" t="s">
        <v>124</v>
      </c>
      <c r="C27" s="11">
        <v>40</v>
      </c>
      <c r="D27" s="11">
        <v>132</v>
      </c>
      <c r="E27" s="11">
        <v>2.5</v>
      </c>
      <c r="F27" s="11" t="s">
        <v>17</v>
      </c>
      <c r="G27" s="38">
        <f t="shared" si="1"/>
        <v>330</v>
      </c>
      <c r="H27" s="1"/>
    </row>
    <row r="28" spans="1:8" x14ac:dyDescent="0.25">
      <c r="A28" s="55"/>
      <c r="B28" s="1" t="s">
        <v>125</v>
      </c>
      <c r="C28" s="1">
        <v>25</v>
      </c>
      <c r="D28" s="1">
        <v>10</v>
      </c>
      <c r="E28" s="1">
        <v>25</v>
      </c>
      <c r="F28" s="1" t="s">
        <v>79</v>
      </c>
      <c r="G28" s="38">
        <f t="shared" si="1"/>
        <v>250</v>
      </c>
      <c r="H28" s="11"/>
    </row>
    <row r="29" spans="1:8" x14ac:dyDescent="0.25">
      <c r="A29" s="55"/>
      <c r="B29" s="1" t="s">
        <v>126</v>
      </c>
      <c r="C29" s="1">
        <v>5</v>
      </c>
      <c r="D29" s="1">
        <v>180</v>
      </c>
      <c r="E29" s="1">
        <v>5</v>
      </c>
      <c r="F29" s="30" t="s">
        <v>49</v>
      </c>
      <c r="G29" s="38">
        <f t="shared" si="1"/>
        <v>900</v>
      </c>
      <c r="H29" s="11"/>
    </row>
    <row r="30" spans="1:8" x14ac:dyDescent="0.25">
      <c r="A30" s="55"/>
      <c r="B30" s="1" t="s">
        <v>177</v>
      </c>
      <c r="C30" s="1"/>
      <c r="D30" s="1">
        <v>168</v>
      </c>
      <c r="E30" s="1">
        <v>2.67</v>
      </c>
      <c r="F30" s="1" t="s">
        <v>176</v>
      </c>
      <c r="G30" s="38">
        <f t="shared" si="1"/>
        <v>448.56</v>
      </c>
      <c r="H30" s="23"/>
    </row>
    <row r="31" spans="1:8" x14ac:dyDescent="0.25">
      <c r="A31" s="55"/>
      <c r="B31" s="1" t="s">
        <v>178</v>
      </c>
      <c r="C31" s="1"/>
      <c r="D31" s="1">
        <v>16</v>
      </c>
      <c r="E31" s="1">
        <v>3</v>
      </c>
      <c r="F31" s="1" t="s">
        <v>179</v>
      </c>
      <c r="G31" s="38">
        <f t="shared" si="1"/>
        <v>48</v>
      </c>
      <c r="H31" s="1"/>
    </row>
    <row r="32" spans="1:8" x14ac:dyDescent="0.25">
      <c r="A32" s="56"/>
      <c r="B32" s="40" t="s">
        <v>7</v>
      </c>
      <c r="C32" s="41"/>
      <c r="D32" s="42"/>
      <c r="E32" s="3"/>
      <c r="F32" s="3"/>
      <c r="G32" s="13">
        <f>SUM(G25:G31)</f>
        <v>2806.72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46" t="s">
        <v>192</v>
      </c>
      <c r="B34" s="1" t="s">
        <v>117</v>
      </c>
      <c r="C34" s="1" t="s">
        <v>118</v>
      </c>
      <c r="D34" s="1"/>
      <c r="E34" s="1"/>
      <c r="F34" s="28"/>
      <c r="G34" s="1">
        <v>0</v>
      </c>
      <c r="H34" s="1" t="s">
        <v>193</v>
      </c>
    </row>
    <row r="35" spans="1:8" x14ac:dyDescent="0.25">
      <c r="A35" s="46"/>
      <c r="B35" s="38" t="s">
        <v>189</v>
      </c>
      <c r="C35" s="38"/>
      <c r="D35" s="38">
        <v>180</v>
      </c>
      <c r="E35" s="38">
        <v>4</v>
      </c>
      <c r="F35" s="38" t="s">
        <v>190</v>
      </c>
      <c r="G35" s="38">
        <f t="shared" ref="G35" si="2">D35*E35</f>
        <v>720</v>
      </c>
      <c r="H35" s="1"/>
    </row>
    <row r="36" spans="1:8" x14ac:dyDescent="0.25">
      <c r="A36" s="46"/>
      <c r="B36" s="1"/>
      <c r="C36" s="1"/>
      <c r="D36" s="1"/>
      <c r="E36" s="1"/>
      <c r="F36" s="1"/>
      <c r="G36" s="1"/>
      <c r="H36" s="1"/>
    </row>
    <row r="37" spans="1:8" x14ac:dyDescent="0.25">
      <c r="A37" s="46"/>
      <c r="B37" s="40"/>
      <c r="C37" s="41"/>
      <c r="D37" s="42"/>
      <c r="E37" s="3"/>
      <c r="F37" s="3"/>
      <c r="G37" s="39">
        <f>SUM(G34:G36)</f>
        <v>720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47"/>
      <c r="B39" s="1" t="s">
        <v>188</v>
      </c>
      <c r="C39" s="1"/>
      <c r="D39" s="1">
        <v>54.06</v>
      </c>
      <c r="E39" s="1">
        <v>75</v>
      </c>
      <c r="F39" s="1" t="s">
        <v>176</v>
      </c>
      <c r="G39" s="2">
        <f>D39*E39</f>
        <v>4054.5</v>
      </c>
      <c r="H39" s="1"/>
    </row>
    <row r="40" spans="1:8" x14ac:dyDescent="0.25">
      <c r="A40" s="48"/>
      <c r="B40" s="1" t="s">
        <v>199</v>
      </c>
      <c r="C40" s="1"/>
      <c r="D40" s="1">
        <v>7.5</v>
      </c>
      <c r="E40" s="1">
        <v>300</v>
      </c>
      <c r="F40" s="1" t="s">
        <v>200</v>
      </c>
      <c r="G40" s="2">
        <f>D40*E40</f>
        <v>2250</v>
      </c>
      <c r="H40" s="1"/>
    </row>
    <row r="41" spans="1:8" x14ac:dyDescent="0.25">
      <c r="A41" s="49"/>
      <c r="B41" s="40" t="s">
        <v>7</v>
      </c>
      <c r="C41" s="41"/>
      <c r="D41" s="42"/>
      <c r="E41" s="3"/>
      <c r="F41" s="3"/>
      <c r="G41" s="13">
        <f>SUM(G39:G40)</f>
        <v>6304.5</v>
      </c>
      <c r="H41" s="5"/>
    </row>
    <row r="42" spans="1:8" x14ac:dyDescent="0.25">
      <c r="A42" s="6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46"/>
      <c r="B43" s="1" t="s">
        <v>180</v>
      </c>
      <c r="C43" s="1"/>
      <c r="D43" s="1">
        <v>12</v>
      </c>
      <c r="E43" s="1">
        <v>50</v>
      </c>
      <c r="F43" s="1" t="s">
        <v>181</v>
      </c>
      <c r="G43" s="1">
        <f>D43*E43</f>
        <v>600</v>
      </c>
      <c r="H43" s="1"/>
    </row>
    <row r="44" spans="1:8" x14ac:dyDescent="0.25">
      <c r="A44" s="46"/>
      <c r="B44" s="1" t="s">
        <v>182</v>
      </c>
      <c r="C44" s="1"/>
      <c r="D44" s="1">
        <v>235</v>
      </c>
      <c r="E44" s="1">
        <v>2</v>
      </c>
      <c r="F44" s="1" t="s">
        <v>179</v>
      </c>
      <c r="G44" s="38">
        <f t="shared" ref="G44:G58" si="3">D44*E44</f>
        <v>470</v>
      </c>
      <c r="H44" s="1"/>
    </row>
    <row r="45" spans="1:8" x14ac:dyDescent="0.25">
      <c r="A45" s="46"/>
      <c r="B45" s="1" t="s">
        <v>183</v>
      </c>
      <c r="C45" s="1"/>
      <c r="D45" s="1">
        <v>480</v>
      </c>
      <c r="E45" s="1">
        <v>1</v>
      </c>
      <c r="F45" s="1" t="s">
        <v>184</v>
      </c>
      <c r="G45" s="38">
        <f t="shared" si="3"/>
        <v>480</v>
      </c>
      <c r="H45" s="1"/>
    </row>
    <row r="46" spans="1:8" x14ac:dyDescent="0.25">
      <c r="A46" s="46"/>
      <c r="B46" s="1" t="s">
        <v>194</v>
      </c>
      <c r="C46" s="1"/>
      <c r="D46" s="1">
        <v>255</v>
      </c>
      <c r="E46" s="38">
        <v>1</v>
      </c>
      <c r="F46" s="38" t="s">
        <v>184</v>
      </c>
      <c r="G46" s="38">
        <f t="shared" si="3"/>
        <v>255</v>
      </c>
      <c r="H46" s="1"/>
    </row>
    <row r="47" spans="1:8" x14ac:dyDescent="0.25">
      <c r="A47" s="46"/>
      <c r="B47" s="38" t="s">
        <v>191</v>
      </c>
      <c r="C47" s="38"/>
      <c r="D47" s="38">
        <v>25.2</v>
      </c>
      <c r="E47" s="38">
        <v>3</v>
      </c>
      <c r="F47" s="38" t="s">
        <v>176</v>
      </c>
      <c r="G47" s="37">
        <f t="shared" si="3"/>
        <v>75.599999999999994</v>
      </c>
      <c r="H47" s="38"/>
    </row>
    <row r="48" spans="1:8" x14ac:dyDescent="0.25">
      <c r="A48" s="46"/>
      <c r="B48" s="38" t="s">
        <v>195</v>
      </c>
      <c r="C48" s="38"/>
      <c r="D48" s="38">
        <v>310</v>
      </c>
      <c r="E48" s="38">
        <v>1</v>
      </c>
      <c r="F48" s="37" t="s">
        <v>184</v>
      </c>
      <c r="G48" s="37">
        <f t="shared" si="3"/>
        <v>310</v>
      </c>
      <c r="H48" s="38"/>
    </row>
    <row r="49" spans="1:8" x14ac:dyDescent="0.25">
      <c r="A49" s="46"/>
      <c r="B49" s="38" t="s">
        <v>201</v>
      </c>
      <c r="C49" s="38"/>
      <c r="D49" s="38">
        <v>31.92</v>
      </c>
      <c r="E49" s="38">
        <v>2</v>
      </c>
      <c r="F49" s="37" t="s">
        <v>176</v>
      </c>
      <c r="G49" s="37">
        <f t="shared" si="3"/>
        <v>63.84</v>
      </c>
      <c r="H49" s="38"/>
    </row>
    <row r="50" spans="1:8" x14ac:dyDescent="0.25">
      <c r="A50" s="46"/>
      <c r="B50" s="38" t="s">
        <v>202</v>
      </c>
      <c r="C50" s="38"/>
      <c r="D50" s="38">
        <v>1188</v>
      </c>
      <c r="E50" s="38">
        <v>1</v>
      </c>
      <c r="F50" s="37" t="s">
        <v>184</v>
      </c>
      <c r="G50" s="37">
        <f t="shared" si="3"/>
        <v>1188</v>
      </c>
      <c r="H50" s="38"/>
    </row>
    <row r="51" spans="1:8" x14ac:dyDescent="0.25">
      <c r="A51" s="46"/>
      <c r="B51" s="38" t="s">
        <v>203</v>
      </c>
      <c r="C51" s="38"/>
      <c r="D51" s="38">
        <v>587</v>
      </c>
      <c r="E51" s="38">
        <v>1</v>
      </c>
      <c r="F51" s="37" t="s">
        <v>184</v>
      </c>
      <c r="G51" s="37">
        <f t="shared" si="3"/>
        <v>587</v>
      </c>
      <c r="H51" s="38"/>
    </row>
    <row r="52" spans="1:8" x14ac:dyDescent="0.25">
      <c r="A52" s="46"/>
      <c r="B52" s="38" t="s">
        <v>206</v>
      </c>
      <c r="C52" s="38"/>
      <c r="D52" s="38">
        <v>18.899999999999999</v>
      </c>
      <c r="E52" s="38">
        <v>3.5</v>
      </c>
      <c r="F52" s="37" t="s">
        <v>176</v>
      </c>
      <c r="G52" s="37">
        <f t="shared" si="3"/>
        <v>66.149999999999991</v>
      </c>
      <c r="H52" s="38"/>
    </row>
    <row r="53" spans="1:8" x14ac:dyDescent="0.25">
      <c r="A53" s="46"/>
      <c r="B53" s="38" t="s">
        <v>207</v>
      </c>
      <c r="C53" s="38"/>
      <c r="D53" s="38">
        <v>1236</v>
      </c>
      <c r="E53" s="38">
        <v>1</v>
      </c>
      <c r="F53" s="37" t="s">
        <v>208</v>
      </c>
      <c r="G53" s="37">
        <f t="shared" si="3"/>
        <v>1236</v>
      </c>
      <c r="H53" s="38"/>
    </row>
    <row r="54" spans="1:8" x14ac:dyDescent="0.25">
      <c r="A54" s="46"/>
      <c r="B54" s="38" t="s">
        <v>209</v>
      </c>
      <c r="C54" s="38"/>
      <c r="D54" s="38">
        <v>84</v>
      </c>
      <c r="E54" s="38">
        <v>4</v>
      </c>
      <c r="F54" s="37" t="s">
        <v>210</v>
      </c>
      <c r="G54" s="37">
        <f t="shared" si="3"/>
        <v>336</v>
      </c>
      <c r="H54" s="38"/>
    </row>
    <row r="55" spans="1:8" x14ac:dyDescent="0.25">
      <c r="A55" s="46"/>
      <c r="B55" s="38" t="s">
        <v>204</v>
      </c>
      <c r="C55" s="38"/>
      <c r="D55" s="38">
        <v>844</v>
      </c>
      <c r="E55" s="38">
        <v>1</v>
      </c>
      <c r="F55" s="37" t="s">
        <v>205</v>
      </c>
      <c r="G55" s="37">
        <f t="shared" si="3"/>
        <v>844</v>
      </c>
      <c r="H55" s="38"/>
    </row>
    <row r="56" spans="1:8" x14ac:dyDescent="0.25">
      <c r="A56" s="46"/>
      <c r="B56" s="38" t="s">
        <v>196</v>
      </c>
      <c r="C56" s="38"/>
      <c r="D56" s="38">
        <v>270</v>
      </c>
      <c r="E56" s="38">
        <v>1</v>
      </c>
      <c r="F56" s="37" t="s">
        <v>184</v>
      </c>
      <c r="G56" s="37">
        <f t="shared" si="3"/>
        <v>270</v>
      </c>
      <c r="H56" s="38"/>
    </row>
    <row r="57" spans="1:8" x14ac:dyDescent="0.25">
      <c r="A57" s="46"/>
      <c r="B57" s="38" t="s">
        <v>197</v>
      </c>
      <c r="C57" s="38"/>
      <c r="D57" s="38">
        <v>32</v>
      </c>
      <c r="E57" s="38">
        <v>100</v>
      </c>
      <c r="F57" s="37" t="s">
        <v>176</v>
      </c>
      <c r="G57" s="37">
        <f t="shared" si="3"/>
        <v>3200</v>
      </c>
      <c r="H57" s="38"/>
    </row>
    <row r="58" spans="1:8" x14ac:dyDescent="0.25">
      <c r="A58" s="46"/>
      <c r="B58" s="38" t="s">
        <v>198</v>
      </c>
      <c r="C58" s="38"/>
      <c r="D58" s="38">
        <v>102</v>
      </c>
      <c r="E58" s="38">
        <v>3</v>
      </c>
      <c r="F58" s="37" t="s">
        <v>176</v>
      </c>
      <c r="G58" s="37">
        <f t="shared" si="3"/>
        <v>306</v>
      </c>
      <c r="H58" s="38"/>
    </row>
    <row r="59" spans="1:8" x14ac:dyDescent="0.25">
      <c r="A59" s="46"/>
      <c r="B59" s="40" t="s">
        <v>7</v>
      </c>
      <c r="C59" s="41"/>
      <c r="D59" s="42"/>
      <c r="E59" s="3"/>
      <c r="F59" s="3"/>
      <c r="G59" s="13">
        <f>SUM(G43:G58)</f>
        <v>10287.59</v>
      </c>
      <c r="H59" s="1"/>
    </row>
    <row r="60" spans="1:8" x14ac:dyDescent="0.25">
      <c r="A60" s="1"/>
      <c r="B60" s="50" t="s">
        <v>14</v>
      </c>
      <c r="C60" s="51"/>
      <c r="D60" s="52"/>
      <c r="E60" s="7"/>
      <c r="F60" s="7"/>
      <c r="G60" s="8">
        <f>G59+G41+G37+G23+G16+G8+G32</f>
        <v>33461.370000000003</v>
      </c>
      <c r="H60" s="1"/>
    </row>
  </sheetData>
  <mergeCells count="16">
    <mergeCell ref="A43:A59"/>
    <mergeCell ref="B59:D59"/>
    <mergeCell ref="B60:D60"/>
    <mergeCell ref="B32:D32"/>
    <mergeCell ref="A34:A37"/>
    <mergeCell ref="B37:D37"/>
    <mergeCell ref="A39:A41"/>
    <mergeCell ref="B41:D41"/>
    <mergeCell ref="A25:A32"/>
    <mergeCell ref="A18:A23"/>
    <mergeCell ref="B23:D23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7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0811</vt:lpstr>
      <vt:lpstr>0812</vt:lpstr>
      <vt:lpstr>0813</vt:lpstr>
      <vt:lpstr>0814</vt:lpstr>
      <vt:lpstr>0815</vt:lpstr>
      <vt:lpstr>'0811'!Print_Area</vt:lpstr>
      <vt:lpstr>'0812'!Print_Area</vt:lpstr>
      <vt:lpstr>'0813'!Print_Area</vt:lpstr>
      <vt:lpstr>'0814'!Print_Area</vt:lpstr>
      <vt:lpstr>'0815'!Print_Area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2025-08-14T03:14:17Z</cp:lastPrinted>
  <dcterms:created xsi:type="dcterms:W3CDTF">2025-02-19T17:01:12Z</dcterms:created>
  <dcterms:modified xsi:type="dcterms:W3CDTF">2025-08-14T03:14:18Z</dcterms:modified>
</cp:coreProperties>
</file>