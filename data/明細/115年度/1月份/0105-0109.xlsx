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5年度\1月份\"/>
    </mc:Choice>
  </mc:AlternateContent>
  <bookViews>
    <workbookView xWindow="0" yWindow="0" windowWidth="28800" windowHeight="12255" activeTab="2"/>
  </bookViews>
  <sheets>
    <sheet name="0105+" sheetId="1" r:id="rId1"/>
    <sheet name="0106+" sheetId="2" r:id="rId2"/>
    <sheet name="0107+" sheetId="3" r:id="rId3"/>
    <sheet name="0108+" sheetId="4" r:id="rId4"/>
    <sheet name="0109+" sheetId="5" r:id="rId5"/>
  </sheets>
  <definedNames>
    <definedName name="_xlnm.Print_Area" localSheetId="0">'0105+'!$A$1:$H$54</definedName>
    <definedName name="_xlnm.Print_Area" localSheetId="1">'0106+'!$A$1:$H$49</definedName>
    <definedName name="_xlnm.Print_Area" localSheetId="2">'0107+'!$A$1:$H$57</definedName>
    <definedName name="_xlnm.Print_Area" localSheetId="3">'0108+'!$A$1:$H$47</definedName>
    <definedName name="_xlnm.Print_Area" localSheetId="4">'0109+'!$A$1:$H$55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5" l="1"/>
  <c r="G44" i="4"/>
  <c r="G15" i="4" l="1"/>
  <c r="G8" i="4"/>
  <c r="G43" i="4"/>
  <c r="G37" i="4"/>
  <c r="G33" i="4"/>
  <c r="G51" i="5"/>
  <c r="G43" i="5"/>
  <c r="G44" i="5"/>
  <c r="G45" i="5"/>
  <c r="G46" i="5"/>
  <c r="G47" i="5"/>
  <c r="G48" i="5"/>
  <c r="G49" i="5"/>
  <c r="G50" i="5"/>
  <c r="G42" i="5"/>
  <c r="G39" i="5"/>
  <c r="G38" i="5"/>
  <c r="G34" i="5"/>
  <c r="G31" i="5"/>
  <c r="G25" i="5"/>
  <c r="G26" i="5"/>
  <c r="G27" i="5"/>
  <c r="G28" i="5"/>
  <c r="G29" i="5"/>
  <c r="G30" i="5"/>
  <c r="G22" i="5"/>
  <c r="G19" i="5"/>
  <c r="G20" i="5"/>
  <c r="G18" i="5"/>
  <c r="G16" i="5"/>
  <c r="G11" i="5"/>
  <c r="G12" i="5"/>
  <c r="G13" i="5"/>
  <c r="G14" i="5"/>
  <c r="G10" i="5"/>
  <c r="G8" i="5"/>
  <c r="G4" i="5"/>
  <c r="G5" i="5"/>
  <c r="G6" i="5"/>
  <c r="G7" i="5"/>
  <c r="G3" i="5"/>
  <c r="G24" i="5"/>
  <c r="G36" i="4"/>
  <c r="G40" i="3" l="1"/>
  <c r="G54" i="3" s="1"/>
  <c r="G18" i="4"/>
  <c r="G17" i="4"/>
  <c r="G21" i="4" s="1"/>
  <c r="G24" i="4"/>
  <c r="G25" i="4"/>
  <c r="G28" i="4" s="1"/>
  <c r="G26" i="4"/>
  <c r="G27" i="4"/>
  <c r="G23" i="4"/>
  <c r="G31" i="4"/>
  <c r="G32" i="4"/>
  <c r="G30" i="4"/>
  <c r="G40" i="4"/>
  <c r="G39" i="4"/>
  <c r="G11" i="4"/>
  <c r="G12" i="4"/>
  <c r="G10" i="4"/>
  <c r="G4" i="4"/>
  <c r="G5" i="4"/>
  <c r="G6" i="4"/>
  <c r="G7" i="4"/>
  <c r="G3" i="4"/>
  <c r="G52" i="3"/>
  <c r="G43" i="3"/>
  <c r="G35" i="4"/>
  <c r="G51" i="1" l="1"/>
  <c r="G20" i="1"/>
  <c r="G19" i="1"/>
  <c r="G18" i="1"/>
  <c r="G17" i="1"/>
  <c r="G16" i="1"/>
  <c r="G19" i="2"/>
  <c r="G18" i="2"/>
  <c r="G17" i="2"/>
  <c r="G16" i="2"/>
  <c r="G21" i="2" s="1"/>
  <c r="G22" i="1" l="1"/>
  <c r="G32" i="3"/>
  <c r="G31" i="3"/>
  <c r="G30" i="3"/>
  <c r="G29" i="3"/>
  <c r="G28" i="3"/>
  <c r="G51" i="3"/>
  <c r="G39" i="3"/>
  <c r="G4" i="3"/>
  <c r="G5" i="3"/>
  <c r="G6" i="3"/>
  <c r="G7" i="3"/>
  <c r="G46" i="1" l="1"/>
  <c r="G12" i="1"/>
  <c r="G13" i="1"/>
  <c r="G43" i="1"/>
  <c r="G48" i="1"/>
  <c r="G38" i="1"/>
  <c r="G37" i="1"/>
  <c r="G18" i="3" l="1"/>
  <c r="G32" i="1"/>
  <c r="G33" i="1"/>
  <c r="G34" i="1"/>
  <c r="G36" i="3" l="1"/>
  <c r="G35" i="3"/>
  <c r="G28" i="2"/>
  <c r="G26" i="2"/>
  <c r="G27" i="2"/>
  <c r="G24" i="2"/>
  <c r="G25" i="2"/>
  <c r="G29" i="2"/>
  <c r="G4" i="2"/>
  <c r="G3" i="2"/>
  <c r="G42" i="3" l="1"/>
  <c r="G12" i="3"/>
  <c r="G13" i="3"/>
  <c r="G11" i="3"/>
  <c r="G27" i="3"/>
  <c r="G26" i="3"/>
  <c r="G23" i="3"/>
  <c r="G24" i="3"/>
  <c r="G25" i="3"/>
  <c r="G22" i="3"/>
  <c r="G38" i="3"/>
  <c r="G37" i="3"/>
  <c r="G3" i="3"/>
  <c r="G9" i="3" s="1"/>
  <c r="G47" i="3"/>
  <c r="G48" i="3"/>
  <c r="G49" i="3"/>
  <c r="G50" i="3"/>
  <c r="G46" i="3"/>
  <c r="G53" i="3" l="1"/>
  <c r="G33" i="3"/>
  <c r="G23" i="2"/>
  <c r="G30" i="2" s="1"/>
  <c r="G38" i="2"/>
  <c r="G10" i="2"/>
  <c r="G9" i="2"/>
  <c r="G14" i="2" s="1"/>
  <c r="G32" i="2"/>
  <c r="G5" i="2"/>
  <c r="G7" i="2" s="1"/>
  <c r="G6" i="2"/>
  <c r="G37" i="2"/>
  <c r="G47" i="1" l="1"/>
  <c r="G50" i="1" s="1"/>
  <c r="G3" i="1"/>
  <c r="G42" i="1" l="1"/>
  <c r="G44" i="1" s="1"/>
  <c r="G31" i="1"/>
  <c r="G30" i="1"/>
  <c r="G29" i="1"/>
  <c r="G26" i="1" l="1"/>
  <c r="G27" i="1"/>
  <c r="G28" i="1"/>
  <c r="G25" i="1"/>
  <c r="G24" i="1"/>
  <c r="G10" i="1"/>
  <c r="G11" i="1"/>
  <c r="G9" i="1"/>
  <c r="G14" i="1" s="1"/>
  <c r="G35" i="1" l="1"/>
  <c r="G40" i="5"/>
  <c r="G36" i="5"/>
  <c r="G44" i="3"/>
  <c r="G20" i="3"/>
  <c r="G16" i="3"/>
  <c r="G45" i="2"/>
  <c r="G39" i="2"/>
  <c r="G46" i="2" s="1"/>
  <c r="G35" i="2"/>
  <c r="G40" i="1"/>
  <c r="G7" i="1"/>
</calcChain>
</file>

<file path=xl/sharedStrings.xml><?xml version="1.0" encoding="utf-8"?>
<sst xmlns="http://schemas.openxmlformats.org/spreadsheetml/2006/main" count="618" uniqueCount="231">
  <si>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</si>
  <si>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</si>
  <si>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</si>
  <si>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</si>
  <si>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</si>
  <si>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</si>
  <si>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</si>
  <si>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</si>
  <si>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</si>
  <si>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</si>
  <si>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</si>
  <si>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</si>
  <si>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</si>
  <si>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</si>
  <si>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</si>
  <si>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</si>
  <si>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</si>
  <si>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</si>
  <si>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</si>
  <si>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</si>
  <si>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</si>
  <si>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</si>
  <si>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包</t>
    <phoneticPr fontId="2" type="noConversion"/>
  </si>
  <si>
    <t>五穀米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</si>
  <si>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</si>
  <si>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</si>
  <si>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</si>
  <si>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</si>
  <si>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</si>
  <si>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</si>
  <si>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</si>
  <si>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</si>
  <si>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</si>
  <si>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</si>
  <si>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</si>
  <si>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</si>
  <si>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斤</t>
  </si>
  <si>
    <t>生香菇</t>
    <phoneticPr fontId="2" type="noConversion"/>
  </si>
  <si>
    <t>胡蘿蔔絲</t>
    <phoneticPr fontId="2" type="noConversion"/>
  </si>
  <si>
    <t>庫存</t>
    <phoneticPr fontId="2" type="noConversion"/>
  </si>
  <si>
    <t>去皮洋蔥</t>
    <phoneticPr fontId="2" type="noConversion"/>
  </si>
  <si>
    <t>九層塔</t>
    <phoneticPr fontId="2" type="noConversion"/>
  </si>
  <si>
    <t>三杯雞</t>
    <phoneticPr fontId="2" type="noConversion"/>
  </si>
  <si>
    <t>絲瓜油條</t>
    <phoneticPr fontId="2" type="noConversion"/>
  </si>
  <si>
    <t>梅乾桂竹筍</t>
    <phoneticPr fontId="2" type="noConversion"/>
  </si>
  <si>
    <t>蘿蔔玉米湯</t>
    <phoneticPr fontId="2" type="noConversion"/>
  </si>
  <si>
    <t>白蘿蔔</t>
    <phoneticPr fontId="2" type="noConversion"/>
  </si>
  <si>
    <t>去殼玉米條</t>
    <phoneticPr fontId="2" type="noConversion"/>
  </si>
  <si>
    <t>雞骨架</t>
    <phoneticPr fontId="2" type="noConversion"/>
  </si>
  <si>
    <t>油麵</t>
    <phoneticPr fontId="2" type="noConversion"/>
  </si>
  <si>
    <t>豬肉片</t>
    <phoneticPr fontId="2" type="noConversion"/>
  </si>
  <si>
    <t>里肌肉排</t>
    <phoneticPr fontId="2" type="noConversion"/>
  </si>
  <si>
    <t>去骨雞腿丁3*3</t>
    <phoneticPr fontId="2" type="noConversion"/>
  </si>
  <si>
    <t>薑</t>
    <phoneticPr fontId="2" type="noConversion"/>
  </si>
  <si>
    <t>杏鮑菇</t>
    <phoneticPr fontId="2" type="noConversion"/>
  </si>
  <si>
    <t>去皮絲瓜</t>
    <phoneticPr fontId="2" type="noConversion"/>
  </si>
  <si>
    <t>油條</t>
    <phoneticPr fontId="2" type="noConversion"/>
  </si>
  <si>
    <t>梅乾菜</t>
    <phoneticPr fontId="2" type="noConversion"/>
  </si>
  <si>
    <t>桂竹筍</t>
    <phoneticPr fontId="2" type="noConversion"/>
  </si>
  <si>
    <t>根</t>
    <phoneticPr fontId="2" type="noConversion"/>
  </si>
  <si>
    <t>蒜泥肉片</t>
    <phoneticPr fontId="2" type="noConversion"/>
  </si>
  <si>
    <t>白菜滷</t>
    <phoneticPr fontId="2" type="noConversion"/>
  </si>
  <si>
    <t>芹香雞卷</t>
    <phoneticPr fontId="2" type="noConversion"/>
  </si>
  <si>
    <t>五花肉片</t>
    <phoneticPr fontId="2" type="noConversion"/>
  </si>
  <si>
    <t>蒜泥</t>
    <phoneticPr fontId="2" type="noConversion"/>
  </si>
  <si>
    <t>薑絲</t>
    <phoneticPr fontId="2" type="noConversion"/>
  </si>
  <si>
    <t>大白菜</t>
    <phoneticPr fontId="2" type="noConversion"/>
  </si>
  <si>
    <t>蝦米</t>
    <phoneticPr fontId="2" type="noConversion"/>
  </si>
  <si>
    <t>乾香菇絲</t>
    <phoneticPr fontId="2" type="noConversion"/>
  </si>
  <si>
    <t>生豆皮</t>
    <phoneticPr fontId="2" type="noConversion"/>
  </si>
  <si>
    <t>去葉芹菜</t>
    <phoneticPr fontId="2" type="noConversion"/>
  </si>
  <si>
    <t>雞卷</t>
    <phoneticPr fontId="2" type="noConversion"/>
  </si>
  <si>
    <t>胡蘿蔔</t>
    <phoneticPr fontId="2" type="noConversion"/>
  </si>
  <si>
    <t>滷蛋</t>
    <phoneticPr fontId="2" type="noConversion"/>
  </si>
  <si>
    <t>香腸</t>
    <phoneticPr fontId="2" type="noConversion"/>
  </si>
  <si>
    <t>五花絞肉</t>
    <phoneticPr fontId="2" type="noConversion"/>
  </si>
  <si>
    <t>半</t>
    <phoneticPr fontId="2" type="noConversion"/>
  </si>
  <si>
    <t>金針排骨湯</t>
    <phoneticPr fontId="2" type="noConversion"/>
  </si>
  <si>
    <t>金針</t>
    <phoneticPr fontId="2" type="noConversion"/>
  </si>
  <si>
    <t>軟骨排</t>
    <phoneticPr fontId="2" type="noConversion"/>
  </si>
  <si>
    <t>粒</t>
    <phoneticPr fontId="2" type="noConversion"/>
  </si>
  <si>
    <t>素食</t>
    <phoneticPr fontId="2" type="noConversion"/>
  </si>
  <si>
    <t>晚餐</t>
    <phoneticPr fontId="2" type="noConversion"/>
  </si>
  <si>
    <t>瓶</t>
    <phoneticPr fontId="2" type="noConversion"/>
  </si>
  <si>
    <t>包</t>
    <phoneticPr fontId="2" type="noConversion"/>
  </si>
  <si>
    <t>桶</t>
    <phoneticPr fontId="2" type="noConversion"/>
  </si>
  <si>
    <t>大烹堡</t>
    <phoneticPr fontId="2" type="noConversion"/>
  </si>
  <si>
    <t>個</t>
    <phoneticPr fontId="2" type="noConversion"/>
  </si>
  <si>
    <t>早餐</t>
    <phoneticPr fontId="2" type="noConversion"/>
  </si>
  <si>
    <t>電訊科技中心(安康營區)     115年     1月   05日      午餐明細表</t>
    <phoneticPr fontId="2" type="noConversion"/>
  </si>
  <si>
    <t>炸雞腿</t>
    <phoneticPr fontId="2" type="noConversion"/>
  </si>
  <si>
    <t>日式蒸蛋</t>
    <phoneticPr fontId="2" type="noConversion"/>
  </si>
  <si>
    <t>芽菜肉絲</t>
    <phoneticPr fontId="2" type="noConversion"/>
  </si>
  <si>
    <t>味噌豆腐湯</t>
    <phoneticPr fontId="2" type="noConversion"/>
  </si>
  <si>
    <t>棒腿</t>
    <phoneticPr fontId="2" type="noConversion"/>
  </si>
  <si>
    <t>豆芽菜</t>
    <phoneticPr fontId="2" type="noConversion"/>
  </si>
  <si>
    <t>素魚排</t>
    <phoneticPr fontId="2" type="noConversion"/>
  </si>
  <si>
    <t>包</t>
    <phoneticPr fontId="2" type="noConversion"/>
  </si>
  <si>
    <t>水信花枝排</t>
    <phoneticPr fontId="2" type="noConversion"/>
  </si>
  <si>
    <t>件</t>
    <phoneticPr fontId="2" type="noConversion"/>
  </si>
  <si>
    <t>味噌</t>
    <phoneticPr fontId="2" type="noConversion"/>
  </si>
  <si>
    <t>盒</t>
    <phoneticPr fontId="2" type="noConversion"/>
  </si>
  <si>
    <t>4.3豆腐</t>
    <phoneticPr fontId="2" type="noConversion"/>
  </si>
  <si>
    <t>板</t>
    <phoneticPr fontId="2" type="noConversion"/>
  </si>
  <si>
    <t>雞蛋</t>
    <phoneticPr fontId="2" type="noConversion"/>
  </si>
  <si>
    <t>生香菇</t>
    <phoneticPr fontId="2" type="noConversion"/>
  </si>
  <si>
    <t>斤</t>
    <phoneticPr fontId="2" type="noConversion"/>
  </si>
  <si>
    <t>冷凍玉米粒</t>
    <phoneticPr fontId="2" type="noConversion"/>
  </si>
  <si>
    <t>火鍋魚板</t>
    <phoneticPr fontId="2" type="noConversion"/>
  </si>
  <si>
    <t>豬肉絲</t>
    <phoneticPr fontId="2" type="noConversion"/>
  </si>
  <si>
    <t>烏龍麵</t>
    <phoneticPr fontId="2" type="noConversion"/>
  </si>
  <si>
    <t>紅蘿蔔絲</t>
    <phoneticPr fontId="2" type="noConversion"/>
  </si>
  <si>
    <t>酥炸粉</t>
    <phoneticPr fontId="2" type="noConversion"/>
  </si>
  <si>
    <t>九層塔</t>
    <phoneticPr fontId="2" type="noConversion"/>
  </si>
  <si>
    <t>素肚</t>
    <phoneticPr fontId="2" type="noConversion"/>
  </si>
  <si>
    <t>個</t>
    <phoneticPr fontId="2" type="noConversion"/>
  </si>
  <si>
    <t>雞翅</t>
    <phoneticPr fontId="2" type="noConversion"/>
  </si>
  <si>
    <t>電訊科技中心(安康營區)     115年      1月   06日      午餐明細表</t>
    <phoneticPr fontId="2" type="noConversion"/>
  </si>
  <si>
    <t>糖醋里肌</t>
    <phoneticPr fontId="2" type="noConversion"/>
  </si>
  <si>
    <t>麻辣臭豆腐</t>
    <phoneticPr fontId="2" type="noConversion"/>
  </si>
  <si>
    <t>青椒炒豆干</t>
    <phoneticPr fontId="2" type="noConversion"/>
  </si>
  <si>
    <t>綠豆薏仁湯</t>
    <phoneticPr fontId="2" type="noConversion"/>
  </si>
  <si>
    <t>里肌肉塊3*3</t>
    <phoneticPr fontId="2" type="noConversion"/>
  </si>
  <si>
    <t>鳳梨罐頭(大)</t>
    <phoneticPr fontId="2" type="noConversion"/>
  </si>
  <si>
    <t>罐</t>
    <phoneticPr fontId="2" type="noConversion"/>
  </si>
  <si>
    <t>去皮洋蔥</t>
    <phoneticPr fontId="2" type="noConversion"/>
  </si>
  <si>
    <t>臭豆腐</t>
    <phoneticPr fontId="2" type="noConversion"/>
  </si>
  <si>
    <t>鴨血</t>
    <phoneticPr fontId="2" type="noConversion"/>
  </si>
  <si>
    <t>青椒絲</t>
    <phoneticPr fontId="2" type="noConversion"/>
  </si>
  <si>
    <t>4*4豆干</t>
    <phoneticPr fontId="2" type="noConversion"/>
  </si>
  <si>
    <t>雪白菇</t>
    <phoneticPr fontId="2" type="noConversion"/>
  </si>
  <si>
    <t>電訊科技中心(安康營區)     115年      1月   07日      午餐明細表</t>
    <phoneticPr fontId="2" type="noConversion"/>
  </si>
  <si>
    <t>番茄肉醬麵</t>
    <phoneticPr fontId="2" type="noConversion"/>
  </si>
  <si>
    <t>焗烤馬鈴薯</t>
    <phoneticPr fontId="2" type="noConversion"/>
  </si>
  <si>
    <t>荷包蛋</t>
    <phoneticPr fontId="2" type="noConversion"/>
  </si>
  <si>
    <t>玉米濃湯</t>
    <phoneticPr fontId="2" type="noConversion"/>
  </si>
  <si>
    <t>去皮馬鈴薯塊</t>
    <phoneticPr fontId="2" type="noConversion"/>
  </si>
  <si>
    <t>乳酪絲</t>
    <phoneticPr fontId="2" type="noConversion"/>
  </si>
  <si>
    <t>絞肉</t>
    <phoneticPr fontId="2" type="noConversion"/>
  </si>
  <si>
    <t>番茄糊(大)</t>
    <phoneticPr fontId="2" type="noConversion"/>
  </si>
  <si>
    <t>桶</t>
    <phoneticPr fontId="2" type="noConversion"/>
  </si>
  <si>
    <t>番茄醬</t>
    <phoneticPr fontId="2" type="noConversion"/>
  </si>
  <si>
    <t>牛番茄</t>
    <phoneticPr fontId="2" type="noConversion"/>
  </si>
  <si>
    <t>螺旋麵</t>
    <phoneticPr fontId="2" type="noConversion"/>
  </si>
  <si>
    <t>白麵線</t>
    <phoneticPr fontId="2" type="noConversion"/>
  </si>
  <si>
    <t>玉米醬</t>
    <phoneticPr fontId="2" type="noConversion"/>
  </si>
  <si>
    <t>玉米濃湯粉</t>
    <phoneticPr fontId="2" type="noConversion"/>
  </si>
  <si>
    <t>鮮奶油</t>
    <phoneticPr fontId="2" type="noConversion"/>
  </si>
  <si>
    <t>瓶</t>
    <phoneticPr fontId="2" type="noConversion"/>
  </si>
  <si>
    <t>柳丁</t>
    <phoneticPr fontId="2" type="noConversion"/>
  </si>
  <si>
    <t>斤</t>
    <phoneticPr fontId="2" type="noConversion"/>
  </si>
  <si>
    <t>高麗菜</t>
    <phoneticPr fontId="2" type="noConversion"/>
  </si>
  <si>
    <t>柴魚片</t>
    <phoneticPr fontId="2" type="noConversion"/>
  </si>
  <si>
    <t>包</t>
    <phoneticPr fontId="2" type="noConversion"/>
  </si>
  <si>
    <t>無骨香雞排</t>
    <phoneticPr fontId="2" type="noConversion"/>
  </si>
  <si>
    <t>件</t>
    <phoneticPr fontId="2" type="noConversion"/>
  </si>
  <si>
    <t>匈牙利紅椒粉</t>
    <phoneticPr fontId="2" type="noConversion"/>
  </si>
  <si>
    <t>起司豬排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</si>
  <si>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</si>
  <si>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</si>
  <si>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</si>
  <si>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</si>
  <si>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</si>
  <si>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計數器</t>
    <phoneticPr fontId="2" type="noConversion"/>
  </si>
  <si>
    <t>20入/包</t>
    <phoneticPr fontId="2" type="noConversion"/>
  </si>
  <si>
    <t>食材量預估
 280人</t>
    <phoneticPr fontId="2" type="noConversion"/>
  </si>
  <si>
    <t>油菜</t>
    <phoneticPr fontId="2" type="noConversion"/>
  </si>
  <si>
    <t>庫存</t>
    <phoneticPr fontId="2" type="noConversion"/>
  </si>
  <si>
    <t>食材量預估
   260人</t>
    <phoneticPr fontId="2" type="noConversion"/>
  </si>
  <si>
    <t>後面補炸魚排</t>
    <phoneticPr fontId="2" type="noConversion"/>
  </si>
  <si>
    <t>棒腿骨頭、青椒</t>
    <phoneticPr fontId="2" type="noConversion"/>
  </si>
  <si>
    <t>厚片土司</t>
    <phoneticPr fontId="2" type="noConversion"/>
  </si>
  <si>
    <t>條</t>
    <phoneticPr fontId="2" type="noConversion"/>
  </si>
  <si>
    <t>胡椒鹽</t>
    <phoneticPr fontId="2" type="noConversion"/>
  </si>
  <si>
    <t>盒</t>
    <phoneticPr fontId="2" type="noConversion"/>
  </si>
  <si>
    <t>蜂蜜</t>
    <phoneticPr fontId="2" type="noConversion"/>
  </si>
  <si>
    <t>桶</t>
    <phoneticPr fontId="2" type="noConversion"/>
  </si>
  <si>
    <t>味素</t>
    <phoneticPr fontId="2" type="noConversion"/>
  </si>
  <si>
    <t>高麗菜</t>
    <phoneticPr fontId="2" type="noConversion"/>
  </si>
  <si>
    <t>斤</t>
    <phoneticPr fontId="2" type="noConversion"/>
  </si>
  <si>
    <t>調理米酒</t>
    <phoneticPr fontId="2" type="noConversion"/>
  </si>
  <si>
    <t>瓶</t>
    <phoneticPr fontId="2" type="noConversion"/>
  </si>
  <si>
    <t>味噌</t>
    <phoneticPr fontId="2" type="noConversion"/>
  </si>
  <si>
    <t>件</t>
    <phoneticPr fontId="2" type="noConversion"/>
  </si>
  <si>
    <t>醬油</t>
    <phoneticPr fontId="2" type="noConversion"/>
  </si>
  <si>
    <t>油膏</t>
    <phoneticPr fontId="2" type="noConversion"/>
  </si>
  <si>
    <t>香油</t>
    <phoneticPr fontId="2" type="noConversion"/>
  </si>
  <si>
    <t>白胡椒粉</t>
    <phoneticPr fontId="2" type="noConversion"/>
  </si>
  <si>
    <t>絞肉</t>
    <phoneticPr fontId="2" type="noConversion"/>
  </si>
  <si>
    <t>沙拉油</t>
    <phoneticPr fontId="2" type="noConversion"/>
  </si>
  <si>
    <t>香蕉</t>
    <phoneticPr fontId="2" type="noConversion"/>
  </si>
  <si>
    <t>滷包</t>
    <phoneticPr fontId="2" type="noConversion"/>
  </si>
  <si>
    <t>包</t>
    <phoneticPr fontId="2" type="noConversion"/>
  </si>
  <si>
    <t>洗選蛋</t>
    <phoneticPr fontId="2" type="noConversion"/>
  </si>
  <si>
    <t>去皮洋蔥</t>
    <phoneticPr fontId="2" type="noConversion"/>
  </si>
  <si>
    <t>糖醋里肌、麻辣臭豆腐剩半盆</t>
    <phoneticPr fontId="2" type="noConversion"/>
  </si>
  <si>
    <t>柳丁</t>
    <phoneticPr fontId="2" type="noConversion"/>
  </si>
  <si>
    <t>每日c</t>
    <phoneticPr fontId="2" type="noConversion"/>
  </si>
  <si>
    <t>瓶</t>
    <phoneticPr fontId="2" type="noConversion"/>
  </si>
  <si>
    <t>鮪魚罐</t>
    <phoneticPr fontId="2" type="noConversion"/>
  </si>
  <si>
    <t>罐</t>
    <phoneticPr fontId="2" type="noConversion"/>
  </si>
  <si>
    <t>鮮木耳</t>
    <phoneticPr fontId="2" type="noConversion"/>
  </si>
  <si>
    <t>斤</t>
    <phoneticPr fontId="2" type="noConversion"/>
  </si>
  <si>
    <t>豬血糕</t>
    <phoneticPr fontId="2" type="noConversion"/>
  </si>
  <si>
    <t>鵝白菜</t>
    <phoneticPr fontId="2" type="noConversion"/>
  </si>
  <si>
    <t>去皮洋蔥</t>
    <phoneticPr fontId="2" type="noConversion"/>
  </si>
  <si>
    <t>香酥雞塊</t>
    <phoneticPr fontId="2" type="noConversion"/>
  </si>
  <si>
    <t>麵</t>
    <phoneticPr fontId="2" type="noConversion"/>
  </si>
  <si>
    <t>香蕉</t>
    <phoneticPr fontId="2" type="noConversion"/>
  </si>
  <si>
    <t>鍋貼</t>
    <phoneticPr fontId="2" type="noConversion"/>
  </si>
  <si>
    <t>個</t>
    <phoneticPr fontId="2" type="noConversion"/>
  </si>
  <si>
    <t>香蒜抹醬</t>
    <phoneticPr fontId="2" type="noConversion"/>
  </si>
  <si>
    <t>罐</t>
    <phoneticPr fontId="2" type="noConversion"/>
  </si>
  <si>
    <t>透抽</t>
    <phoneticPr fontId="2" type="noConversion"/>
  </si>
  <si>
    <t>斤</t>
    <phoneticPr fontId="2" type="noConversion"/>
  </si>
  <si>
    <t>辣豆瓣</t>
    <phoneticPr fontId="2" type="noConversion"/>
  </si>
  <si>
    <t>桶</t>
    <phoneticPr fontId="2" type="noConversion"/>
  </si>
  <si>
    <t>荷蘭豆</t>
    <phoneticPr fontId="2" type="noConversion"/>
  </si>
  <si>
    <t>柳丁</t>
    <phoneticPr fontId="2" type="noConversion"/>
  </si>
  <si>
    <t>水餃</t>
    <phoneticPr fontId="2" type="noConversion"/>
  </si>
  <si>
    <t>包</t>
    <phoneticPr fontId="2" type="noConversion"/>
  </si>
  <si>
    <t>蒜仁</t>
    <phoneticPr fontId="2" type="noConversion"/>
  </si>
  <si>
    <t>地瓜粉</t>
    <phoneticPr fontId="2" type="noConversion"/>
  </si>
  <si>
    <t>皮蛋</t>
    <phoneticPr fontId="2" type="noConversion"/>
  </si>
  <si>
    <t>絞肉</t>
    <phoneticPr fontId="2" type="noConversion"/>
  </si>
  <si>
    <t>沙茶醬</t>
    <phoneticPr fontId="2" type="noConversion"/>
  </si>
  <si>
    <t>電訊科技中心(安康營區)     115年      1月   09日      午餐明細表</t>
    <phoneticPr fontId="2" type="noConversion"/>
  </si>
  <si>
    <t>電訊科技中心(安康營區)     115年      1月   08日      午餐明細表</t>
    <phoneticPr fontId="2" type="noConversion"/>
  </si>
  <si>
    <t>食材量預估
  270-280人</t>
    <phoneticPr fontId="2" type="noConversion"/>
  </si>
  <si>
    <t>無統計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</si>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</sst>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3" xfId="0" applyBorder="1">
      <alignment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27" workbookViewId="0">
      <selection activeCell="G51" sqref="G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</cols>
  <sheetData>
    <row r="1" spans="1:8" x14ac:dyDescent="0.25">
      <c r="A1" s="65" t="s">
        <v>89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8" t="s">
        <v>90</v>
      </c>
      <c r="B3" s="1" t="s">
        <v>94</v>
      </c>
      <c r="C3" s="1">
        <v>260</v>
      </c>
      <c r="D3" s="1">
        <v>99</v>
      </c>
      <c r="E3" s="19">
        <v>64.650000000000006</v>
      </c>
      <c r="F3" s="36" t="s">
        <v>16</v>
      </c>
      <c r="G3" s="20">
        <f>D3*E3</f>
        <v>6400.35</v>
      </c>
      <c r="H3" s="1"/>
    </row>
    <row r="4" spans="1:8" x14ac:dyDescent="0.25">
      <c r="A4" s="68"/>
      <c r="B4" s="10" t="s">
        <v>112</v>
      </c>
      <c r="C4" s="10">
        <v>5</v>
      </c>
      <c r="D4" s="10">
        <v>93</v>
      </c>
      <c r="E4" s="10">
        <v>5</v>
      </c>
      <c r="F4" s="29" t="s">
        <v>97</v>
      </c>
      <c r="G4" s="2"/>
      <c r="H4" s="1"/>
    </row>
    <row r="5" spans="1:8" x14ac:dyDescent="0.25">
      <c r="A5" s="68"/>
      <c r="B5" s="1"/>
      <c r="C5" s="1"/>
      <c r="D5" s="1"/>
      <c r="E5" s="1"/>
      <c r="F5" s="1"/>
      <c r="G5" s="1"/>
      <c r="H5" s="1"/>
    </row>
    <row r="6" spans="1:8" x14ac:dyDescent="0.25">
      <c r="A6" s="68"/>
      <c r="B6" s="1"/>
      <c r="C6" s="1"/>
      <c r="D6" s="1"/>
      <c r="E6" s="3"/>
      <c r="F6" s="28"/>
      <c r="G6" s="3"/>
      <c r="H6" s="1"/>
    </row>
    <row r="7" spans="1:8" x14ac:dyDescent="0.25">
      <c r="A7" s="68"/>
      <c r="B7" s="69" t="s">
        <v>7</v>
      </c>
      <c r="C7" s="70"/>
      <c r="D7" s="71"/>
      <c r="E7" s="3"/>
      <c r="F7" s="3"/>
      <c r="G7" s="14">
        <f>SUM(G3:G6)</f>
        <v>6400.35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8" t="s">
        <v>91</v>
      </c>
      <c r="B9" s="1" t="s">
        <v>104</v>
      </c>
      <c r="C9" s="1">
        <v>1</v>
      </c>
      <c r="D9" s="1">
        <v>46.8</v>
      </c>
      <c r="E9" s="1">
        <v>20</v>
      </c>
      <c r="F9" s="29" t="s">
        <v>16</v>
      </c>
      <c r="G9" s="1">
        <f>D9*E9</f>
        <v>936</v>
      </c>
      <c r="H9" s="1"/>
    </row>
    <row r="10" spans="1:8" x14ac:dyDescent="0.25">
      <c r="A10" s="68"/>
      <c r="B10" s="1" t="s">
        <v>105</v>
      </c>
      <c r="C10" s="1">
        <v>5</v>
      </c>
      <c r="D10" s="1">
        <v>150</v>
      </c>
      <c r="E10" s="1">
        <v>5</v>
      </c>
      <c r="F10" s="34" t="s">
        <v>106</v>
      </c>
      <c r="G10" s="10">
        <f t="shared" ref="G10:G13" si="0">D10*E10</f>
        <v>750</v>
      </c>
      <c r="H10" s="1"/>
    </row>
    <row r="11" spans="1:8" x14ac:dyDescent="0.25">
      <c r="A11" s="68"/>
      <c r="B11" s="1" t="s">
        <v>107</v>
      </c>
      <c r="C11" s="1">
        <v>6</v>
      </c>
      <c r="D11" s="1">
        <v>84</v>
      </c>
      <c r="E11" s="1">
        <v>6</v>
      </c>
      <c r="F11" s="32" t="s">
        <v>97</v>
      </c>
      <c r="G11" s="10">
        <f t="shared" si="0"/>
        <v>504</v>
      </c>
      <c r="H11" s="1"/>
    </row>
    <row r="12" spans="1:8" x14ac:dyDescent="0.25">
      <c r="A12" s="68"/>
      <c r="B12" s="36" t="s">
        <v>152</v>
      </c>
      <c r="C12" s="36"/>
      <c r="D12" s="36">
        <v>327</v>
      </c>
      <c r="E12" s="36">
        <v>1</v>
      </c>
      <c r="F12" s="36" t="s">
        <v>153</v>
      </c>
      <c r="G12" s="36">
        <f t="shared" si="0"/>
        <v>327</v>
      </c>
      <c r="H12" s="1"/>
    </row>
    <row r="13" spans="1:8" x14ac:dyDescent="0.25">
      <c r="A13" s="68"/>
      <c r="B13" s="1" t="s">
        <v>108</v>
      </c>
      <c r="C13" s="1">
        <v>3</v>
      </c>
      <c r="D13" s="1">
        <v>120</v>
      </c>
      <c r="E13" s="1">
        <v>3</v>
      </c>
      <c r="F13" s="1" t="s">
        <v>106</v>
      </c>
      <c r="G13" s="36">
        <f t="shared" si="0"/>
        <v>360</v>
      </c>
      <c r="H13" s="1"/>
    </row>
    <row r="14" spans="1:8" x14ac:dyDescent="0.25">
      <c r="A14" s="68"/>
      <c r="B14" s="69" t="s">
        <v>7</v>
      </c>
      <c r="C14" s="70"/>
      <c r="D14" s="71"/>
      <c r="E14" s="3"/>
      <c r="F14" s="3"/>
      <c r="G14" s="14">
        <f>SUM(G9:G13)</f>
        <v>2877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8" t="s">
        <v>120</v>
      </c>
      <c r="B16" s="43" t="s">
        <v>128</v>
      </c>
      <c r="C16" s="43">
        <v>25</v>
      </c>
      <c r="D16" s="43">
        <v>27.36</v>
      </c>
      <c r="E16" s="43">
        <v>25</v>
      </c>
      <c r="F16" s="43" t="s">
        <v>16</v>
      </c>
      <c r="G16" s="43">
        <f>D16*E16</f>
        <v>684</v>
      </c>
      <c r="H16" s="43"/>
    </row>
    <row r="17" spans="1:8" x14ac:dyDescent="0.25">
      <c r="A17" s="68"/>
      <c r="B17" s="43" t="s">
        <v>129</v>
      </c>
      <c r="C17" s="43">
        <v>15</v>
      </c>
      <c r="D17" s="43">
        <v>45</v>
      </c>
      <c r="E17" s="43">
        <v>15</v>
      </c>
      <c r="F17" s="43" t="s">
        <v>16</v>
      </c>
      <c r="G17" s="43">
        <f t="shared" ref="G17:G18" si="1">D17*E17</f>
        <v>675</v>
      </c>
      <c r="H17" s="43"/>
    </row>
    <row r="18" spans="1:8" x14ac:dyDescent="0.25">
      <c r="A18" s="68"/>
      <c r="B18" s="43" t="s">
        <v>130</v>
      </c>
      <c r="C18" s="43">
        <v>8</v>
      </c>
      <c r="D18" s="43">
        <v>150</v>
      </c>
      <c r="E18" s="43">
        <v>8</v>
      </c>
      <c r="F18" s="43" t="s">
        <v>16</v>
      </c>
      <c r="G18" s="43">
        <f t="shared" si="1"/>
        <v>1200</v>
      </c>
      <c r="H18" s="43"/>
    </row>
    <row r="19" spans="1:8" x14ac:dyDescent="0.25">
      <c r="A19" s="68"/>
      <c r="B19" s="43"/>
      <c r="C19" s="43"/>
      <c r="D19" s="43"/>
      <c r="E19" s="42"/>
      <c r="F19" s="42"/>
      <c r="G19" s="43">
        <f>D19*E19</f>
        <v>0</v>
      </c>
      <c r="H19" s="43"/>
    </row>
    <row r="20" spans="1:8" x14ac:dyDescent="0.25">
      <c r="A20" s="68"/>
      <c r="B20" s="43"/>
      <c r="C20" s="43"/>
      <c r="D20" s="43"/>
      <c r="E20" s="42"/>
      <c r="F20" s="42"/>
      <c r="G20" s="43">
        <f>D20*E20</f>
        <v>0</v>
      </c>
      <c r="H20" s="43"/>
    </row>
    <row r="21" spans="1:8" x14ac:dyDescent="0.25">
      <c r="A21" s="68"/>
      <c r="B21" s="43"/>
      <c r="C21" s="43"/>
      <c r="D21" s="43"/>
      <c r="E21" s="42"/>
      <c r="F21" s="42"/>
      <c r="G21" s="43"/>
      <c r="H21" s="43"/>
    </row>
    <row r="22" spans="1:8" x14ac:dyDescent="0.25">
      <c r="A22" s="68"/>
      <c r="B22" s="69" t="s">
        <v>7</v>
      </c>
      <c r="C22" s="70"/>
      <c r="D22" s="71"/>
      <c r="E22" s="42"/>
      <c r="F22" s="42"/>
      <c r="G22" s="14">
        <f>SUM(G16:G21)</f>
        <v>2559</v>
      </c>
      <c r="H22" s="43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75"/>
      <c r="B24" s="1" t="s">
        <v>27</v>
      </c>
      <c r="C24" s="1">
        <v>2</v>
      </c>
      <c r="D24" s="1">
        <v>150</v>
      </c>
      <c r="E24" s="1">
        <v>2</v>
      </c>
      <c r="F24" s="1" t="s">
        <v>16</v>
      </c>
      <c r="G24" s="1">
        <f>D24*E24</f>
        <v>300</v>
      </c>
      <c r="H24" s="1"/>
    </row>
    <row r="25" spans="1:8" x14ac:dyDescent="0.25">
      <c r="A25" s="76"/>
      <c r="B25" s="24" t="s">
        <v>30</v>
      </c>
      <c r="C25" s="1" t="s">
        <v>35</v>
      </c>
      <c r="D25" s="1">
        <v>94.5</v>
      </c>
      <c r="E25" s="1">
        <v>0.5</v>
      </c>
      <c r="F25" s="1" t="s">
        <v>24</v>
      </c>
      <c r="G25" s="10">
        <f>D25*E25</f>
        <v>47.25</v>
      </c>
      <c r="H25" s="1"/>
    </row>
    <row r="26" spans="1:8" x14ac:dyDescent="0.25">
      <c r="A26" s="76"/>
      <c r="B26" s="24" t="s">
        <v>19</v>
      </c>
      <c r="C26" s="1">
        <v>8</v>
      </c>
      <c r="D26" s="1">
        <v>96.9</v>
      </c>
      <c r="E26" s="1">
        <v>8</v>
      </c>
      <c r="F26" s="1" t="s">
        <v>18</v>
      </c>
      <c r="G26" s="10">
        <f t="shared" ref="G26:G28" si="2">D26*E26</f>
        <v>775.2</v>
      </c>
      <c r="H26" s="1"/>
    </row>
    <row r="27" spans="1:8" x14ac:dyDescent="0.25">
      <c r="A27" s="76"/>
      <c r="B27" s="1" t="s">
        <v>20</v>
      </c>
      <c r="C27" s="1">
        <v>4</v>
      </c>
      <c r="D27" s="1">
        <v>36</v>
      </c>
      <c r="E27" s="1">
        <v>4</v>
      </c>
      <c r="F27" s="1" t="s">
        <v>18</v>
      </c>
      <c r="G27" s="2">
        <f t="shared" si="2"/>
        <v>144</v>
      </c>
      <c r="H27" s="1"/>
    </row>
    <row r="28" spans="1:8" x14ac:dyDescent="0.25">
      <c r="A28" s="76"/>
      <c r="B28" s="10" t="s">
        <v>21</v>
      </c>
      <c r="C28" s="10">
        <v>1</v>
      </c>
      <c r="D28" s="10">
        <v>46.8</v>
      </c>
      <c r="E28" s="10">
        <v>20</v>
      </c>
      <c r="F28" s="11" t="s">
        <v>16</v>
      </c>
      <c r="G28" s="10">
        <f t="shared" si="2"/>
        <v>936</v>
      </c>
      <c r="H28" s="10"/>
    </row>
    <row r="29" spans="1:8" x14ac:dyDescent="0.25">
      <c r="A29" s="76"/>
      <c r="B29" s="10" t="s">
        <v>34</v>
      </c>
      <c r="C29" s="10">
        <v>4</v>
      </c>
      <c r="D29" s="10">
        <v>105</v>
      </c>
      <c r="E29" s="10">
        <v>4</v>
      </c>
      <c r="F29" s="10" t="s">
        <v>28</v>
      </c>
      <c r="G29" s="2">
        <f>D29*E29</f>
        <v>420</v>
      </c>
      <c r="H29" s="10"/>
    </row>
    <row r="30" spans="1:8" x14ac:dyDescent="0.25">
      <c r="A30" s="76"/>
      <c r="B30" s="10" t="s">
        <v>96</v>
      </c>
      <c r="C30" s="10">
        <v>1</v>
      </c>
      <c r="D30" s="10">
        <v>120</v>
      </c>
      <c r="E30" s="10">
        <v>5</v>
      </c>
      <c r="F30" s="34" t="s">
        <v>16</v>
      </c>
      <c r="G30" s="2">
        <f t="shared" ref="G30:G34" si="3">D30*E30</f>
        <v>600</v>
      </c>
      <c r="H30" s="10"/>
    </row>
    <row r="31" spans="1:8" x14ac:dyDescent="0.25">
      <c r="A31" s="76"/>
      <c r="B31" s="10" t="s">
        <v>98</v>
      </c>
      <c r="C31" s="10">
        <v>1</v>
      </c>
      <c r="D31" s="10">
        <v>650</v>
      </c>
      <c r="E31" s="10">
        <v>1</v>
      </c>
      <c r="F31" s="32" t="s">
        <v>99</v>
      </c>
      <c r="G31" s="2">
        <f t="shared" si="3"/>
        <v>650</v>
      </c>
      <c r="H31" s="10"/>
    </row>
    <row r="32" spans="1:8" x14ac:dyDescent="0.25">
      <c r="A32" s="76"/>
      <c r="B32" s="10" t="s">
        <v>110</v>
      </c>
      <c r="C32" s="10">
        <v>8</v>
      </c>
      <c r="D32" s="10">
        <v>21</v>
      </c>
      <c r="E32" s="10">
        <v>8</v>
      </c>
      <c r="F32" s="10" t="s">
        <v>106</v>
      </c>
      <c r="G32" s="2">
        <f t="shared" si="3"/>
        <v>168</v>
      </c>
      <c r="H32" s="10"/>
    </row>
    <row r="33" spans="1:8" x14ac:dyDescent="0.25">
      <c r="A33" s="76"/>
      <c r="B33" s="10" t="s">
        <v>29</v>
      </c>
      <c r="C33" s="10">
        <v>1</v>
      </c>
      <c r="D33" s="10">
        <v>4.5</v>
      </c>
      <c r="E33" s="10">
        <v>50</v>
      </c>
      <c r="F33" s="10" t="s">
        <v>87</v>
      </c>
      <c r="G33" s="2">
        <f t="shared" si="3"/>
        <v>225</v>
      </c>
      <c r="H33" s="10"/>
    </row>
    <row r="34" spans="1:8" x14ac:dyDescent="0.25">
      <c r="A34" s="76"/>
      <c r="B34" s="26" t="s">
        <v>26</v>
      </c>
      <c r="C34" s="26">
        <v>1</v>
      </c>
      <c r="D34" s="26">
        <v>264</v>
      </c>
      <c r="E34" s="26">
        <v>1</v>
      </c>
      <c r="F34" s="26" t="s">
        <v>25</v>
      </c>
      <c r="G34" s="2">
        <f t="shared" si="3"/>
        <v>264</v>
      </c>
      <c r="H34" s="1"/>
    </row>
    <row r="35" spans="1:8" x14ac:dyDescent="0.25">
      <c r="A35" s="77"/>
      <c r="B35" s="69" t="s">
        <v>17</v>
      </c>
      <c r="C35" s="70"/>
      <c r="D35" s="71"/>
      <c r="E35" s="26"/>
      <c r="F35" s="26"/>
      <c r="G35" s="15">
        <f>SUM(G24:G34)</f>
        <v>4529.45</v>
      </c>
      <c r="H35" s="10"/>
    </row>
    <row r="36" spans="1:8" x14ac:dyDescent="0.25">
      <c r="A36" s="1" t="s">
        <v>11</v>
      </c>
      <c r="B36" s="26" t="s">
        <v>1</v>
      </c>
      <c r="C36" s="26" t="s">
        <v>2</v>
      </c>
      <c r="D36" s="26" t="s">
        <v>3</v>
      </c>
      <c r="E36" s="26" t="s">
        <v>4</v>
      </c>
      <c r="F36" s="26"/>
      <c r="G36" s="1" t="s">
        <v>5</v>
      </c>
      <c r="H36" s="1" t="s">
        <v>6</v>
      </c>
    </row>
    <row r="37" spans="1:8" x14ac:dyDescent="0.25">
      <c r="A37" s="68" t="s">
        <v>93</v>
      </c>
      <c r="B37" s="26" t="s">
        <v>100</v>
      </c>
      <c r="C37" s="26">
        <v>1</v>
      </c>
      <c r="D37" s="26">
        <v>187</v>
      </c>
      <c r="E37" s="26">
        <v>1</v>
      </c>
      <c r="F37" s="26" t="s">
        <v>101</v>
      </c>
      <c r="G37" s="1">
        <f>D37*E37</f>
        <v>187</v>
      </c>
      <c r="H37" s="1"/>
    </row>
    <row r="38" spans="1:8" x14ac:dyDescent="0.25">
      <c r="A38" s="68"/>
      <c r="B38" s="26" t="s">
        <v>102</v>
      </c>
      <c r="C38" s="26">
        <v>4</v>
      </c>
      <c r="D38" s="26">
        <v>180</v>
      </c>
      <c r="E38" s="26">
        <v>4</v>
      </c>
      <c r="F38" s="26" t="s">
        <v>103</v>
      </c>
      <c r="G38" s="36">
        <f>D38*E38</f>
        <v>720</v>
      </c>
      <c r="H38" s="1"/>
    </row>
    <row r="39" spans="1:8" x14ac:dyDescent="0.25">
      <c r="A39" s="68"/>
      <c r="B39" s="26"/>
      <c r="C39" s="26"/>
      <c r="D39" s="26"/>
      <c r="E39" s="26"/>
      <c r="F39" s="26"/>
      <c r="G39" s="1"/>
      <c r="H39" s="1"/>
    </row>
    <row r="40" spans="1:8" x14ac:dyDescent="0.25">
      <c r="A40" s="68"/>
      <c r="B40" s="69"/>
      <c r="C40" s="70"/>
      <c r="D40" s="71"/>
      <c r="E40" s="27"/>
      <c r="F40" s="27"/>
      <c r="G40" s="16">
        <f>SUM(G37:G39)</f>
        <v>907</v>
      </c>
      <c r="H40" s="1"/>
    </row>
    <row r="41" spans="1:8" x14ac:dyDescent="0.25">
      <c r="A41" s="1" t="s">
        <v>12</v>
      </c>
      <c r="B41" s="26" t="s">
        <v>1</v>
      </c>
      <c r="C41" s="26" t="s">
        <v>2</v>
      </c>
      <c r="D41" s="26" t="s">
        <v>3</v>
      </c>
      <c r="E41" s="27" t="s">
        <v>4</v>
      </c>
      <c r="F41" s="27"/>
      <c r="G41" s="3" t="s">
        <v>5</v>
      </c>
      <c r="H41" s="1" t="s">
        <v>6</v>
      </c>
    </row>
    <row r="42" spans="1:8" x14ac:dyDescent="0.25">
      <c r="A42" s="75"/>
      <c r="B42" s="1" t="s">
        <v>149</v>
      </c>
      <c r="C42" s="1"/>
      <c r="D42" s="1">
        <v>36.479999999999997</v>
      </c>
      <c r="E42" s="1">
        <v>50.33</v>
      </c>
      <c r="F42" s="1" t="s">
        <v>150</v>
      </c>
      <c r="G42" s="2">
        <f>D42*E42</f>
        <v>1836.0383999999997</v>
      </c>
      <c r="H42" s="1"/>
    </row>
    <row r="43" spans="1:8" x14ac:dyDescent="0.25">
      <c r="A43" s="76"/>
      <c r="B43" s="1" t="s">
        <v>151</v>
      </c>
      <c r="C43" s="1"/>
      <c r="D43" s="1">
        <v>7.14</v>
      </c>
      <c r="E43" s="1">
        <v>75</v>
      </c>
      <c r="F43" s="1" t="s">
        <v>150</v>
      </c>
      <c r="G43" s="2">
        <f>D43*E43</f>
        <v>535.5</v>
      </c>
      <c r="H43" s="1"/>
    </row>
    <row r="44" spans="1:8" x14ac:dyDescent="0.25">
      <c r="A44" s="77"/>
      <c r="B44" s="69" t="s">
        <v>7</v>
      </c>
      <c r="C44" s="70"/>
      <c r="D44" s="71"/>
      <c r="E44" s="3"/>
      <c r="F44" s="3"/>
      <c r="G44" s="14">
        <f>SUM(G42:G43)</f>
        <v>2371.5383999999995</v>
      </c>
      <c r="H44" s="6"/>
    </row>
    <row r="45" spans="1:8" x14ac:dyDescent="0.25">
      <c r="A45" s="7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68"/>
      <c r="B46" s="36" t="s">
        <v>157</v>
      </c>
      <c r="C46" s="36"/>
      <c r="D46" s="36">
        <v>1250</v>
      </c>
      <c r="E46" s="36">
        <v>1</v>
      </c>
      <c r="F46" s="36" t="s">
        <v>155</v>
      </c>
      <c r="G46" s="2">
        <f t="shared" ref="G46" si="4">D46*E46</f>
        <v>1250</v>
      </c>
      <c r="H46" s="1"/>
    </row>
    <row r="47" spans="1:8" x14ac:dyDescent="0.25">
      <c r="A47" s="68"/>
      <c r="B47" s="1" t="s">
        <v>154</v>
      </c>
      <c r="C47" s="1"/>
      <c r="D47" s="1">
        <v>1236</v>
      </c>
      <c r="E47" s="1">
        <v>1</v>
      </c>
      <c r="F47" s="1" t="s">
        <v>155</v>
      </c>
      <c r="G47" s="2">
        <f>D47*E47</f>
        <v>1236</v>
      </c>
      <c r="H47" s="1"/>
    </row>
    <row r="48" spans="1:8" x14ac:dyDescent="0.25">
      <c r="A48" s="68"/>
      <c r="B48" s="1" t="s">
        <v>156</v>
      </c>
      <c r="C48" s="1"/>
      <c r="D48" s="1">
        <v>510</v>
      </c>
      <c r="E48" s="1">
        <v>1</v>
      </c>
      <c r="F48" s="1" t="s">
        <v>153</v>
      </c>
      <c r="G48" s="2">
        <f t="shared" ref="G48" si="5">D48*E48</f>
        <v>510</v>
      </c>
      <c r="H48" s="1"/>
    </row>
    <row r="49" spans="1:8" x14ac:dyDescent="0.25">
      <c r="A49" s="68"/>
      <c r="B49" s="1"/>
      <c r="C49" s="1"/>
      <c r="D49" s="1"/>
      <c r="E49" s="1"/>
      <c r="F49" s="1"/>
      <c r="G49" s="2"/>
      <c r="H49" s="1"/>
    </row>
    <row r="50" spans="1:8" x14ac:dyDescent="0.25">
      <c r="A50" s="68"/>
      <c r="B50" s="69" t="s">
        <v>7</v>
      </c>
      <c r="C50" s="70"/>
      <c r="D50" s="71"/>
      <c r="E50" s="3"/>
      <c r="F50" s="3"/>
      <c r="G50" s="14">
        <f>SUM(G46:G49)</f>
        <v>2996</v>
      </c>
      <c r="H50" s="1"/>
    </row>
    <row r="51" spans="1:8" ht="17.25" thickBot="1" x14ac:dyDescent="0.3">
      <c r="A51" s="1"/>
      <c r="B51" s="72" t="s">
        <v>14</v>
      </c>
      <c r="C51" s="73"/>
      <c r="D51" s="74"/>
      <c r="E51" s="8"/>
      <c r="F51" s="8"/>
      <c r="G51" s="9">
        <f>G50+G44+G40+G22+G14+G7+G35</f>
        <v>22640.338400000001</v>
      </c>
      <c r="H51" s="41" t="s">
        <v>169</v>
      </c>
    </row>
    <row r="52" spans="1:8" x14ac:dyDescent="0.25">
      <c r="A52" s="53" t="s">
        <v>158</v>
      </c>
      <c r="B52" s="56" t="s">
        <v>159</v>
      </c>
      <c r="C52" s="56"/>
      <c r="D52" s="56"/>
      <c r="E52" s="57" t="s">
        <v>160</v>
      </c>
      <c r="F52" s="58"/>
      <c r="G52" s="59"/>
      <c r="H52" s="37" t="s">
        <v>161</v>
      </c>
    </row>
    <row r="53" spans="1:8" x14ac:dyDescent="0.25">
      <c r="A53" s="54"/>
      <c r="B53" s="60" t="s">
        <v>170</v>
      </c>
      <c r="C53" s="61"/>
      <c r="D53" s="61"/>
      <c r="E53" s="38" t="s">
        <v>162</v>
      </c>
      <c r="F53" s="63"/>
      <c r="G53" s="64"/>
      <c r="H53" s="49" t="s">
        <v>168</v>
      </c>
    </row>
    <row r="54" spans="1:8" ht="17.25" thickBot="1" x14ac:dyDescent="0.3">
      <c r="A54" s="55"/>
      <c r="B54" s="62"/>
      <c r="C54" s="62"/>
      <c r="D54" s="62"/>
      <c r="E54" s="39" t="s">
        <v>163</v>
      </c>
      <c r="F54" s="51">
        <v>270</v>
      </c>
      <c r="G54" s="52"/>
      <c r="H54" s="50"/>
    </row>
  </sheetData>
  <mergeCells count="23">
    <mergeCell ref="A16:A22"/>
    <mergeCell ref="B22:D22"/>
    <mergeCell ref="B51:D51"/>
    <mergeCell ref="B50:D50"/>
    <mergeCell ref="B44:D44"/>
    <mergeCell ref="B40:D40"/>
    <mergeCell ref="B35:D35"/>
    <mergeCell ref="A46:A50"/>
    <mergeCell ref="A37:A40"/>
    <mergeCell ref="A42:A44"/>
    <mergeCell ref="A24:A35"/>
    <mergeCell ref="A1:H1"/>
    <mergeCell ref="A3:A7"/>
    <mergeCell ref="B7:D7"/>
    <mergeCell ref="A9:A14"/>
    <mergeCell ref="B14:D14"/>
    <mergeCell ref="H53:H54"/>
    <mergeCell ref="F54:G54"/>
    <mergeCell ref="A52:A54"/>
    <mergeCell ref="B52:D52"/>
    <mergeCell ref="E52:G52"/>
    <mergeCell ref="B53:D54"/>
    <mergeCell ref="F53:G53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7" workbookViewId="0">
      <selection activeCell="G38" sqref="G3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5" t="s">
        <v>117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8" t="s">
        <v>118</v>
      </c>
      <c r="B3" s="1" t="s">
        <v>122</v>
      </c>
      <c r="C3" s="1">
        <v>50</v>
      </c>
      <c r="D3" s="1">
        <v>183</v>
      </c>
      <c r="E3" s="1">
        <v>50</v>
      </c>
      <c r="F3" s="32" t="s">
        <v>106</v>
      </c>
      <c r="G3" s="2">
        <f>D3*E3</f>
        <v>9150</v>
      </c>
      <c r="H3" s="1"/>
    </row>
    <row r="4" spans="1:8" x14ac:dyDescent="0.25">
      <c r="A4" s="68"/>
      <c r="B4" s="1" t="s">
        <v>123</v>
      </c>
      <c r="C4" s="1">
        <v>3</v>
      </c>
      <c r="D4" s="1">
        <v>276</v>
      </c>
      <c r="E4" s="1">
        <v>3</v>
      </c>
      <c r="F4" s="32" t="s">
        <v>124</v>
      </c>
      <c r="G4" s="2">
        <f>D4*E4</f>
        <v>828</v>
      </c>
      <c r="H4" s="1"/>
    </row>
    <row r="5" spans="1:8" x14ac:dyDescent="0.25">
      <c r="A5" s="68"/>
      <c r="B5" s="1" t="s">
        <v>125</v>
      </c>
      <c r="C5" s="1">
        <v>6</v>
      </c>
      <c r="D5" s="1">
        <v>30.6</v>
      </c>
      <c r="E5" s="1">
        <v>6</v>
      </c>
      <c r="F5" s="32" t="s">
        <v>106</v>
      </c>
      <c r="G5" s="2">
        <f t="shared" ref="G5:G6" si="0">D5*E5</f>
        <v>183.60000000000002</v>
      </c>
      <c r="H5" s="1"/>
    </row>
    <row r="6" spans="1:8" x14ac:dyDescent="0.25">
      <c r="A6" s="68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68"/>
      <c r="B7" s="69" t="s">
        <v>7</v>
      </c>
      <c r="C7" s="70"/>
      <c r="D7" s="71"/>
      <c r="E7" s="3"/>
      <c r="F7" s="3"/>
      <c r="G7" s="14">
        <f>SUM(G3:G6)</f>
        <v>10161.6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8" t="s">
        <v>119</v>
      </c>
      <c r="B9" s="1" t="s">
        <v>126</v>
      </c>
      <c r="C9" s="1">
        <v>270</v>
      </c>
      <c r="D9" s="1">
        <v>118</v>
      </c>
      <c r="E9" s="1">
        <v>14</v>
      </c>
      <c r="F9" s="29" t="s">
        <v>22</v>
      </c>
      <c r="G9" s="1">
        <f>D9*E9</f>
        <v>1652</v>
      </c>
      <c r="H9" s="1" t="s">
        <v>164</v>
      </c>
    </row>
    <row r="10" spans="1:8" x14ac:dyDescent="0.25">
      <c r="A10" s="68"/>
      <c r="B10" s="1" t="s">
        <v>127</v>
      </c>
      <c r="C10" s="1">
        <v>40</v>
      </c>
      <c r="D10" s="1">
        <v>11</v>
      </c>
      <c r="E10" s="1">
        <v>40</v>
      </c>
      <c r="F10" s="35" t="s">
        <v>115</v>
      </c>
      <c r="G10" s="18">
        <f>D10*E10</f>
        <v>440</v>
      </c>
      <c r="H10" s="1"/>
    </row>
    <row r="11" spans="1:8" x14ac:dyDescent="0.25">
      <c r="A11" s="68"/>
      <c r="B11" s="1"/>
      <c r="C11" s="1"/>
      <c r="D11" s="1"/>
      <c r="E11" s="1"/>
      <c r="F11" s="29"/>
      <c r="G11" s="1"/>
      <c r="H11" s="1"/>
    </row>
    <row r="12" spans="1:8" x14ac:dyDescent="0.25">
      <c r="A12" s="68"/>
      <c r="B12" s="1"/>
      <c r="C12" s="1"/>
      <c r="D12" s="1"/>
      <c r="E12" s="1"/>
      <c r="F12" s="29"/>
      <c r="G12" s="1"/>
      <c r="H12" s="1"/>
    </row>
    <row r="13" spans="1:8" x14ac:dyDescent="0.25">
      <c r="A13" s="68"/>
      <c r="B13" s="1"/>
      <c r="C13" s="1"/>
      <c r="D13" s="1"/>
      <c r="E13" s="1"/>
      <c r="F13" s="1"/>
      <c r="G13" s="1"/>
      <c r="H13" s="1"/>
    </row>
    <row r="14" spans="1:8" x14ac:dyDescent="0.25">
      <c r="A14" s="68"/>
      <c r="B14" s="69" t="s">
        <v>7</v>
      </c>
      <c r="C14" s="70"/>
      <c r="D14" s="71"/>
      <c r="E14" s="3"/>
      <c r="F14" s="3"/>
      <c r="G14" s="14">
        <f>SUM(G9:G13)</f>
        <v>2092</v>
      </c>
      <c r="H14" s="1"/>
    </row>
    <row r="15" spans="1:8" x14ac:dyDescent="0.25">
      <c r="A15" s="26" t="s">
        <v>31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8" t="s">
        <v>92</v>
      </c>
      <c r="B16" s="43" t="s">
        <v>95</v>
      </c>
      <c r="C16" s="43">
        <v>45</v>
      </c>
      <c r="D16" s="43">
        <v>11.7</v>
      </c>
      <c r="E16" s="43">
        <v>45</v>
      </c>
      <c r="F16" s="43" t="s">
        <v>36</v>
      </c>
      <c r="G16" s="43">
        <f>D16*E16</f>
        <v>526.5</v>
      </c>
      <c r="H16" s="43"/>
    </row>
    <row r="17" spans="1:8" x14ac:dyDescent="0.25">
      <c r="A17" s="68"/>
      <c r="B17" s="43" t="s">
        <v>109</v>
      </c>
      <c r="C17" s="43">
        <v>15</v>
      </c>
      <c r="D17" s="43">
        <v>141</v>
      </c>
      <c r="E17" s="43">
        <v>15</v>
      </c>
      <c r="F17" s="43" t="s">
        <v>36</v>
      </c>
      <c r="G17" s="43">
        <f t="shared" ref="G17:G19" si="1">D17*E17</f>
        <v>2115</v>
      </c>
      <c r="H17" s="43"/>
    </row>
    <row r="18" spans="1:8" x14ac:dyDescent="0.25">
      <c r="A18" s="68"/>
      <c r="B18" s="43" t="s">
        <v>111</v>
      </c>
      <c r="C18" s="43">
        <v>3</v>
      </c>
      <c r="D18" s="43">
        <v>14.82</v>
      </c>
      <c r="E18" s="43">
        <v>3</v>
      </c>
      <c r="F18" s="43" t="s">
        <v>36</v>
      </c>
      <c r="G18" s="2">
        <f t="shared" si="1"/>
        <v>44.46</v>
      </c>
      <c r="H18" s="43"/>
    </row>
    <row r="19" spans="1:8" x14ac:dyDescent="0.25">
      <c r="A19" s="68"/>
      <c r="B19" s="43"/>
      <c r="C19" s="43"/>
      <c r="D19" s="43"/>
      <c r="E19" s="43"/>
      <c r="F19" s="43"/>
      <c r="G19" s="43">
        <f t="shared" si="1"/>
        <v>0</v>
      </c>
      <c r="H19" s="43"/>
    </row>
    <row r="20" spans="1:8" x14ac:dyDescent="0.25">
      <c r="A20" s="68"/>
      <c r="B20" s="43"/>
      <c r="C20" s="43"/>
      <c r="D20" s="43"/>
      <c r="E20" s="43"/>
      <c r="F20" s="43"/>
      <c r="G20" s="42"/>
      <c r="H20" s="43"/>
    </row>
    <row r="21" spans="1:8" x14ac:dyDescent="0.25">
      <c r="A21" s="68"/>
      <c r="B21" s="69" t="s">
        <v>7</v>
      </c>
      <c r="C21" s="70"/>
      <c r="D21" s="71"/>
      <c r="E21" s="3"/>
      <c r="F21" s="3"/>
      <c r="G21" s="14">
        <f>SUM(G16:G20)</f>
        <v>2685.96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75"/>
      <c r="B23" s="1" t="s">
        <v>23</v>
      </c>
      <c r="C23" s="1">
        <v>20</v>
      </c>
      <c r="D23" s="1">
        <v>60</v>
      </c>
      <c r="E23" s="1">
        <v>20</v>
      </c>
      <c r="F23" s="1" t="s">
        <v>16</v>
      </c>
      <c r="G23" s="1">
        <f>D23*E23</f>
        <v>1200</v>
      </c>
      <c r="H23" s="1"/>
    </row>
    <row r="24" spans="1:8" x14ac:dyDescent="0.25">
      <c r="A24" s="76"/>
      <c r="B24" s="30" t="s">
        <v>32</v>
      </c>
      <c r="C24" s="30">
        <v>2</v>
      </c>
      <c r="D24" s="30">
        <v>530</v>
      </c>
      <c r="E24" s="30">
        <v>8</v>
      </c>
      <c r="F24" s="30" t="s">
        <v>85</v>
      </c>
      <c r="G24" s="30">
        <f>D24*E24</f>
        <v>4240</v>
      </c>
      <c r="H24" s="1"/>
    </row>
    <row r="25" spans="1:8" x14ac:dyDescent="0.25">
      <c r="A25" s="76"/>
      <c r="B25" s="30"/>
      <c r="C25" s="30"/>
      <c r="D25" s="30"/>
      <c r="E25" s="30"/>
      <c r="F25" s="30"/>
      <c r="G25" s="18">
        <f>D25*E25</f>
        <v>0</v>
      </c>
      <c r="H25" s="1"/>
    </row>
    <row r="26" spans="1:8" x14ac:dyDescent="0.25">
      <c r="A26" s="76"/>
      <c r="B26" s="1" t="s">
        <v>113</v>
      </c>
      <c r="C26" s="1">
        <v>0.2</v>
      </c>
      <c r="D26" s="1">
        <v>40.799999999999997</v>
      </c>
      <c r="E26" s="1">
        <v>0.3</v>
      </c>
      <c r="F26" s="1" t="s">
        <v>106</v>
      </c>
      <c r="G26" s="34">
        <f t="shared" ref="G26:G28" si="2">D26*E26</f>
        <v>12.239999999999998</v>
      </c>
      <c r="H26" s="1" t="s">
        <v>81</v>
      </c>
    </row>
    <row r="27" spans="1:8" x14ac:dyDescent="0.25">
      <c r="A27" s="76"/>
      <c r="B27" s="29" t="s">
        <v>114</v>
      </c>
      <c r="C27" s="29">
        <v>7</v>
      </c>
      <c r="D27" s="29">
        <v>85</v>
      </c>
      <c r="E27" s="45">
        <v>2</v>
      </c>
      <c r="F27" s="36" t="s">
        <v>16</v>
      </c>
      <c r="G27" s="34">
        <f t="shared" si="2"/>
        <v>170</v>
      </c>
      <c r="H27" s="34" t="s">
        <v>81</v>
      </c>
    </row>
    <row r="28" spans="1:8" x14ac:dyDescent="0.25">
      <c r="A28" s="76"/>
      <c r="B28" s="34" t="s">
        <v>86</v>
      </c>
      <c r="C28" s="34">
        <v>20</v>
      </c>
      <c r="D28" s="34">
        <v>12</v>
      </c>
      <c r="E28" s="34">
        <v>20</v>
      </c>
      <c r="F28" s="33" t="s">
        <v>87</v>
      </c>
      <c r="G28" s="34">
        <f t="shared" si="2"/>
        <v>240</v>
      </c>
      <c r="H28" s="34" t="s">
        <v>88</v>
      </c>
    </row>
    <row r="29" spans="1:8" x14ac:dyDescent="0.25">
      <c r="A29" s="76"/>
      <c r="B29" s="18" t="s">
        <v>116</v>
      </c>
      <c r="C29" s="18">
        <v>35</v>
      </c>
      <c r="D29" s="18">
        <v>78</v>
      </c>
      <c r="E29" s="18">
        <v>5.97</v>
      </c>
      <c r="F29" s="31" t="s">
        <v>16</v>
      </c>
      <c r="G29" s="18">
        <f>D29*E29</f>
        <v>465.65999999999997</v>
      </c>
      <c r="H29" s="18" t="s">
        <v>82</v>
      </c>
    </row>
    <row r="30" spans="1:8" x14ac:dyDescent="0.25">
      <c r="A30" s="77"/>
      <c r="B30" s="69" t="s">
        <v>33</v>
      </c>
      <c r="C30" s="70"/>
      <c r="D30" s="71"/>
      <c r="E30" s="3"/>
      <c r="F30" s="3"/>
      <c r="G30" s="16">
        <f>SUM(G23:G29)</f>
        <v>6327.9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68" t="s">
        <v>121</v>
      </c>
      <c r="B32" s="1"/>
      <c r="C32" s="1"/>
      <c r="D32" s="1"/>
      <c r="E32" s="1"/>
      <c r="F32" s="1" t="s">
        <v>85</v>
      </c>
      <c r="G32" s="1">
        <f>D32*E32</f>
        <v>0</v>
      </c>
      <c r="H32" s="75" t="s">
        <v>167</v>
      </c>
    </row>
    <row r="33" spans="1:8" x14ac:dyDescent="0.25">
      <c r="A33" s="68"/>
      <c r="B33" s="1"/>
      <c r="C33" s="1"/>
      <c r="D33" s="1"/>
      <c r="E33" s="1"/>
      <c r="F33" s="29" t="s">
        <v>83</v>
      </c>
      <c r="G33" s="1"/>
      <c r="H33" s="76"/>
    </row>
    <row r="34" spans="1:8" x14ac:dyDescent="0.25">
      <c r="A34" s="68"/>
      <c r="B34" s="1"/>
      <c r="C34" s="1"/>
      <c r="D34" s="1"/>
      <c r="E34" s="1"/>
      <c r="F34" s="1" t="s">
        <v>84</v>
      </c>
      <c r="G34" s="1"/>
      <c r="H34" s="77"/>
    </row>
    <row r="35" spans="1:8" x14ac:dyDescent="0.25">
      <c r="A35" s="68"/>
      <c r="B35" s="69" t="s">
        <v>7</v>
      </c>
      <c r="C35" s="70"/>
      <c r="D35" s="71"/>
      <c r="E35" s="3"/>
      <c r="F35" s="3"/>
      <c r="G35" s="16">
        <f>SUM(G32:G34)</f>
        <v>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75"/>
      <c r="B37" s="1" t="s">
        <v>166</v>
      </c>
      <c r="C37" s="1"/>
      <c r="D37" s="1">
        <v>11.7</v>
      </c>
      <c r="E37" s="1">
        <v>75</v>
      </c>
      <c r="F37" s="1" t="s">
        <v>150</v>
      </c>
      <c r="G37" s="2">
        <f>D37*E37</f>
        <v>877.5</v>
      </c>
      <c r="H37" s="1"/>
    </row>
    <row r="38" spans="1:8" x14ac:dyDescent="0.25">
      <c r="A38" s="76"/>
      <c r="B38" s="1" t="s">
        <v>190</v>
      </c>
      <c r="C38" s="1"/>
      <c r="D38" s="1">
        <v>46.08</v>
      </c>
      <c r="E38" s="1">
        <v>75</v>
      </c>
      <c r="F38" s="40" t="s">
        <v>16</v>
      </c>
      <c r="G38" s="2">
        <f>D38*E38</f>
        <v>3456</v>
      </c>
      <c r="H38" s="1"/>
    </row>
    <row r="39" spans="1:8" x14ac:dyDescent="0.25">
      <c r="A39" s="77"/>
      <c r="B39" s="69" t="s">
        <v>7</v>
      </c>
      <c r="C39" s="70"/>
      <c r="D39" s="71"/>
      <c r="E39" s="3"/>
      <c r="F39" s="3"/>
      <c r="G39" s="14">
        <f>SUM(G37:G38)</f>
        <v>4333.5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68"/>
      <c r="B41" s="1"/>
      <c r="C41" s="1"/>
      <c r="D41" s="1"/>
      <c r="E41" s="1"/>
      <c r="F41" s="1"/>
      <c r="G41" s="1"/>
      <c r="H41" s="1"/>
    </row>
    <row r="42" spans="1:8" x14ac:dyDescent="0.25">
      <c r="A42" s="68"/>
      <c r="B42" s="1"/>
      <c r="C42" s="1"/>
      <c r="D42" s="1"/>
      <c r="E42" s="1"/>
      <c r="F42" s="1"/>
      <c r="G42" s="1"/>
      <c r="H42" s="1"/>
    </row>
    <row r="43" spans="1:8" x14ac:dyDescent="0.25">
      <c r="A43" s="68"/>
      <c r="B43" s="1"/>
      <c r="C43" s="1"/>
      <c r="D43" s="1"/>
      <c r="E43" s="1"/>
      <c r="F43" s="1"/>
      <c r="G43" s="1"/>
      <c r="H43" s="1"/>
    </row>
    <row r="44" spans="1:8" x14ac:dyDescent="0.25">
      <c r="A44" s="68"/>
      <c r="B44" s="1"/>
      <c r="C44" s="1"/>
      <c r="D44" s="1"/>
      <c r="E44" s="1"/>
      <c r="F44" s="1"/>
      <c r="G44" s="1"/>
      <c r="H44" s="1"/>
    </row>
    <row r="45" spans="1:8" x14ac:dyDescent="0.25">
      <c r="A45" s="68"/>
      <c r="B45" s="69" t="s">
        <v>7</v>
      </c>
      <c r="C45" s="70"/>
      <c r="D45" s="71"/>
      <c r="E45" s="3"/>
      <c r="F45" s="3"/>
      <c r="G45" s="4">
        <f>SUM(G41:G44)</f>
        <v>0</v>
      </c>
      <c r="H45" s="1"/>
    </row>
    <row r="46" spans="1:8" ht="17.25" thickBot="1" x14ac:dyDescent="0.3">
      <c r="A46" s="1"/>
      <c r="B46" s="72" t="s">
        <v>14</v>
      </c>
      <c r="C46" s="73"/>
      <c r="D46" s="74"/>
      <c r="E46" s="8"/>
      <c r="F46" s="8"/>
      <c r="G46" s="9">
        <f>G45+G39+G35+G21+G14+G7+G30</f>
        <v>25600.959999999999</v>
      </c>
      <c r="H46" s="1"/>
    </row>
    <row r="47" spans="1:8" x14ac:dyDescent="0.25">
      <c r="A47" s="53" t="s">
        <v>158</v>
      </c>
      <c r="B47" s="56" t="s">
        <v>159</v>
      </c>
      <c r="C47" s="56"/>
      <c r="D47" s="56"/>
      <c r="E47" s="57" t="s">
        <v>160</v>
      </c>
      <c r="F47" s="58"/>
      <c r="G47" s="59"/>
      <c r="H47" s="37" t="s">
        <v>161</v>
      </c>
    </row>
    <row r="48" spans="1:8" x14ac:dyDescent="0.25">
      <c r="A48" s="54"/>
      <c r="B48" s="60" t="s">
        <v>195</v>
      </c>
      <c r="C48" s="61"/>
      <c r="D48" s="61"/>
      <c r="E48" s="38" t="s">
        <v>162</v>
      </c>
      <c r="F48" s="63"/>
      <c r="G48" s="64"/>
      <c r="H48" s="49" t="s">
        <v>165</v>
      </c>
    </row>
    <row r="49" spans="1:8" ht="17.25" thickBot="1" x14ac:dyDescent="0.3">
      <c r="A49" s="55"/>
      <c r="B49" s="62"/>
      <c r="C49" s="62"/>
      <c r="D49" s="62"/>
      <c r="E49" s="39" t="s">
        <v>163</v>
      </c>
      <c r="F49" s="51">
        <v>265</v>
      </c>
      <c r="G49" s="52"/>
      <c r="H49" s="50"/>
    </row>
  </sheetData>
  <mergeCells count="24">
    <mergeCell ref="B30:D30"/>
    <mergeCell ref="A32:A35"/>
    <mergeCell ref="B35:D35"/>
    <mergeCell ref="A37:A39"/>
    <mergeCell ref="B39:D39"/>
    <mergeCell ref="A23:A30"/>
    <mergeCell ref="A16:A21"/>
    <mergeCell ref="B21:D21"/>
    <mergeCell ref="A1:H1"/>
    <mergeCell ref="A3:A7"/>
    <mergeCell ref="B7:D7"/>
    <mergeCell ref="A9:A14"/>
    <mergeCell ref="B14:D14"/>
    <mergeCell ref="H48:H49"/>
    <mergeCell ref="F49:G49"/>
    <mergeCell ref="H32:H34"/>
    <mergeCell ref="A47:A49"/>
    <mergeCell ref="B47:D47"/>
    <mergeCell ref="E47:G47"/>
    <mergeCell ref="B48:D49"/>
    <mergeCell ref="F48:G48"/>
    <mergeCell ref="A41:A45"/>
    <mergeCell ref="B45:D45"/>
    <mergeCell ref="B46:D46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7"/>
  <sheetViews>
    <sheetView tabSelected="1" workbookViewId="0">
      <selection activeCell="B8" sqref="B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5" t="s">
        <v>131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8" t="s">
        <v>132</v>
      </c>
      <c r="B3" s="1" t="s">
        <v>138</v>
      </c>
      <c r="C3" s="1">
        <v>25</v>
      </c>
      <c r="D3" s="1">
        <v>117</v>
      </c>
      <c r="E3" s="1">
        <v>25</v>
      </c>
      <c r="F3" s="32" t="s">
        <v>106</v>
      </c>
      <c r="G3" s="2">
        <f>D3*E3</f>
        <v>2925</v>
      </c>
      <c r="H3" s="1"/>
    </row>
    <row r="4" spans="1:8" x14ac:dyDescent="0.25">
      <c r="A4" s="68"/>
      <c r="B4" s="1" t="s">
        <v>139</v>
      </c>
      <c r="C4" s="1">
        <v>1</v>
      </c>
      <c r="D4" s="1">
        <v>420</v>
      </c>
      <c r="E4" s="1">
        <v>1</v>
      </c>
      <c r="F4" s="34" t="s">
        <v>140</v>
      </c>
      <c r="G4" s="2">
        <f t="shared" ref="G4:G7" si="0">D4*E4</f>
        <v>420</v>
      </c>
      <c r="H4" s="1"/>
    </row>
    <row r="5" spans="1:8" x14ac:dyDescent="0.25">
      <c r="A5" s="68"/>
      <c r="B5" s="1" t="s">
        <v>141</v>
      </c>
      <c r="C5" s="1">
        <v>1</v>
      </c>
      <c r="D5" s="1">
        <v>273</v>
      </c>
      <c r="E5" s="1">
        <v>1</v>
      </c>
      <c r="F5" s="29" t="s">
        <v>140</v>
      </c>
      <c r="G5" s="2">
        <f t="shared" si="0"/>
        <v>273</v>
      </c>
      <c r="H5" s="1"/>
    </row>
    <row r="6" spans="1:8" x14ac:dyDescent="0.25">
      <c r="A6" s="68"/>
      <c r="B6" s="29" t="s">
        <v>142</v>
      </c>
      <c r="C6" s="29">
        <v>8</v>
      </c>
      <c r="D6" s="29">
        <v>29.7</v>
      </c>
      <c r="E6" s="28">
        <v>8</v>
      </c>
      <c r="F6" s="31" t="s">
        <v>106</v>
      </c>
      <c r="G6" s="2">
        <f t="shared" si="0"/>
        <v>237.6</v>
      </c>
      <c r="H6" s="29"/>
    </row>
    <row r="7" spans="1:8" x14ac:dyDescent="0.25">
      <c r="A7" s="68"/>
      <c r="B7" s="29" t="s">
        <v>143</v>
      </c>
      <c r="C7" s="29">
        <v>40</v>
      </c>
      <c r="D7" s="29">
        <v>45</v>
      </c>
      <c r="E7" s="28">
        <v>40</v>
      </c>
      <c r="F7" s="34" t="s">
        <v>97</v>
      </c>
      <c r="G7" s="2">
        <f t="shared" si="0"/>
        <v>1800</v>
      </c>
      <c r="H7" s="29"/>
    </row>
    <row r="8" spans="1:8" x14ac:dyDescent="0.25">
      <c r="A8" s="68"/>
      <c r="B8" s="1"/>
      <c r="C8" s="1"/>
      <c r="D8" s="1"/>
      <c r="E8" s="3"/>
      <c r="F8" s="34"/>
      <c r="G8" s="3"/>
      <c r="H8" s="1"/>
    </row>
    <row r="9" spans="1:8" x14ac:dyDescent="0.25">
      <c r="A9" s="68"/>
      <c r="B9" s="69" t="s">
        <v>7</v>
      </c>
      <c r="C9" s="70"/>
      <c r="D9" s="71"/>
      <c r="E9" s="3"/>
      <c r="F9" s="3"/>
      <c r="G9" s="14">
        <f>SUM(G3:G8)</f>
        <v>5655.6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75" t="s">
        <v>133</v>
      </c>
      <c r="B11" s="1" t="s">
        <v>136</v>
      </c>
      <c r="C11" s="1">
        <v>45</v>
      </c>
      <c r="D11" s="1">
        <v>33.06</v>
      </c>
      <c r="E11" s="25">
        <v>45</v>
      </c>
      <c r="F11" s="32" t="s">
        <v>106</v>
      </c>
      <c r="G11" s="2">
        <f>D11*E11</f>
        <v>1487.7</v>
      </c>
      <c r="H11" s="1"/>
    </row>
    <row r="12" spans="1:8" x14ac:dyDescent="0.25">
      <c r="A12" s="76"/>
      <c r="B12" s="1" t="s">
        <v>137</v>
      </c>
      <c r="C12" s="1">
        <v>5</v>
      </c>
      <c r="D12" s="1">
        <v>360</v>
      </c>
      <c r="E12" s="1">
        <v>5</v>
      </c>
      <c r="F12" s="29" t="s">
        <v>97</v>
      </c>
      <c r="G12" s="21">
        <f t="shared" ref="G12:G13" si="1">D12*E12</f>
        <v>1800</v>
      </c>
      <c r="H12" s="1"/>
    </row>
    <row r="13" spans="1:8" x14ac:dyDescent="0.25">
      <c r="A13" s="76"/>
      <c r="B13" s="1"/>
      <c r="C13" s="1"/>
      <c r="D13" s="1"/>
      <c r="E13" s="1"/>
      <c r="F13" s="29"/>
      <c r="G13" s="21">
        <f t="shared" si="1"/>
        <v>0</v>
      </c>
      <c r="H13" s="1"/>
    </row>
    <row r="14" spans="1:8" x14ac:dyDescent="0.25">
      <c r="A14" s="76"/>
      <c r="B14" s="29"/>
      <c r="C14" s="29"/>
      <c r="D14" s="29"/>
      <c r="E14" s="29"/>
      <c r="F14" s="29"/>
      <c r="G14" s="29"/>
      <c r="H14" s="29"/>
    </row>
    <row r="15" spans="1:8" x14ac:dyDescent="0.25">
      <c r="A15" s="76"/>
      <c r="B15" s="1"/>
      <c r="C15" s="1"/>
      <c r="D15" s="1"/>
      <c r="E15" s="1"/>
      <c r="F15" s="29"/>
      <c r="G15" s="1"/>
      <c r="H15" s="1"/>
    </row>
    <row r="16" spans="1:8" x14ac:dyDescent="0.25">
      <c r="A16" s="77"/>
      <c r="B16" s="69" t="s">
        <v>7</v>
      </c>
      <c r="C16" s="70"/>
      <c r="D16" s="71"/>
      <c r="E16" s="3"/>
      <c r="F16" s="3"/>
      <c r="G16" s="14">
        <f>SUM(G11:G15)</f>
        <v>3287.7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68" t="s">
        <v>134</v>
      </c>
      <c r="B18" s="1" t="s">
        <v>104</v>
      </c>
      <c r="C18" s="1">
        <v>1</v>
      </c>
      <c r="D18" s="1">
        <v>46.8</v>
      </c>
      <c r="E18" s="1">
        <v>20</v>
      </c>
      <c r="F18" s="29" t="s">
        <v>16</v>
      </c>
      <c r="G18" s="35">
        <f>D18*E18</f>
        <v>936</v>
      </c>
      <c r="H18" s="1"/>
    </row>
    <row r="19" spans="1:8" x14ac:dyDescent="0.25">
      <c r="A19" s="68"/>
      <c r="B19" s="1"/>
      <c r="C19" s="1"/>
      <c r="D19" s="1"/>
      <c r="E19" s="1"/>
      <c r="F19" s="34"/>
      <c r="G19" s="1"/>
      <c r="H19" s="1"/>
    </row>
    <row r="20" spans="1:8" x14ac:dyDescent="0.25">
      <c r="A20" s="68"/>
      <c r="B20" s="69" t="s">
        <v>7</v>
      </c>
      <c r="C20" s="70"/>
      <c r="D20" s="71"/>
      <c r="E20" s="3"/>
      <c r="F20" s="3"/>
      <c r="G20" s="16">
        <f>SUM(G18:G19)</f>
        <v>936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75"/>
      <c r="B22" s="1" t="s">
        <v>144</v>
      </c>
      <c r="C22" s="1">
        <v>3</v>
      </c>
      <c r="D22" s="1">
        <v>73.8</v>
      </c>
      <c r="E22" s="1">
        <v>3</v>
      </c>
      <c r="F22" s="32" t="s">
        <v>106</v>
      </c>
      <c r="G22" s="1">
        <f>D22*E22</f>
        <v>221.39999999999998</v>
      </c>
      <c r="H22" s="1"/>
    </row>
    <row r="23" spans="1:8" x14ac:dyDescent="0.25">
      <c r="A23" s="76"/>
      <c r="B23" s="1" t="s">
        <v>180</v>
      </c>
      <c r="C23" s="1"/>
      <c r="D23" s="1">
        <v>37</v>
      </c>
      <c r="E23" s="1">
        <v>20</v>
      </c>
      <c r="F23" s="34" t="s">
        <v>181</v>
      </c>
      <c r="G23" s="21">
        <f t="shared" ref="G23:G32" si="2">D23*E23</f>
        <v>740</v>
      </c>
      <c r="H23" s="34"/>
    </row>
    <row r="24" spans="1:8" x14ac:dyDescent="0.25">
      <c r="A24" s="76"/>
      <c r="B24" s="1" t="s">
        <v>182</v>
      </c>
      <c r="C24" s="1"/>
      <c r="D24" s="1">
        <v>187</v>
      </c>
      <c r="E24" s="1">
        <v>1</v>
      </c>
      <c r="F24" s="34" t="s">
        <v>183</v>
      </c>
      <c r="G24" s="21">
        <f t="shared" si="2"/>
        <v>187</v>
      </c>
      <c r="H24" s="34"/>
    </row>
    <row r="25" spans="1:8" x14ac:dyDescent="0.25">
      <c r="A25" s="76"/>
      <c r="B25" s="1" t="s">
        <v>184</v>
      </c>
      <c r="C25" s="1"/>
      <c r="D25" s="1">
        <v>255</v>
      </c>
      <c r="E25" s="1">
        <v>2</v>
      </c>
      <c r="F25" s="34" t="s">
        <v>176</v>
      </c>
      <c r="G25" s="21">
        <f t="shared" si="2"/>
        <v>510</v>
      </c>
      <c r="H25" s="34"/>
    </row>
    <row r="26" spans="1:8" x14ac:dyDescent="0.25">
      <c r="A26" s="76"/>
      <c r="B26" s="21" t="s">
        <v>185</v>
      </c>
      <c r="C26" s="21">
        <v>1</v>
      </c>
      <c r="D26" s="21">
        <v>270</v>
      </c>
      <c r="E26" s="40">
        <v>1</v>
      </c>
      <c r="F26" s="40" t="s">
        <v>176</v>
      </c>
      <c r="G26" s="22">
        <f t="shared" si="2"/>
        <v>270</v>
      </c>
      <c r="H26" s="21"/>
    </row>
    <row r="27" spans="1:8" x14ac:dyDescent="0.25">
      <c r="A27" s="76"/>
      <c r="B27" s="21" t="s">
        <v>186</v>
      </c>
      <c r="C27" s="21"/>
      <c r="D27" s="21">
        <v>362</v>
      </c>
      <c r="E27" s="21">
        <v>2</v>
      </c>
      <c r="F27" s="22" t="s">
        <v>176</v>
      </c>
      <c r="G27" s="22">
        <f t="shared" si="2"/>
        <v>724</v>
      </c>
      <c r="H27" s="21"/>
    </row>
    <row r="28" spans="1:8" x14ac:dyDescent="0.25">
      <c r="A28" s="76"/>
      <c r="B28" s="40" t="s">
        <v>188</v>
      </c>
      <c r="C28" s="40"/>
      <c r="D28" s="40">
        <v>117</v>
      </c>
      <c r="E28" s="40">
        <v>10</v>
      </c>
      <c r="F28" s="40" t="s">
        <v>179</v>
      </c>
      <c r="G28" s="40">
        <f t="shared" si="2"/>
        <v>1170</v>
      </c>
      <c r="H28" s="40"/>
    </row>
    <row r="29" spans="1:8" x14ac:dyDescent="0.25">
      <c r="A29" s="76"/>
      <c r="B29" s="40" t="s">
        <v>189</v>
      </c>
      <c r="C29" s="40"/>
      <c r="D29" s="40">
        <v>1188</v>
      </c>
      <c r="E29" s="40">
        <v>1</v>
      </c>
      <c r="F29" s="40" t="s">
        <v>176</v>
      </c>
      <c r="G29" s="40">
        <f t="shared" si="2"/>
        <v>1188</v>
      </c>
      <c r="H29" s="40"/>
    </row>
    <row r="30" spans="1:8" x14ac:dyDescent="0.25">
      <c r="A30" s="76"/>
      <c r="B30" s="40" t="s">
        <v>191</v>
      </c>
      <c r="C30" s="40"/>
      <c r="D30" s="40">
        <v>138</v>
      </c>
      <c r="E30" s="40">
        <v>1</v>
      </c>
      <c r="F30" s="40" t="s">
        <v>192</v>
      </c>
      <c r="G30" s="40">
        <f t="shared" si="2"/>
        <v>138</v>
      </c>
      <c r="H30" s="40"/>
    </row>
    <row r="31" spans="1:8" x14ac:dyDescent="0.25">
      <c r="A31" s="76"/>
      <c r="B31" s="40" t="s">
        <v>193</v>
      </c>
      <c r="C31" s="40"/>
      <c r="D31" s="40">
        <v>46.8</v>
      </c>
      <c r="E31" s="40">
        <v>20</v>
      </c>
      <c r="F31" s="40" t="s">
        <v>179</v>
      </c>
      <c r="G31" s="40">
        <f t="shared" si="2"/>
        <v>936</v>
      </c>
      <c r="H31" s="40"/>
    </row>
    <row r="32" spans="1:8" x14ac:dyDescent="0.25">
      <c r="A32" s="76"/>
      <c r="B32" s="40" t="s">
        <v>194</v>
      </c>
      <c r="C32" s="40"/>
      <c r="D32" s="40">
        <v>23.46</v>
      </c>
      <c r="E32" s="40">
        <v>5</v>
      </c>
      <c r="F32" s="40" t="s">
        <v>179</v>
      </c>
      <c r="G32" s="40">
        <f t="shared" si="2"/>
        <v>117.30000000000001</v>
      </c>
      <c r="H32" s="40"/>
    </row>
    <row r="33" spans="1:17" x14ac:dyDescent="0.25">
      <c r="A33" s="77"/>
      <c r="B33" s="69" t="s">
        <v>7</v>
      </c>
      <c r="C33" s="70"/>
      <c r="D33" s="71"/>
      <c r="E33" s="3"/>
      <c r="F33" s="3"/>
      <c r="G33" s="14">
        <f>SUM(G22:G32)</f>
        <v>6201.7</v>
      </c>
      <c r="H33" s="1"/>
    </row>
    <row r="34" spans="1:17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17" x14ac:dyDescent="0.25">
      <c r="A35" s="68" t="s">
        <v>135</v>
      </c>
      <c r="B35" s="32" t="s">
        <v>145</v>
      </c>
      <c r="C35" s="32">
        <v>1</v>
      </c>
      <c r="D35" s="32">
        <v>275</v>
      </c>
      <c r="E35" s="32">
        <v>1</v>
      </c>
      <c r="F35" s="34" t="s">
        <v>140</v>
      </c>
      <c r="G35" s="34">
        <f>D35*E35</f>
        <v>275</v>
      </c>
      <c r="H35" s="32"/>
    </row>
    <row r="36" spans="1:17" x14ac:dyDescent="0.25">
      <c r="A36" s="68"/>
      <c r="B36" s="32" t="s">
        <v>146</v>
      </c>
      <c r="C36" s="32">
        <v>1</v>
      </c>
      <c r="D36" s="32">
        <v>187</v>
      </c>
      <c r="E36" s="32">
        <v>1</v>
      </c>
      <c r="F36" s="32" t="s">
        <v>97</v>
      </c>
      <c r="G36" s="34">
        <f>D36*E36</f>
        <v>187</v>
      </c>
      <c r="H36" s="32"/>
    </row>
    <row r="37" spans="1:17" x14ac:dyDescent="0.25">
      <c r="A37" s="68"/>
      <c r="B37" s="1" t="s">
        <v>107</v>
      </c>
      <c r="C37" s="1">
        <v>8</v>
      </c>
      <c r="D37" s="1">
        <v>84</v>
      </c>
      <c r="E37" s="1">
        <v>8</v>
      </c>
      <c r="F37" s="12" t="s">
        <v>97</v>
      </c>
      <c r="G37" s="1">
        <f>D37*E37</f>
        <v>672</v>
      </c>
      <c r="H37" s="1"/>
    </row>
    <row r="38" spans="1:17" x14ac:dyDescent="0.25">
      <c r="A38" s="68"/>
      <c r="B38" s="1" t="s">
        <v>147</v>
      </c>
      <c r="C38" s="1">
        <v>4</v>
      </c>
      <c r="D38" s="1">
        <v>270</v>
      </c>
      <c r="E38" s="1">
        <v>4</v>
      </c>
      <c r="F38" s="1" t="s">
        <v>148</v>
      </c>
      <c r="G38" s="21">
        <f>D38*E38</f>
        <v>1080</v>
      </c>
      <c r="H38" s="1"/>
    </row>
    <row r="39" spans="1:17" x14ac:dyDescent="0.25">
      <c r="A39" s="68"/>
      <c r="B39" s="1" t="s">
        <v>125</v>
      </c>
      <c r="C39" s="1">
        <v>5</v>
      </c>
      <c r="D39" s="1">
        <v>23.46</v>
      </c>
      <c r="E39" s="1">
        <v>5</v>
      </c>
      <c r="F39" s="1" t="s">
        <v>106</v>
      </c>
      <c r="G39" s="2">
        <f>D39*E39</f>
        <v>117.30000000000001</v>
      </c>
      <c r="H39" s="1"/>
    </row>
    <row r="40" spans="1:17" x14ac:dyDescent="0.25">
      <c r="A40" s="68"/>
      <c r="B40" s="69" t="s">
        <v>15</v>
      </c>
      <c r="C40" s="70"/>
      <c r="D40" s="71"/>
      <c r="E40" s="3"/>
      <c r="F40" s="3"/>
      <c r="G40" s="14">
        <f>SUM(G35:G39)</f>
        <v>2331.3000000000002</v>
      </c>
      <c r="H40" s="1"/>
      <c r="Q40" s="47"/>
    </row>
    <row r="41" spans="1:17" x14ac:dyDescent="0.25">
      <c r="A41" s="1" t="s">
        <v>12</v>
      </c>
      <c r="B41" s="1" t="s">
        <v>1</v>
      </c>
      <c r="C41" s="1" t="s">
        <v>2</v>
      </c>
      <c r="D41" s="1" t="s">
        <v>3</v>
      </c>
      <c r="E41" s="3" t="s">
        <v>4</v>
      </c>
      <c r="F41" s="3"/>
      <c r="G41" s="3" t="s">
        <v>5</v>
      </c>
      <c r="H41" s="1" t="s">
        <v>6</v>
      </c>
      <c r="Q41" s="47"/>
    </row>
    <row r="42" spans="1:17" x14ac:dyDescent="0.25">
      <c r="A42" s="75"/>
      <c r="B42" s="1" t="s">
        <v>178</v>
      </c>
      <c r="C42" s="1"/>
      <c r="D42" s="1">
        <v>8.16</v>
      </c>
      <c r="E42" s="1">
        <v>75</v>
      </c>
      <c r="F42" s="1" t="s">
        <v>179</v>
      </c>
      <c r="G42" s="1">
        <f>D42*E42</f>
        <v>612</v>
      </c>
      <c r="H42" s="1"/>
      <c r="Q42" s="47"/>
    </row>
    <row r="43" spans="1:17" x14ac:dyDescent="0.25">
      <c r="A43" s="76"/>
      <c r="B43" s="44" t="s">
        <v>196</v>
      </c>
      <c r="C43" s="44"/>
      <c r="D43" s="44">
        <v>39.36</v>
      </c>
      <c r="E43" s="44">
        <v>56.67</v>
      </c>
      <c r="F43" s="44" t="s">
        <v>36</v>
      </c>
      <c r="G43" s="2">
        <f>D43*E43</f>
        <v>2230.5311999999999</v>
      </c>
      <c r="H43" s="1"/>
    </row>
    <row r="44" spans="1:17" x14ac:dyDescent="0.25">
      <c r="A44" s="76"/>
      <c r="B44" s="69" t="s">
        <v>7</v>
      </c>
      <c r="C44" s="70"/>
      <c r="D44" s="71"/>
      <c r="E44" s="3"/>
      <c r="F44" s="3"/>
      <c r="G44" s="14">
        <f>SUM(G42:G43)</f>
        <v>2842.5311999999999</v>
      </c>
      <c r="H44" s="6"/>
    </row>
    <row r="45" spans="1:17" x14ac:dyDescent="0.25">
      <c r="A45" s="77"/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17" x14ac:dyDescent="0.25">
      <c r="A46" s="7" t="s">
        <v>13</v>
      </c>
      <c r="B46" s="1" t="s">
        <v>171</v>
      </c>
      <c r="C46" s="1"/>
      <c r="D46" s="1">
        <v>60</v>
      </c>
      <c r="E46" s="1">
        <v>3</v>
      </c>
      <c r="F46" s="12" t="s">
        <v>172</v>
      </c>
      <c r="G46" s="1">
        <f>D46*E46</f>
        <v>180</v>
      </c>
      <c r="H46" s="1"/>
      <c r="Q46" s="47"/>
    </row>
    <row r="47" spans="1:17" x14ac:dyDescent="0.25">
      <c r="A47" s="75"/>
      <c r="B47" s="1" t="s">
        <v>173</v>
      </c>
      <c r="C47" s="1"/>
      <c r="D47" s="1">
        <v>120</v>
      </c>
      <c r="E47" s="1">
        <v>1</v>
      </c>
      <c r="F47" s="12" t="s">
        <v>174</v>
      </c>
      <c r="G47" s="21">
        <f t="shared" ref="G47:G52" si="3">D47*E47</f>
        <v>120</v>
      </c>
      <c r="H47" s="1"/>
      <c r="Q47" s="47"/>
    </row>
    <row r="48" spans="1:17" x14ac:dyDescent="0.25">
      <c r="A48" s="76"/>
      <c r="B48" s="1" t="s">
        <v>175</v>
      </c>
      <c r="C48" s="1"/>
      <c r="D48" s="1">
        <v>480</v>
      </c>
      <c r="E48" s="1">
        <v>1</v>
      </c>
      <c r="F48" s="12" t="s">
        <v>176</v>
      </c>
      <c r="G48" s="21">
        <f t="shared" si="3"/>
        <v>480</v>
      </c>
      <c r="H48" s="1"/>
      <c r="Q48" s="47"/>
    </row>
    <row r="49" spans="1:17" x14ac:dyDescent="0.25">
      <c r="A49" s="76"/>
      <c r="B49" s="1" t="s">
        <v>177</v>
      </c>
      <c r="C49" s="1"/>
      <c r="D49" s="1">
        <v>235</v>
      </c>
      <c r="E49" s="1">
        <v>2</v>
      </c>
      <c r="F49" s="12" t="s">
        <v>174</v>
      </c>
      <c r="G49" s="21">
        <f t="shared" si="3"/>
        <v>470</v>
      </c>
      <c r="H49" s="1"/>
      <c r="Q49" s="47"/>
    </row>
    <row r="50" spans="1:17" x14ac:dyDescent="0.25">
      <c r="A50" s="76"/>
      <c r="B50" s="12" t="s">
        <v>187</v>
      </c>
      <c r="C50" s="12"/>
      <c r="D50" s="13">
        <v>120</v>
      </c>
      <c r="E50" s="13">
        <v>1</v>
      </c>
      <c r="F50" s="13" t="s">
        <v>174</v>
      </c>
      <c r="G50" s="21">
        <f t="shared" si="3"/>
        <v>120</v>
      </c>
      <c r="H50" s="12"/>
    </row>
    <row r="51" spans="1:17" x14ac:dyDescent="0.25">
      <c r="A51" s="76"/>
      <c r="B51" s="40" t="s">
        <v>141</v>
      </c>
      <c r="C51" s="40">
        <v>1</v>
      </c>
      <c r="D51" s="40">
        <v>273</v>
      </c>
      <c r="E51" s="40">
        <v>1</v>
      </c>
      <c r="F51" s="40" t="s">
        <v>85</v>
      </c>
      <c r="G51" s="2">
        <f t="shared" si="3"/>
        <v>273</v>
      </c>
      <c r="H51" s="40"/>
    </row>
    <row r="52" spans="1:17" x14ac:dyDescent="0.25">
      <c r="A52" s="76"/>
      <c r="B52" s="44" t="s">
        <v>206</v>
      </c>
      <c r="C52" s="44"/>
      <c r="D52" s="44">
        <v>82.8</v>
      </c>
      <c r="E52" s="44">
        <v>45</v>
      </c>
      <c r="F52" s="44" t="s">
        <v>202</v>
      </c>
      <c r="G52" s="2">
        <f t="shared" si="3"/>
        <v>3726</v>
      </c>
      <c r="H52" s="44"/>
    </row>
    <row r="53" spans="1:17" x14ac:dyDescent="0.25">
      <c r="A53" s="76"/>
      <c r="B53" s="69" t="s">
        <v>7</v>
      </c>
      <c r="C53" s="70"/>
      <c r="D53" s="71"/>
      <c r="E53" s="3"/>
      <c r="F53" s="3"/>
      <c r="G53" s="14">
        <f>SUM(G46:G52)</f>
        <v>5369</v>
      </c>
      <c r="H53" s="1"/>
    </row>
    <row r="54" spans="1:17" ht="17.25" thickBot="1" x14ac:dyDescent="0.3">
      <c r="A54" s="76"/>
      <c r="B54" s="72" t="s">
        <v>14</v>
      </c>
      <c r="C54" s="73"/>
      <c r="D54" s="74"/>
      <c r="E54" s="8"/>
      <c r="F54" s="8"/>
      <c r="G54" s="9">
        <f>G53+G44+G40+G20+G16+G9+G33</f>
        <v>26623.831200000004</v>
      </c>
      <c r="H54" s="1"/>
    </row>
    <row r="55" spans="1:17" x14ac:dyDescent="0.25">
      <c r="A55" s="53" t="s">
        <v>158</v>
      </c>
      <c r="B55" s="56" t="s">
        <v>159</v>
      </c>
      <c r="C55" s="56"/>
      <c r="D55" s="56"/>
      <c r="E55" s="57" t="s">
        <v>160</v>
      </c>
      <c r="F55" s="58"/>
      <c r="G55" s="59"/>
      <c r="H55" s="37" t="s">
        <v>161</v>
      </c>
    </row>
    <row r="56" spans="1:17" x14ac:dyDescent="0.25">
      <c r="A56" s="54"/>
      <c r="B56" s="60" t="s">
        <v>207</v>
      </c>
      <c r="C56" s="61"/>
      <c r="D56" s="61"/>
      <c r="E56" s="38" t="s">
        <v>162</v>
      </c>
      <c r="F56" s="63"/>
      <c r="G56" s="64"/>
      <c r="H56" s="49" t="s">
        <v>165</v>
      </c>
    </row>
    <row r="57" spans="1:17" ht="17.25" thickBot="1" x14ac:dyDescent="0.3">
      <c r="A57" s="55"/>
      <c r="B57" s="62"/>
      <c r="C57" s="62"/>
      <c r="D57" s="62"/>
      <c r="E57" s="39" t="s">
        <v>163</v>
      </c>
      <c r="F57" s="51">
        <v>270</v>
      </c>
      <c r="G57" s="52"/>
      <c r="H57" s="50"/>
    </row>
  </sheetData>
  <mergeCells count="23">
    <mergeCell ref="B53:D53"/>
    <mergeCell ref="B54:D54"/>
    <mergeCell ref="B33:D33"/>
    <mergeCell ref="A35:A40"/>
    <mergeCell ref="B40:D40"/>
    <mergeCell ref="B44:D44"/>
    <mergeCell ref="A42:A45"/>
    <mergeCell ref="A22:A33"/>
    <mergeCell ref="A47:A54"/>
    <mergeCell ref="A18:A20"/>
    <mergeCell ref="B20:D20"/>
    <mergeCell ref="A1:H1"/>
    <mergeCell ref="A3:A9"/>
    <mergeCell ref="B9:D9"/>
    <mergeCell ref="B16:D16"/>
    <mergeCell ref="A11:A16"/>
    <mergeCell ref="H56:H57"/>
    <mergeCell ref="F57:G57"/>
    <mergeCell ref="A55:A57"/>
    <mergeCell ref="B55:D55"/>
    <mergeCell ref="E55:G55"/>
    <mergeCell ref="B56:D57"/>
    <mergeCell ref="F56:G56"/>
  </mergeCells>
  <phoneticPr fontId="2" type="noConversion"/>
  <pageMargins left="0.7" right="0.7" top="0.75" bottom="0.75" header="0.3" footer="0.3"/>
  <pageSetup paperSize="9" scale="82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11" workbookViewId="0">
      <selection activeCell="G44" sqref="G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5" t="s">
        <v>227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8" t="s">
        <v>42</v>
      </c>
      <c r="B3" s="1" t="s">
        <v>52</v>
      </c>
      <c r="C3" s="1">
        <v>60</v>
      </c>
      <c r="D3" s="1">
        <v>168</v>
      </c>
      <c r="E3" s="1">
        <v>60</v>
      </c>
      <c r="F3" s="32" t="s">
        <v>36</v>
      </c>
      <c r="G3" s="2">
        <f>D3*E3</f>
        <v>10080</v>
      </c>
      <c r="H3" s="1"/>
    </row>
    <row r="4" spans="1:8" x14ac:dyDescent="0.25">
      <c r="A4" s="68"/>
      <c r="B4" s="1" t="s">
        <v>41</v>
      </c>
      <c r="C4" s="1">
        <v>1</v>
      </c>
      <c r="D4" s="1">
        <v>61.2</v>
      </c>
      <c r="E4" s="1">
        <v>1</v>
      </c>
      <c r="F4" s="32" t="s">
        <v>36</v>
      </c>
      <c r="G4" s="2">
        <f t="shared" ref="G4:G7" si="0">D4*E4</f>
        <v>61.2</v>
      </c>
      <c r="H4" s="1"/>
    </row>
    <row r="5" spans="1:8" x14ac:dyDescent="0.25">
      <c r="A5" s="68"/>
      <c r="B5" s="1" t="s">
        <v>53</v>
      </c>
      <c r="C5" s="1">
        <v>1</v>
      </c>
      <c r="D5" s="1">
        <v>119.7</v>
      </c>
      <c r="E5" s="1">
        <v>1</v>
      </c>
      <c r="F5" s="32" t="s">
        <v>36</v>
      </c>
      <c r="G5" s="2">
        <f t="shared" si="0"/>
        <v>119.7</v>
      </c>
      <c r="H5" s="1"/>
    </row>
    <row r="6" spans="1:8" x14ac:dyDescent="0.25">
      <c r="A6" s="68"/>
      <c r="B6" s="44" t="s">
        <v>54</v>
      </c>
      <c r="C6" s="32">
        <v>5</v>
      </c>
      <c r="D6" s="32">
        <v>105</v>
      </c>
      <c r="E6" s="31">
        <v>5</v>
      </c>
      <c r="F6" s="31" t="s">
        <v>36</v>
      </c>
      <c r="G6" s="2">
        <f t="shared" si="0"/>
        <v>525</v>
      </c>
      <c r="H6" s="32"/>
    </row>
    <row r="7" spans="1:8" x14ac:dyDescent="0.25">
      <c r="A7" s="68"/>
      <c r="B7" s="19" t="s">
        <v>40</v>
      </c>
      <c r="C7" s="1">
        <v>6</v>
      </c>
      <c r="D7" s="1">
        <v>23.46</v>
      </c>
      <c r="E7" s="3">
        <v>6</v>
      </c>
      <c r="F7" s="31" t="s">
        <v>36</v>
      </c>
      <c r="G7" s="2">
        <f t="shared" si="0"/>
        <v>140.76</v>
      </c>
      <c r="H7" s="1"/>
    </row>
    <row r="8" spans="1:8" x14ac:dyDescent="0.25">
      <c r="A8" s="68"/>
      <c r="B8" s="69" t="s">
        <v>7</v>
      </c>
      <c r="C8" s="70"/>
      <c r="D8" s="71"/>
      <c r="E8" s="3"/>
      <c r="F8" s="3"/>
      <c r="G8" s="14">
        <f>SUM(G3:G7)</f>
        <v>10926.660000000002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68" t="s">
        <v>43</v>
      </c>
      <c r="B10" s="17" t="s">
        <v>55</v>
      </c>
      <c r="C10" s="1">
        <v>50</v>
      </c>
      <c r="D10" s="1">
        <v>46.92</v>
      </c>
      <c r="E10" s="1">
        <v>50</v>
      </c>
      <c r="F10" s="32" t="s">
        <v>36</v>
      </c>
      <c r="G10" s="1">
        <f>D10*E10</f>
        <v>2346</v>
      </c>
      <c r="H10" s="1"/>
    </row>
    <row r="11" spans="1:8" x14ac:dyDescent="0.25">
      <c r="A11" s="68"/>
      <c r="B11" s="1" t="s">
        <v>56</v>
      </c>
      <c r="C11" s="1">
        <v>35</v>
      </c>
      <c r="D11" s="1">
        <v>20</v>
      </c>
      <c r="E11" s="1">
        <v>35</v>
      </c>
      <c r="F11" s="29" t="s">
        <v>59</v>
      </c>
      <c r="G11" s="44">
        <f t="shared" ref="G11:G12" si="1">D11*E11</f>
        <v>700</v>
      </c>
      <c r="H11" s="1"/>
    </row>
    <row r="12" spans="1:8" x14ac:dyDescent="0.25">
      <c r="A12" s="68"/>
      <c r="B12" s="44" t="s">
        <v>201</v>
      </c>
      <c r="C12" s="44"/>
      <c r="D12" s="44">
        <v>100</v>
      </c>
      <c r="E12" s="44">
        <v>4</v>
      </c>
      <c r="F12" s="44" t="s">
        <v>202</v>
      </c>
      <c r="G12" s="44">
        <f t="shared" si="1"/>
        <v>400</v>
      </c>
      <c r="H12" s="1"/>
    </row>
    <row r="13" spans="1:8" x14ac:dyDescent="0.25">
      <c r="A13" s="68"/>
      <c r="B13" s="1"/>
      <c r="C13" s="1"/>
      <c r="D13" s="1"/>
      <c r="E13" s="1"/>
      <c r="F13" s="29"/>
      <c r="G13" s="1"/>
      <c r="H13" s="1"/>
    </row>
    <row r="14" spans="1:8" x14ac:dyDescent="0.25">
      <c r="A14" s="68"/>
      <c r="B14" s="1"/>
      <c r="C14" s="1"/>
      <c r="D14" s="1"/>
      <c r="E14" s="1"/>
      <c r="F14" s="1"/>
      <c r="G14" s="1"/>
      <c r="H14" s="1"/>
    </row>
    <row r="15" spans="1:8" x14ac:dyDescent="0.25">
      <c r="A15" s="68"/>
      <c r="B15" s="69" t="s">
        <v>7</v>
      </c>
      <c r="C15" s="70"/>
      <c r="D15" s="71"/>
      <c r="E15" s="3"/>
      <c r="F15" s="3"/>
      <c r="G15" s="14">
        <f>SUM(G10:G14)</f>
        <v>3446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8" t="s">
        <v>44</v>
      </c>
      <c r="B17" s="1" t="s">
        <v>57</v>
      </c>
      <c r="C17" s="1">
        <v>10</v>
      </c>
      <c r="D17" s="1">
        <v>84</v>
      </c>
      <c r="E17" s="19">
        <v>2.5</v>
      </c>
      <c r="F17" s="44" t="s">
        <v>36</v>
      </c>
      <c r="G17" s="1">
        <f>D17*E17</f>
        <v>210</v>
      </c>
      <c r="H17" s="1"/>
    </row>
    <row r="18" spans="1:8" x14ac:dyDescent="0.25">
      <c r="A18" s="68"/>
      <c r="B18" s="1" t="s">
        <v>58</v>
      </c>
      <c r="C18" s="1">
        <v>40</v>
      </c>
      <c r="D18" s="1">
        <v>82.55</v>
      </c>
      <c r="E18" s="1">
        <v>40</v>
      </c>
      <c r="F18" s="32" t="s">
        <v>36</v>
      </c>
      <c r="G18" s="44">
        <f>D18*E18</f>
        <v>3302</v>
      </c>
      <c r="H18" s="1"/>
    </row>
    <row r="19" spans="1:8" x14ac:dyDescent="0.25">
      <c r="A19" s="68"/>
      <c r="B19" s="1"/>
      <c r="C19" s="1"/>
      <c r="D19" s="1"/>
      <c r="E19" s="1"/>
      <c r="F19" s="1"/>
      <c r="G19" s="1"/>
      <c r="H19" s="1"/>
    </row>
    <row r="20" spans="1:8" x14ac:dyDescent="0.25">
      <c r="A20" s="68"/>
      <c r="B20" s="23"/>
      <c r="C20" s="23"/>
      <c r="D20" s="23"/>
      <c r="E20" s="23"/>
      <c r="F20" s="29"/>
      <c r="G20" s="1"/>
      <c r="H20" s="1"/>
    </row>
    <row r="21" spans="1:8" x14ac:dyDescent="0.25">
      <c r="A21" s="68"/>
      <c r="B21" s="69" t="s">
        <v>7</v>
      </c>
      <c r="C21" s="70"/>
      <c r="D21" s="71"/>
      <c r="E21" s="3"/>
      <c r="F21" s="3"/>
      <c r="G21" s="16">
        <f>SUM(G17:G20)</f>
        <v>3512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8"/>
      <c r="B23" s="1" t="s">
        <v>49</v>
      </c>
      <c r="C23" s="1">
        <v>8</v>
      </c>
      <c r="D23" s="1">
        <v>22.8</v>
      </c>
      <c r="E23" s="1">
        <v>8</v>
      </c>
      <c r="F23" s="32" t="s">
        <v>36</v>
      </c>
      <c r="G23" s="1">
        <f>D23*E23</f>
        <v>182.4</v>
      </c>
      <c r="H23" s="1"/>
    </row>
    <row r="24" spans="1:8" x14ac:dyDescent="0.25">
      <c r="A24" s="68"/>
      <c r="B24" s="1" t="s">
        <v>50</v>
      </c>
      <c r="C24" s="1">
        <v>4</v>
      </c>
      <c r="D24" s="1">
        <v>141</v>
      </c>
      <c r="E24" s="1">
        <v>4</v>
      </c>
      <c r="F24" s="32" t="s">
        <v>36</v>
      </c>
      <c r="G24" s="44">
        <f t="shared" ref="G24:G27" si="2">D24*E24</f>
        <v>564</v>
      </c>
      <c r="H24" s="1"/>
    </row>
    <row r="25" spans="1:8" x14ac:dyDescent="0.25">
      <c r="A25" s="68"/>
      <c r="B25" s="1" t="s">
        <v>51</v>
      </c>
      <c r="C25" s="1">
        <v>35</v>
      </c>
      <c r="D25" s="1">
        <v>183</v>
      </c>
      <c r="E25" s="19">
        <v>5.17</v>
      </c>
      <c r="F25" s="44" t="s">
        <v>36</v>
      </c>
      <c r="G25" s="44">
        <f t="shared" si="2"/>
        <v>946.11</v>
      </c>
      <c r="H25" s="1"/>
    </row>
    <row r="26" spans="1:8" x14ac:dyDescent="0.25">
      <c r="A26" s="68"/>
      <c r="B26" s="29" t="s">
        <v>197</v>
      </c>
      <c r="C26" s="29"/>
      <c r="D26" s="29">
        <v>12</v>
      </c>
      <c r="E26" s="29">
        <v>24</v>
      </c>
      <c r="F26" s="29" t="s">
        <v>198</v>
      </c>
      <c r="G26" s="44">
        <f t="shared" si="2"/>
        <v>288</v>
      </c>
      <c r="H26" s="29"/>
    </row>
    <row r="27" spans="1:8" x14ac:dyDescent="0.25">
      <c r="A27" s="68"/>
      <c r="B27" s="1" t="s">
        <v>199</v>
      </c>
      <c r="C27" s="1"/>
      <c r="D27" s="1">
        <v>70</v>
      </c>
      <c r="E27" s="1">
        <v>3</v>
      </c>
      <c r="F27" s="29" t="s">
        <v>200</v>
      </c>
      <c r="G27" s="44">
        <f t="shared" si="2"/>
        <v>210</v>
      </c>
      <c r="H27" s="1"/>
    </row>
    <row r="28" spans="1:8" x14ac:dyDescent="0.25">
      <c r="A28" s="68"/>
      <c r="B28" s="69" t="s">
        <v>7</v>
      </c>
      <c r="C28" s="70"/>
      <c r="D28" s="71"/>
      <c r="E28" s="3"/>
      <c r="F28" s="3"/>
      <c r="G28" s="14">
        <f>SUM(G23:G27)</f>
        <v>2190.5100000000002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68" t="s">
        <v>45</v>
      </c>
      <c r="B30" s="23" t="s">
        <v>46</v>
      </c>
      <c r="C30" s="23">
        <v>20</v>
      </c>
      <c r="D30" s="23">
        <v>13.5</v>
      </c>
      <c r="E30" s="23">
        <v>20</v>
      </c>
      <c r="F30" t="s">
        <v>36</v>
      </c>
      <c r="G30" s="1">
        <f>D30*E30</f>
        <v>270</v>
      </c>
      <c r="H30" s="1"/>
    </row>
    <row r="31" spans="1:8" x14ac:dyDescent="0.25">
      <c r="A31" s="68"/>
      <c r="B31" s="1" t="s">
        <v>47</v>
      </c>
      <c r="C31" s="1">
        <v>15</v>
      </c>
      <c r="D31" s="1">
        <v>41.82</v>
      </c>
      <c r="E31" s="1">
        <v>15</v>
      </c>
      <c r="F31" s="32" t="s">
        <v>36</v>
      </c>
      <c r="G31" s="44">
        <f t="shared" ref="G31:G32" si="3">D31*E31</f>
        <v>627.29999999999995</v>
      </c>
      <c r="H31" s="1"/>
    </row>
    <row r="32" spans="1:8" x14ac:dyDescent="0.25">
      <c r="A32" s="68"/>
      <c r="B32" s="1" t="s">
        <v>48</v>
      </c>
      <c r="C32" s="1">
        <v>5</v>
      </c>
      <c r="D32" s="1">
        <v>27</v>
      </c>
      <c r="E32" s="1">
        <v>5</v>
      </c>
      <c r="F32" s="32" t="s">
        <v>36</v>
      </c>
      <c r="G32" s="44">
        <f t="shared" si="3"/>
        <v>135</v>
      </c>
      <c r="H32" s="1"/>
    </row>
    <row r="33" spans="1:8" x14ac:dyDescent="0.25">
      <c r="A33" s="68"/>
      <c r="B33" s="69"/>
      <c r="C33" s="70"/>
      <c r="D33" s="71"/>
      <c r="E33" s="3"/>
      <c r="F33" s="3"/>
      <c r="G33" s="14">
        <f>SUM(G30:G32)</f>
        <v>1032.3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75"/>
      <c r="B35" s="1" t="s">
        <v>151</v>
      </c>
      <c r="C35" s="1"/>
      <c r="D35" s="1">
        <v>10.199999999999999</v>
      </c>
      <c r="E35" s="1">
        <v>76.5</v>
      </c>
      <c r="F35" s="44" t="s">
        <v>36</v>
      </c>
      <c r="G35" s="2">
        <f>D35*E35</f>
        <v>780.3</v>
      </c>
      <c r="H35" s="1"/>
    </row>
    <row r="36" spans="1:8" x14ac:dyDescent="0.25">
      <c r="A36" s="76"/>
      <c r="B36" s="1" t="s">
        <v>208</v>
      </c>
      <c r="C36" s="1"/>
      <c r="D36" s="1">
        <v>49.92</v>
      </c>
      <c r="E36" s="1">
        <v>75</v>
      </c>
      <c r="F36" s="44" t="s">
        <v>36</v>
      </c>
      <c r="G36" s="2">
        <f>D36*E36</f>
        <v>3744</v>
      </c>
      <c r="H36" s="1"/>
    </row>
    <row r="37" spans="1:8" x14ac:dyDescent="0.25">
      <c r="A37" s="77"/>
      <c r="B37" s="69" t="s">
        <v>7</v>
      </c>
      <c r="C37" s="70"/>
      <c r="D37" s="71"/>
      <c r="E37" s="3"/>
      <c r="F37" s="3"/>
      <c r="G37" s="14">
        <f>SUM(G35:G36)</f>
        <v>4524.3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68"/>
      <c r="B39" s="44" t="s">
        <v>203</v>
      </c>
      <c r="C39" s="44"/>
      <c r="D39" s="44">
        <v>52.8</v>
      </c>
      <c r="E39" s="44">
        <v>10</v>
      </c>
      <c r="F39" s="44" t="s">
        <v>202</v>
      </c>
      <c r="G39" s="1">
        <f>D39*E39</f>
        <v>528</v>
      </c>
      <c r="H39" s="1"/>
    </row>
    <row r="40" spans="1:8" x14ac:dyDescent="0.25">
      <c r="A40" s="68"/>
      <c r="B40" s="1" t="s">
        <v>205</v>
      </c>
      <c r="C40" s="1"/>
      <c r="D40" s="1">
        <v>23.46</v>
      </c>
      <c r="E40" s="1">
        <v>10</v>
      </c>
      <c r="F40" s="1" t="s">
        <v>202</v>
      </c>
      <c r="G40" s="44">
        <f>D40*E40</f>
        <v>234.60000000000002</v>
      </c>
      <c r="H40" s="1"/>
    </row>
    <row r="41" spans="1:8" x14ac:dyDescent="0.25">
      <c r="A41" s="68"/>
      <c r="B41" s="1"/>
      <c r="C41" s="1"/>
      <c r="D41" s="1"/>
      <c r="E41" s="1"/>
      <c r="F41" s="1"/>
      <c r="G41" s="1"/>
      <c r="H41" s="1"/>
    </row>
    <row r="42" spans="1:8" x14ac:dyDescent="0.25">
      <c r="A42" s="68"/>
      <c r="B42" s="1"/>
      <c r="C42" s="1"/>
      <c r="D42" s="1"/>
      <c r="E42" s="1"/>
      <c r="F42" s="1"/>
      <c r="G42" s="1"/>
      <c r="H42" s="1"/>
    </row>
    <row r="43" spans="1:8" x14ac:dyDescent="0.25">
      <c r="A43" s="68"/>
      <c r="B43" s="69" t="s">
        <v>7</v>
      </c>
      <c r="C43" s="70"/>
      <c r="D43" s="71"/>
      <c r="E43" s="3"/>
      <c r="F43" s="3"/>
      <c r="G43" s="14">
        <f>SUM(G39:G42)</f>
        <v>762.6</v>
      </c>
      <c r="H43" s="1"/>
    </row>
    <row r="44" spans="1:8" ht="17.25" thickBot="1" x14ac:dyDescent="0.3">
      <c r="A44" s="1"/>
      <c r="B44" s="72" t="s">
        <v>14</v>
      </c>
      <c r="C44" s="73"/>
      <c r="D44" s="74"/>
      <c r="E44" s="8"/>
      <c r="F44" s="8"/>
      <c r="G44" s="9">
        <f>G43+G37+G33+G21+G15+G8+G28</f>
        <v>26394.370000000003</v>
      </c>
      <c r="H44" s="1"/>
    </row>
    <row r="45" spans="1:8" x14ac:dyDescent="0.25">
      <c r="A45" s="53" t="s">
        <v>158</v>
      </c>
      <c r="B45" s="56" t="s">
        <v>159</v>
      </c>
      <c r="C45" s="56"/>
      <c r="D45" s="56"/>
      <c r="E45" s="57" t="s">
        <v>160</v>
      </c>
      <c r="F45" s="58"/>
      <c r="G45" s="59"/>
      <c r="H45" s="37" t="s">
        <v>161</v>
      </c>
    </row>
    <row r="46" spans="1:8" x14ac:dyDescent="0.25">
      <c r="A46" s="54"/>
      <c r="B46" s="60"/>
      <c r="C46" s="61"/>
      <c r="D46" s="61"/>
      <c r="E46" s="38" t="s">
        <v>162</v>
      </c>
      <c r="F46" s="63"/>
      <c r="G46" s="64"/>
      <c r="H46" s="49" t="s">
        <v>228</v>
      </c>
    </row>
    <row r="47" spans="1:8" ht="17.25" thickBot="1" x14ac:dyDescent="0.3">
      <c r="A47" s="55"/>
      <c r="B47" s="62"/>
      <c r="C47" s="62"/>
      <c r="D47" s="62"/>
      <c r="E47" s="39" t="s">
        <v>163</v>
      </c>
      <c r="F47" s="51">
        <v>260</v>
      </c>
      <c r="G47" s="52"/>
      <c r="H47" s="50"/>
    </row>
  </sheetData>
  <mergeCells count="23">
    <mergeCell ref="A39:A43"/>
    <mergeCell ref="B43:D43"/>
    <mergeCell ref="B44:D44"/>
    <mergeCell ref="A23:A28"/>
    <mergeCell ref="B28:D28"/>
    <mergeCell ref="A30:A33"/>
    <mergeCell ref="B33:D33"/>
    <mergeCell ref="A35:A37"/>
    <mergeCell ref="B37:D37"/>
    <mergeCell ref="A17:A21"/>
    <mergeCell ref="B21:D21"/>
    <mergeCell ref="A1:H1"/>
    <mergeCell ref="A3:A8"/>
    <mergeCell ref="B8:D8"/>
    <mergeCell ref="A10:A15"/>
    <mergeCell ref="B15:D15"/>
    <mergeCell ref="H46:H47"/>
    <mergeCell ref="F47:G47"/>
    <mergeCell ref="A45:A47"/>
    <mergeCell ref="B45:D45"/>
    <mergeCell ref="E45:G45"/>
    <mergeCell ref="B46:D47"/>
    <mergeCell ref="F46:G46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opLeftCell="A37" workbookViewId="0">
      <selection activeCell="H54" sqref="A1:H5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5" t="s">
        <v>226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8" t="s">
        <v>60</v>
      </c>
      <c r="B3" s="1" t="s">
        <v>50</v>
      </c>
      <c r="C3" s="1">
        <v>30</v>
      </c>
      <c r="D3" s="1">
        <v>141</v>
      </c>
      <c r="E3" s="1">
        <v>30</v>
      </c>
      <c r="F3" s="32" t="s">
        <v>36</v>
      </c>
      <c r="G3" s="2">
        <f>D3*E3</f>
        <v>4230</v>
      </c>
      <c r="H3" s="1"/>
    </row>
    <row r="4" spans="1:8" x14ac:dyDescent="0.25">
      <c r="A4" s="68"/>
      <c r="B4" s="1" t="s">
        <v>63</v>
      </c>
      <c r="C4" s="1">
        <v>15</v>
      </c>
      <c r="D4" s="1">
        <v>177</v>
      </c>
      <c r="E4" s="1">
        <v>15</v>
      </c>
      <c r="F4" s="32" t="s">
        <v>36</v>
      </c>
      <c r="G4" s="2">
        <f t="shared" ref="G4:G7" si="0">D4*E4</f>
        <v>2655</v>
      </c>
      <c r="H4" s="1"/>
    </row>
    <row r="5" spans="1:8" x14ac:dyDescent="0.25">
      <c r="A5" s="68"/>
      <c r="B5" s="1" t="s">
        <v>64</v>
      </c>
      <c r="C5" s="1">
        <v>2</v>
      </c>
      <c r="D5" s="1">
        <v>108</v>
      </c>
      <c r="E5" s="1">
        <v>2</v>
      </c>
      <c r="F5" s="32" t="s">
        <v>36</v>
      </c>
      <c r="G5" s="2">
        <f t="shared" si="0"/>
        <v>216</v>
      </c>
      <c r="H5" s="1"/>
    </row>
    <row r="6" spans="1:8" x14ac:dyDescent="0.25">
      <c r="A6" s="68"/>
      <c r="B6" s="1" t="s">
        <v>65</v>
      </c>
      <c r="C6" s="1">
        <v>1.5</v>
      </c>
      <c r="D6" s="1">
        <v>119.7</v>
      </c>
      <c r="E6" s="3">
        <v>1.5</v>
      </c>
      <c r="F6" s="31" t="s">
        <v>36</v>
      </c>
      <c r="G6" s="2">
        <f t="shared" si="0"/>
        <v>179.55</v>
      </c>
      <c r="H6" s="1"/>
    </row>
    <row r="7" spans="1:8" x14ac:dyDescent="0.25">
      <c r="A7" s="68"/>
      <c r="B7" s="1" t="s">
        <v>40</v>
      </c>
      <c r="C7" s="1">
        <v>5</v>
      </c>
      <c r="D7" s="1">
        <v>23.46</v>
      </c>
      <c r="E7" s="3">
        <v>5</v>
      </c>
      <c r="F7" s="31" t="s">
        <v>36</v>
      </c>
      <c r="G7" s="2">
        <f t="shared" si="0"/>
        <v>117.30000000000001</v>
      </c>
      <c r="H7" s="1"/>
    </row>
    <row r="8" spans="1:8" x14ac:dyDescent="0.25">
      <c r="A8" s="68"/>
      <c r="B8" s="69" t="s">
        <v>7</v>
      </c>
      <c r="C8" s="70"/>
      <c r="D8" s="71"/>
      <c r="E8" s="3"/>
      <c r="F8" s="3"/>
      <c r="G8" s="14">
        <f>SUM(G3:G7)</f>
        <v>7397.85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29"/>
      <c r="G9" s="1" t="s">
        <v>5</v>
      </c>
      <c r="H9" s="1" t="s">
        <v>6</v>
      </c>
    </row>
    <row r="10" spans="1:8" x14ac:dyDescent="0.25">
      <c r="A10" s="75" t="s">
        <v>61</v>
      </c>
      <c r="B10" s="23" t="s">
        <v>66</v>
      </c>
      <c r="C10" s="23">
        <v>50</v>
      </c>
      <c r="D10" s="23">
        <v>28.56</v>
      </c>
      <c r="E10" s="23">
        <v>51</v>
      </c>
      <c r="F10" s="32" t="s">
        <v>36</v>
      </c>
      <c r="G10" s="2">
        <f>D10*E10</f>
        <v>1456.56</v>
      </c>
      <c r="H10" s="23"/>
    </row>
    <row r="11" spans="1:8" x14ac:dyDescent="0.25">
      <c r="A11" s="76"/>
      <c r="B11" s="1" t="s">
        <v>67</v>
      </c>
      <c r="C11" s="1">
        <v>1</v>
      </c>
      <c r="D11" s="1">
        <v>666.6</v>
      </c>
      <c r="E11" s="1">
        <v>1</v>
      </c>
      <c r="F11" s="32" t="s">
        <v>36</v>
      </c>
      <c r="G11" s="2">
        <f t="shared" ref="G11:G14" si="1">D11*E11</f>
        <v>666.6</v>
      </c>
      <c r="H11" s="1"/>
    </row>
    <row r="12" spans="1:8" x14ac:dyDescent="0.25">
      <c r="A12" s="76"/>
      <c r="B12" s="1" t="s">
        <v>68</v>
      </c>
      <c r="C12" s="1">
        <v>1</v>
      </c>
      <c r="D12" s="1">
        <v>1125</v>
      </c>
      <c r="E12" s="1">
        <v>1</v>
      </c>
      <c r="F12" s="32" t="s">
        <v>36</v>
      </c>
      <c r="G12" s="2">
        <f t="shared" si="1"/>
        <v>1125</v>
      </c>
      <c r="H12" s="1"/>
    </row>
    <row r="13" spans="1:8" x14ac:dyDescent="0.25">
      <c r="A13" s="76"/>
      <c r="B13" s="1" t="s">
        <v>38</v>
      </c>
      <c r="C13" s="1">
        <v>3</v>
      </c>
      <c r="D13" s="1">
        <v>19.38</v>
      </c>
      <c r="E13" s="1">
        <v>2</v>
      </c>
      <c r="F13" s="32" t="s">
        <v>36</v>
      </c>
      <c r="G13" s="2">
        <f t="shared" si="1"/>
        <v>38.76</v>
      </c>
      <c r="H13" s="1"/>
    </row>
    <row r="14" spans="1:8" x14ac:dyDescent="0.25">
      <c r="A14" s="76"/>
      <c r="B14" s="1" t="s">
        <v>69</v>
      </c>
      <c r="C14" s="1">
        <v>5</v>
      </c>
      <c r="D14" s="1">
        <v>123</v>
      </c>
      <c r="E14" s="1">
        <v>5</v>
      </c>
      <c r="F14" s="32" t="s">
        <v>36</v>
      </c>
      <c r="G14" s="2">
        <f t="shared" si="1"/>
        <v>615</v>
      </c>
      <c r="H14" s="1"/>
    </row>
    <row r="15" spans="1:8" x14ac:dyDescent="0.25">
      <c r="A15" s="76"/>
      <c r="B15" s="17"/>
      <c r="C15" s="1"/>
      <c r="D15" s="1"/>
      <c r="E15" s="1"/>
      <c r="F15" s="1"/>
      <c r="G15" s="1"/>
      <c r="H15" s="12"/>
    </row>
    <row r="16" spans="1:8" x14ac:dyDescent="0.25">
      <c r="A16" s="77"/>
      <c r="B16" s="69" t="s">
        <v>7</v>
      </c>
      <c r="C16" s="70"/>
      <c r="D16" s="71"/>
      <c r="E16" s="3"/>
      <c r="F16" s="3"/>
      <c r="G16" s="14">
        <f>SUM(G10:G15)</f>
        <v>3901.92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68" t="s">
        <v>62</v>
      </c>
      <c r="B18" s="1" t="s">
        <v>70</v>
      </c>
      <c r="C18" s="1">
        <v>8</v>
      </c>
      <c r="D18" s="1">
        <v>28.56</v>
      </c>
      <c r="E18" s="1">
        <v>8</v>
      </c>
      <c r="F18" s="32" t="s">
        <v>36</v>
      </c>
      <c r="G18" s="2">
        <f>D18*E18</f>
        <v>228.48</v>
      </c>
      <c r="H18" s="1"/>
    </row>
    <row r="19" spans="1:8" x14ac:dyDescent="0.25">
      <c r="A19" s="68"/>
      <c r="B19" s="1" t="s">
        <v>71</v>
      </c>
      <c r="C19" s="1">
        <v>30</v>
      </c>
      <c r="D19" s="1">
        <v>50</v>
      </c>
      <c r="E19" s="1">
        <v>30</v>
      </c>
      <c r="F19" s="32" t="s">
        <v>36</v>
      </c>
      <c r="G19" s="2">
        <f t="shared" ref="G19:G20" si="2">D19*E19</f>
        <v>1500</v>
      </c>
      <c r="H19" s="1"/>
    </row>
    <row r="20" spans="1:8" x14ac:dyDescent="0.25">
      <c r="A20" s="68"/>
      <c r="B20" s="1" t="s">
        <v>72</v>
      </c>
      <c r="C20" s="1">
        <v>3</v>
      </c>
      <c r="D20" s="1">
        <v>15.3</v>
      </c>
      <c r="E20" s="1">
        <v>3</v>
      </c>
      <c r="F20" s="32" t="s">
        <v>36</v>
      </c>
      <c r="G20" s="2">
        <f t="shared" si="2"/>
        <v>45.900000000000006</v>
      </c>
      <c r="H20" s="1"/>
    </row>
    <row r="21" spans="1:8" x14ac:dyDescent="0.25">
      <c r="A21" s="68"/>
      <c r="B21" s="1"/>
      <c r="C21" s="1"/>
      <c r="D21" s="1"/>
      <c r="E21" s="3"/>
      <c r="F21" s="3"/>
      <c r="G21" s="1"/>
      <c r="H21" s="1"/>
    </row>
    <row r="22" spans="1:8" x14ac:dyDescent="0.25">
      <c r="A22" s="68"/>
      <c r="B22" s="69" t="s">
        <v>7</v>
      </c>
      <c r="C22" s="70"/>
      <c r="D22" s="71"/>
      <c r="E22" s="3"/>
      <c r="F22" s="3"/>
      <c r="G22" s="14">
        <f>SUM(G18:G21)</f>
        <v>1774.38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78"/>
      <c r="B24" s="17" t="s">
        <v>73</v>
      </c>
      <c r="C24" s="12">
        <v>20</v>
      </c>
      <c r="D24" s="12">
        <v>10</v>
      </c>
      <c r="E24" s="12">
        <v>20</v>
      </c>
      <c r="F24" s="29" t="s">
        <v>80</v>
      </c>
      <c r="G24" s="12">
        <f>D24*E24</f>
        <v>200</v>
      </c>
      <c r="H24" s="12"/>
    </row>
    <row r="25" spans="1:8" x14ac:dyDescent="0.25">
      <c r="A25" s="79"/>
      <c r="B25" s="12" t="s">
        <v>74</v>
      </c>
      <c r="C25" s="12">
        <v>30</v>
      </c>
      <c r="D25" s="12">
        <v>132</v>
      </c>
      <c r="E25" s="19">
        <v>2</v>
      </c>
      <c r="F25" s="46" t="s">
        <v>36</v>
      </c>
      <c r="G25" s="46">
        <f t="shared" ref="G25:G30" si="3">D25*E25</f>
        <v>264</v>
      </c>
      <c r="H25" s="12"/>
    </row>
    <row r="26" spans="1:8" x14ac:dyDescent="0.25">
      <c r="A26" s="79"/>
      <c r="B26" s="12" t="s">
        <v>75</v>
      </c>
      <c r="C26" s="12">
        <v>4</v>
      </c>
      <c r="D26" s="12">
        <v>295</v>
      </c>
      <c r="E26" s="12">
        <v>2.4</v>
      </c>
      <c r="F26" s="32" t="s">
        <v>36</v>
      </c>
      <c r="G26" s="46">
        <f t="shared" si="3"/>
        <v>708</v>
      </c>
      <c r="H26" s="1"/>
    </row>
    <row r="27" spans="1:8" x14ac:dyDescent="0.25">
      <c r="A27" s="79"/>
      <c r="B27" s="1" t="s">
        <v>37</v>
      </c>
      <c r="C27" s="1" t="s">
        <v>76</v>
      </c>
      <c r="D27" s="1">
        <v>250</v>
      </c>
      <c r="E27" s="1">
        <v>0.3</v>
      </c>
      <c r="F27" s="32" t="s">
        <v>36</v>
      </c>
      <c r="G27" s="46">
        <f t="shared" si="3"/>
        <v>75</v>
      </c>
      <c r="H27" s="12"/>
    </row>
    <row r="28" spans="1:8" x14ac:dyDescent="0.25">
      <c r="A28" s="79"/>
      <c r="B28" s="1" t="s">
        <v>217</v>
      </c>
      <c r="C28" s="1"/>
      <c r="D28" s="1">
        <v>90</v>
      </c>
      <c r="E28" s="1">
        <v>1</v>
      </c>
      <c r="F28" s="1" t="s">
        <v>214</v>
      </c>
      <c r="G28" s="46">
        <f t="shared" si="3"/>
        <v>90</v>
      </c>
      <c r="H28" s="12"/>
    </row>
    <row r="29" spans="1:8" x14ac:dyDescent="0.25">
      <c r="A29" s="79"/>
      <c r="B29" s="1" t="s">
        <v>209</v>
      </c>
      <c r="C29" s="1"/>
      <c r="D29" s="1">
        <v>4.5</v>
      </c>
      <c r="E29" s="1">
        <v>50</v>
      </c>
      <c r="F29" s="1" t="s">
        <v>210</v>
      </c>
      <c r="G29" s="46">
        <f t="shared" si="3"/>
        <v>225</v>
      </c>
      <c r="H29" s="23"/>
    </row>
    <row r="30" spans="1:8" x14ac:dyDescent="0.25">
      <c r="A30" s="79"/>
      <c r="B30" s="1" t="s">
        <v>211</v>
      </c>
      <c r="C30" s="1"/>
      <c r="D30" s="1">
        <v>300</v>
      </c>
      <c r="E30" s="1">
        <v>1</v>
      </c>
      <c r="F30" s="1" t="s">
        <v>212</v>
      </c>
      <c r="G30" s="46">
        <f t="shared" si="3"/>
        <v>300</v>
      </c>
      <c r="H30" s="1"/>
    </row>
    <row r="31" spans="1:8" x14ac:dyDescent="0.25">
      <c r="A31" s="80"/>
      <c r="B31" s="69" t="s">
        <v>7</v>
      </c>
      <c r="C31" s="70"/>
      <c r="D31" s="71"/>
      <c r="E31" s="3"/>
      <c r="F31" s="3"/>
      <c r="G31" s="16">
        <f>SUM(G24:G30)</f>
        <v>1862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68" t="s">
        <v>77</v>
      </c>
      <c r="B33" s="1" t="s">
        <v>78</v>
      </c>
      <c r="C33" s="1" t="s">
        <v>39</v>
      </c>
      <c r="D33" s="1"/>
      <c r="E33" s="1"/>
      <c r="F33" s="1"/>
      <c r="G33" s="1"/>
      <c r="H33" s="1"/>
    </row>
    <row r="34" spans="1:8" x14ac:dyDescent="0.25">
      <c r="A34" s="68"/>
      <c r="B34" s="1" t="s">
        <v>79</v>
      </c>
      <c r="C34" s="1">
        <v>15</v>
      </c>
      <c r="D34" s="1">
        <v>141</v>
      </c>
      <c r="E34" s="1">
        <v>15</v>
      </c>
      <c r="F34" s="32" t="s">
        <v>36</v>
      </c>
      <c r="G34" s="1">
        <f>D34*E34</f>
        <v>2115</v>
      </c>
      <c r="H34" s="1"/>
    </row>
    <row r="35" spans="1:8" x14ac:dyDescent="0.25">
      <c r="A35" s="68"/>
      <c r="B35" s="1"/>
      <c r="C35" s="1"/>
      <c r="D35" s="1"/>
      <c r="E35" s="1"/>
      <c r="F35" s="1"/>
      <c r="G35" s="1"/>
      <c r="H35" s="1"/>
    </row>
    <row r="36" spans="1:8" x14ac:dyDescent="0.25">
      <c r="A36" s="68"/>
      <c r="B36" s="69"/>
      <c r="C36" s="70"/>
      <c r="D36" s="71"/>
      <c r="E36" s="3"/>
      <c r="F36" s="3"/>
      <c r="G36" s="16">
        <f>SUM(G33:G35)</f>
        <v>2115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75"/>
      <c r="B38" s="46" t="s">
        <v>204</v>
      </c>
      <c r="C38" s="46"/>
      <c r="D38" s="46">
        <v>27</v>
      </c>
      <c r="E38" s="46">
        <v>70</v>
      </c>
      <c r="F38" s="46" t="s">
        <v>36</v>
      </c>
      <c r="G38" s="2">
        <f>D38*E38</f>
        <v>1890</v>
      </c>
      <c r="H38" s="1"/>
    </row>
    <row r="39" spans="1:8" x14ac:dyDescent="0.25">
      <c r="A39" s="76"/>
      <c r="B39" s="1" t="s">
        <v>218</v>
      </c>
      <c r="C39" s="1"/>
      <c r="D39" s="1">
        <v>41.28</v>
      </c>
      <c r="E39" s="1">
        <v>53.5</v>
      </c>
      <c r="F39" s="1" t="s">
        <v>214</v>
      </c>
      <c r="G39" s="2">
        <f>D39*E39</f>
        <v>2208.48</v>
      </c>
      <c r="H39" s="1"/>
    </row>
    <row r="40" spans="1:8" x14ac:dyDescent="0.25">
      <c r="A40" s="77"/>
      <c r="B40" s="69" t="s">
        <v>7</v>
      </c>
      <c r="C40" s="70"/>
      <c r="D40" s="71"/>
      <c r="E40" s="3"/>
      <c r="F40" s="3"/>
      <c r="G40" s="14">
        <f>SUM(G38:G39)</f>
        <v>4098.4799999999996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68"/>
      <c r="B42" s="1" t="s">
        <v>213</v>
      </c>
      <c r="C42" s="1"/>
      <c r="D42" s="1">
        <v>260</v>
      </c>
      <c r="E42" s="1">
        <v>1</v>
      </c>
      <c r="F42" s="1" t="s">
        <v>214</v>
      </c>
      <c r="G42" s="1">
        <f>E42*D42</f>
        <v>260</v>
      </c>
      <c r="H42" s="1"/>
    </row>
    <row r="43" spans="1:8" x14ac:dyDescent="0.25">
      <c r="A43" s="68"/>
      <c r="B43" s="1" t="s">
        <v>215</v>
      </c>
      <c r="C43" s="1"/>
      <c r="D43" s="1">
        <v>300</v>
      </c>
      <c r="E43" s="1">
        <v>1</v>
      </c>
      <c r="F43" s="1" t="s">
        <v>216</v>
      </c>
      <c r="G43" s="46">
        <f t="shared" ref="G43:G50" si="4">E43*D43</f>
        <v>300</v>
      </c>
      <c r="H43" s="1"/>
    </row>
    <row r="44" spans="1:8" x14ac:dyDescent="0.25">
      <c r="A44" s="68"/>
      <c r="B44" s="46" t="s">
        <v>223</v>
      </c>
      <c r="C44" s="46"/>
      <c r="D44" s="46">
        <v>12</v>
      </c>
      <c r="E44" s="46">
        <v>5</v>
      </c>
      <c r="F44" s="46" t="s">
        <v>210</v>
      </c>
      <c r="G44" s="46">
        <f t="shared" si="4"/>
        <v>60</v>
      </c>
      <c r="H44" s="46"/>
    </row>
    <row r="45" spans="1:8" x14ac:dyDescent="0.25">
      <c r="A45" s="68"/>
      <c r="B45" s="46" t="s">
        <v>224</v>
      </c>
      <c r="C45" s="46"/>
      <c r="D45" s="46">
        <v>117</v>
      </c>
      <c r="E45" s="46">
        <v>0.5</v>
      </c>
      <c r="F45" s="46" t="s">
        <v>214</v>
      </c>
      <c r="G45" s="46">
        <f t="shared" si="4"/>
        <v>58.5</v>
      </c>
      <c r="H45" s="46"/>
    </row>
    <row r="46" spans="1:8" x14ac:dyDescent="0.25">
      <c r="A46" s="68"/>
      <c r="B46" s="46" t="s">
        <v>63</v>
      </c>
      <c r="C46" s="46"/>
      <c r="D46" s="46">
        <v>177</v>
      </c>
      <c r="E46" s="46">
        <v>10</v>
      </c>
      <c r="F46" s="46" t="s">
        <v>36</v>
      </c>
      <c r="G46" s="46">
        <f t="shared" si="4"/>
        <v>1770</v>
      </c>
      <c r="H46" s="1"/>
    </row>
    <row r="47" spans="1:8" x14ac:dyDescent="0.25">
      <c r="A47" s="68"/>
      <c r="B47" s="46" t="s">
        <v>225</v>
      </c>
      <c r="C47" s="46"/>
      <c r="D47" s="46">
        <v>687</v>
      </c>
      <c r="E47" s="46">
        <v>1</v>
      </c>
      <c r="F47" s="46" t="s">
        <v>216</v>
      </c>
      <c r="G47" s="46">
        <f t="shared" si="4"/>
        <v>687</v>
      </c>
      <c r="H47" s="46"/>
    </row>
    <row r="48" spans="1:8" x14ac:dyDescent="0.25">
      <c r="A48" s="68"/>
      <c r="B48" s="46" t="s">
        <v>222</v>
      </c>
      <c r="C48" s="48"/>
      <c r="D48" s="46">
        <v>760</v>
      </c>
      <c r="E48" s="46">
        <v>1</v>
      </c>
      <c r="F48" s="46" t="s">
        <v>220</v>
      </c>
      <c r="G48" s="46">
        <f t="shared" si="4"/>
        <v>760</v>
      </c>
      <c r="H48" s="1"/>
    </row>
    <row r="49" spans="1:8" x14ac:dyDescent="0.25">
      <c r="A49" s="68"/>
      <c r="B49" s="46" t="s">
        <v>219</v>
      </c>
      <c r="C49" s="46"/>
      <c r="D49" s="46">
        <v>125</v>
      </c>
      <c r="E49" s="46">
        <v>12</v>
      </c>
      <c r="F49" s="46" t="s">
        <v>220</v>
      </c>
      <c r="G49" s="46">
        <f t="shared" si="4"/>
        <v>1500</v>
      </c>
      <c r="H49" s="46"/>
    </row>
    <row r="50" spans="1:8" x14ac:dyDescent="0.25">
      <c r="A50" s="68"/>
      <c r="B50" s="46" t="s">
        <v>221</v>
      </c>
      <c r="C50" s="46"/>
      <c r="D50" s="46">
        <v>96.9</v>
      </c>
      <c r="E50" s="46">
        <v>5</v>
      </c>
      <c r="F50" s="46" t="s">
        <v>214</v>
      </c>
      <c r="G50" s="46">
        <f t="shared" si="4"/>
        <v>484.5</v>
      </c>
      <c r="H50" s="46"/>
    </row>
    <row r="51" spans="1:8" x14ac:dyDescent="0.25">
      <c r="A51" s="68"/>
      <c r="B51" s="69" t="s">
        <v>7</v>
      </c>
      <c r="C51" s="70"/>
      <c r="D51" s="71"/>
      <c r="E51" s="3"/>
      <c r="F51" s="3"/>
      <c r="G51" s="14">
        <f>SUM(G42:G50)</f>
        <v>5880</v>
      </c>
      <c r="H51" s="1"/>
    </row>
    <row r="52" spans="1:8" ht="17.25" thickBot="1" x14ac:dyDescent="0.3">
      <c r="A52" s="1"/>
      <c r="B52" s="72" t="s">
        <v>14</v>
      </c>
      <c r="C52" s="73"/>
      <c r="D52" s="74"/>
      <c r="E52" s="8"/>
      <c r="F52" s="8"/>
      <c r="G52" s="9">
        <f>G51+G40+G36+G22+G16+G8+G31</f>
        <v>27029.629999999997</v>
      </c>
      <c r="H52" s="1"/>
    </row>
    <row r="53" spans="1:8" x14ac:dyDescent="0.25">
      <c r="A53" s="53" t="s">
        <v>158</v>
      </c>
      <c r="B53" s="56" t="s">
        <v>159</v>
      </c>
      <c r="C53" s="56"/>
      <c r="D53" s="56"/>
      <c r="E53" s="57" t="s">
        <v>160</v>
      </c>
      <c r="F53" s="58"/>
      <c r="G53" s="59"/>
      <c r="H53" s="37" t="s">
        <v>161</v>
      </c>
    </row>
    <row r="54" spans="1:8" x14ac:dyDescent="0.25">
      <c r="A54" s="54"/>
      <c r="B54" s="60" t="s">
        <v>230</v>
      </c>
      <c r="C54" s="61"/>
      <c r="D54" s="61"/>
      <c r="E54" s="38" t="s">
        <v>162</v>
      </c>
      <c r="F54" s="63"/>
      <c r="G54" s="64"/>
      <c r="H54" s="49" t="s">
        <v>165</v>
      </c>
    </row>
    <row r="55" spans="1:8" ht="17.25" thickBot="1" x14ac:dyDescent="0.3">
      <c r="A55" s="55"/>
      <c r="B55" s="62"/>
      <c r="C55" s="62"/>
      <c r="D55" s="62"/>
      <c r="E55" s="39" t="s">
        <v>163</v>
      </c>
      <c r="F55" s="51" t="s">
        <v>229</v>
      </c>
      <c r="G55" s="52"/>
      <c r="H55" s="50"/>
    </row>
  </sheetData>
  <mergeCells count="23">
    <mergeCell ref="A42:A51"/>
    <mergeCell ref="B51:D51"/>
    <mergeCell ref="B52:D52"/>
    <mergeCell ref="B31:D31"/>
    <mergeCell ref="A33:A36"/>
    <mergeCell ref="B36:D36"/>
    <mergeCell ref="A38:A40"/>
    <mergeCell ref="B40:D40"/>
    <mergeCell ref="A24:A31"/>
    <mergeCell ref="A18:A22"/>
    <mergeCell ref="B22:D22"/>
    <mergeCell ref="A1:H1"/>
    <mergeCell ref="A3:A8"/>
    <mergeCell ref="B8:D8"/>
    <mergeCell ref="B16:D16"/>
    <mergeCell ref="A10:A16"/>
    <mergeCell ref="H54:H55"/>
    <mergeCell ref="F55:G55"/>
    <mergeCell ref="A53:A55"/>
    <mergeCell ref="B53:D53"/>
    <mergeCell ref="E53:G53"/>
    <mergeCell ref="B54:D55"/>
    <mergeCell ref="F54:G54"/>
  </mergeCells>
  <phoneticPr fontId="2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0105+</vt:lpstr>
      <vt:lpstr>0106+</vt:lpstr>
      <vt:lpstr>0107+</vt:lpstr>
      <vt:lpstr>0108+</vt:lpstr>
      <vt:lpstr>0109+</vt:lpstr>
      <vt:lpstr>'0105+'!Print_Area</vt:lpstr>
      <vt:lpstr>'0106+'!Print_Area</vt:lpstr>
      <vt:lpstr>'0107+'!Print_Area</vt:lpstr>
      <vt:lpstr>'0108+'!Print_Area</vt:lpstr>
      <vt:lpstr>'0109+'!Print_Area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2026-01-12T00:53:03Z</cp:lastPrinted>
  <dcterms:created xsi:type="dcterms:W3CDTF">2025-02-19T17:01:12Z</dcterms:created>
  <dcterms:modified xsi:type="dcterms:W3CDTF">2026-01-15T00:31:39Z</dcterms:modified>
</cp:coreProperties>
</file>