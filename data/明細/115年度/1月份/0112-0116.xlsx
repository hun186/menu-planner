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陳明德\★★伙房專區★★\午餐明細表\115年度\1月份\"/>
    </mc:Choice>
  </mc:AlternateContent>
  <bookViews>
    <workbookView xWindow="0" yWindow="0" windowWidth="28770" windowHeight="12225" activeTab="4"/>
  </bookViews>
  <sheets>
    <sheet name="0112" sheetId="1" r:id="rId1"/>
    <sheet name="0113+" sheetId="2" r:id="rId2"/>
    <sheet name="0114+" sheetId="3" r:id="rId3"/>
    <sheet name="0115+" sheetId="4" r:id="rId4"/>
    <sheet name="0116+" sheetId="5" r:id="rId5"/>
  </sheets>
  <definedNames>
    <definedName name="_xlnm.Print_Area" localSheetId="0">'0112'!$A$1:$H$52</definedName>
    <definedName name="_xlnm.Print_Area" localSheetId="1">'0113+'!$A$1:$H$50</definedName>
    <definedName name="_xlnm.Print_Area" localSheetId="2">'0114+'!$A$1:$H$68</definedName>
    <definedName name="_xlnm.Print_Area" localSheetId="3">'0115+'!$A$1:$H$47</definedName>
    <definedName name="_xlnm.Print_Area" localSheetId="4">'0116+'!$A$1:$H$64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4" i="3" l="1"/>
  <c r="G27" i="5"/>
  <c r="G28" i="5"/>
  <c r="G29" i="5"/>
  <c r="G30" i="5"/>
  <c r="G31" i="5"/>
  <c r="G32" i="5"/>
  <c r="G33" i="5"/>
  <c r="G34" i="5"/>
  <c r="G35" i="5"/>
  <c r="G36" i="5"/>
  <c r="G38" i="5" s="1"/>
  <c r="G37" i="5"/>
  <c r="G26" i="5"/>
  <c r="G25" i="5"/>
  <c r="G52" i="5"/>
  <c r="G53" i="5"/>
  <c r="G54" i="5"/>
  <c r="G55" i="5"/>
  <c r="G56" i="5"/>
  <c r="G57" i="5"/>
  <c r="G58" i="5"/>
  <c r="G59" i="5"/>
  <c r="G60" i="5" s="1"/>
  <c r="G51" i="5"/>
  <c r="G48" i="5"/>
  <c r="G47" i="5"/>
  <c r="G45" i="5"/>
  <c r="G41" i="5"/>
  <c r="G42" i="5"/>
  <c r="G43" i="5"/>
  <c r="G44" i="5"/>
  <c r="G40" i="5"/>
  <c r="G19" i="5"/>
  <c r="G20" i="5"/>
  <c r="G21" i="5"/>
  <c r="G22" i="5"/>
  <c r="G23" i="5"/>
  <c r="G24" i="5"/>
  <c r="G18" i="5"/>
  <c r="G16" i="5"/>
  <c r="G13" i="5"/>
  <c r="G14" i="5"/>
  <c r="G15" i="5"/>
  <c r="G12" i="5"/>
  <c r="G10" i="5"/>
  <c r="G8" i="5"/>
  <c r="G9" i="5"/>
  <c r="G7" i="5"/>
  <c r="G3" i="5"/>
  <c r="G36" i="4"/>
  <c r="G61" i="5" l="1"/>
  <c r="G39" i="3"/>
  <c r="G43" i="4"/>
  <c r="G40" i="4"/>
  <c r="G41" i="4"/>
  <c r="G42" i="4"/>
  <c r="G39" i="4"/>
  <c r="G35" i="4"/>
  <c r="G31" i="4"/>
  <c r="G30" i="4"/>
  <c r="G24" i="4"/>
  <c r="G25" i="4"/>
  <c r="G26" i="4"/>
  <c r="G27" i="4"/>
  <c r="G28" i="4" s="1"/>
  <c r="G23" i="4"/>
  <c r="G18" i="4"/>
  <c r="G19" i="4"/>
  <c r="G21" i="4" s="1"/>
  <c r="G20" i="4"/>
  <c r="G17" i="4"/>
  <c r="G11" i="4"/>
  <c r="G12" i="4"/>
  <c r="G10" i="4"/>
  <c r="G15" i="4" s="1"/>
  <c r="G4" i="4"/>
  <c r="G5" i="4"/>
  <c r="G3" i="4"/>
  <c r="G8" i="4" s="1"/>
  <c r="G44" i="4" s="1"/>
  <c r="G33" i="4"/>
  <c r="G63" i="3" l="1"/>
  <c r="G62" i="3"/>
  <c r="G61" i="3"/>
  <c r="G60" i="3"/>
  <c r="G59" i="3"/>
  <c r="G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" i="3"/>
  <c r="G5" i="3"/>
  <c r="G6" i="3"/>
  <c r="G7" i="3"/>
  <c r="G8" i="3"/>
  <c r="G17" i="3"/>
  <c r="G18" i="3"/>
  <c r="G19" i="3"/>
  <c r="G16" i="3"/>
  <c r="G47" i="2"/>
  <c r="G20" i="3" l="1"/>
  <c r="G65" i="3" s="1"/>
  <c r="G49" i="1"/>
  <c r="G37" i="1"/>
  <c r="G36" i="1"/>
  <c r="G35" i="1"/>
  <c r="G38" i="1" s="1"/>
  <c r="G41" i="1" l="1"/>
  <c r="G33" i="1"/>
  <c r="G23" i="1"/>
  <c r="G24" i="1"/>
  <c r="G25" i="1"/>
  <c r="G26" i="1"/>
  <c r="G27" i="1"/>
  <c r="G28" i="1"/>
  <c r="G29" i="1"/>
  <c r="G30" i="1"/>
  <c r="G31" i="1"/>
  <c r="G32" i="1"/>
  <c r="G20" i="1"/>
  <c r="G14" i="1"/>
  <c r="G7" i="1"/>
  <c r="G4" i="1"/>
  <c r="G5" i="1"/>
  <c r="G7" i="2" l="1"/>
  <c r="G14" i="2"/>
  <c r="G22" i="2"/>
  <c r="G31" i="2"/>
  <c r="G36" i="2"/>
  <c r="G31" i="3" l="1"/>
  <c r="G30" i="3"/>
  <c r="G29" i="2"/>
  <c r="G27" i="2"/>
  <c r="G28" i="2"/>
  <c r="G25" i="2"/>
  <c r="G30" i="2"/>
  <c r="G19" i="2"/>
  <c r="G20" i="2"/>
  <c r="G16" i="2"/>
  <c r="G4" i="2"/>
  <c r="G3" i="2"/>
  <c r="G38" i="3" l="1"/>
  <c r="G37" i="3"/>
  <c r="G12" i="3"/>
  <c r="G11" i="3"/>
  <c r="G27" i="3"/>
  <c r="G26" i="3"/>
  <c r="G23" i="3"/>
  <c r="G24" i="3"/>
  <c r="G25" i="3"/>
  <c r="G22" i="3"/>
  <c r="G33" i="3"/>
  <c r="G32" i="3"/>
  <c r="G3" i="3"/>
  <c r="G42" i="3"/>
  <c r="G43" i="3"/>
  <c r="G44" i="3"/>
  <c r="G45" i="3"/>
  <c r="G41" i="3"/>
  <c r="G28" i="3" l="1"/>
  <c r="G24" i="2"/>
  <c r="G39" i="2"/>
  <c r="G10" i="2"/>
  <c r="G9" i="2"/>
  <c r="G17" i="2"/>
  <c r="G18" i="2"/>
  <c r="G5" i="2"/>
  <c r="G6" i="2"/>
  <c r="G38" i="2"/>
  <c r="G45" i="1" l="1"/>
  <c r="G46" i="1"/>
  <c r="G17" i="1"/>
  <c r="G18" i="1"/>
  <c r="G19" i="1"/>
  <c r="G3" i="1"/>
  <c r="G44" i="1" l="1"/>
  <c r="G48" i="1" s="1"/>
  <c r="G16" i="1"/>
  <c r="G40" i="1"/>
  <c r="G42" i="1" s="1"/>
  <c r="G22" i="1" l="1"/>
  <c r="G10" i="1"/>
  <c r="G11" i="1"/>
  <c r="G12" i="1"/>
  <c r="G9" i="1"/>
  <c r="G49" i="5" l="1"/>
  <c r="G5" i="5"/>
  <c r="G37" i="4"/>
  <c r="G35" i="3"/>
  <c r="G14" i="3"/>
  <c r="G46" i="2"/>
  <c r="G40" i="2"/>
</calcChain>
</file>

<file path=xl/sharedStrings.xml><?xml version="1.0" encoding="utf-8"?>
<sst xmlns="http://schemas.openxmlformats.org/spreadsheetml/2006/main" count="672" uniqueCount="247">
  <si>
    <r>
      <t>菜名</t>
    </r>
    <r>
      <rPr>
        <sz val="12"/>
        <color rgb="FFFF0000"/>
        <rFont val="標楷體"/>
        <family val="4"/>
        <charset val="136"/>
      </rPr>
      <t>(主)</t>
    </r>
    <phoneticPr fontId="2" type="noConversion"/>
  </si>
  <si>
    <t>食材</t>
    <phoneticPr fontId="2" type="noConversion"/>
  </si>
  <si>
    <t>數量</t>
    <phoneticPr fontId="2" type="noConversion"/>
  </si>
  <si>
    <t>單價</t>
    <phoneticPr fontId="2" type="noConversion"/>
  </si>
  <si>
    <t>訂貨數量</t>
    <phoneticPr fontId="2" type="noConversion"/>
  </si>
  <si>
    <t>金額</t>
    <phoneticPr fontId="2" type="noConversion"/>
  </si>
  <si>
    <t>備考</t>
    <phoneticPr fontId="2" type="noConversion"/>
  </si>
  <si>
    <t>合      計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</si>
  <si>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</si>
  <si>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(配2)</t>
    </r>
    <phoneticPr fontId="2" type="noConversion"/>
  </si>
  <si>
    <t>雜貨</t>
    <phoneticPr fontId="2" type="noConversion"/>
  </si>
  <si>
    <t>湯品</t>
    <phoneticPr fontId="2" type="noConversion"/>
  </si>
  <si>
    <t>青菜 水果</t>
    <phoneticPr fontId="2" type="noConversion"/>
  </si>
  <si>
    <t>週三麵食</t>
    <phoneticPr fontId="2" type="noConversion"/>
  </si>
  <si>
    <t>總      計</t>
    <phoneticPr fontId="2" type="noConversion"/>
  </si>
  <si>
    <t>合      計</t>
    <phoneticPr fontId="2" type="noConversion"/>
  </si>
  <si>
    <t>斤</t>
    <phoneticPr fontId="2" type="noConversion"/>
  </si>
  <si>
    <t>合      計</t>
    <phoneticPr fontId="2" type="noConversion"/>
  </si>
  <si>
    <t>晚餐</t>
    <phoneticPr fontId="2" type="noConversion"/>
  </si>
  <si>
    <t>斤</t>
    <phoneticPr fontId="2" type="noConversion"/>
  </si>
  <si>
    <t>蒜仁</t>
    <phoneticPr fontId="2" type="noConversion"/>
  </si>
  <si>
    <t>青蔥</t>
    <phoneticPr fontId="2" type="noConversion"/>
  </si>
  <si>
    <t>蛋</t>
    <phoneticPr fontId="2" type="noConversion"/>
  </si>
  <si>
    <t>包</t>
    <phoneticPr fontId="2" type="noConversion"/>
  </si>
  <si>
    <t>五穀米</t>
    <phoneticPr fontId="2" type="noConversion"/>
  </si>
  <si>
    <t>斤</t>
    <phoneticPr fontId="2" type="noConversion"/>
  </si>
  <si>
    <t>箱</t>
    <phoneticPr fontId="2" type="noConversion"/>
  </si>
  <si>
    <t>鋁箔包飲料</t>
    <phoneticPr fontId="2" type="noConversion"/>
  </si>
  <si>
    <t>辣椒</t>
    <phoneticPr fontId="2" type="noConversion"/>
  </si>
  <si>
    <t>斤</t>
    <phoneticPr fontId="2" type="noConversion"/>
  </si>
  <si>
    <t>小籠包</t>
    <phoneticPr fontId="2" type="noConversion"/>
  </si>
  <si>
    <t>薑</t>
    <phoneticPr fontId="2" type="noConversion"/>
  </si>
  <si>
    <r>
      <t>菜名(</t>
    </r>
    <r>
      <rPr>
        <sz val="12"/>
        <color theme="9" tint="-0.249977111117893"/>
        <rFont val="標楷體"/>
        <family val="4"/>
        <charset val="136"/>
      </rPr>
      <t>配2</t>
    </r>
    <r>
      <rPr>
        <sz val="12"/>
        <color theme="1"/>
        <rFont val="標楷體"/>
        <family val="4"/>
        <charset val="136"/>
      </rPr>
      <t>)</t>
    </r>
    <phoneticPr fontId="2" type="noConversion"/>
  </si>
  <si>
    <t>芥花油</t>
    <phoneticPr fontId="2" type="noConversion"/>
  </si>
  <si>
    <t>合      計</t>
    <phoneticPr fontId="2" type="noConversion"/>
  </si>
  <si>
    <t>杏鮑菇</t>
    <phoneticPr fontId="2" type="noConversion"/>
  </si>
  <si>
    <t>半</t>
    <phoneticPr fontId="2" type="noConversion"/>
  </si>
  <si>
    <t>斤</t>
  </si>
  <si>
    <t>滷蛋</t>
    <phoneticPr fontId="2" type="noConversion"/>
  </si>
  <si>
    <t>香腸</t>
    <phoneticPr fontId="2" type="noConversion"/>
  </si>
  <si>
    <t>五花絞肉</t>
    <phoneticPr fontId="2" type="noConversion"/>
  </si>
  <si>
    <t>粒</t>
    <phoneticPr fontId="2" type="noConversion"/>
  </si>
  <si>
    <t>電訊科技中心(安康營區)     115年     1月   12日      午餐明細表</t>
    <phoneticPr fontId="2" type="noConversion"/>
  </si>
  <si>
    <t>泡菜肉片</t>
    <phoneticPr fontId="2" type="noConversion"/>
  </si>
  <si>
    <t>薑絲海帶根</t>
    <phoneticPr fontId="2" type="noConversion"/>
  </si>
  <si>
    <t>胡瓜菇菇</t>
    <phoneticPr fontId="2" type="noConversion"/>
  </si>
  <si>
    <t>豬肉片</t>
    <phoneticPr fontId="2" type="noConversion"/>
  </si>
  <si>
    <t>斤</t>
    <phoneticPr fontId="2" type="noConversion"/>
  </si>
  <si>
    <t>五花肉片</t>
    <phoneticPr fontId="2" type="noConversion"/>
  </si>
  <si>
    <t>韓式泡菜</t>
    <phoneticPr fontId="2" type="noConversion"/>
  </si>
  <si>
    <t>薑絲</t>
    <phoneticPr fontId="2" type="noConversion"/>
  </si>
  <si>
    <t>海帶根</t>
    <phoneticPr fontId="2" type="noConversion"/>
  </si>
  <si>
    <t>胡瓜切絲</t>
    <phoneticPr fontId="2" type="noConversion"/>
  </si>
  <si>
    <t>雪白菇</t>
    <phoneticPr fontId="2" type="noConversion"/>
  </si>
  <si>
    <t>胡蘿蔔絲</t>
    <phoneticPr fontId="2" type="noConversion"/>
  </si>
  <si>
    <t>油麵</t>
    <phoneticPr fontId="2" type="noConversion"/>
  </si>
  <si>
    <t>素雞切片</t>
    <phoneticPr fontId="2" type="noConversion"/>
  </si>
  <si>
    <t>素食</t>
    <phoneticPr fontId="2" type="noConversion"/>
  </si>
  <si>
    <t>晚餐</t>
    <phoneticPr fontId="2" type="noConversion"/>
  </si>
  <si>
    <t>電訊科技中心(安康營區)     115年      1月   13日      午餐明細表</t>
    <phoneticPr fontId="2" type="noConversion"/>
  </si>
  <si>
    <t>咖哩雞</t>
    <phoneticPr fontId="2" type="noConversion"/>
  </si>
  <si>
    <t>玉米蒸蛋</t>
    <phoneticPr fontId="2" type="noConversion"/>
  </si>
  <si>
    <t>酥炸鮑菇</t>
    <phoneticPr fontId="2" type="noConversion"/>
  </si>
  <si>
    <t>花生牛奶</t>
    <phoneticPr fontId="2" type="noConversion"/>
  </si>
  <si>
    <t>咖哩塊</t>
    <phoneticPr fontId="2" type="noConversion"/>
  </si>
  <si>
    <t>盒</t>
    <phoneticPr fontId="2" type="noConversion"/>
  </si>
  <si>
    <t>鮮奶油</t>
    <phoneticPr fontId="2" type="noConversion"/>
  </si>
  <si>
    <t>瓶</t>
    <phoneticPr fontId="2" type="noConversion"/>
  </si>
  <si>
    <t>去皮馬鈴薯塊</t>
    <phoneticPr fontId="2" type="noConversion"/>
  </si>
  <si>
    <t>去骨雞腿丁3*3</t>
    <phoneticPr fontId="2" type="noConversion"/>
  </si>
  <si>
    <t>冷凍玉米粒</t>
    <phoneticPr fontId="2" type="noConversion"/>
  </si>
  <si>
    <t>雞蛋</t>
    <phoneticPr fontId="2" type="noConversion"/>
  </si>
  <si>
    <t>杏鮑菇</t>
    <phoneticPr fontId="2" type="noConversion"/>
  </si>
  <si>
    <t>酥炸粉</t>
    <phoneticPr fontId="2" type="noConversion"/>
  </si>
  <si>
    <t>包</t>
    <phoneticPr fontId="2" type="noConversion"/>
  </si>
  <si>
    <t>紅椒</t>
    <phoneticPr fontId="2" type="noConversion"/>
  </si>
  <si>
    <t>黃椒</t>
    <phoneticPr fontId="2" type="noConversion"/>
  </si>
  <si>
    <t>棒腿</t>
    <phoneticPr fontId="2" type="noConversion"/>
  </si>
  <si>
    <t>花生仁</t>
    <phoneticPr fontId="2" type="noConversion"/>
  </si>
  <si>
    <t>桶</t>
    <phoneticPr fontId="2" type="noConversion"/>
  </si>
  <si>
    <t>大烹堡</t>
    <phoneticPr fontId="2" type="noConversion"/>
  </si>
  <si>
    <t>個</t>
    <phoneticPr fontId="2" type="noConversion"/>
  </si>
  <si>
    <t>早餐</t>
    <phoneticPr fontId="2" type="noConversion"/>
  </si>
  <si>
    <t>電訊科技中心(安康營區)     115年      1月   14日      午餐明細表</t>
    <phoneticPr fontId="2" type="noConversion"/>
  </si>
  <si>
    <t>黑胡椒燴飯</t>
    <phoneticPr fontId="2" type="noConversion"/>
  </si>
  <si>
    <t>蝦卷</t>
    <phoneticPr fontId="2" type="noConversion"/>
  </si>
  <si>
    <t>滷味拼盤</t>
    <phoneticPr fontId="2" type="noConversion"/>
  </si>
  <si>
    <t>南瓜濃湯</t>
    <phoneticPr fontId="2" type="noConversion"/>
  </si>
  <si>
    <t>條</t>
    <phoneticPr fontId="2" type="noConversion"/>
  </si>
  <si>
    <t>去皮洋蔥</t>
    <phoneticPr fontId="2" type="noConversion"/>
  </si>
  <si>
    <t>黑胡椒醬</t>
    <phoneticPr fontId="2" type="noConversion"/>
  </si>
  <si>
    <t>豆干2*2</t>
    <phoneticPr fontId="2" type="noConversion"/>
  </si>
  <si>
    <t>去皮南瓜片</t>
    <phoneticPr fontId="2" type="noConversion"/>
  </si>
  <si>
    <t>鳥蛋</t>
    <phoneticPr fontId="2" type="noConversion"/>
  </si>
  <si>
    <t>海帶結</t>
    <phoneticPr fontId="2" type="noConversion"/>
  </si>
  <si>
    <t>小貢丸</t>
    <phoneticPr fontId="2" type="noConversion"/>
  </si>
  <si>
    <t>紅蘿蔔絲</t>
    <phoneticPr fontId="2" type="noConversion"/>
  </si>
  <si>
    <t>木耳絲</t>
    <phoneticPr fontId="2" type="noConversion"/>
  </si>
  <si>
    <t>烏龍麵</t>
    <phoneticPr fontId="2" type="noConversion"/>
  </si>
  <si>
    <t>厚片吐司</t>
    <phoneticPr fontId="2" type="noConversion"/>
  </si>
  <si>
    <t>電訊科技中心(安康營區)     115年      1月   15日      午餐明細表</t>
    <phoneticPr fontId="2" type="noConversion"/>
  </si>
  <si>
    <t>炸排骨</t>
    <phoneticPr fontId="2" type="noConversion"/>
  </si>
  <si>
    <t>小黃瓜黑輪</t>
    <phoneticPr fontId="2" type="noConversion"/>
  </si>
  <si>
    <t>螞蟻上樹</t>
    <phoneticPr fontId="2" type="noConversion"/>
  </si>
  <si>
    <t>蘿蔔貢丸湯</t>
    <phoneticPr fontId="2" type="noConversion"/>
  </si>
  <si>
    <t>白蘿蔔</t>
    <phoneticPr fontId="2" type="noConversion"/>
  </si>
  <si>
    <t>鮑魚菇</t>
    <phoneticPr fontId="2" type="noConversion"/>
  </si>
  <si>
    <t>鋁箔包飲料</t>
    <phoneticPr fontId="2" type="noConversion"/>
  </si>
  <si>
    <t>油漬鮪魚罐頭(小)</t>
    <phoneticPr fontId="2" type="noConversion"/>
  </si>
  <si>
    <t>罐</t>
    <phoneticPr fontId="2" type="noConversion"/>
  </si>
  <si>
    <t>箱</t>
    <phoneticPr fontId="2" type="noConversion"/>
  </si>
  <si>
    <t>冬粉</t>
    <phoneticPr fontId="2" type="noConversion"/>
  </si>
  <si>
    <t>絞肉</t>
    <phoneticPr fontId="2" type="noConversion"/>
  </si>
  <si>
    <t>小黃瓜</t>
    <phoneticPr fontId="2" type="noConversion"/>
  </si>
  <si>
    <t>黑輪</t>
    <phoneticPr fontId="2" type="noConversion"/>
  </si>
  <si>
    <t>川耳</t>
    <phoneticPr fontId="2" type="noConversion"/>
  </si>
  <si>
    <t>里肌肉排</t>
    <phoneticPr fontId="2" type="noConversion"/>
  </si>
  <si>
    <t>蒜泥</t>
    <phoneticPr fontId="2" type="noConversion"/>
  </si>
  <si>
    <t>薑泥</t>
    <phoneticPr fontId="2" type="noConversion"/>
  </si>
  <si>
    <t>電訊科技中心(安康營區)     115年      1月   16日      午餐明細表</t>
    <phoneticPr fontId="2" type="noConversion"/>
  </si>
  <si>
    <t>烤雞腿</t>
    <phoneticPr fontId="2" type="noConversion"/>
  </si>
  <si>
    <t>泰式豆腐</t>
    <phoneticPr fontId="2" type="noConversion"/>
  </si>
  <si>
    <t>客家小炒</t>
    <phoneticPr fontId="2" type="noConversion"/>
  </si>
  <si>
    <t>番茄蔬菜湯</t>
    <phoneticPr fontId="2" type="noConversion"/>
  </si>
  <si>
    <t>4.3豆腐</t>
    <phoneticPr fontId="2" type="noConversion"/>
  </si>
  <si>
    <t>燒雞醬</t>
    <phoneticPr fontId="2" type="noConversion"/>
  </si>
  <si>
    <t>檸檬汁</t>
    <phoneticPr fontId="2" type="noConversion"/>
  </si>
  <si>
    <t>乾魷魚</t>
    <phoneticPr fontId="2" type="noConversion"/>
  </si>
  <si>
    <t>4*4豆干</t>
    <phoneticPr fontId="2" type="noConversion"/>
  </si>
  <si>
    <t>五花肉柳</t>
    <phoneticPr fontId="2" type="noConversion"/>
  </si>
  <si>
    <t>去葉芹菜</t>
    <phoneticPr fontId="2" type="noConversion"/>
  </si>
  <si>
    <t>板</t>
    <phoneticPr fontId="2" type="noConversion"/>
  </si>
  <si>
    <t>鵝白菜</t>
    <phoneticPr fontId="2" type="noConversion"/>
  </si>
  <si>
    <t>斤</t>
    <phoneticPr fontId="2" type="noConversion"/>
  </si>
  <si>
    <t>鮮奶</t>
    <phoneticPr fontId="2" type="noConversion"/>
  </si>
  <si>
    <t>砂糖</t>
    <phoneticPr fontId="2" type="noConversion"/>
  </si>
  <si>
    <t>廚餘量</t>
    <phoneticPr fontId="2" type="noConversion"/>
  </si>
  <si>
    <t>目視剩餘菜色</t>
    <phoneticPr fontId="2" type="noConversion"/>
  </si>
  <si>
    <t>今日用餐人數</t>
    <phoneticPr fontId="2" type="noConversion"/>
  </si>
  <si>
    <t>備註</t>
    <phoneticPr fontId="2" type="noConversion"/>
  </si>
  <si>
    <t>人事系統</t>
    <phoneticPr fontId="2" type="noConversion"/>
  </si>
  <si>
    <t>計數器</t>
    <phoneticPr fontId="2" type="noConversion"/>
  </si>
  <si>
    <t>柳丁</t>
    <phoneticPr fontId="2" type="noConversion"/>
  </si>
  <si>
    <t>麻辣醬</t>
    <phoneticPr fontId="2" type="noConversion"/>
  </si>
  <si>
    <t>桶</t>
    <phoneticPr fontId="2" type="noConversion"/>
  </si>
  <si>
    <t>高麗菜</t>
    <phoneticPr fontId="2" type="noConversion"/>
  </si>
  <si>
    <t>羊肉片</t>
    <phoneticPr fontId="2" type="noConversion"/>
  </si>
  <si>
    <t>味噌豆腐湯</t>
    <phoneticPr fontId="2" type="noConversion"/>
  </si>
  <si>
    <t>味噌</t>
    <phoneticPr fontId="2" type="noConversion"/>
  </si>
  <si>
    <t>豆腐</t>
    <phoneticPr fontId="2" type="noConversion"/>
  </si>
  <si>
    <t>230人</t>
    <phoneticPr fontId="2" type="noConversion"/>
  </si>
  <si>
    <t>食材量預估
   250 人</t>
    <phoneticPr fontId="2" type="noConversion"/>
  </si>
  <si>
    <t>胡瓜菇菇剩餘較多(一盆)</t>
    <phoneticPr fontId="2" type="noConversion"/>
  </si>
  <si>
    <t>庫存</t>
    <phoneticPr fontId="2" type="noConversion"/>
  </si>
  <si>
    <t>香蕉</t>
    <phoneticPr fontId="2" type="noConversion"/>
  </si>
  <si>
    <t>斤</t>
    <phoneticPr fontId="2" type="noConversion"/>
  </si>
  <si>
    <t>食材量預估
 260人</t>
    <phoneticPr fontId="2" type="noConversion"/>
  </si>
  <si>
    <t>咖哩醬</t>
    <phoneticPr fontId="2" type="noConversion"/>
  </si>
  <si>
    <t>高麗菜</t>
    <phoneticPr fontId="2" type="noConversion"/>
  </si>
  <si>
    <t>小豆干</t>
    <phoneticPr fontId="2" type="noConversion"/>
  </si>
  <si>
    <t>白蘿蔔</t>
    <phoneticPr fontId="2" type="noConversion"/>
  </si>
  <si>
    <t>麵輪</t>
    <phoneticPr fontId="2" type="noConversion"/>
  </si>
  <si>
    <t>素蠔油</t>
    <phoneticPr fontId="2" type="noConversion"/>
  </si>
  <si>
    <t>桶</t>
    <phoneticPr fontId="2" type="noConversion"/>
  </si>
  <si>
    <t>醬油</t>
    <phoneticPr fontId="2" type="noConversion"/>
  </si>
  <si>
    <t>油膏</t>
    <phoneticPr fontId="2" type="noConversion"/>
  </si>
  <si>
    <t>白胡椒粉</t>
    <phoneticPr fontId="2" type="noConversion"/>
  </si>
  <si>
    <t>盒</t>
    <phoneticPr fontId="2" type="noConversion"/>
  </si>
  <si>
    <t>金針</t>
    <phoneticPr fontId="2" type="noConversion"/>
  </si>
  <si>
    <t>三好米</t>
    <phoneticPr fontId="2" type="noConversion"/>
  </si>
  <si>
    <t>無骨香雞排</t>
    <phoneticPr fontId="2" type="noConversion"/>
  </si>
  <si>
    <t>件</t>
    <phoneticPr fontId="2" type="noConversion"/>
  </si>
  <si>
    <t>味噌</t>
    <phoneticPr fontId="2" type="noConversion"/>
  </si>
  <si>
    <t>去皮洋蔥</t>
    <phoneticPr fontId="2" type="noConversion"/>
  </si>
  <si>
    <t>軟排</t>
    <phoneticPr fontId="2" type="noConversion"/>
  </si>
  <si>
    <t>梅花肉片</t>
    <phoneticPr fontId="2" type="noConversion"/>
  </si>
  <si>
    <t>油麵</t>
    <phoneticPr fontId="2" type="noConversion"/>
  </si>
  <si>
    <t>滷蛋</t>
    <phoneticPr fontId="2" type="noConversion"/>
  </si>
  <si>
    <t>個</t>
    <phoneticPr fontId="2" type="noConversion"/>
  </si>
  <si>
    <t>洗選蛋</t>
    <phoneticPr fontId="2" type="noConversion"/>
  </si>
  <si>
    <t>沙拉油</t>
    <phoneticPr fontId="2" type="noConversion"/>
  </si>
  <si>
    <t>胡椒鹽</t>
    <phoneticPr fontId="2" type="noConversion"/>
  </si>
  <si>
    <t>味素</t>
    <phoneticPr fontId="2" type="noConversion"/>
  </si>
  <si>
    <t>藥燉排骨包</t>
    <phoneticPr fontId="2" type="noConversion"/>
  </si>
  <si>
    <t>包</t>
    <phoneticPr fontId="2" type="noConversion"/>
  </si>
  <si>
    <t>咖哩粉</t>
    <phoneticPr fontId="2" type="noConversion"/>
  </si>
  <si>
    <t>鮮奶油</t>
    <phoneticPr fontId="2" type="noConversion"/>
  </si>
  <si>
    <t>瓶</t>
    <phoneticPr fontId="2" type="noConversion"/>
  </si>
  <si>
    <t>超秦雞排</t>
    <phoneticPr fontId="2" type="noConversion"/>
  </si>
  <si>
    <t>斤</t>
    <phoneticPr fontId="2" type="noConversion"/>
  </si>
  <si>
    <t>油菜</t>
    <phoneticPr fontId="2" type="noConversion"/>
  </si>
  <si>
    <t>起司片</t>
    <phoneticPr fontId="2" type="noConversion"/>
  </si>
  <si>
    <t>包</t>
    <phoneticPr fontId="2" type="noConversion"/>
  </si>
  <si>
    <t>沙拉油</t>
    <phoneticPr fontId="2" type="noConversion"/>
  </si>
  <si>
    <t>桶</t>
    <phoneticPr fontId="2" type="noConversion"/>
  </si>
  <si>
    <t>素春捲</t>
    <phoneticPr fontId="2" type="noConversion"/>
  </si>
  <si>
    <t>芋泥蛋黃丸</t>
    <phoneticPr fontId="2" type="noConversion"/>
  </si>
  <si>
    <t>個</t>
    <phoneticPr fontId="2" type="noConversion"/>
  </si>
  <si>
    <t>辣醬油</t>
    <phoneticPr fontId="2" type="noConversion"/>
  </si>
  <si>
    <t>瓶</t>
    <phoneticPr fontId="2" type="noConversion"/>
  </si>
  <si>
    <t>倉柑</t>
    <phoneticPr fontId="2" type="noConversion"/>
  </si>
  <si>
    <t>食材量預估
    260人</t>
    <phoneticPr fontId="2" type="noConversion"/>
  </si>
  <si>
    <t>白飯不夠</t>
    <phoneticPr fontId="2" type="noConversion"/>
  </si>
  <si>
    <t>滷味拼盤</t>
    <phoneticPr fontId="2" type="noConversion"/>
  </si>
  <si>
    <t>高湯粉</t>
    <phoneticPr fontId="2" type="noConversion"/>
  </si>
  <si>
    <t>包</t>
    <phoneticPr fontId="2" type="noConversion"/>
  </si>
  <si>
    <t>洋芋丁</t>
    <phoneticPr fontId="2" type="noConversion"/>
  </si>
  <si>
    <t>紅蘿蔔丁</t>
    <phoneticPr fontId="2" type="noConversion"/>
  </si>
  <si>
    <t>五格便當盒</t>
    <phoneticPr fontId="2" type="noConversion"/>
  </si>
  <si>
    <t>個</t>
    <phoneticPr fontId="2" type="noConversion"/>
  </si>
  <si>
    <t>橡皮筋</t>
    <phoneticPr fontId="2" type="noConversion"/>
  </si>
  <si>
    <t>細糖粉</t>
    <phoneticPr fontId="2" type="noConversion"/>
  </si>
  <si>
    <t>斤</t>
    <phoneticPr fontId="2" type="noConversion"/>
  </si>
  <si>
    <t>可可粉</t>
    <phoneticPr fontId="2" type="noConversion"/>
  </si>
  <si>
    <t>巧克力豆</t>
    <phoneticPr fontId="2" type="noConversion"/>
  </si>
  <si>
    <t>烤肉醬</t>
    <phoneticPr fontId="2" type="noConversion"/>
  </si>
  <si>
    <t>桶</t>
    <phoneticPr fontId="2" type="noConversion"/>
  </si>
  <si>
    <t>蜂蜜</t>
    <phoneticPr fontId="2" type="noConversion"/>
  </si>
  <si>
    <t>糯米粉</t>
    <phoneticPr fontId="2" type="noConversion"/>
  </si>
  <si>
    <t>乾海牙</t>
    <phoneticPr fontId="2" type="noConversion"/>
  </si>
  <si>
    <t>中華豆腐</t>
    <phoneticPr fontId="2" type="noConversion"/>
  </si>
  <si>
    <t>盒</t>
    <phoneticPr fontId="2" type="noConversion"/>
  </si>
  <si>
    <t>柳丁</t>
    <phoneticPr fontId="2" type="noConversion"/>
  </si>
  <si>
    <t>去葉西洋芹</t>
    <phoneticPr fontId="2" type="noConversion"/>
  </si>
  <si>
    <t>番茄</t>
    <phoneticPr fontId="2" type="noConversion"/>
  </si>
  <si>
    <t>高麗菜</t>
    <phoneticPr fontId="2" type="noConversion"/>
  </si>
  <si>
    <t>香蕉</t>
    <phoneticPr fontId="2" type="noConversion"/>
  </si>
  <si>
    <t>醬油</t>
    <phoneticPr fontId="2" type="noConversion"/>
  </si>
  <si>
    <t>油膏</t>
    <phoneticPr fontId="2" type="noConversion"/>
  </si>
  <si>
    <t>素蠔油</t>
    <phoneticPr fontId="2" type="noConversion"/>
  </si>
  <si>
    <t>番茄醬</t>
    <phoneticPr fontId="2" type="noConversion"/>
  </si>
  <si>
    <t>酥炸粉</t>
    <phoneticPr fontId="2" type="noConversion"/>
  </si>
  <si>
    <t>三好米</t>
    <phoneticPr fontId="2" type="noConversion"/>
  </si>
  <si>
    <t>香油</t>
    <phoneticPr fontId="2" type="noConversion"/>
  </si>
  <si>
    <t>沙拉油</t>
    <phoneticPr fontId="2" type="noConversion"/>
  </si>
  <si>
    <t>金菇</t>
    <phoneticPr fontId="2" type="noConversion"/>
  </si>
  <si>
    <t>大白菜</t>
    <phoneticPr fontId="2" type="noConversion"/>
  </si>
  <si>
    <t>去葉芹菜</t>
    <phoneticPr fontId="2" type="noConversion"/>
  </si>
  <si>
    <t>前腿肉絲</t>
    <phoneticPr fontId="2" type="noConversion"/>
  </si>
  <si>
    <t>糯米椒</t>
    <phoneticPr fontId="2" type="noConversion"/>
  </si>
  <si>
    <t>豆干</t>
    <phoneticPr fontId="2" type="noConversion"/>
  </si>
  <si>
    <t>烏龍麵</t>
    <phoneticPr fontId="2" type="noConversion"/>
  </si>
  <si>
    <t>食材量預估
 270-280人</t>
    <phoneticPr fontId="2" type="noConversion"/>
  </si>
  <si>
    <t>無(很平均，都剩一些)</t>
    <phoneticPr fontId="2" type="noConversion"/>
  </si>
  <si>
    <t>235人</t>
    <phoneticPr fontId="2" type="noConversion"/>
  </si>
  <si>
    <t>食材量預估
250人</t>
    <phoneticPr fontId="2" type="noConversion"/>
  </si>
  <si>
    <t>平均，各剩一盆供同仁回打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</si>
</sst>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8" x14ac:knownFonts="1">
    <font>
      <sz val="12"/>
      <color theme="1"/>
      <name val="新細明體"/>
      <family val="2"/>
      <charset val="136"/>
      <scheme val="minor"/>
    </font>
    <font>
      <b/>
      <sz val="12"/>
      <color rgb="FF0070C0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rgb="FFFF0000"/>
      <name val="標楷體"/>
      <family val="4"/>
      <charset val="136"/>
    </font>
    <font>
      <sz val="12"/>
      <color theme="9" tint="-0.249977111117893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b/>
      <sz val="12"/>
      <color theme="5" tint="-0.249977111117893"/>
      <name val="標楷體"/>
      <family val="4"/>
      <charset val="136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88">
    <xf numFmtId="0" fontId="0" fillId="0" borderId="0" xfId="0">
      <alignment vertical="center"/>
    </xf>
    <xf numFmtId="0" fontId="3" fillId="0" borderId="3" xfId="0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" fontId="3" fillId="2" borderId="4" xfId="0" applyNumberFormat="1" applyFont="1" applyFill="1" applyBorder="1" applyAlignment="1">
      <alignment horizontal="center" vertical="center"/>
    </xf>
    <xf numFmtId="1" fontId="3" fillId="2" borderId="3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1" fontId="3" fillId="0" borderId="3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76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5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vertical="center"/>
    </xf>
    <xf numFmtId="0" fontId="3" fillId="9" borderId="18" xfId="0" applyFont="1" applyFill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0" fillId="0" borderId="3" xfId="0" applyBorder="1">
      <alignment vertical="center"/>
    </xf>
    <xf numFmtId="1" fontId="3" fillId="0" borderId="4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8" borderId="8" xfId="0" applyFont="1" applyFill="1" applyBorder="1" applyAlignment="1">
      <alignment horizontal="center" vertical="center" wrapText="1"/>
    </xf>
    <xf numFmtId="0" fontId="3" fillId="8" borderId="21" xfId="0" applyFont="1" applyFill="1" applyBorder="1" applyAlignment="1">
      <alignment horizontal="center" vertical="center"/>
    </xf>
    <xf numFmtId="0" fontId="3" fillId="9" borderId="19" xfId="0" applyFont="1" applyFill="1" applyBorder="1" applyAlignment="1">
      <alignment horizontal="center" vertical="center"/>
    </xf>
    <xf numFmtId="0" fontId="3" fillId="9" borderId="20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3" fillId="6" borderId="12" xfId="0" applyFont="1" applyFill="1" applyBorder="1" applyAlignment="1">
      <alignment horizontal="center" vertical="center"/>
    </xf>
    <xf numFmtId="0" fontId="3" fillId="6" borderId="13" xfId="0" applyFont="1" applyFill="1" applyBorder="1" applyAlignment="1">
      <alignment horizontal="center" vertical="center"/>
    </xf>
    <xf numFmtId="0" fontId="3" fillId="6" borderId="14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2"/>
  <sheetViews>
    <sheetView topLeftCell="A25" workbookViewId="0">
      <selection sqref="A1:H1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56" t="s">
        <v>42</v>
      </c>
      <c r="B1" s="57"/>
      <c r="C1" s="57"/>
      <c r="D1" s="57"/>
      <c r="E1" s="57"/>
      <c r="F1" s="57"/>
      <c r="G1" s="57"/>
      <c r="H1" s="58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59" t="s">
        <v>43</v>
      </c>
      <c r="B3" s="1" t="s">
        <v>46</v>
      </c>
      <c r="C3" s="1">
        <v>30</v>
      </c>
      <c r="D3" s="1">
        <v>141</v>
      </c>
      <c r="E3" s="20">
        <v>30</v>
      </c>
      <c r="F3" s="20" t="s">
        <v>47</v>
      </c>
      <c r="G3" s="21">
        <f>D3*E3</f>
        <v>4230</v>
      </c>
      <c r="H3" s="1"/>
    </row>
    <row r="4" spans="1:8" x14ac:dyDescent="0.25">
      <c r="A4" s="59"/>
      <c r="B4" s="10" t="s">
        <v>48</v>
      </c>
      <c r="C4" s="10">
        <v>15</v>
      </c>
      <c r="D4" s="10">
        <v>177</v>
      </c>
      <c r="E4" s="10">
        <v>15</v>
      </c>
      <c r="F4" s="31" t="s">
        <v>16</v>
      </c>
      <c r="G4" s="21">
        <f t="shared" ref="G4:G5" si="0">D4*E4</f>
        <v>2655</v>
      </c>
      <c r="H4" s="1"/>
    </row>
    <row r="5" spans="1:8" x14ac:dyDescent="0.25">
      <c r="A5" s="59"/>
      <c r="B5" s="1" t="s">
        <v>49</v>
      </c>
      <c r="C5" s="1">
        <v>15</v>
      </c>
      <c r="D5" s="1">
        <v>87</v>
      </c>
      <c r="E5" s="1">
        <v>15</v>
      </c>
      <c r="F5" s="1" t="s">
        <v>47</v>
      </c>
      <c r="G5" s="21">
        <f t="shared" si="0"/>
        <v>1305</v>
      </c>
      <c r="H5" s="1"/>
    </row>
    <row r="6" spans="1:8" x14ac:dyDescent="0.25">
      <c r="A6" s="59"/>
      <c r="B6" s="1"/>
      <c r="C6" s="1"/>
      <c r="D6" s="1"/>
      <c r="E6" s="3"/>
      <c r="F6" s="30"/>
      <c r="G6" s="3"/>
      <c r="H6" s="1"/>
    </row>
    <row r="7" spans="1:8" x14ac:dyDescent="0.25">
      <c r="A7" s="59"/>
      <c r="B7" s="53" t="s">
        <v>7</v>
      </c>
      <c r="C7" s="54"/>
      <c r="D7" s="55"/>
      <c r="E7" s="3"/>
      <c r="F7" s="3"/>
      <c r="G7" s="14">
        <f>SUM(G3:G6)</f>
        <v>8190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59" t="s">
        <v>44</v>
      </c>
      <c r="B9" s="1" t="s">
        <v>50</v>
      </c>
      <c r="C9" s="1">
        <v>2</v>
      </c>
      <c r="D9" s="1">
        <v>119.7</v>
      </c>
      <c r="E9" s="1">
        <v>2</v>
      </c>
      <c r="F9" s="31" t="s">
        <v>47</v>
      </c>
      <c r="G9" s="1">
        <f>D9*E9</f>
        <v>239.4</v>
      </c>
      <c r="H9" s="1"/>
    </row>
    <row r="10" spans="1:8" x14ac:dyDescent="0.25">
      <c r="A10" s="59"/>
      <c r="B10" s="1" t="s">
        <v>51</v>
      </c>
      <c r="C10" s="1">
        <v>25</v>
      </c>
      <c r="D10" s="1">
        <v>57</v>
      </c>
      <c r="E10" s="1">
        <v>25</v>
      </c>
      <c r="F10" s="36" t="s">
        <v>47</v>
      </c>
      <c r="G10" s="10">
        <f t="shared" ref="G10:G12" si="1">D10*E10</f>
        <v>1425</v>
      </c>
      <c r="H10" s="1"/>
    </row>
    <row r="11" spans="1:8" x14ac:dyDescent="0.25">
      <c r="A11" s="59"/>
      <c r="B11" s="1"/>
      <c r="C11" s="1"/>
      <c r="D11" s="1"/>
      <c r="E11" s="1"/>
      <c r="F11" s="34"/>
      <c r="G11" s="10">
        <f t="shared" si="1"/>
        <v>0</v>
      </c>
      <c r="H11" s="1"/>
    </row>
    <row r="12" spans="1:8" x14ac:dyDescent="0.25">
      <c r="A12" s="59"/>
      <c r="B12" s="1"/>
      <c r="C12" s="1"/>
      <c r="D12" s="1"/>
      <c r="E12" s="1"/>
      <c r="F12" s="1"/>
      <c r="G12" s="10">
        <f t="shared" si="1"/>
        <v>0</v>
      </c>
      <c r="H12" s="1"/>
    </row>
    <row r="13" spans="1:8" x14ac:dyDescent="0.25">
      <c r="A13" s="59"/>
      <c r="B13" s="1"/>
      <c r="C13" s="1"/>
      <c r="D13" s="1"/>
      <c r="E13" s="1"/>
      <c r="F13" s="1"/>
      <c r="G13" s="1"/>
      <c r="H13" s="1"/>
    </row>
    <row r="14" spans="1:8" x14ac:dyDescent="0.25">
      <c r="A14" s="59"/>
      <c r="B14" s="53" t="s">
        <v>7</v>
      </c>
      <c r="C14" s="54"/>
      <c r="D14" s="55"/>
      <c r="E14" s="3"/>
      <c r="F14" s="3"/>
      <c r="G14" s="14">
        <f>SUM(G9:G13)</f>
        <v>1664.4</v>
      </c>
      <c r="H14" s="1"/>
    </row>
    <row r="15" spans="1:8" x14ac:dyDescent="0.25">
      <c r="A15" s="1" t="s">
        <v>9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59" t="s">
        <v>45</v>
      </c>
      <c r="B16" s="1" t="s">
        <v>52</v>
      </c>
      <c r="C16" s="1">
        <v>30</v>
      </c>
      <c r="D16" s="1">
        <v>30</v>
      </c>
      <c r="E16" s="1">
        <v>30</v>
      </c>
      <c r="F16" s="34" t="s">
        <v>37</v>
      </c>
      <c r="G16" s="1">
        <f>D16*E16</f>
        <v>900</v>
      </c>
      <c r="H16" s="1"/>
    </row>
    <row r="17" spans="1:8" x14ac:dyDescent="0.25">
      <c r="A17" s="59"/>
      <c r="B17" s="1" t="s">
        <v>53</v>
      </c>
      <c r="C17" s="1">
        <v>8</v>
      </c>
      <c r="D17" s="1">
        <v>150</v>
      </c>
      <c r="E17" s="1">
        <v>8</v>
      </c>
      <c r="F17" s="34" t="s">
        <v>37</v>
      </c>
      <c r="G17" s="17">
        <f t="shared" ref="G17:G19" si="2">D17*E17</f>
        <v>1200</v>
      </c>
      <c r="H17" s="1"/>
    </row>
    <row r="18" spans="1:8" x14ac:dyDescent="0.25">
      <c r="A18" s="59"/>
      <c r="B18" s="1" t="s">
        <v>54</v>
      </c>
      <c r="C18" s="1">
        <v>3</v>
      </c>
      <c r="D18" s="1">
        <v>19.38</v>
      </c>
      <c r="E18" s="1">
        <v>3</v>
      </c>
      <c r="F18" s="34" t="s">
        <v>37</v>
      </c>
      <c r="G18" s="2">
        <f t="shared" si="2"/>
        <v>58.14</v>
      </c>
      <c r="H18" s="1"/>
    </row>
    <row r="19" spans="1:8" x14ac:dyDescent="0.25">
      <c r="A19" s="59"/>
      <c r="B19" s="1"/>
      <c r="C19" s="1"/>
      <c r="D19" s="1"/>
      <c r="E19" s="3"/>
      <c r="F19" s="3"/>
      <c r="G19" s="17">
        <f t="shared" si="2"/>
        <v>0</v>
      </c>
      <c r="H19" s="1"/>
    </row>
    <row r="20" spans="1:8" x14ac:dyDescent="0.25">
      <c r="A20" s="59"/>
      <c r="B20" s="53"/>
      <c r="C20" s="54"/>
      <c r="D20" s="55"/>
      <c r="E20" s="3"/>
      <c r="F20" s="3"/>
      <c r="G20" s="14">
        <f>SUM(G16:G19)</f>
        <v>2158.14</v>
      </c>
      <c r="H20" s="1"/>
    </row>
    <row r="21" spans="1:8" x14ac:dyDescent="0.25">
      <c r="A21" s="5" t="s">
        <v>10</v>
      </c>
      <c r="B21" s="1" t="s">
        <v>1</v>
      </c>
      <c r="C21" s="1" t="s">
        <v>2</v>
      </c>
      <c r="D21" s="1" t="s">
        <v>3</v>
      </c>
      <c r="E21" s="1" t="s">
        <v>4</v>
      </c>
      <c r="F21" s="1"/>
      <c r="G21" s="1" t="s">
        <v>5</v>
      </c>
      <c r="H21" s="1" t="s">
        <v>6</v>
      </c>
    </row>
    <row r="22" spans="1:8" x14ac:dyDescent="0.25">
      <c r="A22" s="60"/>
      <c r="B22" s="1" t="s">
        <v>28</v>
      </c>
      <c r="C22" s="1">
        <v>2</v>
      </c>
      <c r="D22" s="1">
        <v>150</v>
      </c>
      <c r="E22" s="1">
        <v>2</v>
      </c>
      <c r="F22" s="1" t="s">
        <v>16</v>
      </c>
      <c r="G22" s="1">
        <f>D22*E22</f>
        <v>300</v>
      </c>
      <c r="H22" s="1"/>
    </row>
    <row r="23" spans="1:8" x14ac:dyDescent="0.25">
      <c r="A23" s="61"/>
      <c r="B23" s="26" t="s">
        <v>31</v>
      </c>
      <c r="C23" s="1" t="s">
        <v>36</v>
      </c>
      <c r="D23" s="1">
        <v>94.5</v>
      </c>
      <c r="E23" s="1">
        <v>0.5</v>
      </c>
      <c r="F23" s="1" t="s">
        <v>25</v>
      </c>
      <c r="G23" s="37">
        <f t="shared" ref="G23:G32" si="3">D23*E23</f>
        <v>47.25</v>
      </c>
      <c r="H23" s="1"/>
    </row>
    <row r="24" spans="1:8" x14ac:dyDescent="0.25">
      <c r="A24" s="61"/>
      <c r="B24" s="26" t="s">
        <v>20</v>
      </c>
      <c r="C24" s="1">
        <v>8</v>
      </c>
      <c r="D24" s="1">
        <v>96.9</v>
      </c>
      <c r="E24" s="1">
        <v>8</v>
      </c>
      <c r="F24" s="1" t="s">
        <v>19</v>
      </c>
      <c r="G24" s="37">
        <f t="shared" si="3"/>
        <v>775.2</v>
      </c>
      <c r="H24" s="1"/>
    </row>
    <row r="25" spans="1:8" x14ac:dyDescent="0.25">
      <c r="A25" s="61"/>
      <c r="B25" s="1" t="s">
        <v>21</v>
      </c>
      <c r="C25" s="1">
        <v>4</v>
      </c>
      <c r="D25" s="1">
        <v>34.200000000000003</v>
      </c>
      <c r="E25" s="1">
        <v>4</v>
      </c>
      <c r="F25" s="1" t="s">
        <v>19</v>
      </c>
      <c r="G25" s="37">
        <f t="shared" si="3"/>
        <v>136.80000000000001</v>
      </c>
      <c r="H25" s="1"/>
    </row>
    <row r="26" spans="1:8" x14ac:dyDescent="0.25">
      <c r="A26" s="61"/>
      <c r="B26" s="10" t="s">
        <v>22</v>
      </c>
      <c r="C26" s="10">
        <v>1</v>
      </c>
      <c r="D26" s="10">
        <v>46.8</v>
      </c>
      <c r="E26" s="10">
        <v>20</v>
      </c>
      <c r="F26" s="11" t="s">
        <v>16</v>
      </c>
      <c r="G26" s="37">
        <f t="shared" si="3"/>
        <v>936</v>
      </c>
      <c r="H26" s="10"/>
    </row>
    <row r="27" spans="1:8" x14ac:dyDescent="0.25">
      <c r="A27" s="61"/>
      <c r="B27" s="10" t="s">
        <v>35</v>
      </c>
      <c r="C27" s="10">
        <v>4</v>
      </c>
      <c r="D27" s="10">
        <v>105</v>
      </c>
      <c r="E27" s="10">
        <v>4</v>
      </c>
      <c r="F27" s="10" t="s">
        <v>29</v>
      </c>
      <c r="G27" s="37">
        <f t="shared" si="3"/>
        <v>420</v>
      </c>
      <c r="H27" s="10"/>
    </row>
    <row r="28" spans="1:8" x14ac:dyDescent="0.25">
      <c r="A28" s="61"/>
      <c r="B28" s="10" t="s">
        <v>55</v>
      </c>
      <c r="C28" s="10">
        <v>8</v>
      </c>
      <c r="D28" s="10">
        <v>22.8</v>
      </c>
      <c r="E28" s="10">
        <v>8</v>
      </c>
      <c r="F28" s="36" t="s">
        <v>37</v>
      </c>
      <c r="G28" s="37">
        <f t="shared" si="3"/>
        <v>182.4</v>
      </c>
      <c r="H28" s="10" t="s">
        <v>58</v>
      </c>
    </row>
    <row r="29" spans="1:8" x14ac:dyDescent="0.25">
      <c r="A29" s="61"/>
      <c r="B29" s="10" t="s">
        <v>56</v>
      </c>
      <c r="C29" s="10">
        <v>1.5</v>
      </c>
      <c r="D29" s="10">
        <v>102</v>
      </c>
      <c r="E29" s="10">
        <v>1.5</v>
      </c>
      <c r="F29" s="34" t="s">
        <v>37</v>
      </c>
      <c r="G29" s="37">
        <f t="shared" si="3"/>
        <v>153</v>
      </c>
      <c r="H29" s="10" t="s">
        <v>57</v>
      </c>
    </row>
    <row r="30" spans="1:8" x14ac:dyDescent="0.25">
      <c r="A30" s="61"/>
      <c r="B30" s="10" t="s">
        <v>143</v>
      </c>
      <c r="C30" s="10"/>
      <c r="D30" s="10">
        <v>960</v>
      </c>
      <c r="E30" s="10">
        <v>1</v>
      </c>
      <c r="F30" s="10" t="s">
        <v>144</v>
      </c>
      <c r="G30" s="37">
        <f t="shared" si="3"/>
        <v>960</v>
      </c>
      <c r="H30" s="10"/>
    </row>
    <row r="31" spans="1:8" x14ac:dyDescent="0.25">
      <c r="A31" s="61"/>
      <c r="B31" s="10" t="s">
        <v>30</v>
      </c>
      <c r="C31" s="10">
        <v>1</v>
      </c>
      <c r="D31" s="10">
        <v>4.5</v>
      </c>
      <c r="E31" s="10">
        <v>50</v>
      </c>
      <c r="F31" s="10" t="s">
        <v>81</v>
      </c>
      <c r="G31" s="37">
        <f t="shared" si="3"/>
        <v>225</v>
      </c>
      <c r="H31" s="10"/>
    </row>
    <row r="32" spans="1:8" x14ac:dyDescent="0.25">
      <c r="A32" s="61"/>
      <c r="B32" s="28" t="s">
        <v>27</v>
      </c>
      <c r="C32" s="28">
        <v>1</v>
      </c>
      <c r="D32" s="28">
        <v>270</v>
      </c>
      <c r="E32" s="28">
        <v>1</v>
      </c>
      <c r="F32" s="28" t="s">
        <v>26</v>
      </c>
      <c r="G32" s="37">
        <f t="shared" si="3"/>
        <v>270</v>
      </c>
      <c r="H32" s="1"/>
    </row>
    <row r="33" spans="1:8" x14ac:dyDescent="0.25">
      <c r="A33" s="62"/>
      <c r="B33" s="53" t="s">
        <v>17</v>
      </c>
      <c r="C33" s="54"/>
      <c r="D33" s="55"/>
      <c r="E33" s="28"/>
      <c r="F33" s="28"/>
      <c r="G33" s="15">
        <f>SUM(G22:G32)</f>
        <v>4405.6499999999996</v>
      </c>
      <c r="H33" s="10"/>
    </row>
    <row r="34" spans="1:8" x14ac:dyDescent="0.25">
      <c r="A34" s="1" t="s">
        <v>11</v>
      </c>
      <c r="B34" s="28" t="s">
        <v>1</v>
      </c>
      <c r="C34" s="28" t="s">
        <v>2</v>
      </c>
      <c r="D34" s="28" t="s">
        <v>3</v>
      </c>
      <c r="E34" s="28" t="s">
        <v>4</v>
      </c>
      <c r="F34" s="28"/>
      <c r="G34" s="1" t="s">
        <v>5</v>
      </c>
      <c r="H34" s="1" t="s">
        <v>6</v>
      </c>
    </row>
    <row r="35" spans="1:8" x14ac:dyDescent="0.25">
      <c r="A35" s="59" t="s">
        <v>63</v>
      </c>
      <c r="B35" s="41" t="s">
        <v>78</v>
      </c>
      <c r="C35" s="41">
        <v>3</v>
      </c>
      <c r="D35" s="41">
        <v>407</v>
      </c>
      <c r="E35" s="41">
        <v>3</v>
      </c>
      <c r="F35" s="41" t="s">
        <v>79</v>
      </c>
      <c r="G35" s="41">
        <f>D35*E35</f>
        <v>1221</v>
      </c>
      <c r="H35" s="41"/>
    </row>
    <row r="36" spans="1:8" x14ac:dyDescent="0.25">
      <c r="A36" s="59"/>
      <c r="B36" s="41" t="s">
        <v>134</v>
      </c>
      <c r="C36" s="41"/>
      <c r="D36" s="41">
        <v>100</v>
      </c>
      <c r="E36" s="41">
        <v>4</v>
      </c>
      <c r="F36" s="41" t="s">
        <v>67</v>
      </c>
      <c r="G36" s="41">
        <f t="shared" ref="G36:G37" si="4">D36*E36</f>
        <v>400</v>
      </c>
      <c r="H36" s="41"/>
    </row>
    <row r="37" spans="1:8" x14ac:dyDescent="0.25">
      <c r="A37" s="59"/>
      <c r="B37" s="41" t="s">
        <v>135</v>
      </c>
      <c r="C37" s="41"/>
      <c r="D37" s="41">
        <v>80</v>
      </c>
      <c r="E37" s="41">
        <v>2</v>
      </c>
      <c r="F37" s="41" t="s">
        <v>23</v>
      </c>
      <c r="G37" s="41">
        <f t="shared" si="4"/>
        <v>160</v>
      </c>
      <c r="H37" s="41"/>
    </row>
    <row r="38" spans="1:8" x14ac:dyDescent="0.25">
      <c r="A38" s="59"/>
      <c r="B38" s="53" t="s">
        <v>7</v>
      </c>
      <c r="C38" s="54"/>
      <c r="D38" s="55"/>
      <c r="E38" s="40"/>
      <c r="F38" s="40"/>
      <c r="G38" s="16">
        <f>SUM(G35:G37)</f>
        <v>1781</v>
      </c>
      <c r="H38" s="41"/>
    </row>
    <row r="39" spans="1:8" x14ac:dyDescent="0.25">
      <c r="A39" s="1" t="s">
        <v>12</v>
      </c>
      <c r="B39" s="28" t="s">
        <v>1</v>
      </c>
      <c r="C39" s="28" t="s">
        <v>2</v>
      </c>
      <c r="D39" s="28" t="s">
        <v>3</v>
      </c>
      <c r="E39" s="29" t="s">
        <v>4</v>
      </c>
      <c r="F39" s="29"/>
      <c r="G39" s="3" t="s">
        <v>5</v>
      </c>
      <c r="H39" s="1" t="s">
        <v>6</v>
      </c>
    </row>
    <row r="40" spans="1:8" x14ac:dyDescent="0.25">
      <c r="A40" s="60"/>
      <c r="B40" s="1" t="s">
        <v>142</v>
      </c>
      <c r="C40" s="1"/>
      <c r="D40" s="1">
        <v>39.36</v>
      </c>
      <c r="E40" s="1">
        <v>55</v>
      </c>
      <c r="F40" s="1" t="s">
        <v>133</v>
      </c>
      <c r="G40" s="2">
        <f>D40*E40</f>
        <v>2164.8000000000002</v>
      </c>
      <c r="H40" s="1"/>
    </row>
    <row r="41" spans="1:8" x14ac:dyDescent="0.25">
      <c r="A41" s="61"/>
      <c r="B41" s="1" t="s">
        <v>145</v>
      </c>
      <c r="C41" s="1"/>
      <c r="D41" s="1">
        <v>11.22</v>
      </c>
      <c r="E41" s="1">
        <v>75</v>
      </c>
      <c r="F41" s="1" t="s">
        <v>133</v>
      </c>
      <c r="G41" s="2">
        <f>D41*E41</f>
        <v>841.5</v>
      </c>
      <c r="H41" s="1"/>
    </row>
    <row r="42" spans="1:8" x14ac:dyDescent="0.25">
      <c r="A42" s="62"/>
      <c r="B42" s="53" t="s">
        <v>7</v>
      </c>
      <c r="C42" s="54"/>
      <c r="D42" s="55"/>
      <c r="E42" s="3"/>
      <c r="F42" s="3"/>
      <c r="G42" s="14">
        <f>SUM(G40:G41)</f>
        <v>3006.3</v>
      </c>
      <c r="H42" s="6"/>
    </row>
    <row r="43" spans="1:8" x14ac:dyDescent="0.25">
      <c r="A43" s="7" t="s">
        <v>13</v>
      </c>
      <c r="B43" s="1" t="s">
        <v>1</v>
      </c>
      <c r="C43" s="1" t="s">
        <v>2</v>
      </c>
      <c r="D43" s="1" t="s">
        <v>3</v>
      </c>
      <c r="E43" s="1" t="s">
        <v>4</v>
      </c>
      <c r="F43" s="1"/>
      <c r="G43" s="1" t="s">
        <v>5</v>
      </c>
      <c r="H43" s="1"/>
    </row>
    <row r="44" spans="1:8" x14ac:dyDescent="0.25">
      <c r="A44" s="59"/>
      <c r="B44" s="1" t="s">
        <v>146</v>
      </c>
      <c r="C44" s="1"/>
      <c r="D44" s="1">
        <v>174</v>
      </c>
      <c r="E44" s="1">
        <v>3</v>
      </c>
      <c r="F44" s="1" t="s">
        <v>133</v>
      </c>
      <c r="G44" s="1">
        <f>D44*E44</f>
        <v>522</v>
      </c>
      <c r="H44" s="1"/>
    </row>
    <row r="45" spans="1:8" x14ac:dyDescent="0.25">
      <c r="A45" s="59"/>
      <c r="B45" s="1"/>
      <c r="C45" s="1"/>
      <c r="D45" s="1"/>
      <c r="E45" s="1"/>
      <c r="F45" s="1"/>
      <c r="G45" s="2">
        <f>D45*E45</f>
        <v>0</v>
      </c>
      <c r="H45" s="1"/>
    </row>
    <row r="46" spans="1:8" x14ac:dyDescent="0.25">
      <c r="A46" s="59"/>
      <c r="B46" s="1"/>
      <c r="C46" s="1"/>
      <c r="D46" s="1"/>
      <c r="E46" s="1"/>
      <c r="F46" s="1"/>
      <c r="G46" s="17">
        <f>D46*E46</f>
        <v>0</v>
      </c>
      <c r="H46" s="1"/>
    </row>
    <row r="47" spans="1:8" x14ac:dyDescent="0.25">
      <c r="A47" s="59"/>
      <c r="B47" s="1"/>
      <c r="C47" s="1"/>
      <c r="D47" s="1"/>
      <c r="E47" s="1"/>
      <c r="F47" s="1"/>
      <c r="G47" s="1"/>
      <c r="H47" s="1"/>
    </row>
    <row r="48" spans="1:8" x14ac:dyDescent="0.25">
      <c r="A48" s="59"/>
      <c r="B48" s="53" t="s">
        <v>7</v>
      </c>
      <c r="C48" s="54"/>
      <c r="D48" s="55"/>
      <c r="E48" s="3"/>
      <c r="F48" s="3"/>
      <c r="G48" s="16">
        <f>SUM(G44:G47)</f>
        <v>522</v>
      </c>
      <c r="H48" s="1"/>
    </row>
    <row r="49" spans="1:8" ht="17.25" thickBot="1" x14ac:dyDescent="0.3">
      <c r="A49" s="1"/>
      <c r="B49" s="63" t="s">
        <v>14</v>
      </c>
      <c r="C49" s="64"/>
      <c r="D49" s="65"/>
      <c r="E49" s="8"/>
      <c r="F49" s="8"/>
      <c r="G49" s="9">
        <f>G48+G42+G38+G20+G14+G7+G33</f>
        <v>21727.489999999998</v>
      </c>
      <c r="H49" s="1"/>
    </row>
    <row r="50" spans="1:8" x14ac:dyDescent="0.25">
      <c r="A50" s="70" t="s">
        <v>136</v>
      </c>
      <c r="B50" s="73" t="s">
        <v>137</v>
      </c>
      <c r="C50" s="73"/>
      <c r="D50" s="73"/>
      <c r="E50" s="74" t="s">
        <v>138</v>
      </c>
      <c r="F50" s="75"/>
      <c r="G50" s="76"/>
      <c r="H50" s="42" t="s">
        <v>139</v>
      </c>
    </row>
    <row r="51" spans="1:8" x14ac:dyDescent="0.25">
      <c r="A51" s="71"/>
      <c r="B51" s="77" t="s">
        <v>152</v>
      </c>
      <c r="C51" s="78"/>
      <c r="D51" s="78"/>
      <c r="E51" s="43" t="s">
        <v>140</v>
      </c>
      <c r="F51" s="80"/>
      <c r="G51" s="81"/>
      <c r="H51" s="66" t="s">
        <v>151</v>
      </c>
    </row>
    <row r="52" spans="1:8" ht="17.25" thickBot="1" x14ac:dyDescent="0.3">
      <c r="A52" s="72"/>
      <c r="B52" s="79"/>
      <c r="C52" s="79"/>
      <c r="D52" s="79"/>
      <c r="E52" s="44" t="s">
        <v>141</v>
      </c>
      <c r="F52" s="68" t="s">
        <v>150</v>
      </c>
      <c r="G52" s="69"/>
      <c r="H52" s="67"/>
    </row>
  </sheetData>
  <mergeCells count="23">
    <mergeCell ref="H51:H52"/>
    <mergeCell ref="F52:G52"/>
    <mergeCell ref="A50:A52"/>
    <mergeCell ref="B50:D50"/>
    <mergeCell ref="E50:G50"/>
    <mergeCell ref="B51:D52"/>
    <mergeCell ref="F51:G51"/>
    <mergeCell ref="B49:D49"/>
    <mergeCell ref="B48:D48"/>
    <mergeCell ref="B42:D42"/>
    <mergeCell ref="B38:D38"/>
    <mergeCell ref="B33:D33"/>
    <mergeCell ref="A44:A48"/>
    <mergeCell ref="A35:A38"/>
    <mergeCell ref="A40:A42"/>
    <mergeCell ref="A16:A20"/>
    <mergeCell ref="A22:A33"/>
    <mergeCell ref="B20:D20"/>
    <mergeCell ref="A1:H1"/>
    <mergeCell ref="A3:A7"/>
    <mergeCell ref="B7:D7"/>
    <mergeCell ref="A9:A14"/>
    <mergeCell ref="B14:D14"/>
  </mergeCells>
  <phoneticPr fontId="2" type="noConversion"/>
  <pageMargins left="0.7" right="0.7" top="0.75" bottom="0.75" header="0.3" footer="0.3"/>
  <pageSetup paperSize="9" scale="9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0"/>
  <sheetViews>
    <sheetView workbookViewId="0">
      <selection activeCell="H49" sqref="A1:H50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56" t="s">
        <v>59</v>
      </c>
      <c r="B1" s="57"/>
      <c r="C1" s="57"/>
      <c r="D1" s="57"/>
      <c r="E1" s="57"/>
      <c r="F1" s="57"/>
      <c r="G1" s="57"/>
      <c r="H1" s="58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59" t="s">
        <v>60</v>
      </c>
      <c r="B3" s="1" t="s">
        <v>64</v>
      </c>
      <c r="C3" s="1">
        <v>2</v>
      </c>
      <c r="D3" s="1">
        <v>300</v>
      </c>
      <c r="E3" s="1">
        <v>2</v>
      </c>
      <c r="F3" s="34" t="s">
        <v>65</v>
      </c>
      <c r="G3" s="2">
        <f>D3*E3</f>
        <v>600</v>
      </c>
      <c r="H3" s="1"/>
    </row>
    <row r="4" spans="1:8" x14ac:dyDescent="0.25">
      <c r="A4" s="59"/>
      <c r="B4" s="1" t="s">
        <v>66</v>
      </c>
      <c r="C4" s="1">
        <v>2</v>
      </c>
      <c r="D4" s="1">
        <v>270</v>
      </c>
      <c r="E4" s="1">
        <v>2</v>
      </c>
      <c r="F4" s="34" t="s">
        <v>67</v>
      </c>
      <c r="G4" s="2">
        <f>D4*E4</f>
        <v>540</v>
      </c>
      <c r="H4" s="1"/>
    </row>
    <row r="5" spans="1:8" x14ac:dyDescent="0.25">
      <c r="A5" s="59"/>
      <c r="B5" s="1" t="s">
        <v>68</v>
      </c>
      <c r="C5" s="1">
        <v>15</v>
      </c>
      <c r="D5" s="1">
        <v>33.06</v>
      </c>
      <c r="E5" s="1">
        <v>15</v>
      </c>
      <c r="F5" s="34" t="s">
        <v>47</v>
      </c>
      <c r="G5" s="2">
        <f t="shared" ref="G5:G6" si="0">D5*E5</f>
        <v>495.90000000000003</v>
      </c>
      <c r="H5" s="1"/>
    </row>
    <row r="6" spans="1:8" x14ac:dyDescent="0.25">
      <c r="A6" s="59"/>
      <c r="B6" s="1" t="s">
        <v>69</v>
      </c>
      <c r="C6" s="1">
        <v>65</v>
      </c>
      <c r="D6" s="1">
        <v>168</v>
      </c>
      <c r="E6" s="3">
        <v>65</v>
      </c>
      <c r="F6" s="3" t="s">
        <v>47</v>
      </c>
      <c r="G6" s="2">
        <f t="shared" si="0"/>
        <v>10920</v>
      </c>
      <c r="H6" s="1"/>
    </row>
    <row r="7" spans="1:8" x14ac:dyDescent="0.25">
      <c r="A7" s="59"/>
      <c r="B7" s="53" t="s">
        <v>7</v>
      </c>
      <c r="C7" s="54"/>
      <c r="D7" s="55"/>
      <c r="E7" s="3"/>
      <c r="F7" s="3"/>
      <c r="G7" s="14">
        <f>SUM(G3:G6)</f>
        <v>12555.9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59" t="s">
        <v>61</v>
      </c>
      <c r="B9" s="1" t="s">
        <v>70</v>
      </c>
      <c r="C9" s="1">
        <v>1</v>
      </c>
      <c r="D9" s="1">
        <v>84</v>
      </c>
      <c r="E9" s="1">
        <v>15</v>
      </c>
      <c r="F9" s="31" t="s">
        <v>23</v>
      </c>
      <c r="G9" s="1">
        <f>D9*E9</f>
        <v>1260</v>
      </c>
      <c r="H9" s="1"/>
    </row>
    <row r="10" spans="1:8" x14ac:dyDescent="0.25">
      <c r="A10" s="59"/>
      <c r="B10" s="1" t="s">
        <v>71</v>
      </c>
      <c r="C10" s="1">
        <v>1</v>
      </c>
      <c r="D10" s="1">
        <v>46.8</v>
      </c>
      <c r="E10" s="1">
        <v>20</v>
      </c>
      <c r="F10" s="31" t="s">
        <v>16</v>
      </c>
      <c r="G10" s="19">
        <f>D10*E10</f>
        <v>936</v>
      </c>
      <c r="H10" s="1"/>
    </row>
    <row r="11" spans="1:8" x14ac:dyDescent="0.25">
      <c r="A11" s="59"/>
      <c r="B11" s="1"/>
      <c r="C11" s="1"/>
      <c r="D11" s="1"/>
      <c r="E11" s="1"/>
      <c r="F11" s="31"/>
      <c r="G11" s="1"/>
      <c r="H11" s="1"/>
    </row>
    <row r="12" spans="1:8" x14ac:dyDescent="0.25">
      <c r="A12" s="59"/>
      <c r="B12" s="1"/>
      <c r="C12" s="1"/>
      <c r="D12" s="1"/>
      <c r="E12" s="1"/>
      <c r="F12" s="31"/>
      <c r="G12" s="1"/>
      <c r="H12" s="1"/>
    </row>
    <row r="13" spans="1:8" x14ac:dyDescent="0.25">
      <c r="A13" s="59"/>
      <c r="B13" s="1"/>
      <c r="C13" s="1"/>
      <c r="D13" s="1"/>
      <c r="E13" s="1"/>
      <c r="F13" s="1"/>
      <c r="G13" s="1"/>
      <c r="H13" s="1"/>
    </row>
    <row r="14" spans="1:8" x14ac:dyDescent="0.25">
      <c r="A14" s="59"/>
      <c r="B14" s="53" t="s">
        <v>7</v>
      </c>
      <c r="C14" s="54"/>
      <c r="D14" s="55"/>
      <c r="E14" s="3"/>
      <c r="F14" s="3"/>
      <c r="G14" s="14">
        <f>SUM(G9:G13)</f>
        <v>2196</v>
      </c>
      <c r="H14" s="1"/>
    </row>
    <row r="15" spans="1:8" x14ac:dyDescent="0.25">
      <c r="A15" s="28" t="s">
        <v>32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59" t="s">
        <v>62</v>
      </c>
      <c r="B16" s="1" t="s">
        <v>72</v>
      </c>
      <c r="C16" s="1">
        <v>35</v>
      </c>
      <c r="D16" s="1">
        <v>105</v>
      </c>
      <c r="E16" s="1">
        <v>35</v>
      </c>
      <c r="F16" s="34" t="s">
        <v>37</v>
      </c>
      <c r="G16" s="1">
        <f>D16*E16</f>
        <v>3675</v>
      </c>
      <c r="H16" s="1"/>
    </row>
    <row r="17" spans="1:8" x14ac:dyDescent="0.25">
      <c r="A17" s="59"/>
      <c r="B17" s="1" t="s">
        <v>73</v>
      </c>
      <c r="C17" s="1">
        <v>5</v>
      </c>
      <c r="D17" s="1">
        <v>93</v>
      </c>
      <c r="E17" s="1">
        <v>5</v>
      </c>
      <c r="F17" s="34" t="s">
        <v>74</v>
      </c>
      <c r="G17" s="19">
        <f t="shared" ref="G17:G18" si="1">D17*E17</f>
        <v>465</v>
      </c>
      <c r="H17" s="1"/>
    </row>
    <row r="18" spans="1:8" x14ac:dyDescent="0.25">
      <c r="A18" s="59"/>
      <c r="B18" s="1"/>
      <c r="C18" s="1"/>
      <c r="D18" s="1"/>
      <c r="E18" s="1"/>
      <c r="F18" s="34"/>
      <c r="G18" s="19">
        <f t="shared" si="1"/>
        <v>0</v>
      </c>
      <c r="H18" s="1"/>
    </row>
    <row r="19" spans="1:8" x14ac:dyDescent="0.25">
      <c r="A19" s="59"/>
      <c r="B19" s="1"/>
      <c r="C19" s="1"/>
      <c r="D19" s="1"/>
      <c r="E19" s="3"/>
      <c r="F19" s="3"/>
      <c r="G19" s="19">
        <f>D19*E19</f>
        <v>0</v>
      </c>
      <c r="H19" s="1"/>
    </row>
    <row r="20" spans="1:8" x14ac:dyDescent="0.25">
      <c r="A20" s="59"/>
      <c r="B20" s="1"/>
      <c r="C20" s="1"/>
      <c r="D20" s="1"/>
      <c r="E20" s="3"/>
      <c r="F20" s="3"/>
      <c r="G20" s="19">
        <f>D20*E20</f>
        <v>0</v>
      </c>
      <c r="H20" s="1"/>
    </row>
    <row r="21" spans="1:8" x14ac:dyDescent="0.25">
      <c r="A21" s="59"/>
      <c r="B21" s="1"/>
      <c r="C21" s="1"/>
      <c r="D21" s="1"/>
      <c r="E21" s="3"/>
      <c r="F21" s="3"/>
      <c r="G21" s="1"/>
      <c r="H21" s="1"/>
    </row>
    <row r="22" spans="1:8" x14ac:dyDescent="0.25">
      <c r="A22" s="59"/>
      <c r="B22" s="53" t="s">
        <v>7</v>
      </c>
      <c r="C22" s="54"/>
      <c r="D22" s="55"/>
      <c r="E22" s="3"/>
      <c r="F22" s="3"/>
      <c r="G22" s="14">
        <f>SUM(G16:G21)</f>
        <v>4140</v>
      </c>
      <c r="H22" s="1"/>
    </row>
    <row r="23" spans="1:8" x14ac:dyDescent="0.25">
      <c r="A23" s="5" t="s">
        <v>10</v>
      </c>
      <c r="B23" s="1" t="s">
        <v>1</v>
      </c>
      <c r="C23" s="1" t="s">
        <v>2</v>
      </c>
      <c r="D23" s="1" t="s">
        <v>3</v>
      </c>
      <c r="E23" s="1" t="s">
        <v>4</v>
      </c>
      <c r="F23" s="1"/>
      <c r="G23" s="1" t="s">
        <v>5</v>
      </c>
      <c r="H23" s="1" t="s">
        <v>6</v>
      </c>
    </row>
    <row r="24" spans="1:8" x14ac:dyDescent="0.25">
      <c r="A24" s="60"/>
      <c r="B24" s="1" t="s">
        <v>24</v>
      </c>
      <c r="C24" s="1">
        <v>20</v>
      </c>
      <c r="D24" s="1">
        <v>60</v>
      </c>
      <c r="E24" s="1">
        <v>20</v>
      </c>
      <c r="F24" s="1" t="s">
        <v>16</v>
      </c>
      <c r="G24" s="1">
        <f>D24*E24</f>
        <v>1200</v>
      </c>
      <c r="H24" s="1"/>
    </row>
    <row r="25" spans="1:8" x14ac:dyDescent="0.25">
      <c r="A25" s="61"/>
      <c r="B25" s="32" t="s">
        <v>33</v>
      </c>
      <c r="C25" s="32">
        <v>2</v>
      </c>
      <c r="D25" s="32">
        <v>530</v>
      </c>
      <c r="E25" s="32">
        <v>8</v>
      </c>
      <c r="F25" s="32" t="s">
        <v>79</v>
      </c>
      <c r="G25" s="32">
        <f>D25*E25</f>
        <v>4240</v>
      </c>
      <c r="H25" s="1"/>
    </row>
    <row r="26" spans="1:8" x14ac:dyDescent="0.25">
      <c r="A26" s="61"/>
      <c r="B26" s="32"/>
      <c r="C26" s="32"/>
      <c r="D26" s="32"/>
      <c r="E26" s="32"/>
      <c r="F26" s="32"/>
      <c r="G26" s="19"/>
      <c r="H26" s="1"/>
    </row>
    <row r="27" spans="1:8" x14ac:dyDescent="0.25">
      <c r="A27" s="61"/>
      <c r="B27" s="1" t="s">
        <v>75</v>
      </c>
      <c r="C27" s="1">
        <v>3</v>
      </c>
      <c r="D27" s="1">
        <v>75.599999999999994</v>
      </c>
      <c r="E27" s="1">
        <v>1</v>
      </c>
      <c r="F27" s="1" t="s">
        <v>16</v>
      </c>
      <c r="G27" s="36">
        <f t="shared" ref="G27:G29" si="2">D27*E27</f>
        <v>75.599999999999994</v>
      </c>
      <c r="H27" s="1" t="s">
        <v>57</v>
      </c>
    </row>
    <row r="28" spans="1:8" x14ac:dyDescent="0.25">
      <c r="A28" s="61"/>
      <c r="B28" s="31" t="s">
        <v>76</v>
      </c>
      <c r="C28" s="31">
        <v>3</v>
      </c>
      <c r="D28" s="31">
        <v>94.5</v>
      </c>
      <c r="E28" s="37">
        <v>1</v>
      </c>
      <c r="F28" s="37" t="s">
        <v>16</v>
      </c>
      <c r="G28" s="36">
        <f t="shared" si="2"/>
        <v>94.5</v>
      </c>
      <c r="H28" s="36" t="s">
        <v>57</v>
      </c>
    </row>
    <row r="29" spans="1:8" x14ac:dyDescent="0.25">
      <c r="A29" s="61"/>
      <c r="B29" s="36" t="s">
        <v>80</v>
      </c>
      <c r="C29" s="36">
        <v>20</v>
      </c>
      <c r="D29" s="36">
        <v>12</v>
      </c>
      <c r="E29" s="36">
        <v>20</v>
      </c>
      <c r="F29" s="35" t="s">
        <v>81</v>
      </c>
      <c r="G29" s="36">
        <f t="shared" si="2"/>
        <v>240</v>
      </c>
      <c r="H29" s="36" t="s">
        <v>82</v>
      </c>
    </row>
    <row r="30" spans="1:8" x14ac:dyDescent="0.25">
      <c r="A30" s="62"/>
      <c r="B30" s="19" t="s">
        <v>77</v>
      </c>
      <c r="C30" s="19">
        <v>35</v>
      </c>
      <c r="D30" s="19">
        <v>99</v>
      </c>
      <c r="E30" s="19">
        <v>8.42</v>
      </c>
      <c r="F30" s="33" t="s">
        <v>16</v>
      </c>
      <c r="G30" s="19">
        <f>D30*E30</f>
        <v>833.58</v>
      </c>
      <c r="H30" s="19" t="s">
        <v>58</v>
      </c>
    </row>
    <row r="31" spans="1:8" x14ac:dyDescent="0.25">
      <c r="A31" s="38"/>
      <c r="B31" s="53" t="s">
        <v>34</v>
      </c>
      <c r="C31" s="54"/>
      <c r="D31" s="55"/>
      <c r="E31" s="3"/>
      <c r="F31" s="3"/>
      <c r="G31" s="16">
        <f>SUM(G24:G30)</f>
        <v>6683.68</v>
      </c>
      <c r="H31" s="1"/>
    </row>
    <row r="32" spans="1:8" x14ac:dyDescent="0.25">
      <c r="A32" s="1" t="s">
        <v>11</v>
      </c>
      <c r="B32" s="1" t="s">
        <v>1</v>
      </c>
      <c r="C32" s="1" t="s">
        <v>2</v>
      </c>
      <c r="D32" s="1" t="s">
        <v>3</v>
      </c>
      <c r="E32" s="1" t="s">
        <v>4</v>
      </c>
      <c r="F32" s="1"/>
      <c r="G32" s="1" t="s">
        <v>5</v>
      </c>
      <c r="H32" s="1" t="s">
        <v>6</v>
      </c>
    </row>
    <row r="33" spans="1:8" x14ac:dyDescent="0.25">
      <c r="A33" s="59" t="s">
        <v>147</v>
      </c>
      <c r="B33" s="1" t="s">
        <v>148</v>
      </c>
      <c r="C33" s="1"/>
      <c r="D33" s="1"/>
      <c r="E33" s="1"/>
      <c r="F33" s="1"/>
      <c r="G33" s="1"/>
      <c r="H33" s="1" t="s">
        <v>153</v>
      </c>
    </row>
    <row r="34" spans="1:8" x14ac:dyDescent="0.25">
      <c r="A34" s="59"/>
      <c r="B34" s="37" t="s">
        <v>149</v>
      </c>
      <c r="C34" s="37"/>
      <c r="D34" s="37"/>
      <c r="E34" s="37"/>
      <c r="F34" s="37"/>
      <c r="G34" s="37"/>
      <c r="H34" s="45" t="s">
        <v>153</v>
      </c>
    </row>
    <row r="35" spans="1:8" x14ac:dyDescent="0.25">
      <c r="A35" s="59"/>
      <c r="B35" s="37"/>
      <c r="C35" s="37"/>
      <c r="D35" s="37"/>
      <c r="E35" s="37"/>
      <c r="F35" s="37"/>
      <c r="G35" s="37"/>
      <c r="H35" s="1"/>
    </row>
    <row r="36" spans="1:8" x14ac:dyDescent="0.25">
      <c r="A36" s="59"/>
      <c r="B36" s="53" t="s">
        <v>7</v>
      </c>
      <c r="C36" s="54"/>
      <c r="D36" s="55"/>
      <c r="E36" s="3"/>
      <c r="F36" s="3"/>
      <c r="G36" s="16">
        <f>SUM(G33:G35)</f>
        <v>0</v>
      </c>
      <c r="H36" s="1"/>
    </row>
    <row r="37" spans="1:8" x14ac:dyDescent="0.25">
      <c r="A37" s="1" t="s">
        <v>12</v>
      </c>
      <c r="B37" s="1" t="s">
        <v>1</v>
      </c>
      <c r="C37" s="1" t="s">
        <v>2</v>
      </c>
      <c r="D37" s="1" t="s">
        <v>3</v>
      </c>
      <c r="E37" s="3" t="s">
        <v>4</v>
      </c>
      <c r="F37" s="3"/>
      <c r="G37" s="3" t="s">
        <v>5</v>
      </c>
      <c r="H37" s="1" t="s">
        <v>6</v>
      </c>
    </row>
    <row r="38" spans="1:8" x14ac:dyDescent="0.25">
      <c r="A38" s="60"/>
      <c r="B38" s="1" t="s">
        <v>132</v>
      </c>
      <c r="C38" s="1"/>
      <c r="D38" s="1">
        <v>25.2</v>
      </c>
      <c r="E38" s="1">
        <v>75</v>
      </c>
      <c r="F38" s="1" t="s">
        <v>133</v>
      </c>
      <c r="G38" s="24">
        <f>D38*E38</f>
        <v>1890</v>
      </c>
      <c r="H38" s="1"/>
    </row>
    <row r="39" spans="1:8" x14ac:dyDescent="0.25">
      <c r="A39" s="61"/>
      <c r="B39" s="1" t="s">
        <v>154</v>
      </c>
      <c r="C39" s="1"/>
      <c r="D39" s="1">
        <v>47.04</v>
      </c>
      <c r="E39" s="1">
        <v>75</v>
      </c>
      <c r="F39" s="1" t="s">
        <v>155</v>
      </c>
      <c r="G39" s="2">
        <f>D39*E39</f>
        <v>3528</v>
      </c>
      <c r="H39" s="1"/>
    </row>
    <row r="40" spans="1:8" x14ac:dyDescent="0.25">
      <c r="A40" s="62"/>
      <c r="B40" s="53" t="s">
        <v>7</v>
      </c>
      <c r="C40" s="54"/>
      <c r="D40" s="55"/>
      <c r="E40" s="3"/>
      <c r="F40" s="3"/>
      <c r="G40" s="14">
        <f>SUM(G38:G39)</f>
        <v>5418</v>
      </c>
      <c r="H40" s="6"/>
    </row>
    <row r="41" spans="1:8" x14ac:dyDescent="0.25">
      <c r="A41" s="7" t="s">
        <v>13</v>
      </c>
      <c r="B41" s="1" t="s">
        <v>1</v>
      </c>
      <c r="C41" s="1" t="s">
        <v>2</v>
      </c>
      <c r="D41" s="1" t="s">
        <v>3</v>
      </c>
      <c r="E41" s="1" t="s">
        <v>4</v>
      </c>
      <c r="F41" s="1"/>
      <c r="G41" s="1" t="s">
        <v>5</v>
      </c>
      <c r="H41" s="1"/>
    </row>
    <row r="42" spans="1:8" x14ac:dyDescent="0.25">
      <c r="A42" s="59"/>
      <c r="B42" s="1"/>
      <c r="C42" s="1"/>
      <c r="D42" s="1"/>
      <c r="E42" s="1"/>
      <c r="F42" s="1"/>
      <c r="G42" s="1"/>
      <c r="H42" s="1"/>
    </row>
    <row r="43" spans="1:8" x14ac:dyDescent="0.25">
      <c r="A43" s="59"/>
      <c r="B43" s="1"/>
      <c r="C43" s="1"/>
      <c r="D43" s="1"/>
      <c r="E43" s="1"/>
      <c r="F43" s="1"/>
      <c r="G43" s="1"/>
      <c r="H43" s="1"/>
    </row>
    <row r="44" spans="1:8" x14ac:dyDescent="0.25">
      <c r="A44" s="59"/>
      <c r="B44" s="1"/>
      <c r="C44" s="1"/>
      <c r="D44" s="1"/>
      <c r="E44" s="1"/>
      <c r="F44" s="1"/>
      <c r="G44" s="1"/>
      <c r="H44" s="1"/>
    </row>
    <row r="45" spans="1:8" x14ac:dyDescent="0.25">
      <c r="A45" s="59"/>
      <c r="B45" s="1"/>
      <c r="C45" s="1"/>
      <c r="D45" s="1"/>
      <c r="E45" s="1"/>
      <c r="F45" s="1"/>
      <c r="G45" s="1"/>
      <c r="H45" s="1"/>
    </row>
    <row r="46" spans="1:8" x14ac:dyDescent="0.25">
      <c r="A46" s="59"/>
      <c r="B46" s="53" t="s">
        <v>7</v>
      </c>
      <c r="C46" s="54"/>
      <c r="D46" s="55"/>
      <c r="E46" s="3"/>
      <c r="F46" s="3"/>
      <c r="G46" s="4">
        <f>SUM(G42:G45)</f>
        <v>0</v>
      </c>
      <c r="H46" s="1"/>
    </row>
    <row r="47" spans="1:8" ht="17.25" thickBot="1" x14ac:dyDescent="0.3">
      <c r="A47" s="1"/>
      <c r="B47" s="63" t="s">
        <v>14</v>
      </c>
      <c r="C47" s="64"/>
      <c r="D47" s="65"/>
      <c r="E47" s="8"/>
      <c r="F47" s="8"/>
      <c r="G47" s="9">
        <f>G46+G40+G36+G22+G14+G7+G31</f>
        <v>30993.58</v>
      </c>
      <c r="H47" s="1"/>
    </row>
    <row r="48" spans="1:8" x14ac:dyDescent="0.25">
      <c r="A48" s="70" t="s">
        <v>136</v>
      </c>
      <c r="B48" s="73" t="s">
        <v>137</v>
      </c>
      <c r="C48" s="73"/>
      <c r="D48" s="73"/>
      <c r="E48" s="74" t="s">
        <v>138</v>
      </c>
      <c r="F48" s="75"/>
      <c r="G48" s="76"/>
      <c r="H48" s="42" t="s">
        <v>139</v>
      </c>
    </row>
    <row r="49" spans="1:8" x14ac:dyDescent="0.25">
      <c r="A49" s="71"/>
      <c r="B49" s="77" t="s">
        <v>157</v>
      </c>
      <c r="C49" s="78"/>
      <c r="D49" s="78"/>
      <c r="E49" s="43" t="s">
        <v>140</v>
      </c>
      <c r="F49" s="80"/>
      <c r="G49" s="81"/>
      <c r="H49" s="66" t="s">
        <v>156</v>
      </c>
    </row>
    <row r="50" spans="1:8" ht="17.25" thickBot="1" x14ac:dyDescent="0.3">
      <c r="A50" s="72"/>
      <c r="B50" s="79"/>
      <c r="C50" s="79"/>
      <c r="D50" s="79"/>
      <c r="E50" s="44" t="s">
        <v>141</v>
      </c>
      <c r="F50" s="68">
        <v>250</v>
      </c>
      <c r="G50" s="69"/>
      <c r="H50" s="67"/>
    </row>
  </sheetData>
  <mergeCells count="23">
    <mergeCell ref="H49:H50"/>
    <mergeCell ref="F50:G50"/>
    <mergeCell ref="A24:A30"/>
    <mergeCell ref="A48:A50"/>
    <mergeCell ref="B48:D48"/>
    <mergeCell ref="E48:G48"/>
    <mergeCell ref="B49:D50"/>
    <mergeCell ref="F49:G49"/>
    <mergeCell ref="A42:A46"/>
    <mergeCell ref="B46:D46"/>
    <mergeCell ref="B47:D47"/>
    <mergeCell ref="B31:D31"/>
    <mergeCell ref="A33:A36"/>
    <mergeCell ref="B36:D36"/>
    <mergeCell ref="A38:A40"/>
    <mergeCell ref="B40:D40"/>
    <mergeCell ref="A16:A22"/>
    <mergeCell ref="B22:D22"/>
    <mergeCell ref="A1:H1"/>
    <mergeCell ref="A3:A7"/>
    <mergeCell ref="B7:D7"/>
    <mergeCell ref="A9:A14"/>
    <mergeCell ref="B14:D14"/>
  </mergeCells>
  <phoneticPr fontId="2" type="noConversion"/>
  <pageMargins left="0.7" right="0.7" top="0.75" bottom="0.75" header="0.3" footer="0.3"/>
  <pageSetup paperSize="9" scale="93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8"/>
  <sheetViews>
    <sheetView topLeftCell="A13" workbookViewId="0">
      <selection activeCell="I51" sqref="I51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56" t="s">
        <v>83</v>
      </c>
      <c r="B1" s="57"/>
      <c r="C1" s="57"/>
      <c r="D1" s="57"/>
      <c r="E1" s="57"/>
      <c r="F1" s="57"/>
      <c r="G1" s="57"/>
      <c r="H1" s="58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59" t="s">
        <v>84</v>
      </c>
      <c r="B3" s="1" t="s">
        <v>46</v>
      </c>
      <c r="C3" s="1">
        <v>20</v>
      </c>
      <c r="D3" s="1">
        <v>141</v>
      </c>
      <c r="E3" s="1">
        <v>20</v>
      </c>
      <c r="F3" s="34" t="s">
        <v>37</v>
      </c>
      <c r="G3" s="2">
        <f>D3*E3</f>
        <v>2820</v>
      </c>
      <c r="H3" s="1"/>
    </row>
    <row r="4" spans="1:8" x14ac:dyDescent="0.25">
      <c r="A4" s="59"/>
      <c r="B4" s="1" t="s">
        <v>48</v>
      </c>
      <c r="C4" s="1">
        <v>10</v>
      </c>
      <c r="D4" s="1">
        <v>177</v>
      </c>
      <c r="E4" s="1">
        <v>10</v>
      </c>
      <c r="F4" s="36" t="s">
        <v>37</v>
      </c>
      <c r="G4" s="2">
        <f t="shared" ref="G4:G8" si="0">D4*E4</f>
        <v>1770</v>
      </c>
      <c r="H4" s="1"/>
    </row>
    <row r="5" spans="1:8" x14ac:dyDescent="0.25">
      <c r="A5" s="59"/>
      <c r="B5" s="1" t="s">
        <v>89</v>
      </c>
      <c r="C5" s="1">
        <v>8</v>
      </c>
      <c r="D5" s="1">
        <v>23.46</v>
      </c>
      <c r="E5" s="1">
        <v>8</v>
      </c>
      <c r="F5" s="31" t="s">
        <v>47</v>
      </c>
      <c r="G5" s="2">
        <f t="shared" si="0"/>
        <v>187.68</v>
      </c>
      <c r="H5" s="1"/>
    </row>
    <row r="6" spans="1:8" x14ac:dyDescent="0.25">
      <c r="A6" s="59"/>
      <c r="B6" s="31" t="s">
        <v>90</v>
      </c>
      <c r="C6" s="31">
        <v>2</v>
      </c>
      <c r="D6" s="31">
        <v>587</v>
      </c>
      <c r="E6" s="30">
        <v>2</v>
      </c>
      <c r="F6" s="33" t="s">
        <v>79</v>
      </c>
      <c r="G6" s="2">
        <f t="shared" si="0"/>
        <v>1174</v>
      </c>
      <c r="H6" s="31"/>
    </row>
    <row r="7" spans="1:8" x14ac:dyDescent="0.25">
      <c r="A7" s="59"/>
      <c r="B7" s="31" t="s">
        <v>96</v>
      </c>
      <c r="C7" s="31">
        <v>3</v>
      </c>
      <c r="D7" s="1">
        <v>18.239999999999998</v>
      </c>
      <c r="E7" s="3">
        <v>3</v>
      </c>
      <c r="F7" s="36" t="s">
        <v>47</v>
      </c>
      <c r="G7" s="2">
        <f t="shared" si="0"/>
        <v>54.72</v>
      </c>
      <c r="H7" s="31"/>
    </row>
    <row r="8" spans="1:8" x14ac:dyDescent="0.25">
      <c r="A8" s="59"/>
      <c r="B8" s="1" t="s">
        <v>97</v>
      </c>
      <c r="C8" s="1">
        <v>3</v>
      </c>
      <c r="D8" s="45">
        <v>60</v>
      </c>
      <c r="E8" s="45">
        <v>3</v>
      </c>
      <c r="F8" s="36" t="s">
        <v>47</v>
      </c>
      <c r="G8" s="2">
        <f t="shared" si="0"/>
        <v>180</v>
      </c>
      <c r="H8" s="1"/>
    </row>
    <row r="9" spans="1:8" x14ac:dyDescent="0.25">
      <c r="A9" s="59"/>
      <c r="B9" s="53" t="s">
        <v>7</v>
      </c>
      <c r="C9" s="54"/>
      <c r="D9" s="55"/>
      <c r="E9" s="3"/>
      <c r="F9" s="3"/>
      <c r="G9" s="14">
        <f>SUM(G3:G8)</f>
        <v>6186.4000000000005</v>
      </c>
      <c r="H9" s="1"/>
    </row>
    <row r="10" spans="1:8" x14ac:dyDescent="0.25">
      <c r="A10" s="1" t="s">
        <v>8</v>
      </c>
      <c r="B10" s="1" t="s">
        <v>1</v>
      </c>
      <c r="C10" s="1" t="s">
        <v>2</v>
      </c>
      <c r="D10" s="1" t="s">
        <v>3</v>
      </c>
      <c r="E10" s="1" t="s">
        <v>4</v>
      </c>
      <c r="F10" s="1"/>
      <c r="G10" s="1" t="s">
        <v>5</v>
      </c>
      <c r="H10" s="1" t="s">
        <v>6</v>
      </c>
    </row>
    <row r="11" spans="1:8" x14ac:dyDescent="0.25">
      <c r="A11" s="59" t="s">
        <v>85</v>
      </c>
      <c r="B11" s="1" t="s">
        <v>85</v>
      </c>
      <c r="C11" s="1">
        <v>580</v>
      </c>
      <c r="D11" s="1">
        <v>11.5</v>
      </c>
      <c r="E11" s="27">
        <v>580</v>
      </c>
      <c r="F11" s="34" t="s">
        <v>88</v>
      </c>
      <c r="G11" s="1">
        <f>D11*E11</f>
        <v>6670</v>
      </c>
      <c r="H11" s="1"/>
    </row>
    <row r="12" spans="1:8" x14ac:dyDescent="0.25">
      <c r="A12" s="59"/>
      <c r="B12" s="1"/>
      <c r="C12" s="1"/>
      <c r="D12" s="1"/>
      <c r="E12" s="1"/>
      <c r="F12" s="31"/>
      <c r="G12" s="22">
        <f t="shared" ref="G12" si="1">D12*E12</f>
        <v>0</v>
      </c>
      <c r="H12" s="1"/>
    </row>
    <row r="13" spans="1:8" x14ac:dyDescent="0.25">
      <c r="A13" s="59"/>
      <c r="B13" s="1"/>
      <c r="C13" s="1"/>
      <c r="D13" s="1"/>
      <c r="E13" s="1"/>
      <c r="F13" s="31"/>
      <c r="G13" s="1"/>
      <c r="H13" s="1"/>
    </row>
    <row r="14" spans="1:8" x14ac:dyDescent="0.25">
      <c r="A14" s="1" t="s">
        <v>9</v>
      </c>
      <c r="B14" s="53" t="s">
        <v>7</v>
      </c>
      <c r="C14" s="54"/>
      <c r="D14" s="55"/>
      <c r="E14" s="3"/>
      <c r="F14" s="3"/>
      <c r="G14" s="14">
        <f>SUM(G11:G13)</f>
        <v>6670</v>
      </c>
      <c r="H14" s="1"/>
    </row>
    <row r="15" spans="1:8" x14ac:dyDescent="0.25">
      <c r="A15" s="59" t="s">
        <v>86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59"/>
      <c r="B16" s="1" t="s">
        <v>91</v>
      </c>
      <c r="C16" s="1">
        <v>20</v>
      </c>
      <c r="D16" s="1">
        <v>45</v>
      </c>
      <c r="E16" s="1">
        <v>20</v>
      </c>
      <c r="F16" s="31" t="s">
        <v>47</v>
      </c>
      <c r="G16" s="1">
        <f>D16*E16</f>
        <v>900</v>
      </c>
      <c r="H16" s="1"/>
    </row>
    <row r="17" spans="1:8" x14ac:dyDescent="0.25">
      <c r="A17" s="59"/>
      <c r="B17" s="1" t="s">
        <v>93</v>
      </c>
      <c r="C17" s="1">
        <v>700</v>
      </c>
      <c r="D17" s="1">
        <v>156</v>
      </c>
      <c r="E17" s="20">
        <v>14</v>
      </c>
      <c r="F17" s="45" t="s">
        <v>16</v>
      </c>
      <c r="G17" s="45">
        <f t="shared" ref="G17:G19" si="2">D17*E17</f>
        <v>2184</v>
      </c>
      <c r="H17" s="1"/>
    </row>
    <row r="18" spans="1:8" x14ac:dyDescent="0.25">
      <c r="A18" s="59"/>
      <c r="B18" s="1" t="s">
        <v>94</v>
      </c>
      <c r="C18" s="1">
        <v>6</v>
      </c>
      <c r="D18" s="1">
        <v>63</v>
      </c>
      <c r="E18" s="1">
        <v>6</v>
      </c>
      <c r="F18" s="36" t="s">
        <v>47</v>
      </c>
      <c r="G18" s="45">
        <f t="shared" si="2"/>
        <v>378</v>
      </c>
      <c r="H18" s="1"/>
    </row>
    <row r="19" spans="1:8" x14ac:dyDescent="0.25">
      <c r="A19" s="59"/>
      <c r="B19" s="1" t="s">
        <v>95</v>
      </c>
      <c r="C19" s="1">
        <v>3</v>
      </c>
      <c r="D19" s="1">
        <v>101.4</v>
      </c>
      <c r="E19" s="3">
        <v>15</v>
      </c>
      <c r="F19" s="3" t="s">
        <v>16</v>
      </c>
      <c r="G19" s="45">
        <f t="shared" si="2"/>
        <v>1521</v>
      </c>
      <c r="H19" s="1"/>
    </row>
    <row r="20" spans="1:8" x14ac:dyDescent="0.25">
      <c r="A20" s="5" t="s">
        <v>10</v>
      </c>
      <c r="B20" s="53" t="s">
        <v>7</v>
      </c>
      <c r="C20" s="54"/>
      <c r="D20" s="55"/>
      <c r="E20" s="3"/>
      <c r="F20" s="3"/>
      <c r="G20" s="16">
        <f>SUM(G16:G19)</f>
        <v>4983</v>
      </c>
      <c r="H20" s="1"/>
    </row>
    <row r="21" spans="1:8" x14ac:dyDescent="0.25">
      <c r="A21" s="59"/>
      <c r="B21" s="1" t="s">
        <v>1</v>
      </c>
      <c r="C21" s="1" t="s">
        <v>2</v>
      </c>
      <c r="D21" s="1" t="s">
        <v>3</v>
      </c>
      <c r="E21" s="1" t="s">
        <v>4</v>
      </c>
      <c r="F21" s="1"/>
      <c r="G21" s="1" t="s">
        <v>5</v>
      </c>
      <c r="H21" s="1" t="s">
        <v>6</v>
      </c>
    </row>
    <row r="22" spans="1:8" x14ac:dyDescent="0.25">
      <c r="A22" s="59"/>
      <c r="B22" s="1" t="s">
        <v>46</v>
      </c>
      <c r="C22" s="1">
        <v>4</v>
      </c>
      <c r="D22" s="1">
        <v>141</v>
      </c>
      <c r="E22" s="1">
        <v>4</v>
      </c>
      <c r="F22" s="34" t="s">
        <v>37</v>
      </c>
      <c r="G22" s="1">
        <f>D22*E22</f>
        <v>564</v>
      </c>
      <c r="H22" s="1" t="s">
        <v>58</v>
      </c>
    </row>
    <row r="23" spans="1:8" x14ac:dyDescent="0.25">
      <c r="A23" s="59"/>
      <c r="B23" s="1" t="s">
        <v>98</v>
      </c>
      <c r="C23" s="1">
        <v>8</v>
      </c>
      <c r="D23" s="1">
        <v>21</v>
      </c>
      <c r="E23" s="1">
        <v>8</v>
      </c>
      <c r="F23" s="36" t="s">
        <v>37</v>
      </c>
      <c r="G23" s="22">
        <f t="shared" ref="G23:G27" si="3">D23*E23</f>
        <v>168</v>
      </c>
      <c r="H23" s="36" t="s">
        <v>58</v>
      </c>
    </row>
    <row r="24" spans="1:8" x14ac:dyDescent="0.25">
      <c r="A24" s="59"/>
      <c r="B24" s="1" t="s">
        <v>97</v>
      </c>
      <c r="C24" s="1">
        <v>0.2</v>
      </c>
      <c r="D24" s="1">
        <v>60</v>
      </c>
      <c r="E24" s="1">
        <v>0.25</v>
      </c>
      <c r="F24" s="36" t="s">
        <v>37</v>
      </c>
      <c r="G24" s="22">
        <f t="shared" si="3"/>
        <v>15</v>
      </c>
      <c r="H24" s="36" t="s">
        <v>58</v>
      </c>
    </row>
    <row r="25" spans="1:8" x14ac:dyDescent="0.25">
      <c r="A25" s="59"/>
      <c r="B25" s="1" t="s">
        <v>54</v>
      </c>
      <c r="C25" s="1">
        <v>0.2</v>
      </c>
      <c r="D25" s="1">
        <v>18.239999999999998</v>
      </c>
      <c r="E25" s="1">
        <v>0.25</v>
      </c>
      <c r="F25" s="36" t="s">
        <v>37</v>
      </c>
      <c r="G25" s="2">
        <f t="shared" si="3"/>
        <v>4.5599999999999996</v>
      </c>
      <c r="H25" s="36" t="s">
        <v>58</v>
      </c>
    </row>
    <row r="26" spans="1:8" x14ac:dyDescent="0.25">
      <c r="A26" s="59"/>
      <c r="B26" s="22" t="s">
        <v>99</v>
      </c>
      <c r="C26" s="22">
        <v>1</v>
      </c>
      <c r="D26" s="22">
        <v>60</v>
      </c>
      <c r="E26" s="22">
        <v>1</v>
      </c>
      <c r="F26" s="23" t="s">
        <v>88</v>
      </c>
      <c r="G26" s="23">
        <f t="shared" si="3"/>
        <v>60</v>
      </c>
      <c r="H26" s="22" t="s">
        <v>82</v>
      </c>
    </row>
    <row r="27" spans="1:8" x14ac:dyDescent="0.25">
      <c r="A27" s="59"/>
      <c r="B27" s="22"/>
      <c r="C27" s="22"/>
      <c r="D27" s="22"/>
      <c r="E27" s="22"/>
      <c r="F27" s="23"/>
      <c r="G27" s="23">
        <f t="shared" si="3"/>
        <v>0</v>
      </c>
      <c r="H27" s="22"/>
    </row>
    <row r="28" spans="1:8" x14ac:dyDescent="0.25">
      <c r="A28" s="1" t="s">
        <v>11</v>
      </c>
      <c r="B28" s="53" t="s">
        <v>7</v>
      </c>
      <c r="C28" s="54"/>
      <c r="D28" s="55"/>
      <c r="E28" s="3"/>
      <c r="F28" s="3"/>
      <c r="G28" s="16">
        <f>SUM(G22:G27)</f>
        <v>811.56</v>
      </c>
      <c r="H28" s="1"/>
    </row>
    <row r="29" spans="1:8" x14ac:dyDescent="0.25">
      <c r="A29" s="59" t="s">
        <v>87</v>
      </c>
      <c r="B29" s="1" t="s">
        <v>1</v>
      </c>
      <c r="C29" s="1" t="s">
        <v>2</v>
      </c>
      <c r="D29" s="1" t="s">
        <v>3</v>
      </c>
      <c r="E29" s="1" t="s">
        <v>4</v>
      </c>
      <c r="F29" s="1"/>
      <c r="G29" s="1" t="s">
        <v>5</v>
      </c>
      <c r="H29" s="1" t="s">
        <v>6</v>
      </c>
    </row>
    <row r="30" spans="1:8" x14ac:dyDescent="0.25">
      <c r="A30" s="59"/>
      <c r="B30" s="34" t="s">
        <v>92</v>
      </c>
      <c r="C30" s="34">
        <v>20</v>
      </c>
      <c r="D30" s="34">
        <v>15.96</v>
      </c>
      <c r="E30" s="34">
        <v>20</v>
      </c>
      <c r="F30" s="36" t="s">
        <v>37</v>
      </c>
      <c r="G30" s="36">
        <f>D30*E30</f>
        <v>319.20000000000005</v>
      </c>
      <c r="H30" s="34"/>
    </row>
    <row r="31" spans="1:8" x14ac:dyDescent="0.25">
      <c r="A31" s="59"/>
      <c r="B31" s="34" t="s">
        <v>66</v>
      </c>
      <c r="C31" s="34">
        <v>4</v>
      </c>
      <c r="D31" s="34">
        <v>270</v>
      </c>
      <c r="E31" s="34">
        <v>4</v>
      </c>
      <c r="F31" s="34" t="s">
        <v>67</v>
      </c>
      <c r="G31" s="36">
        <f>D31*E31</f>
        <v>1080</v>
      </c>
      <c r="H31" s="34"/>
    </row>
    <row r="32" spans="1:8" x14ac:dyDescent="0.25">
      <c r="A32" s="59"/>
      <c r="B32" s="1" t="s">
        <v>70</v>
      </c>
      <c r="C32" s="1">
        <v>8</v>
      </c>
      <c r="D32" s="1">
        <v>84</v>
      </c>
      <c r="E32" s="1">
        <v>8</v>
      </c>
      <c r="F32" s="12" t="s">
        <v>74</v>
      </c>
      <c r="G32" s="1">
        <f>D32*E32</f>
        <v>672</v>
      </c>
      <c r="H32" s="1"/>
    </row>
    <row r="33" spans="1:8" x14ac:dyDescent="0.25">
      <c r="A33" s="59"/>
      <c r="B33" s="1"/>
      <c r="C33" s="1"/>
      <c r="D33" s="1"/>
      <c r="E33" s="1"/>
      <c r="F33" s="1"/>
      <c r="G33" s="22">
        <f>D33*E33</f>
        <v>0</v>
      </c>
      <c r="H33" s="1"/>
    </row>
    <row r="34" spans="1:8" x14ac:dyDescent="0.25">
      <c r="A34" s="59"/>
      <c r="B34" s="1"/>
      <c r="C34" s="1"/>
      <c r="D34" s="1"/>
      <c r="E34" s="1"/>
      <c r="F34" s="1"/>
      <c r="G34" s="1"/>
      <c r="H34" s="1"/>
    </row>
    <row r="35" spans="1:8" x14ac:dyDescent="0.25">
      <c r="A35" s="1" t="s">
        <v>12</v>
      </c>
      <c r="B35" s="53" t="s">
        <v>15</v>
      </c>
      <c r="C35" s="54"/>
      <c r="D35" s="55"/>
      <c r="E35" s="3"/>
      <c r="F35" s="3"/>
      <c r="G35" s="14">
        <f>SUM(G32:G34)</f>
        <v>672</v>
      </c>
      <c r="H35" s="1"/>
    </row>
    <row r="36" spans="1:8" x14ac:dyDescent="0.25">
      <c r="A36" s="60"/>
      <c r="B36" s="1" t="s">
        <v>1</v>
      </c>
      <c r="C36" s="1" t="s">
        <v>2</v>
      </c>
      <c r="D36" s="1" t="s">
        <v>3</v>
      </c>
      <c r="E36" s="3" t="s">
        <v>4</v>
      </c>
      <c r="F36" s="3"/>
      <c r="G36" s="3" t="s">
        <v>5</v>
      </c>
      <c r="H36" s="1" t="s">
        <v>6</v>
      </c>
    </row>
    <row r="37" spans="1:8" x14ac:dyDescent="0.25">
      <c r="A37" s="61"/>
      <c r="B37" s="1" t="s">
        <v>158</v>
      </c>
      <c r="C37" s="1"/>
      <c r="D37" s="1">
        <v>9.18</v>
      </c>
      <c r="E37" s="1">
        <v>75</v>
      </c>
      <c r="F37" s="1" t="s">
        <v>155</v>
      </c>
      <c r="G37" s="2">
        <f>D37*E37</f>
        <v>688.5</v>
      </c>
      <c r="H37" s="1"/>
    </row>
    <row r="38" spans="1:8" x14ac:dyDescent="0.25">
      <c r="A38" s="62"/>
      <c r="B38" s="1" t="s">
        <v>200</v>
      </c>
      <c r="C38" s="1"/>
      <c r="D38" s="1">
        <v>54.72</v>
      </c>
      <c r="E38" s="46">
        <v>75</v>
      </c>
      <c r="F38" s="46" t="s">
        <v>16</v>
      </c>
      <c r="G38" s="22">
        <f>D38*E38</f>
        <v>4104</v>
      </c>
      <c r="H38" s="1"/>
    </row>
    <row r="39" spans="1:8" x14ac:dyDescent="0.25">
      <c r="A39" s="7" t="s">
        <v>13</v>
      </c>
      <c r="B39" s="53" t="s">
        <v>7</v>
      </c>
      <c r="C39" s="54"/>
      <c r="D39" s="55"/>
      <c r="E39" s="3"/>
      <c r="F39" s="3"/>
      <c r="G39" s="14">
        <f>SUM(G37:G38)</f>
        <v>4792.5</v>
      </c>
      <c r="H39" s="6"/>
    </row>
    <row r="40" spans="1:8" x14ac:dyDescent="0.25">
      <c r="A40" s="82"/>
      <c r="B40" s="1" t="s">
        <v>1</v>
      </c>
      <c r="C40" s="1" t="s">
        <v>2</v>
      </c>
      <c r="D40" s="1" t="s">
        <v>3</v>
      </c>
      <c r="E40" s="1" t="s">
        <v>4</v>
      </c>
      <c r="F40" s="1"/>
      <c r="G40" s="1" t="s">
        <v>5</v>
      </c>
      <c r="H40" s="1"/>
    </row>
    <row r="41" spans="1:8" x14ac:dyDescent="0.25">
      <c r="A41" s="83"/>
      <c r="B41" s="1" t="s">
        <v>159</v>
      </c>
      <c r="C41" s="1"/>
      <c r="D41" s="1">
        <v>45</v>
      </c>
      <c r="E41" s="1">
        <v>15</v>
      </c>
      <c r="F41" s="12" t="s">
        <v>155</v>
      </c>
      <c r="G41" s="2">
        <f>D41*E41</f>
        <v>675</v>
      </c>
      <c r="H41" s="1"/>
    </row>
    <row r="42" spans="1:8" x14ac:dyDescent="0.25">
      <c r="A42" s="83"/>
      <c r="B42" s="1" t="s">
        <v>160</v>
      </c>
      <c r="C42" s="1"/>
      <c r="D42" s="1">
        <v>9.9</v>
      </c>
      <c r="E42" s="1">
        <v>8.89</v>
      </c>
      <c r="F42" s="12" t="s">
        <v>155</v>
      </c>
      <c r="G42" s="2">
        <f t="shared" ref="G42:G63" si="4">D42*E42</f>
        <v>88.01100000000001</v>
      </c>
      <c r="H42" s="1"/>
    </row>
    <row r="43" spans="1:8" x14ac:dyDescent="0.25">
      <c r="A43" s="83"/>
      <c r="B43" s="1" t="s">
        <v>161</v>
      </c>
      <c r="C43" s="1"/>
      <c r="D43" s="1">
        <v>123</v>
      </c>
      <c r="E43" s="1">
        <v>3</v>
      </c>
      <c r="F43" s="12" t="s">
        <v>155</v>
      </c>
      <c r="G43" s="2">
        <f t="shared" si="4"/>
        <v>369</v>
      </c>
      <c r="H43" s="1"/>
    </row>
    <row r="44" spans="1:8" x14ac:dyDescent="0.25">
      <c r="A44" s="83"/>
      <c r="B44" s="1" t="s">
        <v>162</v>
      </c>
      <c r="C44" s="1"/>
      <c r="D44" s="1">
        <v>310</v>
      </c>
      <c r="E44" s="1">
        <v>1</v>
      </c>
      <c r="F44" s="12" t="s">
        <v>163</v>
      </c>
      <c r="G44" s="2">
        <f t="shared" si="4"/>
        <v>310</v>
      </c>
      <c r="H44" s="1"/>
    </row>
    <row r="45" spans="1:8" x14ac:dyDescent="0.25">
      <c r="A45" s="83"/>
      <c r="B45" s="12" t="s">
        <v>164</v>
      </c>
      <c r="C45" s="12"/>
      <c r="D45" s="13">
        <v>255</v>
      </c>
      <c r="E45" s="45">
        <v>1</v>
      </c>
      <c r="F45" s="45" t="s">
        <v>163</v>
      </c>
      <c r="G45" s="2">
        <f t="shared" si="4"/>
        <v>255</v>
      </c>
      <c r="H45" s="12"/>
    </row>
    <row r="46" spans="1:8" x14ac:dyDescent="0.25">
      <c r="A46" s="83"/>
      <c r="B46" s="45" t="s">
        <v>165</v>
      </c>
      <c r="C46" s="45"/>
      <c r="D46" s="45">
        <v>270</v>
      </c>
      <c r="E46" s="45">
        <v>1</v>
      </c>
      <c r="F46" s="45" t="s">
        <v>163</v>
      </c>
      <c r="G46" s="2">
        <f t="shared" si="4"/>
        <v>270</v>
      </c>
      <c r="H46" s="45"/>
    </row>
    <row r="47" spans="1:8" x14ac:dyDescent="0.25">
      <c r="A47" s="83"/>
      <c r="B47" s="45" t="s">
        <v>166</v>
      </c>
      <c r="C47" s="45"/>
      <c r="D47" s="45">
        <v>120</v>
      </c>
      <c r="E47" s="45">
        <v>1</v>
      </c>
      <c r="F47" s="45" t="s">
        <v>167</v>
      </c>
      <c r="G47" s="2">
        <f t="shared" si="4"/>
        <v>120</v>
      </c>
      <c r="H47" s="45"/>
    </row>
    <row r="48" spans="1:8" x14ac:dyDescent="0.25">
      <c r="A48" s="83"/>
      <c r="B48" s="45" t="s">
        <v>168</v>
      </c>
      <c r="C48" s="45"/>
      <c r="D48" s="45">
        <v>637.79999999999995</v>
      </c>
      <c r="E48" s="45">
        <v>2</v>
      </c>
      <c r="F48" s="45" t="s">
        <v>155</v>
      </c>
      <c r="G48" s="2">
        <f t="shared" si="4"/>
        <v>1275.5999999999999</v>
      </c>
      <c r="H48" s="45"/>
    </row>
    <row r="49" spans="1:8" x14ac:dyDescent="0.25">
      <c r="A49" s="83"/>
      <c r="B49" s="45" t="s">
        <v>169</v>
      </c>
      <c r="C49" s="45"/>
      <c r="D49" s="45">
        <v>32</v>
      </c>
      <c r="E49" s="45">
        <v>100</v>
      </c>
      <c r="F49" s="45" t="s">
        <v>155</v>
      </c>
      <c r="G49" s="2">
        <f t="shared" si="4"/>
        <v>3200</v>
      </c>
      <c r="H49" s="45"/>
    </row>
    <row r="50" spans="1:8" x14ac:dyDescent="0.25">
      <c r="A50" s="83"/>
      <c r="B50" s="45" t="s">
        <v>170</v>
      </c>
      <c r="C50" s="45"/>
      <c r="D50" s="45">
        <v>1236</v>
      </c>
      <c r="E50" s="45">
        <v>1</v>
      </c>
      <c r="F50" s="45" t="s">
        <v>171</v>
      </c>
      <c r="G50" s="2">
        <f t="shared" si="4"/>
        <v>1236</v>
      </c>
      <c r="H50" s="45"/>
    </row>
    <row r="51" spans="1:8" x14ac:dyDescent="0.25">
      <c r="A51" s="83"/>
      <c r="B51" s="45" t="s">
        <v>172</v>
      </c>
      <c r="C51" s="45"/>
      <c r="D51" s="45">
        <v>187</v>
      </c>
      <c r="E51" s="45">
        <v>1</v>
      </c>
      <c r="F51" s="45" t="s">
        <v>171</v>
      </c>
      <c r="G51" s="2">
        <f t="shared" si="4"/>
        <v>187</v>
      </c>
      <c r="H51" s="45"/>
    </row>
    <row r="52" spans="1:8" x14ac:dyDescent="0.25">
      <c r="A52" s="83"/>
      <c r="B52" s="45" t="s">
        <v>173</v>
      </c>
      <c r="C52" s="45"/>
      <c r="D52" s="45">
        <v>23.46</v>
      </c>
      <c r="E52" s="45">
        <v>5</v>
      </c>
      <c r="F52" s="45" t="s">
        <v>155</v>
      </c>
      <c r="G52" s="52">
        <f t="shared" si="4"/>
        <v>117.30000000000001</v>
      </c>
      <c r="H52" s="45"/>
    </row>
    <row r="53" spans="1:8" x14ac:dyDescent="0.25">
      <c r="A53" s="83"/>
      <c r="B53" s="45" t="s">
        <v>174</v>
      </c>
      <c r="C53" s="45"/>
      <c r="D53" s="45">
        <v>141</v>
      </c>
      <c r="E53" s="45">
        <v>3</v>
      </c>
      <c r="F53" s="45" t="s">
        <v>155</v>
      </c>
      <c r="G53" s="52">
        <f t="shared" si="4"/>
        <v>423</v>
      </c>
      <c r="H53" s="45"/>
    </row>
    <row r="54" spans="1:8" x14ac:dyDescent="0.25">
      <c r="A54" s="83"/>
      <c r="B54" s="45" t="s">
        <v>175</v>
      </c>
      <c r="C54" s="45"/>
      <c r="D54" s="45">
        <v>189</v>
      </c>
      <c r="E54" s="45">
        <v>4</v>
      </c>
      <c r="F54" s="45" t="s">
        <v>155</v>
      </c>
      <c r="G54" s="52">
        <f t="shared" si="4"/>
        <v>756</v>
      </c>
      <c r="H54" s="45"/>
    </row>
    <row r="55" spans="1:8" x14ac:dyDescent="0.25">
      <c r="A55" s="83"/>
      <c r="B55" s="45" t="s">
        <v>176</v>
      </c>
      <c r="C55" s="45"/>
      <c r="D55" s="45">
        <v>22.8</v>
      </c>
      <c r="E55" s="45">
        <v>2.5</v>
      </c>
      <c r="F55" s="45" t="s">
        <v>155</v>
      </c>
      <c r="G55" s="52">
        <f t="shared" si="4"/>
        <v>57</v>
      </c>
      <c r="H55" s="45"/>
    </row>
    <row r="56" spans="1:8" x14ac:dyDescent="0.25">
      <c r="A56" s="83"/>
      <c r="B56" s="45" t="s">
        <v>177</v>
      </c>
      <c r="C56" s="45"/>
      <c r="D56" s="45">
        <v>10</v>
      </c>
      <c r="E56" s="45">
        <v>10</v>
      </c>
      <c r="F56" s="45" t="s">
        <v>178</v>
      </c>
      <c r="G56" s="52">
        <f t="shared" si="4"/>
        <v>100</v>
      </c>
      <c r="H56" s="45"/>
    </row>
    <row r="57" spans="1:8" x14ac:dyDescent="0.25">
      <c r="A57" s="83"/>
      <c r="B57" s="45" t="s">
        <v>179</v>
      </c>
      <c r="C57" s="45"/>
      <c r="D57" s="45">
        <v>50.4</v>
      </c>
      <c r="E57" s="45">
        <v>20</v>
      </c>
      <c r="F57" s="45" t="s">
        <v>155</v>
      </c>
      <c r="G57" s="2">
        <f t="shared" si="4"/>
        <v>1008</v>
      </c>
      <c r="H57" s="45"/>
    </row>
    <row r="58" spans="1:8" x14ac:dyDescent="0.25">
      <c r="A58" s="83"/>
      <c r="B58" s="45" t="s">
        <v>180</v>
      </c>
      <c r="C58" s="45"/>
      <c r="D58" s="45">
        <v>1188</v>
      </c>
      <c r="E58" s="45">
        <v>1</v>
      </c>
      <c r="F58" s="45" t="s">
        <v>163</v>
      </c>
      <c r="G58" s="2">
        <f t="shared" si="4"/>
        <v>1188</v>
      </c>
      <c r="H58" s="45"/>
    </row>
    <row r="59" spans="1:8" x14ac:dyDescent="0.25">
      <c r="A59" s="83"/>
      <c r="B59" s="45" t="s">
        <v>181</v>
      </c>
      <c r="C59" s="45"/>
      <c r="D59" s="45">
        <v>120</v>
      </c>
      <c r="E59" s="45">
        <v>1</v>
      </c>
      <c r="F59" s="45" t="s">
        <v>167</v>
      </c>
      <c r="G59" s="2">
        <f t="shared" si="4"/>
        <v>120</v>
      </c>
      <c r="H59" s="45"/>
    </row>
    <row r="60" spans="1:8" x14ac:dyDescent="0.25">
      <c r="A60" s="83"/>
      <c r="B60" s="45" t="s">
        <v>182</v>
      </c>
      <c r="C60" s="45"/>
      <c r="D60" s="45">
        <v>235</v>
      </c>
      <c r="E60" s="45">
        <v>3</v>
      </c>
      <c r="F60" s="45" t="s">
        <v>167</v>
      </c>
      <c r="G60" s="2">
        <f t="shared" si="4"/>
        <v>705</v>
      </c>
      <c r="H60" s="45"/>
    </row>
    <row r="61" spans="1:8" x14ac:dyDescent="0.25">
      <c r="A61" s="83"/>
      <c r="B61" s="45" t="s">
        <v>183</v>
      </c>
      <c r="C61" s="45"/>
      <c r="D61" s="45">
        <v>90</v>
      </c>
      <c r="E61" s="45">
        <v>1</v>
      </c>
      <c r="F61" s="45" t="s">
        <v>184</v>
      </c>
      <c r="G61" s="2">
        <f t="shared" si="4"/>
        <v>90</v>
      </c>
      <c r="H61" s="45"/>
    </row>
    <row r="62" spans="1:8" x14ac:dyDescent="0.25">
      <c r="A62" s="83"/>
      <c r="B62" s="45" t="s">
        <v>185</v>
      </c>
      <c r="C62" s="45"/>
      <c r="D62" s="45">
        <v>234</v>
      </c>
      <c r="E62" s="45">
        <v>1</v>
      </c>
      <c r="F62" s="45" t="s">
        <v>167</v>
      </c>
      <c r="G62" s="2">
        <f t="shared" si="4"/>
        <v>234</v>
      </c>
      <c r="H62" s="45"/>
    </row>
    <row r="63" spans="1:8" x14ac:dyDescent="0.25">
      <c r="A63" s="83"/>
      <c r="B63" s="45" t="s">
        <v>186</v>
      </c>
      <c r="C63" s="45"/>
      <c r="D63" s="45">
        <v>270</v>
      </c>
      <c r="E63" s="45">
        <v>1</v>
      </c>
      <c r="F63" s="45" t="s">
        <v>187</v>
      </c>
      <c r="G63" s="2">
        <f t="shared" si="4"/>
        <v>270</v>
      </c>
      <c r="H63" s="45"/>
    </row>
    <row r="64" spans="1:8" x14ac:dyDescent="0.25">
      <c r="A64" s="83"/>
      <c r="B64" s="53" t="s">
        <v>7</v>
      </c>
      <c r="C64" s="54"/>
      <c r="D64" s="55"/>
      <c r="E64" s="3"/>
      <c r="F64" s="3"/>
      <c r="G64" s="14">
        <f>SUM(G41:G63)</f>
        <v>13053.911</v>
      </c>
      <c r="H64" s="1"/>
    </row>
    <row r="65" spans="1:8" ht="17.25" thickBot="1" x14ac:dyDescent="0.3">
      <c r="A65" s="84"/>
      <c r="B65" s="63" t="s">
        <v>14</v>
      </c>
      <c r="C65" s="64"/>
      <c r="D65" s="65"/>
      <c r="E65" s="8"/>
      <c r="F65" s="8"/>
      <c r="G65" s="9">
        <f>G64+G39+G35+G20+G14+G9+G28</f>
        <v>37169.370999999999</v>
      </c>
      <c r="H65" s="1" t="s">
        <v>202</v>
      </c>
    </row>
    <row r="66" spans="1:8" x14ac:dyDescent="0.25">
      <c r="A66" s="70" t="s">
        <v>136</v>
      </c>
      <c r="B66" s="73" t="s">
        <v>137</v>
      </c>
      <c r="C66" s="73"/>
      <c r="D66" s="73"/>
      <c r="E66" s="74" t="s">
        <v>138</v>
      </c>
      <c r="F66" s="75"/>
      <c r="G66" s="76"/>
      <c r="H66" s="42" t="s">
        <v>139</v>
      </c>
    </row>
    <row r="67" spans="1:8" x14ac:dyDescent="0.25">
      <c r="A67" s="71"/>
      <c r="B67" s="77" t="s">
        <v>203</v>
      </c>
      <c r="C67" s="78"/>
      <c r="D67" s="78"/>
      <c r="E67" s="43" t="s">
        <v>140</v>
      </c>
      <c r="F67" s="80"/>
      <c r="G67" s="81"/>
      <c r="H67" s="66" t="s">
        <v>201</v>
      </c>
    </row>
    <row r="68" spans="1:8" ht="17.25" thickBot="1" x14ac:dyDescent="0.3">
      <c r="A68" s="72"/>
      <c r="B68" s="79"/>
      <c r="C68" s="79"/>
      <c r="D68" s="79"/>
      <c r="E68" s="44" t="s">
        <v>141</v>
      </c>
      <c r="F68" s="68">
        <v>265</v>
      </c>
      <c r="G68" s="69"/>
      <c r="H68" s="67"/>
    </row>
  </sheetData>
  <mergeCells count="23">
    <mergeCell ref="H67:H68"/>
    <mergeCell ref="F68:G68"/>
    <mergeCell ref="A66:A68"/>
    <mergeCell ref="B66:D66"/>
    <mergeCell ref="E66:G66"/>
    <mergeCell ref="B67:D68"/>
    <mergeCell ref="F67:G67"/>
    <mergeCell ref="B64:D64"/>
    <mergeCell ref="B65:D65"/>
    <mergeCell ref="A21:A27"/>
    <mergeCell ref="B28:D28"/>
    <mergeCell ref="A29:A34"/>
    <mergeCell ref="B35:D35"/>
    <mergeCell ref="A36:A38"/>
    <mergeCell ref="B39:D39"/>
    <mergeCell ref="A40:A65"/>
    <mergeCell ref="A15:A19"/>
    <mergeCell ref="B20:D20"/>
    <mergeCell ref="A1:H1"/>
    <mergeCell ref="A3:A9"/>
    <mergeCell ref="B9:D9"/>
    <mergeCell ref="A11:A13"/>
    <mergeCell ref="B14:D14"/>
  </mergeCells>
  <phoneticPr fontId="2" type="noConversion"/>
  <pageMargins left="0.7" right="0.7" top="0.75" bottom="0.75" header="0.3" footer="0.3"/>
  <pageSetup paperSize="9" scale="68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7"/>
  <sheetViews>
    <sheetView topLeftCell="A29" workbookViewId="0">
      <selection activeCell="H46" sqref="A1:H47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56" t="s">
        <v>100</v>
      </c>
      <c r="B1" s="57"/>
      <c r="C1" s="57"/>
      <c r="D1" s="57"/>
      <c r="E1" s="57"/>
      <c r="F1" s="57"/>
      <c r="G1" s="57"/>
      <c r="H1" s="58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59" t="s">
        <v>101</v>
      </c>
      <c r="B3" s="1" t="s">
        <v>116</v>
      </c>
      <c r="C3" s="1">
        <v>280</v>
      </c>
      <c r="D3" s="1">
        <v>141</v>
      </c>
      <c r="E3" s="48">
        <v>44.17</v>
      </c>
      <c r="F3" s="46" t="s">
        <v>16</v>
      </c>
      <c r="G3" s="2">
        <f>D3*E3</f>
        <v>6227.97</v>
      </c>
      <c r="H3" s="1"/>
    </row>
    <row r="4" spans="1:8" x14ac:dyDescent="0.25">
      <c r="A4" s="59"/>
      <c r="B4" s="1" t="s">
        <v>117</v>
      </c>
      <c r="C4" s="1">
        <v>1.5</v>
      </c>
      <c r="D4" s="1">
        <v>108.3</v>
      </c>
      <c r="E4" s="1">
        <v>1.5</v>
      </c>
      <c r="F4" s="34" t="s">
        <v>47</v>
      </c>
      <c r="G4" s="2">
        <f t="shared" ref="G4:G5" si="0">D4*E4</f>
        <v>162.44999999999999</v>
      </c>
      <c r="H4" s="1"/>
    </row>
    <row r="5" spans="1:8" x14ac:dyDescent="0.25">
      <c r="A5" s="59"/>
      <c r="B5" s="1" t="s">
        <v>118</v>
      </c>
      <c r="C5" s="1">
        <v>0.5</v>
      </c>
      <c r="D5" s="1">
        <v>119.7</v>
      </c>
      <c r="E5" s="1">
        <v>0.5</v>
      </c>
      <c r="F5" s="34" t="s">
        <v>47</v>
      </c>
      <c r="G5" s="2">
        <f t="shared" si="0"/>
        <v>59.85</v>
      </c>
      <c r="H5" s="1"/>
    </row>
    <row r="6" spans="1:8" x14ac:dyDescent="0.25">
      <c r="A6" s="59"/>
      <c r="B6" s="36"/>
      <c r="C6" s="34"/>
      <c r="D6" s="34"/>
      <c r="E6" s="33"/>
      <c r="F6" s="33"/>
      <c r="G6" s="33"/>
      <c r="H6" s="34"/>
    </row>
    <row r="7" spans="1:8" x14ac:dyDescent="0.25">
      <c r="A7" s="59"/>
      <c r="B7" s="20"/>
      <c r="C7" s="1"/>
      <c r="D7" s="1"/>
      <c r="E7" s="3"/>
      <c r="F7" s="33"/>
      <c r="G7" s="3"/>
      <c r="H7" s="1"/>
    </row>
    <row r="8" spans="1:8" x14ac:dyDescent="0.25">
      <c r="A8" s="59"/>
      <c r="B8" s="53" t="s">
        <v>7</v>
      </c>
      <c r="C8" s="54"/>
      <c r="D8" s="55"/>
      <c r="E8" s="3"/>
      <c r="F8" s="3"/>
      <c r="G8" s="14">
        <f>SUM(G3:G7)</f>
        <v>6450.27</v>
      </c>
      <c r="H8" s="1"/>
    </row>
    <row r="9" spans="1:8" x14ac:dyDescent="0.25">
      <c r="A9" s="1" t="s">
        <v>8</v>
      </c>
      <c r="B9" s="1" t="s">
        <v>1</v>
      </c>
      <c r="C9" s="1" t="s">
        <v>2</v>
      </c>
      <c r="D9" s="1" t="s">
        <v>3</v>
      </c>
      <c r="E9" s="1" t="s">
        <v>4</v>
      </c>
      <c r="F9" s="1"/>
      <c r="G9" s="1" t="s">
        <v>5</v>
      </c>
      <c r="H9" s="1" t="s">
        <v>6</v>
      </c>
    </row>
    <row r="10" spans="1:8" x14ac:dyDescent="0.25">
      <c r="A10" s="59" t="s">
        <v>102</v>
      </c>
      <c r="B10" s="18" t="s">
        <v>113</v>
      </c>
      <c r="C10" s="1">
        <v>30</v>
      </c>
      <c r="D10" s="1">
        <v>75.599999999999994</v>
      </c>
      <c r="E10" s="1">
        <v>30</v>
      </c>
      <c r="F10" s="36" t="s">
        <v>47</v>
      </c>
      <c r="G10" s="2">
        <f>D10*E10</f>
        <v>2268</v>
      </c>
      <c r="H10" s="1"/>
    </row>
    <row r="11" spans="1:8" x14ac:dyDescent="0.25">
      <c r="A11" s="59"/>
      <c r="B11" s="1" t="s">
        <v>114</v>
      </c>
      <c r="C11" s="1">
        <v>10</v>
      </c>
      <c r="D11" s="1">
        <v>72</v>
      </c>
      <c r="E11" s="1">
        <v>10</v>
      </c>
      <c r="F11" s="36" t="s">
        <v>47</v>
      </c>
      <c r="G11" s="2">
        <f t="shared" ref="G11:G12" si="1">D11*E11</f>
        <v>720</v>
      </c>
      <c r="H11" s="1"/>
    </row>
    <row r="12" spans="1:8" x14ac:dyDescent="0.25">
      <c r="A12" s="59"/>
      <c r="B12" s="1" t="s">
        <v>115</v>
      </c>
      <c r="C12" s="1">
        <v>3</v>
      </c>
      <c r="D12" s="1">
        <v>100</v>
      </c>
      <c r="E12" s="1">
        <v>3</v>
      </c>
      <c r="F12" s="36" t="s">
        <v>47</v>
      </c>
      <c r="G12" s="2">
        <f t="shared" si="1"/>
        <v>300</v>
      </c>
      <c r="H12" s="1"/>
    </row>
    <row r="13" spans="1:8" x14ac:dyDescent="0.25">
      <c r="A13" s="59"/>
      <c r="B13" s="1"/>
      <c r="C13" s="1"/>
      <c r="D13" s="1"/>
      <c r="E13" s="1"/>
      <c r="F13" s="31"/>
      <c r="G13" s="1"/>
      <c r="H13" s="1"/>
    </row>
    <row r="14" spans="1:8" x14ac:dyDescent="0.25">
      <c r="A14" s="59"/>
      <c r="B14" s="1"/>
      <c r="C14" s="1"/>
      <c r="D14" s="1"/>
      <c r="E14" s="1"/>
      <c r="F14" s="1"/>
      <c r="G14" s="1"/>
      <c r="H14" s="1"/>
    </row>
    <row r="15" spans="1:8" x14ac:dyDescent="0.25">
      <c r="A15" s="59"/>
      <c r="B15" s="53" t="s">
        <v>7</v>
      </c>
      <c r="C15" s="54"/>
      <c r="D15" s="55"/>
      <c r="E15" s="3"/>
      <c r="F15" s="3"/>
      <c r="G15" s="14">
        <f>SUM(G10:G14)</f>
        <v>3288</v>
      </c>
      <c r="H15" s="1"/>
    </row>
    <row r="16" spans="1:8" x14ac:dyDescent="0.25">
      <c r="A16" s="1" t="s">
        <v>9</v>
      </c>
      <c r="B16" s="1" t="s">
        <v>1</v>
      </c>
      <c r="C16" s="1" t="s">
        <v>2</v>
      </c>
      <c r="D16" s="1" t="s">
        <v>3</v>
      </c>
      <c r="E16" s="1" t="s">
        <v>4</v>
      </c>
      <c r="F16" s="1"/>
      <c r="G16" s="1" t="s">
        <v>5</v>
      </c>
      <c r="H16" s="1" t="s">
        <v>6</v>
      </c>
    </row>
    <row r="17" spans="1:8" x14ac:dyDescent="0.25">
      <c r="A17" s="59" t="s">
        <v>103</v>
      </c>
      <c r="B17" s="1" t="s">
        <v>111</v>
      </c>
      <c r="C17" s="1">
        <v>10</v>
      </c>
      <c r="D17" s="1">
        <v>93</v>
      </c>
      <c r="E17" s="1">
        <v>10</v>
      </c>
      <c r="F17" s="36" t="s">
        <v>47</v>
      </c>
      <c r="G17" s="2">
        <f>D17*E17</f>
        <v>930</v>
      </c>
      <c r="H17" s="1"/>
    </row>
    <row r="18" spans="1:8" x14ac:dyDescent="0.25">
      <c r="A18" s="59"/>
      <c r="B18" s="1" t="s">
        <v>112</v>
      </c>
      <c r="C18" s="1">
        <v>8</v>
      </c>
      <c r="D18" s="1">
        <v>117</v>
      </c>
      <c r="E18" s="1">
        <v>8</v>
      </c>
      <c r="F18" s="36" t="s">
        <v>47</v>
      </c>
      <c r="G18" s="2">
        <f t="shared" ref="G18:G20" si="2">D18*E18</f>
        <v>936</v>
      </c>
      <c r="H18" s="1"/>
    </row>
    <row r="19" spans="1:8" x14ac:dyDescent="0.25">
      <c r="A19" s="59"/>
      <c r="B19" s="1" t="s">
        <v>96</v>
      </c>
      <c r="C19" s="1">
        <v>3</v>
      </c>
      <c r="D19" s="1">
        <v>17.100000000000001</v>
      </c>
      <c r="E19" s="1">
        <v>3</v>
      </c>
      <c r="F19" s="36" t="s">
        <v>47</v>
      </c>
      <c r="G19" s="2">
        <f t="shared" si="2"/>
        <v>51.300000000000004</v>
      </c>
      <c r="H19" s="1"/>
    </row>
    <row r="20" spans="1:8" x14ac:dyDescent="0.25">
      <c r="A20" s="59"/>
      <c r="B20" s="25" t="s">
        <v>89</v>
      </c>
      <c r="C20" s="25">
        <v>5</v>
      </c>
      <c r="D20" s="25">
        <v>23.46</v>
      </c>
      <c r="E20" s="25">
        <v>5</v>
      </c>
      <c r="F20" s="36" t="s">
        <v>47</v>
      </c>
      <c r="G20" s="2">
        <f t="shared" si="2"/>
        <v>117.30000000000001</v>
      </c>
      <c r="H20" s="1"/>
    </row>
    <row r="21" spans="1:8" x14ac:dyDescent="0.25">
      <c r="A21" s="59"/>
      <c r="B21" s="53" t="s">
        <v>7</v>
      </c>
      <c r="C21" s="54"/>
      <c r="D21" s="55"/>
      <c r="E21" s="3"/>
      <c r="F21" s="3"/>
      <c r="G21" s="14">
        <f>SUM(G17:G20)</f>
        <v>2034.6</v>
      </c>
      <c r="H21" s="1"/>
    </row>
    <row r="22" spans="1:8" x14ac:dyDescent="0.25">
      <c r="A22" s="5" t="s">
        <v>10</v>
      </c>
      <c r="B22" s="1" t="s">
        <v>1</v>
      </c>
      <c r="C22" s="1" t="s">
        <v>2</v>
      </c>
      <c r="D22" s="1" t="s">
        <v>3</v>
      </c>
      <c r="E22" s="1" t="s">
        <v>4</v>
      </c>
      <c r="F22" s="1"/>
      <c r="G22" s="1" t="s">
        <v>5</v>
      </c>
      <c r="H22" s="1" t="s">
        <v>6</v>
      </c>
    </row>
    <row r="23" spans="1:8" x14ac:dyDescent="0.25">
      <c r="A23" s="59"/>
      <c r="B23" s="1" t="s">
        <v>106</v>
      </c>
      <c r="C23" s="1">
        <v>2</v>
      </c>
      <c r="D23" s="1">
        <v>135</v>
      </c>
      <c r="E23" s="1">
        <v>2</v>
      </c>
      <c r="F23" s="34" t="s">
        <v>47</v>
      </c>
      <c r="G23" s="2">
        <f>D23*E23</f>
        <v>270</v>
      </c>
      <c r="H23" s="1" t="s">
        <v>57</v>
      </c>
    </row>
    <row r="24" spans="1:8" x14ac:dyDescent="0.25">
      <c r="A24" s="59"/>
      <c r="B24" s="1" t="s">
        <v>107</v>
      </c>
      <c r="C24" s="1">
        <v>1</v>
      </c>
      <c r="D24" s="1">
        <v>240</v>
      </c>
      <c r="E24" s="1">
        <v>1</v>
      </c>
      <c r="F24" s="34" t="s">
        <v>110</v>
      </c>
      <c r="G24" s="2">
        <f t="shared" ref="G24:G27" si="3">D24*E24</f>
        <v>240</v>
      </c>
      <c r="H24" s="1" t="s">
        <v>82</v>
      </c>
    </row>
    <row r="25" spans="1:8" x14ac:dyDescent="0.25">
      <c r="A25" s="59"/>
      <c r="B25" s="1" t="s">
        <v>108</v>
      </c>
      <c r="C25" s="1">
        <v>3</v>
      </c>
      <c r="D25" s="1">
        <v>70</v>
      </c>
      <c r="E25" s="1">
        <v>3</v>
      </c>
      <c r="F25" s="31" t="s">
        <v>109</v>
      </c>
      <c r="G25" s="2">
        <f t="shared" si="3"/>
        <v>210</v>
      </c>
      <c r="H25" s="36" t="s">
        <v>82</v>
      </c>
    </row>
    <row r="26" spans="1:8" x14ac:dyDescent="0.25">
      <c r="A26" s="59"/>
      <c r="B26" s="31" t="s">
        <v>188</v>
      </c>
      <c r="C26" s="31"/>
      <c r="D26" s="31">
        <v>72</v>
      </c>
      <c r="E26" s="31">
        <v>8.75</v>
      </c>
      <c r="F26" s="31" t="s">
        <v>189</v>
      </c>
      <c r="G26" s="2">
        <f t="shared" si="3"/>
        <v>630</v>
      </c>
      <c r="H26" s="31"/>
    </row>
    <row r="27" spans="1:8" x14ac:dyDescent="0.25">
      <c r="A27" s="59"/>
      <c r="B27" s="1" t="s">
        <v>195</v>
      </c>
      <c r="C27" s="1"/>
      <c r="D27" s="1">
        <v>150</v>
      </c>
      <c r="E27" s="1">
        <v>5</v>
      </c>
      <c r="F27" s="31" t="s">
        <v>189</v>
      </c>
      <c r="G27" s="2">
        <f t="shared" si="3"/>
        <v>750</v>
      </c>
      <c r="H27" s="1"/>
    </row>
    <row r="28" spans="1:8" x14ac:dyDescent="0.25">
      <c r="A28" s="59"/>
      <c r="B28" s="53" t="s">
        <v>7</v>
      </c>
      <c r="C28" s="54"/>
      <c r="D28" s="55"/>
      <c r="E28" s="3"/>
      <c r="F28" s="3"/>
      <c r="G28" s="14">
        <f>SUM(G23:G27)</f>
        <v>2100</v>
      </c>
      <c r="H28" s="1"/>
    </row>
    <row r="29" spans="1:8" x14ac:dyDescent="0.25">
      <c r="A29" s="1" t="s">
        <v>11</v>
      </c>
      <c r="B29" s="1" t="s">
        <v>1</v>
      </c>
      <c r="C29" s="1" t="s">
        <v>2</v>
      </c>
      <c r="D29" s="1" t="s">
        <v>3</v>
      </c>
      <c r="E29" s="1" t="s">
        <v>4</v>
      </c>
      <c r="F29" s="1"/>
      <c r="G29" s="1" t="s">
        <v>5</v>
      </c>
      <c r="H29" s="1" t="s">
        <v>6</v>
      </c>
    </row>
    <row r="30" spans="1:8" x14ac:dyDescent="0.25">
      <c r="A30" s="59" t="s">
        <v>104</v>
      </c>
      <c r="B30" s="25" t="s">
        <v>105</v>
      </c>
      <c r="C30" s="25">
        <v>15</v>
      </c>
      <c r="D30" s="25">
        <v>10.8</v>
      </c>
      <c r="E30" s="25">
        <v>15</v>
      </c>
      <c r="F30" s="39" t="s">
        <v>47</v>
      </c>
      <c r="G30" s="2">
        <f>D30*E30</f>
        <v>162</v>
      </c>
      <c r="H30" s="1"/>
    </row>
    <row r="31" spans="1:8" x14ac:dyDescent="0.25">
      <c r="A31" s="59"/>
      <c r="B31" s="1" t="s">
        <v>95</v>
      </c>
      <c r="C31" s="1">
        <v>3</v>
      </c>
      <c r="D31" s="1">
        <v>101.4</v>
      </c>
      <c r="E31" s="1">
        <v>15</v>
      </c>
      <c r="F31" s="34" t="s">
        <v>16</v>
      </c>
      <c r="G31" s="2">
        <f>D31*E31</f>
        <v>1521</v>
      </c>
      <c r="H31" s="1"/>
    </row>
    <row r="32" spans="1:8" x14ac:dyDescent="0.25">
      <c r="A32" s="59"/>
      <c r="B32" s="1"/>
      <c r="C32" s="1"/>
      <c r="D32" s="1"/>
      <c r="E32" s="1"/>
      <c r="F32" s="34"/>
      <c r="G32" s="1"/>
      <c r="H32" s="1"/>
    </row>
    <row r="33" spans="1:8" x14ac:dyDescent="0.25">
      <c r="A33" s="59"/>
      <c r="B33" s="53" t="s">
        <v>7</v>
      </c>
      <c r="C33" s="54"/>
      <c r="D33" s="55"/>
      <c r="E33" s="3"/>
      <c r="F33" s="3"/>
      <c r="G33" s="14">
        <f>SUM(G30:G32)</f>
        <v>1683</v>
      </c>
      <c r="H33" s="1"/>
    </row>
    <row r="34" spans="1:8" x14ac:dyDescent="0.25">
      <c r="A34" s="1" t="s">
        <v>12</v>
      </c>
      <c r="B34" s="1" t="s">
        <v>1</v>
      </c>
      <c r="C34" s="1" t="s">
        <v>2</v>
      </c>
      <c r="D34" s="1" t="s">
        <v>3</v>
      </c>
      <c r="E34" s="3" t="s">
        <v>4</v>
      </c>
      <c r="F34" s="3"/>
      <c r="G34" s="4" t="s">
        <v>5</v>
      </c>
      <c r="H34" s="1" t="s">
        <v>6</v>
      </c>
    </row>
    <row r="35" spans="1:8" x14ac:dyDescent="0.25">
      <c r="A35" s="60"/>
      <c r="B35" s="1" t="s">
        <v>190</v>
      </c>
      <c r="C35" s="1"/>
      <c r="D35" s="1">
        <v>25.2</v>
      </c>
      <c r="E35" s="1">
        <v>75</v>
      </c>
      <c r="F35" s="1" t="s">
        <v>189</v>
      </c>
      <c r="G35" s="1">
        <f>D35*E35</f>
        <v>1890</v>
      </c>
      <c r="H35" s="1"/>
    </row>
    <row r="36" spans="1:8" x14ac:dyDescent="0.25">
      <c r="A36" s="61"/>
      <c r="B36" s="1" t="s">
        <v>226</v>
      </c>
      <c r="C36" s="1"/>
      <c r="D36" s="1">
        <v>49.92</v>
      </c>
      <c r="E36" s="49">
        <v>75</v>
      </c>
      <c r="F36" s="49" t="s">
        <v>16</v>
      </c>
      <c r="G36" s="49">
        <f>D36*E36</f>
        <v>3744</v>
      </c>
      <c r="H36" s="1"/>
    </row>
    <row r="37" spans="1:8" x14ac:dyDescent="0.25">
      <c r="A37" s="62"/>
      <c r="B37" s="53" t="s">
        <v>7</v>
      </c>
      <c r="C37" s="54"/>
      <c r="D37" s="55"/>
      <c r="E37" s="3"/>
      <c r="F37" s="3"/>
      <c r="G37" s="14">
        <f>SUM(G35:G36)</f>
        <v>5634</v>
      </c>
      <c r="H37" s="6"/>
    </row>
    <row r="38" spans="1:8" x14ac:dyDescent="0.25">
      <c r="A38" s="7" t="s">
        <v>13</v>
      </c>
      <c r="B38" s="1" t="s">
        <v>1</v>
      </c>
      <c r="C38" s="1" t="s">
        <v>2</v>
      </c>
      <c r="D38" s="1" t="s">
        <v>3</v>
      </c>
      <c r="E38" s="1" t="s">
        <v>4</v>
      </c>
      <c r="F38" s="1"/>
      <c r="G38" s="1" t="s">
        <v>5</v>
      </c>
      <c r="H38" s="1"/>
    </row>
    <row r="39" spans="1:8" x14ac:dyDescent="0.25">
      <c r="A39" s="59"/>
      <c r="B39" s="1" t="s">
        <v>191</v>
      </c>
      <c r="C39" s="1"/>
      <c r="D39" s="1">
        <v>420</v>
      </c>
      <c r="E39" s="1">
        <v>1</v>
      </c>
      <c r="F39" s="1" t="s">
        <v>192</v>
      </c>
      <c r="G39" s="1">
        <f>D39*E39</f>
        <v>420</v>
      </c>
      <c r="H39" s="1"/>
    </row>
    <row r="40" spans="1:8" x14ac:dyDescent="0.25">
      <c r="A40" s="59"/>
      <c r="B40" s="1" t="s">
        <v>193</v>
      </c>
      <c r="C40" s="1"/>
      <c r="D40" s="1">
        <v>1188</v>
      </c>
      <c r="E40" s="1">
        <v>1</v>
      </c>
      <c r="F40" s="1" t="s">
        <v>194</v>
      </c>
      <c r="G40" s="46">
        <f t="shared" ref="G40:G42" si="4">D40*E40</f>
        <v>1188</v>
      </c>
      <c r="H40" s="1"/>
    </row>
    <row r="41" spans="1:8" x14ac:dyDescent="0.25">
      <c r="A41" s="59"/>
      <c r="B41" s="1" t="s">
        <v>196</v>
      </c>
      <c r="C41" s="1"/>
      <c r="D41" s="1">
        <v>3.5</v>
      </c>
      <c r="E41" s="1">
        <v>100</v>
      </c>
      <c r="F41" s="1" t="s">
        <v>197</v>
      </c>
      <c r="G41" s="46">
        <f t="shared" si="4"/>
        <v>350</v>
      </c>
      <c r="H41" s="1"/>
    </row>
    <row r="42" spans="1:8" x14ac:dyDescent="0.25">
      <c r="A42" s="59"/>
      <c r="B42" s="1" t="s">
        <v>198</v>
      </c>
      <c r="C42" s="1"/>
      <c r="D42" s="1">
        <v>98</v>
      </c>
      <c r="E42" s="1">
        <v>2</v>
      </c>
      <c r="F42" s="1" t="s">
        <v>199</v>
      </c>
      <c r="G42" s="46">
        <f t="shared" si="4"/>
        <v>196</v>
      </c>
      <c r="H42" s="1"/>
    </row>
    <row r="43" spans="1:8" x14ac:dyDescent="0.25">
      <c r="A43" s="59"/>
      <c r="B43" s="53" t="s">
        <v>7</v>
      </c>
      <c r="C43" s="54"/>
      <c r="D43" s="55"/>
      <c r="E43" s="3"/>
      <c r="F43" s="3"/>
      <c r="G43" s="16">
        <f>SUM(G39:G42)</f>
        <v>2154</v>
      </c>
      <c r="H43" s="1"/>
    </row>
    <row r="44" spans="1:8" ht="17.25" thickBot="1" x14ac:dyDescent="0.3">
      <c r="A44" s="1"/>
      <c r="B44" s="63" t="s">
        <v>14</v>
      </c>
      <c r="C44" s="64"/>
      <c r="D44" s="65"/>
      <c r="E44" s="8"/>
      <c r="F44" s="8"/>
      <c r="G44" s="9">
        <f>G43+G37+G33+G21+G15+G8+G28</f>
        <v>23343.870000000003</v>
      </c>
      <c r="H44" s="1"/>
    </row>
    <row r="45" spans="1:8" x14ac:dyDescent="0.25">
      <c r="A45" s="70" t="s">
        <v>136</v>
      </c>
      <c r="B45" s="73" t="s">
        <v>137</v>
      </c>
      <c r="C45" s="73"/>
      <c r="D45" s="73"/>
      <c r="E45" s="74" t="s">
        <v>138</v>
      </c>
      <c r="F45" s="75"/>
      <c r="G45" s="76"/>
      <c r="H45" s="42" t="s">
        <v>139</v>
      </c>
    </row>
    <row r="46" spans="1:8" x14ac:dyDescent="0.25">
      <c r="A46" s="71"/>
      <c r="B46" s="77" t="s">
        <v>243</v>
      </c>
      <c r="C46" s="78"/>
      <c r="D46" s="78"/>
      <c r="E46" s="43" t="s">
        <v>140</v>
      </c>
      <c r="F46" s="80"/>
      <c r="G46" s="81"/>
      <c r="H46" s="66" t="s">
        <v>242</v>
      </c>
    </row>
    <row r="47" spans="1:8" ht="17.25" thickBot="1" x14ac:dyDescent="0.3">
      <c r="A47" s="72"/>
      <c r="B47" s="79"/>
      <c r="C47" s="79"/>
      <c r="D47" s="79"/>
      <c r="E47" s="44" t="s">
        <v>141</v>
      </c>
      <c r="F47" s="68">
        <v>265</v>
      </c>
      <c r="G47" s="69"/>
      <c r="H47" s="67"/>
    </row>
  </sheetData>
  <mergeCells count="23">
    <mergeCell ref="H46:H47"/>
    <mergeCell ref="F47:G47"/>
    <mergeCell ref="A45:A47"/>
    <mergeCell ref="B45:D45"/>
    <mergeCell ref="E45:G45"/>
    <mergeCell ref="B46:D47"/>
    <mergeCell ref="F46:G46"/>
    <mergeCell ref="A39:A43"/>
    <mergeCell ref="B43:D43"/>
    <mergeCell ref="B44:D44"/>
    <mergeCell ref="A23:A28"/>
    <mergeCell ref="B28:D28"/>
    <mergeCell ref="A30:A33"/>
    <mergeCell ref="B33:D33"/>
    <mergeCell ref="A35:A37"/>
    <mergeCell ref="B37:D37"/>
    <mergeCell ref="A17:A21"/>
    <mergeCell ref="B21:D21"/>
    <mergeCell ref="A1:H1"/>
    <mergeCell ref="A3:A8"/>
    <mergeCell ref="B8:D8"/>
    <mergeCell ref="A10:A15"/>
    <mergeCell ref="B15:D15"/>
  </mergeCells>
  <phoneticPr fontId="2" type="noConversion"/>
  <pageMargins left="0.7" right="0.7" top="0.75" bottom="0.75" header="0.3" footer="0.3"/>
  <pageSetup paperSize="9" scale="98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4"/>
  <sheetViews>
    <sheetView tabSelected="1" topLeftCell="A46" workbookViewId="0">
      <selection activeCell="D79" sqref="D79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56" t="s">
        <v>119</v>
      </c>
      <c r="B1" s="57"/>
      <c r="C1" s="57"/>
      <c r="D1" s="57"/>
      <c r="E1" s="57"/>
      <c r="F1" s="57"/>
      <c r="G1" s="57"/>
      <c r="H1" s="58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59" t="s">
        <v>120</v>
      </c>
      <c r="B3" s="1" t="s">
        <v>77</v>
      </c>
      <c r="C3" s="1">
        <v>260</v>
      </c>
      <c r="D3" s="1">
        <v>99</v>
      </c>
      <c r="E3" s="1">
        <v>64.2</v>
      </c>
      <c r="F3" s="34" t="s">
        <v>16</v>
      </c>
      <c r="G3" s="2">
        <f>D3*E3</f>
        <v>6355.8</v>
      </c>
      <c r="H3" s="1"/>
    </row>
    <row r="4" spans="1:8" x14ac:dyDescent="0.25">
      <c r="A4" s="59"/>
      <c r="B4" s="1"/>
      <c r="C4" s="1"/>
      <c r="D4" s="1"/>
      <c r="E4" s="3"/>
      <c r="F4" s="33"/>
      <c r="G4" s="3"/>
      <c r="H4" s="1"/>
    </row>
    <row r="5" spans="1:8" x14ac:dyDescent="0.25">
      <c r="A5" s="59"/>
      <c r="B5" s="53" t="s">
        <v>7</v>
      </c>
      <c r="C5" s="54"/>
      <c r="D5" s="55"/>
      <c r="E5" s="3"/>
      <c r="F5" s="3"/>
      <c r="G5" s="14">
        <f>SUM(G3:G4)</f>
        <v>6355.8</v>
      </c>
      <c r="H5" s="1"/>
    </row>
    <row r="6" spans="1:8" x14ac:dyDescent="0.25">
      <c r="A6" s="1" t="s">
        <v>8</v>
      </c>
      <c r="B6" s="1" t="s">
        <v>1</v>
      </c>
      <c r="C6" s="1" t="s">
        <v>2</v>
      </c>
      <c r="D6" s="1" t="s">
        <v>3</v>
      </c>
      <c r="E6" s="1" t="s">
        <v>4</v>
      </c>
      <c r="F6" s="31"/>
      <c r="G6" s="1" t="s">
        <v>5</v>
      </c>
      <c r="H6" s="1" t="s">
        <v>6</v>
      </c>
    </row>
    <row r="7" spans="1:8" x14ac:dyDescent="0.25">
      <c r="A7" s="60" t="s">
        <v>121</v>
      </c>
      <c r="B7" s="25" t="s">
        <v>124</v>
      </c>
      <c r="C7" s="25">
        <v>7</v>
      </c>
      <c r="D7" s="25">
        <v>180</v>
      </c>
      <c r="E7" s="25">
        <v>7</v>
      </c>
      <c r="F7" s="34" t="s">
        <v>131</v>
      </c>
      <c r="G7" s="25">
        <f>D7*E7</f>
        <v>1260</v>
      </c>
      <c r="H7" s="25"/>
    </row>
    <row r="8" spans="1:8" x14ac:dyDescent="0.25">
      <c r="A8" s="61"/>
      <c r="B8" s="1" t="s">
        <v>125</v>
      </c>
      <c r="C8" s="1">
        <v>4</v>
      </c>
      <c r="D8" s="1">
        <v>110</v>
      </c>
      <c r="E8" s="1">
        <v>4</v>
      </c>
      <c r="F8" s="36" t="s">
        <v>67</v>
      </c>
      <c r="G8" s="49">
        <f t="shared" ref="G8:G9" si="0">D8*E8</f>
        <v>440</v>
      </c>
      <c r="H8" s="1"/>
    </row>
    <row r="9" spans="1:8" x14ac:dyDescent="0.25">
      <c r="A9" s="61"/>
      <c r="B9" s="1" t="s">
        <v>126</v>
      </c>
      <c r="C9" s="1">
        <v>2</v>
      </c>
      <c r="D9" s="1">
        <v>225</v>
      </c>
      <c r="E9" s="1">
        <v>2</v>
      </c>
      <c r="F9" s="34" t="s">
        <v>67</v>
      </c>
      <c r="G9" s="49">
        <f t="shared" si="0"/>
        <v>450</v>
      </c>
      <c r="H9" s="1"/>
    </row>
    <row r="10" spans="1:8" x14ac:dyDescent="0.25">
      <c r="A10" s="62"/>
      <c r="B10" s="53" t="s">
        <v>7</v>
      </c>
      <c r="C10" s="54"/>
      <c r="D10" s="55"/>
      <c r="E10" s="3"/>
      <c r="F10" s="3"/>
      <c r="G10" s="14">
        <f>SUM(G7:G9)</f>
        <v>2150</v>
      </c>
      <c r="H10" s="1"/>
    </row>
    <row r="11" spans="1:8" x14ac:dyDescent="0.25">
      <c r="A11" s="1" t="s">
        <v>9</v>
      </c>
      <c r="B11" s="1" t="s">
        <v>1</v>
      </c>
      <c r="C11" s="1" t="s">
        <v>2</v>
      </c>
      <c r="D11" s="1" t="s">
        <v>3</v>
      </c>
      <c r="E11" s="1" t="s">
        <v>4</v>
      </c>
      <c r="F11" s="1"/>
      <c r="G11" s="1" t="s">
        <v>5</v>
      </c>
      <c r="H11" s="1" t="s">
        <v>6</v>
      </c>
    </row>
    <row r="12" spans="1:8" x14ac:dyDescent="0.25">
      <c r="A12" s="59" t="s">
        <v>122</v>
      </c>
      <c r="B12" s="1" t="s">
        <v>127</v>
      </c>
      <c r="C12" s="1">
        <v>10</v>
      </c>
      <c r="D12" s="1">
        <v>900</v>
      </c>
      <c r="E12" s="1">
        <v>1.67</v>
      </c>
      <c r="F12" s="34" t="s">
        <v>16</v>
      </c>
      <c r="G12" s="1">
        <f>D12*E12</f>
        <v>1503</v>
      </c>
      <c r="H12" s="1"/>
    </row>
    <row r="13" spans="1:8" x14ac:dyDescent="0.25">
      <c r="A13" s="59"/>
      <c r="B13" s="1" t="s">
        <v>128</v>
      </c>
      <c r="C13" s="1">
        <v>30</v>
      </c>
      <c r="D13" s="1">
        <v>45</v>
      </c>
      <c r="E13" s="1">
        <v>30</v>
      </c>
      <c r="F13" s="34" t="s">
        <v>37</v>
      </c>
      <c r="G13" s="49">
        <f t="shared" ref="G13:G15" si="1">D13*E13</f>
        <v>1350</v>
      </c>
      <c r="H13" s="1"/>
    </row>
    <row r="14" spans="1:8" x14ac:dyDescent="0.25">
      <c r="A14" s="59"/>
      <c r="B14" s="1" t="s">
        <v>129</v>
      </c>
      <c r="C14" s="1">
        <v>15</v>
      </c>
      <c r="D14" s="1">
        <v>180</v>
      </c>
      <c r="E14" s="1">
        <v>15</v>
      </c>
      <c r="F14" s="34" t="s">
        <v>37</v>
      </c>
      <c r="G14" s="49">
        <f t="shared" si="1"/>
        <v>2700</v>
      </c>
      <c r="H14" s="1"/>
    </row>
    <row r="15" spans="1:8" x14ac:dyDescent="0.25">
      <c r="A15" s="59"/>
      <c r="B15" s="1" t="s">
        <v>130</v>
      </c>
      <c r="C15" s="1">
        <v>6</v>
      </c>
      <c r="D15" s="1">
        <v>25.5</v>
      </c>
      <c r="E15" s="3">
        <v>6</v>
      </c>
      <c r="F15" s="36" t="s">
        <v>37</v>
      </c>
      <c r="G15" s="49">
        <f t="shared" si="1"/>
        <v>153</v>
      </c>
      <c r="H15" s="1"/>
    </row>
    <row r="16" spans="1:8" x14ac:dyDescent="0.25">
      <c r="A16" s="59"/>
      <c r="B16" s="53" t="s">
        <v>7</v>
      </c>
      <c r="C16" s="54"/>
      <c r="D16" s="55"/>
      <c r="E16" s="3"/>
      <c r="F16" s="3"/>
      <c r="G16" s="16">
        <f>SUM(G12:G15)</f>
        <v>5706</v>
      </c>
      <c r="H16" s="1"/>
    </row>
    <row r="17" spans="1:8" x14ac:dyDescent="0.25">
      <c r="A17" s="5" t="s">
        <v>10</v>
      </c>
      <c r="B17" s="1" t="s">
        <v>1</v>
      </c>
      <c r="C17" s="1" t="s">
        <v>2</v>
      </c>
      <c r="D17" s="1" t="s">
        <v>3</v>
      </c>
      <c r="E17" s="1" t="s">
        <v>4</v>
      </c>
      <c r="F17" s="1"/>
      <c r="G17" s="1" t="s">
        <v>5</v>
      </c>
      <c r="H17" s="1" t="s">
        <v>6</v>
      </c>
    </row>
    <row r="18" spans="1:8" x14ac:dyDescent="0.25">
      <c r="A18" s="85"/>
      <c r="B18" s="18" t="s">
        <v>38</v>
      </c>
      <c r="C18" s="12">
        <v>20</v>
      </c>
      <c r="D18" s="12">
        <v>10</v>
      </c>
      <c r="E18" s="12">
        <v>20</v>
      </c>
      <c r="F18" s="31" t="s">
        <v>41</v>
      </c>
      <c r="G18" s="12">
        <f>D18*E18</f>
        <v>200</v>
      </c>
      <c r="H18" s="12" t="s">
        <v>18</v>
      </c>
    </row>
    <row r="19" spans="1:8" x14ac:dyDescent="0.25">
      <c r="A19" s="86"/>
      <c r="B19" s="12" t="s">
        <v>39</v>
      </c>
      <c r="C19" s="12">
        <v>30</v>
      </c>
      <c r="D19" s="12">
        <v>132</v>
      </c>
      <c r="E19" s="12">
        <v>2</v>
      </c>
      <c r="F19" s="34" t="s">
        <v>16</v>
      </c>
      <c r="G19" s="49">
        <f t="shared" ref="G19:G37" si="2">D19*E19</f>
        <v>264</v>
      </c>
      <c r="H19" s="12" t="s">
        <v>18</v>
      </c>
    </row>
    <row r="20" spans="1:8" x14ac:dyDescent="0.25">
      <c r="A20" s="86"/>
      <c r="B20" s="12" t="s">
        <v>40</v>
      </c>
      <c r="C20" s="12">
        <v>4</v>
      </c>
      <c r="D20" s="12">
        <v>177</v>
      </c>
      <c r="E20" s="12">
        <v>4</v>
      </c>
      <c r="F20" s="34" t="s">
        <v>37</v>
      </c>
      <c r="G20" s="49">
        <f t="shared" si="2"/>
        <v>708</v>
      </c>
      <c r="H20" s="36" t="s">
        <v>18</v>
      </c>
    </row>
    <row r="21" spans="1:8" x14ac:dyDescent="0.25">
      <c r="A21" s="86"/>
      <c r="B21" s="1" t="s">
        <v>219</v>
      </c>
      <c r="C21" s="1"/>
      <c r="D21" s="1">
        <v>265</v>
      </c>
      <c r="E21" s="1">
        <v>1</v>
      </c>
      <c r="F21" s="1" t="s">
        <v>212</v>
      </c>
      <c r="G21" s="49">
        <f t="shared" si="2"/>
        <v>265</v>
      </c>
      <c r="H21" s="12"/>
    </row>
    <row r="22" spans="1:8" x14ac:dyDescent="0.25">
      <c r="A22" s="86"/>
      <c r="B22" s="1" t="s">
        <v>220</v>
      </c>
      <c r="C22" s="1"/>
      <c r="D22" s="1">
        <v>16</v>
      </c>
      <c r="E22" s="1">
        <v>2</v>
      </c>
      <c r="F22" s="1" t="s">
        <v>221</v>
      </c>
      <c r="G22" s="49">
        <f t="shared" si="2"/>
        <v>32</v>
      </c>
      <c r="H22" s="12"/>
    </row>
    <row r="23" spans="1:8" x14ac:dyDescent="0.25">
      <c r="A23" s="86"/>
      <c r="B23" s="1" t="s">
        <v>227</v>
      </c>
      <c r="C23" s="1"/>
      <c r="D23" s="1">
        <v>255</v>
      </c>
      <c r="E23" s="1">
        <v>1</v>
      </c>
      <c r="F23" s="1" t="s">
        <v>216</v>
      </c>
      <c r="G23" s="49">
        <f t="shared" si="2"/>
        <v>255</v>
      </c>
      <c r="H23" s="25"/>
    </row>
    <row r="24" spans="1:8" x14ac:dyDescent="0.25">
      <c r="A24" s="86"/>
      <c r="B24" s="1" t="s">
        <v>228</v>
      </c>
      <c r="C24" s="1"/>
      <c r="D24" s="1">
        <v>270</v>
      </c>
      <c r="E24" s="49">
        <v>1</v>
      </c>
      <c r="F24" s="49" t="s">
        <v>216</v>
      </c>
      <c r="G24" s="49">
        <f t="shared" si="2"/>
        <v>270</v>
      </c>
      <c r="H24" s="1"/>
    </row>
    <row r="25" spans="1:8" x14ac:dyDescent="0.25">
      <c r="A25" s="86"/>
      <c r="B25" s="49" t="s">
        <v>230</v>
      </c>
      <c r="C25" s="49"/>
      <c r="D25" s="49">
        <v>273</v>
      </c>
      <c r="E25" s="49">
        <v>3</v>
      </c>
      <c r="F25" s="49" t="s">
        <v>216</v>
      </c>
      <c r="G25" s="49">
        <f t="shared" si="2"/>
        <v>819</v>
      </c>
      <c r="H25" s="49"/>
    </row>
    <row r="26" spans="1:8" x14ac:dyDescent="0.25">
      <c r="A26" s="86"/>
      <c r="B26" s="49" t="s">
        <v>231</v>
      </c>
      <c r="C26" s="49"/>
      <c r="D26" s="49">
        <v>93</v>
      </c>
      <c r="E26" s="49">
        <v>3</v>
      </c>
      <c r="F26" s="49" t="s">
        <v>205</v>
      </c>
      <c r="G26" s="49">
        <f t="shared" si="2"/>
        <v>279</v>
      </c>
      <c r="H26" s="49"/>
    </row>
    <row r="27" spans="1:8" x14ac:dyDescent="0.25">
      <c r="A27" s="86"/>
      <c r="B27" s="49" t="s">
        <v>232</v>
      </c>
      <c r="C27" s="49"/>
      <c r="D27" s="49">
        <v>32</v>
      </c>
      <c r="E27" s="49">
        <v>50</v>
      </c>
      <c r="F27" s="49" t="s">
        <v>212</v>
      </c>
      <c r="G27" s="49">
        <f t="shared" si="2"/>
        <v>1600</v>
      </c>
      <c r="H27" s="49"/>
    </row>
    <row r="28" spans="1:8" x14ac:dyDescent="0.25">
      <c r="A28" s="86"/>
      <c r="B28" s="49" t="s">
        <v>233</v>
      </c>
      <c r="C28" s="49"/>
      <c r="D28" s="49">
        <v>362</v>
      </c>
      <c r="E28" s="49">
        <v>2</v>
      </c>
      <c r="F28" s="49" t="s">
        <v>216</v>
      </c>
      <c r="G28" s="49">
        <f t="shared" si="2"/>
        <v>724</v>
      </c>
      <c r="H28" s="49"/>
    </row>
    <row r="29" spans="1:8" x14ac:dyDescent="0.25">
      <c r="A29" s="86"/>
      <c r="B29" s="49" t="s">
        <v>234</v>
      </c>
      <c r="C29" s="49"/>
      <c r="D29" s="49">
        <v>1188</v>
      </c>
      <c r="E29" s="49">
        <v>1</v>
      </c>
      <c r="F29" s="49" t="s">
        <v>216</v>
      </c>
      <c r="G29" s="49">
        <f t="shared" si="2"/>
        <v>1188</v>
      </c>
      <c r="H29" s="49"/>
    </row>
    <row r="30" spans="1:8" x14ac:dyDescent="0.25">
      <c r="A30" s="86"/>
      <c r="B30" s="49" t="s">
        <v>224</v>
      </c>
      <c r="C30" s="49"/>
      <c r="D30" s="49">
        <v>44.1</v>
      </c>
      <c r="E30" s="49">
        <v>1.25</v>
      </c>
      <c r="F30" s="49" t="s">
        <v>212</v>
      </c>
      <c r="G30" s="49">
        <f t="shared" si="2"/>
        <v>55.125</v>
      </c>
      <c r="H30" s="49"/>
    </row>
    <row r="31" spans="1:8" x14ac:dyDescent="0.25">
      <c r="A31" s="86"/>
      <c r="B31" s="49" t="s">
        <v>235</v>
      </c>
      <c r="C31" s="49"/>
      <c r="D31" s="49">
        <v>72</v>
      </c>
      <c r="E31" s="49">
        <v>0.3</v>
      </c>
      <c r="F31" s="49" t="s">
        <v>212</v>
      </c>
      <c r="G31" s="49">
        <f t="shared" si="2"/>
        <v>21.599999999999998</v>
      </c>
      <c r="H31" s="49"/>
    </row>
    <row r="32" spans="1:8" x14ac:dyDescent="0.25">
      <c r="A32" s="86"/>
      <c r="B32" s="49" t="s">
        <v>236</v>
      </c>
      <c r="C32" s="49"/>
      <c r="D32" s="49">
        <v>28.56</v>
      </c>
      <c r="E32" s="47">
        <v>6.67</v>
      </c>
      <c r="F32" s="49" t="s">
        <v>212</v>
      </c>
      <c r="G32" s="2">
        <f t="shared" si="2"/>
        <v>190.49519999999998</v>
      </c>
      <c r="H32" s="49"/>
    </row>
    <row r="33" spans="1:8" x14ac:dyDescent="0.25">
      <c r="A33" s="86"/>
      <c r="B33" s="20" t="s">
        <v>237</v>
      </c>
      <c r="C33" s="20"/>
      <c r="D33" s="20">
        <v>25.5</v>
      </c>
      <c r="E33" s="20">
        <v>0.5</v>
      </c>
      <c r="F33" s="20" t="s">
        <v>212</v>
      </c>
      <c r="G33" s="49">
        <f t="shared" si="2"/>
        <v>12.75</v>
      </c>
      <c r="H33" s="49"/>
    </row>
    <row r="34" spans="1:8" x14ac:dyDescent="0.25">
      <c r="A34" s="86"/>
      <c r="B34" s="20" t="s">
        <v>238</v>
      </c>
      <c r="C34" s="20"/>
      <c r="D34" s="20">
        <v>141</v>
      </c>
      <c r="E34" s="20">
        <v>1</v>
      </c>
      <c r="F34" s="20" t="s">
        <v>212</v>
      </c>
      <c r="G34" s="49">
        <f t="shared" si="2"/>
        <v>141</v>
      </c>
      <c r="H34" s="49"/>
    </row>
    <row r="35" spans="1:8" x14ac:dyDescent="0.25">
      <c r="A35" s="86"/>
      <c r="B35" s="20" t="s">
        <v>239</v>
      </c>
      <c r="C35" s="20"/>
      <c r="D35" s="20">
        <v>140</v>
      </c>
      <c r="E35" s="20">
        <v>1</v>
      </c>
      <c r="F35" s="20" t="s">
        <v>212</v>
      </c>
      <c r="G35" s="49">
        <f t="shared" si="2"/>
        <v>140</v>
      </c>
      <c r="H35" s="49"/>
    </row>
    <row r="36" spans="1:8" x14ac:dyDescent="0.25">
      <c r="A36" s="86"/>
      <c r="B36" s="20" t="s">
        <v>240</v>
      </c>
      <c r="C36" s="20"/>
      <c r="D36" s="20">
        <v>45</v>
      </c>
      <c r="E36" s="50">
        <v>0.84</v>
      </c>
      <c r="F36" s="20" t="s">
        <v>212</v>
      </c>
      <c r="G36" s="49">
        <f t="shared" si="2"/>
        <v>37.799999999999997</v>
      </c>
      <c r="H36" s="49"/>
    </row>
    <row r="37" spans="1:8" x14ac:dyDescent="0.25">
      <c r="A37" s="86"/>
      <c r="B37" s="20" t="s">
        <v>241</v>
      </c>
      <c r="C37" s="20"/>
      <c r="D37" s="20">
        <v>21</v>
      </c>
      <c r="E37" s="20">
        <v>5</v>
      </c>
      <c r="F37" s="20" t="s">
        <v>212</v>
      </c>
      <c r="G37" s="49">
        <f t="shared" si="2"/>
        <v>105</v>
      </c>
      <c r="H37" s="49"/>
    </row>
    <row r="38" spans="1:8" x14ac:dyDescent="0.25">
      <c r="A38" s="87"/>
      <c r="B38" s="53" t="s">
        <v>7</v>
      </c>
      <c r="C38" s="54"/>
      <c r="D38" s="55"/>
      <c r="E38" s="3"/>
      <c r="F38" s="3"/>
      <c r="G38" s="14">
        <f>SUM(G18:G37)</f>
        <v>7307.7702000000008</v>
      </c>
      <c r="H38" s="1"/>
    </row>
    <row r="39" spans="1:8" x14ac:dyDescent="0.25">
      <c r="A39" s="1" t="s">
        <v>11</v>
      </c>
      <c r="B39" s="1" t="s">
        <v>1</v>
      </c>
      <c r="C39" s="1" t="s">
        <v>2</v>
      </c>
      <c r="D39" s="1" t="s">
        <v>3</v>
      </c>
      <c r="E39" s="1" t="s">
        <v>4</v>
      </c>
      <c r="F39" s="1"/>
      <c r="G39" s="1" t="s">
        <v>5</v>
      </c>
      <c r="H39" s="1" t="s">
        <v>6</v>
      </c>
    </row>
    <row r="40" spans="1:8" x14ac:dyDescent="0.25">
      <c r="A40" s="59" t="s">
        <v>123</v>
      </c>
      <c r="B40" s="1" t="s">
        <v>204</v>
      </c>
      <c r="C40" s="1"/>
      <c r="D40" s="1">
        <v>230</v>
      </c>
      <c r="E40" s="1">
        <v>1</v>
      </c>
      <c r="F40" s="1" t="s">
        <v>205</v>
      </c>
      <c r="G40" s="1">
        <f>D40*E40</f>
        <v>230</v>
      </c>
      <c r="H40" s="1"/>
    </row>
    <row r="41" spans="1:8" x14ac:dyDescent="0.25">
      <c r="A41" s="59"/>
      <c r="B41" s="1" t="s">
        <v>206</v>
      </c>
      <c r="C41" s="1"/>
      <c r="D41" s="1">
        <v>100</v>
      </c>
      <c r="E41" s="1">
        <v>4</v>
      </c>
      <c r="F41" s="34" t="s">
        <v>205</v>
      </c>
      <c r="G41" s="49">
        <f t="shared" ref="G41:G44" si="3">D41*E41</f>
        <v>400</v>
      </c>
      <c r="H41" s="1"/>
    </row>
    <row r="42" spans="1:8" x14ac:dyDescent="0.25">
      <c r="A42" s="59"/>
      <c r="B42" s="1" t="s">
        <v>207</v>
      </c>
      <c r="C42" s="1"/>
      <c r="D42" s="1">
        <v>45</v>
      </c>
      <c r="E42" s="1">
        <v>2</v>
      </c>
      <c r="F42" s="1" t="s">
        <v>205</v>
      </c>
      <c r="G42" s="49">
        <f t="shared" si="3"/>
        <v>90</v>
      </c>
      <c r="H42" s="1"/>
    </row>
    <row r="43" spans="1:8" x14ac:dyDescent="0.25">
      <c r="A43" s="59"/>
      <c r="B43" s="49" t="s">
        <v>223</v>
      </c>
      <c r="C43" s="49"/>
      <c r="D43" s="49">
        <v>100</v>
      </c>
      <c r="E43" s="49">
        <v>3</v>
      </c>
      <c r="F43" s="49" t="s">
        <v>212</v>
      </c>
      <c r="G43" s="49">
        <f t="shared" si="3"/>
        <v>300</v>
      </c>
      <c r="H43" s="49"/>
    </row>
    <row r="44" spans="1:8" x14ac:dyDescent="0.25">
      <c r="A44" s="59"/>
      <c r="B44" s="49" t="s">
        <v>224</v>
      </c>
      <c r="C44" s="49"/>
      <c r="D44" s="49">
        <v>44.1</v>
      </c>
      <c r="E44" s="49">
        <v>10</v>
      </c>
      <c r="F44" s="49" t="s">
        <v>212</v>
      </c>
      <c r="G44" s="49">
        <f t="shared" si="3"/>
        <v>441</v>
      </c>
      <c r="H44" s="49"/>
    </row>
    <row r="45" spans="1:8" x14ac:dyDescent="0.25">
      <c r="A45" s="59"/>
      <c r="B45" s="53"/>
      <c r="C45" s="54"/>
      <c r="D45" s="55"/>
      <c r="E45" s="3"/>
      <c r="F45" s="3"/>
      <c r="G45" s="16">
        <f>SUM(G40:G44)</f>
        <v>1461</v>
      </c>
      <c r="H45" s="1"/>
    </row>
    <row r="46" spans="1:8" x14ac:dyDescent="0.25">
      <c r="A46" s="1" t="s">
        <v>12</v>
      </c>
      <c r="B46" s="1" t="s">
        <v>1</v>
      </c>
      <c r="C46" s="1" t="s">
        <v>2</v>
      </c>
      <c r="D46" s="1" t="s">
        <v>3</v>
      </c>
      <c r="E46" s="3" t="s">
        <v>4</v>
      </c>
      <c r="F46" s="3"/>
      <c r="G46" s="3" t="s">
        <v>5</v>
      </c>
      <c r="H46" s="1" t="s">
        <v>6</v>
      </c>
    </row>
    <row r="47" spans="1:8" x14ac:dyDescent="0.25">
      <c r="A47" s="60"/>
      <c r="B47" s="49" t="s">
        <v>222</v>
      </c>
      <c r="C47" s="49"/>
      <c r="D47" s="49">
        <v>50.88</v>
      </c>
      <c r="E47" s="49">
        <v>66.67</v>
      </c>
      <c r="F47" s="51" t="s">
        <v>212</v>
      </c>
      <c r="G47" s="2">
        <f>D47*E47</f>
        <v>3392.1696000000002</v>
      </c>
      <c r="H47" s="1"/>
    </row>
    <row r="48" spans="1:8" x14ac:dyDescent="0.25">
      <c r="A48" s="61"/>
      <c r="B48" s="49" t="s">
        <v>225</v>
      </c>
      <c r="C48" s="49"/>
      <c r="D48" s="49">
        <v>10.199999999999999</v>
      </c>
      <c r="E48" s="49">
        <v>75</v>
      </c>
      <c r="F48" s="51" t="s">
        <v>212</v>
      </c>
      <c r="G48" s="2">
        <f>D48*E48</f>
        <v>765</v>
      </c>
      <c r="H48" s="1"/>
    </row>
    <row r="49" spans="1:8" x14ac:dyDescent="0.25">
      <c r="A49" s="62"/>
      <c r="B49" s="53" t="s">
        <v>7</v>
      </c>
      <c r="C49" s="54"/>
      <c r="D49" s="55"/>
      <c r="E49" s="3"/>
      <c r="F49" s="3"/>
      <c r="G49" s="14">
        <f>SUM(G47:G48)</f>
        <v>4157.1696000000002</v>
      </c>
      <c r="H49" s="6"/>
    </row>
    <row r="50" spans="1:8" x14ac:dyDescent="0.25">
      <c r="A50" s="7" t="s">
        <v>13</v>
      </c>
      <c r="B50" s="1" t="s">
        <v>1</v>
      </c>
      <c r="C50" s="1" t="s">
        <v>2</v>
      </c>
      <c r="D50" s="1" t="s">
        <v>3</v>
      </c>
      <c r="E50" s="1" t="s">
        <v>4</v>
      </c>
      <c r="F50" s="1"/>
      <c r="G50" s="1" t="s">
        <v>5</v>
      </c>
      <c r="H50" s="1"/>
    </row>
    <row r="51" spans="1:8" x14ac:dyDescent="0.25">
      <c r="A51" s="59"/>
      <c r="B51" s="1" t="s">
        <v>208</v>
      </c>
      <c r="C51" s="1"/>
      <c r="D51" s="1">
        <v>3.2</v>
      </c>
      <c r="E51" s="1">
        <v>100</v>
      </c>
      <c r="F51" s="1" t="s">
        <v>209</v>
      </c>
      <c r="G51" s="1">
        <f>D51*E51</f>
        <v>320</v>
      </c>
      <c r="H51" s="1"/>
    </row>
    <row r="52" spans="1:8" x14ac:dyDescent="0.25">
      <c r="A52" s="59"/>
      <c r="B52" s="1" t="s">
        <v>210</v>
      </c>
      <c r="C52" s="1"/>
      <c r="D52" s="1">
        <v>40</v>
      </c>
      <c r="E52" s="1">
        <v>1</v>
      </c>
      <c r="F52" s="1" t="s">
        <v>205</v>
      </c>
      <c r="G52" s="49">
        <f t="shared" ref="G52:G59" si="4">D52*E52</f>
        <v>40</v>
      </c>
      <c r="H52" s="1"/>
    </row>
    <row r="53" spans="1:8" x14ac:dyDescent="0.25">
      <c r="A53" s="59"/>
      <c r="B53" s="1" t="s">
        <v>211</v>
      </c>
      <c r="C53" s="1"/>
      <c r="D53" s="1">
        <v>40.200000000000003</v>
      </c>
      <c r="E53" s="1">
        <v>1</v>
      </c>
      <c r="F53" s="1" t="s">
        <v>212</v>
      </c>
      <c r="G53" s="49">
        <f t="shared" si="4"/>
        <v>40.200000000000003</v>
      </c>
      <c r="H53" s="1"/>
    </row>
    <row r="54" spans="1:8" x14ac:dyDescent="0.25">
      <c r="A54" s="59"/>
      <c r="B54" s="1" t="s">
        <v>213</v>
      </c>
      <c r="C54" s="1"/>
      <c r="D54" s="47">
        <v>265</v>
      </c>
      <c r="E54" s="1">
        <v>1</v>
      </c>
      <c r="F54" s="1" t="s">
        <v>205</v>
      </c>
      <c r="G54" s="47">
        <f t="shared" si="4"/>
        <v>265</v>
      </c>
      <c r="H54" s="1"/>
    </row>
    <row r="55" spans="1:8" x14ac:dyDescent="0.25">
      <c r="A55" s="59"/>
      <c r="B55" s="49" t="s">
        <v>214</v>
      </c>
      <c r="C55" s="49"/>
      <c r="D55" s="47">
        <v>120</v>
      </c>
      <c r="E55" s="49">
        <v>1</v>
      </c>
      <c r="F55" s="49" t="s">
        <v>205</v>
      </c>
      <c r="G55" s="47">
        <f t="shared" si="4"/>
        <v>120</v>
      </c>
      <c r="H55" s="49"/>
    </row>
    <row r="56" spans="1:8" x14ac:dyDescent="0.25">
      <c r="A56" s="59"/>
      <c r="B56" s="49" t="s">
        <v>215</v>
      </c>
      <c r="C56" s="49"/>
      <c r="D56" s="49">
        <v>480</v>
      </c>
      <c r="E56" s="49">
        <v>1</v>
      </c>
      <c r="F56" s="49" t="s">
        <v>216</v>
      </c>
      <c r="G56" s="49">
        <f t="shared" si="4"/>
        <v>480</v>
      </c>
      <c r="H56" s="49"/>
    </row>
    <row r="57" spans="1:8" x14ac:dyDescent="0.25">
      <c r="A57" s="59"/>
      <c r="B57" s="49" t="s">
        <v>217</v>
      </c>
      <c r="C57" s="49"/>
      <c r="D57" s="49">
        <v>480</v>
      </c>
      <c r="E57" s="49">
        <v>1</v>
      </c>
      <c r="F57" s="49" t="s">
        <v>216</v>
      </c>
      <c r="G57" s="49">
        <f t="shared" si="4"/>
        <v>480</v>
      </c>
      <c r="H57" s="49"/>
    </row>
    <row r="58" spans="1:8" x14ac:dyDescent="0.25">
      <c r="A58" s="59"/>
      <c r="B58" s="49" t="s">
        <v>218</v>
      </c>
      <c r="C58" s="49"/>
      <c r="D58" s="49">
        <v>60</v>
      </c>
      <c r="E58" s="49">
        <v>2</v>
      </c>
      <c r="F58" s="49" t="s">
        <v>212</v>
      </c>
      <c r="G58" s="49">
        <f t="shared" si="4"/>
        <v>120</v>
      </c>
      <c r="H58" s="49"/>
    </row>
    <row r="59" spans="1:8" x14ac:dyDescent="0.25">
      <c r="A59" s="59"/>
      <c r="B59" s="49" t="s">
        <v>229</v>
      </c>
      <c r="C59" s="49"/>
      <c r="D59" s="49">
        <v>310</v>
      </c>
      <c r="E59" s="49">
        <v>1</v>
      </c>
      <c r="F59" s="49" t="s">
        <v>216</v>
      </c>
      <c r="G59" s="49">
        <f t="shared" si="4"/>
        <v>310</v>
      </c>
      <c r="H59" s="49"/>
    </row>
    <row r="60" spans="1:8" x14ac:dyDescent="0.25">
      <c r="A60" s="59"/>
      <c r="B60" s="53" t="s">
        <v>7</v>
      </c>
      <c r="C60" s="54"/>
      <c r="D60" s="55"/>
      <c r="E60" s="3"/>
      <c r="F60" s="3"/>
      <c r="G60" s="14">
        <f>SUM(G51:G59)</f>
        <v>2175.1999999999998</v>
      </c>
      <c r="H60" s="1"/>
    </row>
    <row r="61" spans="1:8" ht="17.25" thickBot="1" x14ac:dyDescent="0.3">
      <c r="A61" s="1"/>
      <c r="B61" s="63" t="s">
        <v>14</v>
      </c>
      <c r="C61" s="64"/>
      <c r="D61" s="65"/>
      <c r="E61" s="8"/>
      <c r="F61" s="8"/>
      <c r="G61" s="9">
        <f>G60+G49+G45+G16+G10+G5+G38</f>
        <v>29312.9398</v>
      </c>
      <c r="H61" s="1"/>
    </row>
    <row r="62" spans="1:8" x14ac:dyDescent="0.25">
      <c r="A62" s="70" t="s">
        <v>136</v>
      </c>
      <c r="B62" s="73" t="s">
        <v>137</v>
      </c>
      <c r="C62" s="73"/>
      <c r="D62" s="73"/>
      <c r="E62" s="74" t="s">
        <v>138</v>
      </c>
      <c r="F62" s="75"/>
      <c r="G62" s="76"/>
      <c r="H62" s="42" t="s">
        <v>139</v>
      </c>
    </row>
    <row r="63" spans="1:8" x14ac:dyDescent="0.25">
      <c r="A63" s="71"/>
      <c r="B63" s="77" t="s">
        <v>246</v>
      </c>
      <c r="C63" s="78"/>
      <c r="D63" s="78"/>
      <c r="E63" s="43" t="s">
        <v>140</v>
      </c>
      <c r="F63" s="80"/>
      <c r="G63" s="81"/>
      <c r="H63" s="66" t="s">
        <v>245</v>
      </c>
    </row>
    <row r="64" spans="1:8" ht="17.25" thickBot="1" x14ac:dyDescent="0.3">
      <c r="A64" s="72"/>
      <c r="B64" s="79"/>
      <c r="C64" s="79"/>
      <c r="D64" s="79"/>
      <c r="E64" s="44" t="s">
        <v>141</v>
      </c>
      <c r="F64" s="68" t="s">
        <v>244</v>
      </c>
      <c r="G64" s="69"/>
      <c r="H64" s="67"/>
    </row>
  </sheetData>
  <mergeCells count="23">
    <mergeCell ref="H63:H64"/>
    <mergeCell ref="F64:G64"/>
    <mergeCell ref="A62:A64"/>
    <mergeCell ref="B62:D62"/>
    <mergeCell ref="E62:G62"/>
    <mergeCell ref="B63:D64"/>
    <mergeCell ref="F63:G63"/>
    <mergeCell ref="A51:A60"/>
    <mergeCell ref="B60:D60"/>
    <mergeCell ref="B61:D61"/>
    <mergeCell ref="B38:D38"/>
    <mergeCell ref="A40:A45"/>
    <mergeCell ref="B45:D45"/>
    <mergeCell ref="A47:A49"/>
    <mergeCell ref="B49:D49"/>
    <mergeCell ref="A18:A38"/>
    <mergeCell ref="A12:A16"/>
    <mergeCell ref="B16:D16"/>
    <mergeCell ref="A1:H1"/>
    <mergeCell ref="A3:A5"/>
    <mergeCell ref="B5:D5"/>
    <mergeCell ref="B10:D10"/>
    <mergeCell ref="A7:A10"/>
  </mergeCells>
  <phoneticPr fontId="2" type="noConversion"/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已命名的範圍</vt:lpstr>
      </vt:variant>
      <vt:variant>
        <vt:i4>5</vt:i4>
      </vt:variant>
    </vt:vector>
  </HeadingPairs>
  <TitlesOfParts>
    <vt:vector size="10" baseType="lpstr">
      <vt:lpstr>0112</vt:lpstr>
      <vt:lpstr>0113+</vt:lpstr>
      <vt:lpstr>0114+</vt:lpstr>
      <vt:lpstr>0115+</vt:lpstr>
      <vt:lpstr>0116+</vt:lpstr>
      <vt:lpstr>'0112'!Print_Area</vt:lpstr>
      <vt:lpstr>'0113+'!Print_Area</vt:lpstr>
      <vt:lpstr>'0114+'!Print_Area</vt:lpstr>
      <vt:lpstr>'0115+'!Print_Area</vt:lpstr>
      <vt:lpstr>'0116+'!Print_Area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劉語璇</dc:creator>
  <cp:lastModifiedBy>賴姿云</cp:lastModifiedBy>
  <cp:lastPrinted>2026-01-19T00:50:18Z</cp:lastPrinted>
  <dcterms:created xsi:type="dcterms:W3CDTF">2025-02-19T17:01:12Z</dcterms:created>
  <dcterms:modified xsi:type="dcterms:W3CDTF">2026-01-19T00:50:24Z</dcterms:modified>
</cp:coreProperties>
</file>