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5年度\1月份\"/>
    </mc:Choice>
  </mc:AlternateContent>
  <bookViews>
    <workbookView xWindow="0" yWindow="0" windowWidth="28800" windowHeight="12255" activeTab="2"/>
  </bookViews>
  <sheets>
    <sheet name="0119+" sheetId="1" r:id="rId1"/>
    <sheet name="0120+" sheetId="2" r:id="rId2"/>
    <sheet name="0121" sheetId="3" r:id="rId3"/>
    <sheet name="0122" sheetId="4" r:id="rId4"/>
    <sheet name="0123" sheetId="5" r:id="rId5"/>
  </sheets>
  <definedNames>
    <definedName name="_xlnm.Print_Area" localSheetId="0">'0119+'!$A$1:$H$54</definedName>
    <definedName name="_xlnm.Print_Area" localSheetId="1">'0120+'!$A$1:$H$47</definedName>
    <definedName name="_xlnm.Print_Area" localSheetId="2">'0121'!$A$1:$H$56</definedName>
    <definedName name="_xlnm.Print_Area" localSheetId="3">'0122'!$A$1:$H$48</definedName>
    <definedName name="_xlnm.Print_Area" localSheetId="4">'0123'!$A$1:$H$64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3" i="3" l="1"/>
  <c r="G52" i="3"/>
  <c r="G45" i="4" l="1"/>
  <c r="G36" i="4"/>
  <c r="G31" i="4"/>
  <c r="G29" i="4"/>
  <c r="G24" i="4"/>
  <c r="G23" i="4"/>
  <c r="G21" i="4"/>
  <c r="G18" i="4"/>
  <c r="G19" i="4"/>
  <c r="G17" i="4"/>
  <c r="G15" i="4"/>
  <c r="G11" i="4"/>
  <c r="G12" i="4"/>
  <c r="G13" i="4"/>
  <c r="G10" i="4"/>
  <c r="G8" i="4"/>
  <c r="G4" i="4"/>
  <c r="G5" i="4"/>
  <c r="G3" i="4"/>
  <c r="G37" i="3"/>
  <c r="G38" i="3" l="1"/>
  <c r="G34" i="3"/>
  <c r="G27" i="3"/>
  <c r="G17" i="3"/>
  <c r="G11" i="3"/>
  <c r="G6" i="3"/>
  <c r="G3" i="3"/>
  <c r="G14" i="3"/>
  <c r="G13" i="3"/>
  <c r="G20" i="3"/>
  <c r="G21" i="3"/>
  <c r="G22" i="3"/>
  <c r="G23" i="3"/>
  <c r="G24" i="3"/>
  <c r="G26" i="3"/>
  <c r="G19" i="3"/>
  <c r="G30" i="3"/>
  <c r="G31" i="3"/>
  <c r="G32" i="3"/>
  <c r="G33" i="3"/>
  <c r="G29" i="3"/>
  <c r="G36" i="3"/>
  <c r="G41" i="3"/>
  <c r="G42" i="3"/>
  <c r="G43" i="3"/>
  <c r="G44" i="3"/>
  <c r="G45" i="3"/>
  <c r="G46" i="3"/>
  <c r="G47" i="3"/>
  <c r="G48" i="3"/>
  <c r="G49" i="3"/>
  <c r="G50" i="3"/>
  <c r="G51" i="3"/>
  <c r="G25" i="3"/>
  <c r="G40" i="3"/>
  <c r="G40" i="2" l="1"/>
  <c r="G39" i="2"/>
  <c r="G30" i="2"/>
  <c r="G28" i="2"/>
  <c r="G22" i="2"/>
  <c r="G23" i="2"/>
  <c r="G24" i="2"/>
  <c r="G25" i="2"/>
  <c r="G26" i="2"/>
  <c r="G27" i="2"/>
  <c r="G21" i="2"/>
  <c r="G20" i="1"/>
  <c r="G14" i="1"/>
  <c r="G7" i="1"/>
  <c r="G45" i="1"/>
  <c r="G46" i="1"/>
  <c r="G47" i="1"/>
  <c r="G48" i="1"/>
  <c r="G49" i="1"/>
  <c r="G33" i="1"/>
  <c r="G38" i="5" l="1"/>
  <c r="G60" i="5"/>
  <c r="G45" i="5"/>
  <c r="G16" i="5"/>
  <c r="G10" i="5"/>
  <c r="G44" i="4" l="1"/>
  <c r="G34" i="4"/>
  <c r="G37" i="1" l="1"/>
  <c r="G36" i="1"/>
  <c r="G35" i="1"/>
  <c r="G38" i="1" l="1"/>
  <c r="G41" i="1"/>
  <c r="G23" i="1"/>
  <c r="G24" i="1"/>
  <c r="G25" i="1"/>
  <c r="G26" i="1"/>
  <c r="G27" i="1"/>
  <c r="G28" i="1"/>
  <c r="G29" i="1"/>
  <c r="G30" i="1"/>
  <c r="G31" i="1"/>
  <c r="G32" i="1"/>
  <c r="G4" i="1"/>
  <c r="G5" i="1"/>
  <c r="G33" i="2" l="1"/>
  <c r="G16" i="2" l="1"/>
  <c r="G4" i="2"/>
  <c r="G3" i="2"/>
  <c r="G9" i="3" l="1"/>
  <c r="G8" i="3"/>
  <c r="G36" i="2" l="1"/>
  <c r="G10" i="2"/>
  <c r="G9" i="2"/>
  <c r="G17" i="2"/>
  <c r="G18" i="2"/>
  <c r="G5" i="2"/>
  <c r="G7" i="2" s="1"/>
  <c r="G44" i="2" s="1"/>
  <c r="G6" i="2"/>
  <c r="G35" i="2"/>
  <c r="G19" i="2" l="1"/>
  <c r="G14" i="2"/>
  <c r="G17" i="1"/>
  <c r="G18" i="1"/>
  <c r="G19" i="1"/>
  <c r="G3" i="1"/>
  <c r="G44" i="1" l="1"/>
  <c r="G50" i="1" s="1"/>
  <c r="G51" i="1" s="1"/>
  <c r="G16" i="1"/>
  <c r="G40" i="1"/>
  <c r="G42" i="1" s="1"/>
  <c r="G22" i="1" l="1"/>
  <c r="G10" i="1"/>
  <c r="G11" i="1"/>
  <c r="G12" i="1"/>
  <c r="G9" i="1"/>
  <c r="G49" i="5" l="1"/>
  <c r="G5" i="5"/>
  <c r="G38" i="4"/>
  <c r="G43" i="2"/>
  <c r="G37" i="2"/>
  <c r="G61" i="5" l="1"/>
</calcChain>
</file>

<file path=xl/sharedStrings.xml><?xml version="1.0" encoding="utf-8"?>
<sst xmlns="http://schemas.openxmlformats.org/spreadsheetml/2006/main" count="592" uniqueCount="219">
  <si>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</si>
  <si>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</si>
  <si>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</si>
  <si>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</si>
  <si>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</si>
  <si>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</si>
  <si>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</si>
  <si>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</si>
  <si>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</si>
  <si>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</si>
  <si>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</si>
  <si>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</si>
  <si>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</si>
  <si>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</si>
  <si>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</si>
  <si>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</si>
  <si>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</si>
  <si>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</si>
  <si>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</si>
  <si>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</si>
  <si>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</si>
  <si>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</si>
  <si>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包</t>
    <phoneticPr fontId="2" type="noConversion"/>
  </si>
  <si>
    <t>斤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</si>
  <si>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</si>
  <si>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</si>
  <si>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</si>
  <si>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</si>
  <si>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</si>
  <si>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</si>
  <si>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</si>
  <si>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斤</t>
  </si>
  <si>
    <t>斤</t>
    <phoneticPr fontId="2" type="noConversion"/>
  </si>
  <si>
    <t>油麵</t>
    <phoneticPr fontId="2" type="noConversion"/>
  </si>
  <si>
    <t>素食</t>
    <phoneticPr fontId="2" type="noConversion"/>
  </si>
  <si>
    <t>晚餐</t>
    <phoneticPr fontId="2" type="noConversion"/>
  </si>
  <si>
    <t>盒</t>
    <phoneticPr fontId="2" type="noConversion"/>
  </si>
  <si>
    <t>棒腿</t>
    <phoneticPr fontId="2" type="noConversion"/>
  </si>
  <si>
    <t>桶</t>
    <phoneticPr fontId="2" type="noConversion"/>
  </si>
  <si>
    <t>個</t>
    <phoneticPr fontId="2" type="noConversion"/>
  </si>
  <si>
    <t>早餐</t>
    <phoneticPr fontId="2" type="noConversion"/>
  </si>
  <si>
    <t>斤</t>
    <phoneticPr fontId="2" type="noConversion"/>
  </si>
  <si>
    <t>廚餘量</t>
    <phoneticPr fontId="2" type="noConversion"/>
  </si>
  <si>
    <t>目視剩餘菜色</t>
    <phoneticPr fontId="2" type="noConversion"/>
  </si>
  <si>
    <t>今日用餐人數</t>
    <phoneticPr fontId="2" type="noConversion"/>
  </si>
  <si>
    <t>備註</t>
    <phoneticPr fontId="2" type="noConversion"/>
  </si>
  <si>
    <t>人事系統</t>
    <phoneticPr fontId="2" type="noConversion"/>
  </si>
  <si>
    <t>計數器</t>
    <phoneticPr fontId="2" type="noConversion"/>
  </si>
  <si>
    <t>庫存</t>
    <phoneticPr fontId="2" type="noConversion"/>
  </si>
  <si>
    <t>斤</t>
    <phoneticPr fontId="2" type="noConversion"/>
  </si>
  <si>
    <t>件</t>
    <phoneticPr fontId="2" type="noConversion"/>
  </si>
  <si>
    <t>食材量預估
 270-280人</t>
    <phoneticPr fontId="2" type="noConversion"/>
  </si>
  <si>
    <t>235人</t>
    <phoneticPr fontId="2" type="noConversion"/>
  </si>
  <si>
    <t>食材量預估
250人</t>
    <phoneticPr fontId="2" type="noConversion"/>
  </si>
  <si>
    <t>平均，各剩一盆供同仁回打</t>
    <phoneticPr fontId="2" type="noConversion"/>
  </si>
  <si>
    <t>電訊科技中心(安康營區)     115年     1月   19日      午餐明細表</t>
    <phoneticPr fontId="2" type="noConversion"/>
  </si>
  <si>
    <t>電訊科技中心(安康營區)     115年      1月   20日      午餐明細表</t>
    <phoneticPr fontId="2" type="noConversion"/>
  </si>
  <si>
    <t>電訊科技中心(安康營區)     115年      1月   21日      午餐明細表</t>
    <phoneticPr fontId="2" type="noConversion"/>
  </si>
  <si>
    <t>電訊科技中心(安康營區)     115年      1月  22日      午餐明細表</t>
    <phoneticPr fontId="2" type="noConversion"/>
  </si>
  <si>
    <t>電訊科技中心(安康營區)     115年      1月   23日      午餐明細表</t>
    <phoneticPr fontId="2" type="noConversion"/>
  </si>
  <si>
    <t>日式烤鯖魚</t>
    <phoneticPr fontId="2" type="noConversion"/>
  </si>
  <si>
    <t>糖醋豆包</t>
    <phoneticPr fontId="2" type="noConversion"/>
  </si>
  <si>
    <t>玉米絞肉</t>
    <phoneticPr fontId="2" type="noConversion"/>
  </si>
  <si>
    <t>榨菜筍片湯</t>
    <phoneticPr fontId="2" type="noConversion"/>
  </si>
  <si>
    <t>鳥蛋燒肉</t>
    <phoneticPr fontId="2" type="noConversion"/>
  </si>
  <si>
    <t>蔥花蛋</t>
    <phoneticPr fontId="2" type="noConversion"/>
  </si>
  <si>
    <t>台式寬冬粉</t>
    <phoneticPr fontId="2" type="noConversion"/>
  </si>
  <si>
    <t>紅豆蓮子湯</t>
    <phoneticPr fontId="2" type="noConversion"/>
  </si>
  <si>
    <t>水餃</t>
    <phoneticPr fontId="2" type="noConversion"/>
  </si>
  <si>
    <t>麻辣臭豆腐</t>
    <phoneticPr fontId="2" type="noConversion"/>
  </si>
  <si>
    <t>涼拌豬耳朵</t>
    <phoneticPr fontId="2" type="noConversion"/>
  </si>
  <si>
    <t>豬耳朵</t>
    <phoneticPr fontId="2" type="noConversion"/>
  </si>
  <si>
    <t>玉米濃湯</t>
    <phoneticPr fontId="2" type="noConversion"/>
  </si>
  <si>
    <t>三絲炒蛋</t>
    <phoneticPr fontId="2" type="noConversion"/>
  </si>
  <si>
    <t>魚香茄子</t>
    <phoneticPr fontId="2" type="noConversion"/>
  </si>
  <si>
    <t>藥燉排骨</t>
    <phoneticPr fontId="2" type="noConversion"/>
  </si>
  <si>
    <t>滷雞腿</t>
    <phoneticPr fontId="2" type="noConversion"/>
  </si>
  <si>
    <t>鹹蛋苦瓜</t>
    <phoneticPr fontId="2" type="noConversion"/>
  </si>
  <si>
    <t>蔥爆豆干</t>
    <phoneticPr fontId="2" type="noConversion"/>
  </si>
  <si>
    <t>紫菜蛋花湯</t>
    <phoneticPr fontId="2" type="noConversion"/>
  </si>
  <si>
    <t>桶筍片</t>
    <phoneticPr fontId="2" type="noConversion"/>
  </si>
  <si>
    <t>帶皮五花肉</t>
    <phoneticPr fontId="2" type="noConversion"/>
  </si>
  <si>
    <t>片</t>
    <phoneticPr fontId="2" type="noConversion"/>
  </si>
  <si>
    <t>食材量預估
   280 人</t>
    <phoneticPr fontId="2" type="noConversion"/>
  </si>
  <si>
    <t>鯖魚片</t>
    <phoneticPr fontId="2" type="noConversion"/>
  </si>
  <si>
    <t>洋芋丁</t>
    <phoneticPr fontId="2" type="noConversion"/>
  </si>
  <si>
    <t>包</t>
    <phoneticPr fontId="2" type="noConversion"/>
  </si>
  <si>
    <t>麥茶鋁箔包</t>
    <phoneticPr fontId="2" type="noConversion"/>
  </si>
  <si>
    <t>小籠湯包</t>
    <phoneticPr fontId="2" type="noConversion"/>
  </si>
  <si>
    <t>雞蛋豆腐</t>
    <phoneticPr fontId="2" type="noConversion"/>
  </si>
  <si>
    <t>炸豆包</t>
    <phoneticPr fontId="2" type="noConversion"/>
  </si>
  <si>
    <t>去皮洋蔥</t>
    <phoneticPr fontId="2" type="noConversion"/>
  </si>
  <si>
    <t>絞肉</t>
    <phoneticPr fontId="2" type="noConversion"/>
  </si>
  <si>
    <t>冷凍玉米粒</t>
    <phoneticPr fontId="2" type="noConversion"/>
  </si>
  <si>
    <t>淡榨菜絲</t>
    <phoneticPr fontId="2" type="noConversion"/>
  </si>
  <si>
    <t>斤</t>
    <phoneticPr fontId="2" type="noConversion"/>
  </si>
  <si>
    <t>前腿肉絲</t>
    <phoneticPr fontId="2" type="noConversion"/>
  </si>
  <si>
    <t>棒腿</t>
    <phoneticPr fontId="2" type="noConversion"/>
  </si>
  <si>
    <t>前腿肉片</t>
    <phoneticPr fontId="2" type="noConversion"/>
  </si>
  <si>
    <t>蒜泥</t>
    <phoneticPr fontId="2" type="noConversion"/>
  </si>
  <si>
    <t>薑絲</t>
    <phoneticPr fontId="2" type="noConversion"/>
  </si>
  <si>
    <t>高麗菜</t>
    <phoneticPr fontId="2" type="noConversion"/>
  </si>
  <si>
    <t>大亨堡</t>
    <phoneticPr fontId="2" type="noConversion"/>
  </si>
  <si>
    <t>個</t>
    <phoneticPr fontId="2" type="noConversion"/>
  </si>
  <si>
    <t>帶皮五花肉塊</t>
    <phoneticPr fontId="2" type="noConversion"/>
  </si>
  <si>
    <t>鳥蛋</t>
    <phoneticPr fontId="2" type="noConversion"/>
  </si>
  <si>
    <t>青蔥</t>
    <phoneticPr fontId="2" type="noConversion"/>
  </si>
  <si>
    <t>洗選蛋</t>
    <phoneticPr fontId="2" type="noConversion"/>
  </si>
  <si>
    <t>寬冬粉</t>
    <phoneticPr fontId="2" type="noConversion"/>
  </si>
  <si>
    <t>烏龍麵</t>
    <phoneticPr fontId="2" type="noConversion"/>
  </si>
  <si>
    <t>生蓮子</t>
    <phoneticPr fontId="2" type="noConversion"/>
  </si>
  <si>
    <t>三節翅</t>
    <phoneticPr fontId="2" type="noConversion"/>
  </si>
  <si>
    <t>酥炸粉</t>
    <phoneticPr fontId="2" type="noConversion"/>
  </si>
  <si>
    <t>紅蘿蔔切絲</t>
    <phoneticPr fontId="2" type="noConversion"/>
  </si>
  <si>
    <t>五穀米</t>
    <phoneticPr fontId="2" type="noConversion"/>
  </si>
  <si>
    <t>濕木耳絲</t>
    <phoneticPr fontId="2" type="noConversion"/>
  </si>
  <si>
    <t>鵝白菜</t>
    <phoneticPr fontId="2" type="noConversion"/>
  </si>
  <si>
    <t>紅豆</t>
    <phoneticPr fontId="2" type="noConversion"/>
  </si>
  <si>
    <t>香菇蒸肉</t>
    <phoneticPr fontId="2" type="noConversion"/>
  </si>
  <si>
    <t>35斤</t>
    <phoneticPr fontId="2" type="noConversion"/>
  </si>
  <si>
    <t>去皮洋蔥</t>
    <phoneticPr fontId="2" type="noConversion"/>
  </si>
  <si>
    <t>5斤</t>
    <phoneticPr fontId="2" type="noConversion"/>
  </si>
  <si>
    <t>臭豆腐</t>
    <phoneticPr fontId="2" type="noConversion"/>
  </si>
  <si>
    <t>270個</t>
    <phoneticPr fontId="2" type="noConversion"/>
  </si>
  <si>
    <t>鴨血</t>
    <phoneticPr fontId="2" type="noConversion"/>
  </si>
  <si>
    <t>45個</t>
    <phoneticPr fontId="2" type="noConversion"/>
  </si>
  <si>
    <t>冷凍玉米粒</t>
    <phoneticPr fontId="2" type="noConversion"/>
  </si>
  <si>
    <t>玉米濃湯粉</t>
    <phoneticPr fontId="2" type="noConversion"/>
  </si>
  <si>
    <t>玉米醬(大)</t>
    <phoneticPr fontId="2" type="noConversion"/>
  </si>
  <si>
    <t>鮮奶油</t>
    <phoneticPr fontId="2" type="noConversion"/>
  </si>
  <si>
    <t>8包</t>
    <phoneticPr fontId="2" type="noConversion"/>
  </si>
  <si>
    <t>1包</t>
    <phoneticPr fontId="2" type="noConversion"/>
  </si>
  <si>
    <t>2罐</t>
    <phoneticPr fontId="2" type="noConversion"/>
  </si>
  <si>
    <t>素食水餃</t>
    <phoneticPr fontId="2" type="noConversion"/>
  </si>
  <si>
    <t>胡蘿蔔絲</t>
    <phoneticPr fontId="2" type="noConversion"/>
  </si>
  <si>
    <t>木耳絲</t>
    <phoneticPr fontId="2" type="noConversion"/>
  </si>
  <si>
    <t>紅椒</t>
    <phoneticPr fontId="2" type="noConversion"/>
  </si>
  <si>
    <t>黃椒</t>
    <phoneticPr fontId="2" type="noConversion"/>
  </si>
  <si>
    <t>肉羹</t>
    <phoneticPr fontId="2" type="noConversion"/>
  </si>
  <si>
    <t>厚片土司</t>
    <phoneticPr fontId="2" type="noConversion"/>
  </si>
  <si>
    <t>早餐</t>
    <phoneticPr fontId="2" type="noConversion"/>
  </si>
  <si>
    <t>素食</t>
    <phoneticPr fontId="2" type="noConversion"/>
  </si>
  <si>
    <t>絞肉</t>
    <phoneticPr fontId="2" type="noConversion"/>
  </si>
  <si>
    <t>生香菇</t>
    <phoneticPr fontId="2" type="noConversion"/>
  </si>
  <si>
    <t>4.3豆腐</t>
    <phoneticPr fontId="2" type="noConversion"/>
  </si>
  <si>
    <t>金針菇</t>
    <phoneticPr fontId="2" type="noConversion"/>
  </si>
  <si>
    <t>雞蛋</t>
    <phoneticPr fontId="2" type="noConversion"/>
  </si>
  <si>
    <t>茄子</t>
    <phoneticPr fontId="2" type="noConversion"/>
  </si>
  <si>
    <t>軟骨排</t>
    <phoneticPr fontId="2" type="noConversion"/>
  </si>
  <si>
    <t>20斤</t>
    <phoneticPr fontId="2" type="noConversion"/>
  </si>
  <si>
    <t>45斤</t>
    <phoneticPr fontId="2" type="noConversion"/>
  </si>
  <si>
    <t>8斤</t>
    <phoneticPr fontId="2" type="noConversion"/>
  </si>
  <si>
    <t>1板</t>
    <phoneticPr fontId="2" type="noConversion"/>
  </si>
  <si>
    <t>12斤</t>
    <phoneticPr fontId="2" type="noConversion"/>
  </si>
  <si>
    <t>1件</t>
    <phoneticPr fontId="2" type="noConversion"/>
  </si>
  <si>
    <t>10斤</t>
    <phoneticPr fontId="2" type="noConversion"/>
  </si>
  <si>
    <t>50斤</t>
    <phoneticPr fontId="2" type="noConversion"/>
  </si>
  <si>
    <t>4斤</t>
    <phoneticPr fontId="2" type="noConversion"/>
  </si>
  <si>
    <t>油麵</t>
    <phoneticPr fontId="2" type="noConversion"/>
  </si>
  <si>
    <t>棒腿</t>
    <phoneticPr fontId="2" type="noConversion"/>
  </si>
  <si>
    <t>3斤</t>
    <phoneticPr fontId="2" type="noConversion"/>
  </si>
  <si>
    <t>45支</t>
    <phoneticPr fontId="2" type="noConversion"/>
  </si>
  <si>
    <t>晚餐</t>
    <phoneticPr fontId="2" type="noConversion"/>
  </si>
  <si>
    <t>260支</t>
    <phoneticPr fontId="2" type="noConversion"/>
  </si>
  <si>
    <t>去籽白苦瓜</t>
    <phoneticPr fontId="2" type="noConversion"/>
  </si>
  <si>
    <t>鹹蛋</t>
    <phoneticPr fontId="2" type="noConversion"/>
  </si>
  <si>
    <t>100顆</t>
    <phoneticPr fontId="2" type="noConversion"/>
  </si>
  <si>
    <t>五花絞肉</t>
    <phoneticPr fontId="2" type="noConversion"/>
  </si>
  <si>
    <t>4X4豆干</t>
    <phoneticPr fontId="2" type="noConversion"/>
  </si>
  <si>
    <t>青蔥</t>
    <phoneticPr fontId="2" type="noConversion"/>
  </si>
  <si>
    <t>五花肉片</t>
    <phoneticPr fontId="2" type="noConversion"/>
  </si>
  <si>
    <t>15斤</t>
    <phoneticPr fontId="2" type="noConversion"/>
  </si>
  <si>
    <t>紫菜</t>
    <phoneticPr fontId="2" type="noConversion"/>
  </si>
  <si>
    <t>庫存</t>
    <phoneticPr fontId="2" type="noConversion"/>
  </si>
  <si>
    <t>滷蛋</t>
    <phoneticPr fontId="2" type="noConversion"/>
  </si>
  <si>
    <t>香腸</t>
    <phoneticPr fontId="2" type="noConversion"/>
  </si>
  <si>
    <t>30顆</t>
    <phoneticPr fontId="2" type="noConversion"/>
  </si>
  <si>
    <t>40支</t>
    <phoneticPr fontId="2" type="noConversion"/>
  </si>
  <si>
    <t>鍋貼</t>
    <phoneticPr fontId="2" type="noConversion"/>
  </si>
  <si>
    <t>水果</t>
    <phoneticPr fontId="2" type="noConversion"/>
  </si>
  <si>
    <t>庫存</t>
    <phoneticPr fontId="2" type="noConversion"/>
  </si>
  <si>
    <t xml:space="preserve">  240 人</t>
    <phoneticPr fontId="2" type="noConversion"/>
  </si>
  <si>
    <t>玉米絞肉偏多(多一些)</t>
    <phoneticPr fontId="2" type="noConversion"/>
  </si>
  <si>
    <t>包</t>
  </si>
  <si>
    <t>包</t>
    <phoneticPr fontId="2" type="noConversion"/>
  </si>
  <si>
    <t>斤</t>
    <phoneticPr fontId="2" type="noConversion"/>
  </si>
  <si>
    <t>瓶</t>
    <phoneticPr fontId="2" type="noConversion"/>
  </si>
  <si>
    <t>條</t>
    <phoneticPr fontId="2" type="noConversion"/>
  </si>
  <si>
    <t>高鮮味素</t>
    <phoneticPr fontId="2" type="noConversion"/>
  </si>
  <si>
    <t>盒</t>
    <phoneticPr fontId="2" type="noConversion"/>
  </si>
  <si>
    <t>烤肉醬</t>
    <phoneticPr fontId="2" type="noConversion"/>
  </si>
  <si>
    <t>桶</t>
    <phoneticPr fontId="2" type="noConversion"/>
  </si>
  <si>
    <t>胡椒鹽</t>
    <phoneticPr fontId="2" type="noConversion"/>
  </si>
  <si>
    <t>安佳奶油</t>
    <phoneticPr fontId="2" type="noConversion"/>
  </si>
  <si>
    <t>柳丁</t>
    <phoneticPr fontId="2" type="noConversion"/>
  </si>
  <si>
    <t>食材量預估
    人</t>
    <phoneticPr fontId="2" type="noConversion"/>
  </si>
  <si>
    <t>個</t>
    <phoneticPr fontId="2" type="noConversion"/>
  </si>
  <si>
    <t>罐</t>
    <phoneticPr fontId="2" type="noConversion"/>
  </si>
  <si>
    <t>高麗菜</t>
    <phoneticPr fontId="2" type="noConversion"/>
  </si>
  <si>
    <t>三角油豆腐</t>
    <phoneticPr fontId="2" type="noConversion"/>
  </si>
  <si>
    <t>調理米酒</t>
    <phoneticPr fontId="2" type="noConversion"/>
  </si>
  <si>
    <t>醬油</t>
    <phoneticPr fontId="2" type="noConversion"/>
  </si>
  <si>
    <t>三好米</t>
    <phoneticPr fontId="2" type="noConversion"/>
  </si>
  <si>
    <t>紅豆</t>
    <phoneticPr fontId="2" type="noConversion"/>
  </si>
  <si>
    <t>水餃</t>
    <phoneticPr fontId="2" type="noConversion"/>
  </si>
  <si>
    <t>味噌</t>
    <phoneticPr fontId="2" type="noConversion"/>
  </si>
  <si>
    <t>件</t>
    <phoneticPr fontId="2" type="noConversion"/>
  </si>
  <si>
    <t>桶筍絲</t>
    <phoneticPr fontId="2" type="noConversion"/>
  </si>
  <si>
    <t>勝興水餃</t>
    <phoneticPr fontId="2" type="noConversion"/>
  </si>
  <si>
    <t>外購</t>
    <phoneticPr fontId="2" type="noConversion"/>
  </si>
  <si>
    <t>食材量預估
   270-280人</t>
    <phoneticPr fontId="2" type="noConversion"/>
  </si>
  <si>
    <t>無統計(開會)</t>
    <phoneticPr fontId="2" type="noConversion"/>
  </si>
  <si>
    <t>台式寬冬粉剩較多(咖哩口味)</t>
    <phoneticPr fontId="2" type="noConversion"/>
  </si>
  <si>
    <t>香蕉</t>
    <phoneticPr fontId="2" type="noConversion"/>
  </si>
  <si>
    <t>斤</t>
    <phoneticPr fontId="2" type="noConversion"/>
  </si>
  <si>
    <t>盤</t>
    <phoneticPr fontId="2" type="noConversion"/>
  </si>
  <si>
    <t>油菜</t>
    <phoneticPr fontId="2" type="noConversion"/>
  </si>
  <si>
    <t>很平均</t>
    <phoneticPr fontId="2" type="noConversion"/>
  </si>
  <si>
    <t>265人左右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</si>
</sst>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3" fillId="9" borderId="18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25" workbookViewId="0">
      <selection activeCell="E44" sqref="E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0" t="s">
        <v>55</v>
      </c>
      <c r="B1" s="61"/>
      <c r="C1" s="61"/>
      <c r="D1" s="61"/>
      <c r="E1" s="61"/>
      <c r="F1" s="61"/>
      <c r="G1" s="61"/>
      <c r="H1" s="6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3" t="s">
        <v>60</v>
      </c>
      <c r="B3" s="1" t="s">
        <v>84</v>
      </c>
      <c r="C3" s="1"/>
      <c r="D3" s="1">
        <v>55</v>
      </c>
      <c r="E3" s="20">
        <v>145</v>
      </c>
      <c r="F3" s="20" t="s">
        <v>82</v>
      </c>
      <c r="G3" s="21">
        <f>D3*E3</f>
        <v>7975</v>
      </c>
      <c r="H3" s="1"/>
    </row>
    <row r="4" spans="1:8" x14ac:dyDescent="0.25">
      <c r="A4" s="63"/>
      <c r="B4" s="10"/>
      <c r="C4" s="10"/>
      <c r="D4" s="10"/>
      <c r="E4" s="10"/>
      <c r="F4" s="31" t="s">
        <v>16</v>
      </c>
      <c r="G4" s="21">
        <f t="shared" ref="G4:G5" si="0">D4*E4</f>
        <v>0</v>
      </c>
      <c r="H4" s="1"/>
    </row>
    <row r="5" spans="1:8" x14ac:dyDescent="0.25">
      <c r="A5" s="63"/>
      <c r="B5" s="1"/>
      <c r="C5" s="1"/>
      <c r="D5" s="1"/>
      <c r="E5" s="1"/>
      <c r="F5" s="1" t="s">
        <v>32</v>
      </c>
      <c r="G5" s="21">
        <f t="shared" si="0"/>
        <v>0</v>
      </c>
      <c r="H5" s="1"/>
    </row>
    <row r="6" spans="1:8" x14ac:dyDescent="0.25">
      <c r="A6" s="63"/>
      <c r="B6" s="1"/>
      <c r="C6" s="1"/>
      <c r="D6" s="1"/>
      <c r="E6" s="3"/>
      <c r="F6" s="30"/>
      <c r="G6" s="3"/>
      <c r="H6" s="1"/>
    </row>
    <row r="7" spans="1:8" x14ac:dyDescent="0.25">
      <c r="A7" s="63"/>
      <c r="B7" s="57" t="s">
        <v>7</v>
      </c>
      <c r="C7" s="58"/>
      <c r="D7" s="59"/>
      <c r="E7" s="3"/>
      <c r="F7" s="3"/>
      <c r="G7" s="14">
        <f>SUM(G3:G6)</f>
        <v>7975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3" t="s">
        <v>61</v>
      </c>
      <c r="B9" s="1" t="s">
        <v>90</v>
      </c>
      <c r="C9" s="1"/>
      <c r="D9" s="1">
        <v>150</v>
      </c>
      <c r="E9" s="1">
        <v>20.5</v>
      </c>
      <c r="F9" s="31" t="s">
        <v>32</v>
      </c>
      <c r="G9" s="1">
        <f>D9*E9</f>
        <v>3075</v>
      </c>
      <c r="H9" s="1"/>
    </row>
    <row r="10" spans="1:8" x14ac:dyDescent="0.25">
      <c r="A10" s="63"/>
      <c r="B10" s="1" t="s">
        <v>91</v>
      </c>
      <c r="C10" s="1"/>
      <c r="D10" s="1">
        <v>23.46</v>
      </c>
      <c r="E10" s="1">
        <v>5</v>
      </c>
      <c r="F10" s="36" t="s">
        <v>32</v>
      </c>
      <c r="G10" s="2">
        <f t="shared" ref="G10:G12" si="1">D10*E10</f>
        <v>117.30000000000001</v>
      </c>
      <c r="H10" s="1"/>
    </row>
    <row r="11" spans="1:8" x14ac:dyDescent="0.25">
      <c r="A11" s="63"/>
      <c r="B11" s="1"/>
      <c r="C11" s="1"/>
      <c r="D11" s="1"/>
      <c r="E11" s="1"/>
      <c r="F11" s="34"/>
      <c r="G11" s="10">
        <f t="shared" si="1"/>
        <v>0</v>
      </c>
      <c r="H11" s="1"/>
    </row>
    <row r="12" spans="1:8" x14ac:dyDescent="0.25">
      <c r="A12" s="63"/>
      <c r="B12" s="1"/>
      <c r="C12" s="1"/>
      <c r="D12" s="1"/>
      <c r="E12" s="1"/>
      <c r="F12" s="1"/>
      <c r="G12" s="10">
        <f t="shared" si="1"/>
        <v>0</v>
      </c>
      <c r="H12" s="1"/>
    </row>
    <row r="13" spans="1:8" x14ac:dyDescent="0.25">
      <c r="A13" s="63"/>
      <c r="B13" s="1"/>
      <c r="C13" s="1"/>
      <c r="D13" s="1"/>
      <c r="E13" s="1"/>
      <c r="F13" s="1"/>
      <c r="G13" s="1"/>
      <c r="H13" s="1"/>
    </row>
    <row r="14" spans="1:8" x14ac:dyDescent="0.25">
      <c r="A14" s="63"/>
      <c r="B14" s="57" t="s">
        <v>7</v>
      </c>
      <c r="C14" s="58"/>
      <c r="D14" s="59"/>
      <c r="E14" s="3"/>
      <c r="F14" s="3"/>
      <c r="G14" s="14">
        <f>SUM(G9:G13)</f>
        <v>3192.3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3" t="s">
        <v>62</v>
      </c>
      <c r="B16" s="1" t="s">
        <v>85</v>
      </c>
      <c r="C16" s="1"/>
      <c r="D16" s="1">
        <v>100</v>
      </c>
      <c r="E16" s="1">
        <v>6</v>
      </c>
      <c r="F16" s="34" t="s">
        <v>86</v>
      </c>
      <c r="G16" s="1">
        <f>D16*E16</f>
        <v>600</v>
      </c>
      <c r="H16" s="1"/>
    </row>
    <row r="17" spans="1:8" x14ac:dyDescent="0.25">
      <c r="A17" s="63"/>
      <c r="B17" s="1" t="s">
        <v>92</v>
      </c>
      <c r="C17" s="1"/>
      <c r="D17" s="1">
        <v>117</v>
      </c>
      <c r="E17" s="1">
        <v>15</v>
      </c>
      <c r="F17" s="34" t="s">
        <v>31</v>
      </c>
      <c r="G17" s="17">
        <f t="shared" ref="G17:G19" si="2">D17*E17</f>
        <v>1755</v>
      </c>
      <c r="H17" s="1"/>
    </row>
    <row r="18" spans="1:8" x14ac:dyDescent="0.25">
      <c r="A18" s="63"/>
      <c r="B18" s="1" t="s">
        <v>93</v>
      </c>
      <c r="C18" s="1"/>
      <c r="D18" s="1">
        <v>84</v>
      </c>
      <c r="E18" s="1">
        <v>15</v>
      </c>
      <c r="F18" s="34" t="s">
        <v>86</v>
      </c>
      <c r="G18" s="2">
        <f t="shared" si="2"/>
        <v>1260</v>
      </c>
      <c r="H18" s="1"/>
    </row>
    <row r="19" spans="1:8" x14ac:dyDescent="0.25">
      <c r="A19" s="63"/>
      <c r="B19" s="1"/>
      <c r="C19" s="1"/>
      <c r="D19" s="1"/>
      <c r="E19" s="3"/>
      <c r="F19" s="3"/>
      <c r="G19" s="17">
        <f t="shared" si="2"/>
        <v>0</v>
      </c>
      <c r="H19" s="1"/>
    </row>
    <row r="20" spans="1:8" x14ac:dyDescent="0.25">
      <c r="A20" s="63"/>
      <c r="B20" s="57"/>
      <c r="C20" s="58"/>
      <c r="D20" s="59"/>
      <c r="E20" s="3"/>
      <c r="F20" s="3"/>
      <c r="G20" s="14">
        <f>SUM(G16:G19)</f>
        <v>3615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4"/>
      <c r="B22" s="1" t="s">
        <v>24</v>
      </c>
      <c r="C22" s="1"/>
      <c r="D22" s="1">
        <v>150</v>
      </c>
      <c r="E22" s="1">
        <v>2</v>
      </c>
      <c r="F22" s="1" t="s">
        <v>16</v>
      </c>
      <c r="G22" s="1">
        <f>D22*E22</f>
        <v>300</v>
      </c>
      <c r="H22" s="1"/>
    </row>
    <row r="23" spans="1:8" x14ac:dyDescent="0.25">
      <c r="A23" s="65"/>
      <c r="B23" s="26" t="s">
        <v>26</v>
      </c>
      <c r="C23" s="1"/>
      <c r="D23" s="1">
        <v>90</v>
      </c>
      <c r="E23" s="1">
        <v>0.5</v>
      </c>
      <c r="F23" s="1" t="s">
        <v>23</v>
      </c>
      <c r="G23" s="37">
        <f t="shared" ref="G23:G32" si="3">D23*E23</f>
        <v>45</v>
      </c>
      <c r="H23" s="1"/>
    </row>
    <row r="24" spans="1:8" x14ac:dyDescent="0.25">
      <c r="A24" s="65"/>
      <c r="B24" s="26" t="s">
        <v>19</v>
      </c>
      <c r="C24" s="1"/>
      <c r="D24" s="1">
        <v>96.9</v>
      </c>
      <c r="E24" s="1">
        <v>8</v>
      </c>
      <c r="F24" s="1" t="s">
        <v>18</v>
      </c>
      <c r="G24" s="37">
        <f t="shared" si="3"/>
        <v>775.2</v>
      </c>
      <c r="H24" s="1"/>
    </row>
    <row r="25" spans="1:8" x14ac:dyDescent="0.25">
      <c r="A25" s="65"/>
      <c r="B25" s="1" t="s">
        <v>20</v>
      </c>
      <c r="C25" s="1"/>
      <c r="D25" s="1">
        <v>32.4</v>
      </c>
      <c r="E25" s="1">
        <v>4</v>
      </c>
      <c r="F25" s="1" t="s">
        <v>18</v>
      </c>
      <c r="G25" s="37">
        <f t="shared" si="3"/>
        <v>129.6</v>
      </c>
      <c r="H25" s="1"/>
    </row>
    <row r="26" spans="1:8" x14ac:dyDescent="0.25">
      <c r="A26" s="65"/>
      <c r="B26" s="10" t="s">
        <v>21</v>
      </c>
      <c r="C26" s="10"/>
      <c r="D26" s="10">
        <v>50.4</v>
      </c>
      <c r="E26" s="10">
        <v>20</v>
      </c>
      <c r="F26" s="11" t="s">
        <v>16</v>
      </c>
      <c r="G26" s="37">
        <f t="shared" si="3"/>
        <v>1008</v>
      </c>
      <c r="H26" s="10"/>
    </row>
    <row r="27" spans="1:8" x14ac:dyDescent="0.25">
      <c r="A27" s="65"/>
      <c r="B27" s="10" t="s">
        <v>30</v>
      </c>
      <c r="C27" s="10"/>
      <c r="D27" s="10">
        <v>105</v>
      </c>
      <c r="E27" s="10">
        <v>4</v>
      </c>
      <c r="F27" s="10" t="s">
        <v>25</v>
      </c>
      <c r="G27" s="37">
        <f t="shared" si="3"/>
        <v>420</v>
      </c>
      <c r="H27" s="10"/>
    </row>
    <row r="28" spans="1:8" x14ac:dyDescent="0.25">
      <c r="A28" s="65"/>
      <c r="B28" s="10" t="s">
        <v>33</v>
      </c>
      <c r="C28" s="10"/>
      <c r="D28" s="10">
        <v>22.8</v>
      </c>
      <c r="E28" s="10">
        <v>8</v>
      </c>
      <c r="F28" s="36" t="s">
        <v>31</v>
      </c>
      <c r="G28" s="37">
        <f t="shared" si="3"/>
        <v>182.4</v>
      </c>
      <c r="H28" s="10" t="s">
        <v>35</v>
      </c>
    </row>
    <row r="29" spans="1:8" x14ac:dyDescent="0.25">
      <c r="A29" s="65"/>
      <c r="B29" s="10" t="s">
        <v>81</v>
      </c>
      <c r="C29" s="10"/>
      <c r="D29" s="10">
        <v>177</v>
      </c>
      <c r="E29" s="10">
        <v>2</v>
      </c>
      <c r="F29" s="34" t="s">
        <v>31</v>
      </c>
      <c r="G29" s="37">
        <f t="shared" si="3"/>
        <v>354</v>
      </c>
      <c r="H29" s="10" t="s">
        <v>34</v>
      </c>
    </row>
    <row r="30" spans="1:8" x14ac:dyDescent="0.25">
      <c r="A30" s="65"/>
      <c r="B30" s="10" t="s">
        <v>87</v>
      </c>
      <c r="C30" s="10"/>
      <c r="D30" s="10">
        <v>240</v>
      </c>
      <c r="E30" s="10">
        <v>1</v>
      </c>
      <c r="F30" s="10" t="s">
        <v>50</v>
      </c>
      <c r="G30" s="37">
        <f t="shared" si="3"/>
        <v>240</v>
      </c>
      <c r="H30" s="10"/>
    </row>
    <row r="31" spans="1:8" x14ac:dyDescent="0.25">
      <c r="A31" s="65"/>
      <c r="B31" s="10" t="s">
        <v>88</v>
      </c>
      <c r="C31" s="10"/>
      <c r="D31" s="10">
        <v>4.5</v>
      </c>
      <c r="E31" s="10">
        <v>50</v>
      </c>
      <c r="F31" s="10" t="s">
        <v>39</v>
      </c>
      <c r="G31" s="37">
        <f t="shared" si="3"/>
        <v>225</v>
      </c>
      <c r="H31" s="10"/>
    </row>
    <row r="32" spans="1:8" x14ac:dyDescent="0.25">
      <c r="A32" s="65"/>
      <c r="B32" s="28" t="s">
        <v>89</v>
      </c>
      <c r="C32" s="28"/>
      <c r="D32" s="28">
        <v>36</v>
      </c>
      <c r="E32" s="28">
        <v>2</v>
      </c>
      <c r="F32" s="28" t="s">
        <v>36</v>
      </c>
      <c r="G32" s="37">
        <f t="shared" si="3"/>
        <v>72</v>
      </c>
      <c r="H32" s="1"/>
    </row>
    <row r="33" spans="1:8" x14ac:dyDescent="0.25">
      <c r="A33" s="66"/>
      <c r="B33" s="57" t="s">
        <v>17</v>
      </c>
      <c r="C33" s="58"/>
      <c r="D33" s="59"/>
      <c r="E33" s="28"/>
      <c r="F33" s="28"/>
      <c r="G33" s="15">
        <f>SUM(G22:G32)</f>
        <v>3751.2000000000003</v>
      </c>
      <c r="H33" s="10"/>
    </row>
    <row r="34" spans="1:8" x14ac:dyDescent="0.25">
      <c r="A34" s="1" t="s">
        <v>11</v>
      </c>
      <c r="B34" s="28" t="s">
        <v>1</v>
      </c>
      <c r="C34" s="28" t="s">
        <v>2</v>
      </c>
      <c r="D34" s="28" t="s">
        <v>3</v>
      </c>
      <c r="E34" s="28" t="s">
        <v>4</v>
      </c>
      <c r="F34" s="28"/>
      <c r="G34" s="1" t="s">
        <v>5</v>
      </c>
      <c r="H34" s="1" t="s">
        <v>6</v>
      </c>
    </row>
    <row r="35" spans="1:8" x14ac:dyDescent="0.25">
      <c r="A35" s="63" t="s">
        <v>63</v>
      </c>
      <c r="B35" s="41" t="s">
        <v>80</v>
      </c>
      <c r="C35" s="41"/>
      <c r="D35" s="41">
        <v>39.6</v>
      </c>
      <c r="E35" s="41">
        <v>20</v>
      </c>
      <c r="F35" s="41" t="s">
        <v>16</v>
      </c>
      <c r="G35" s="41">
        <f>D35*E35</f>
        <v>792</v>
      </c>
      <c r="H35" s="41"/>
    </row>
    <row r="36" spans="1:8" x14ac:dyDescent="0.25">
      <c r="A36" s="63"/>
      <c r="B36" s="41" t="s">
        <v>94</v>
      </c>
      <c r="C36" s="41"/>
      <c r="D36" s="41">
        <v>21</v>
      </c>
      <c r="E36" s="41">
        <v>5</v>
      </c>
      <c r="F36" s="41" t="s">
        <v>95</v>
      </c>
      <c r="G36" s="41">
        <f t="shared" ref="G36:G37" si="4">D36*E36</f>
        <v>105</v>
      </c>
      <c r="H36" s="41"/>
    </row>
    <row r="37" spans="1:8" x14ac:dyDescent="0.25">
      <c r="A37" s="63"/>
      <c r="B37" s="41"/>
      <c r="C37" s="41"/>
      <c r="D37" s="41"/>
      <c r="E37" s="41"/>
      <c r="F37" s="41"/>
      <c r="G37" s="41">
        <f t="shared" si="4"/>
        <v>0</v>
      </c>
      <c r="H37" s="41"/>
    </row>
    <row r="38" spans="1:8" x14ac:dyDescent="0.25">
      <c r="A38" s="63"/>
      <c r="B38" s="57" t="s">
        <v>7</v>
      </c>
      <c r="C38" s="58"/>
      <c r="D38" s="59"/>
      <c r="E38" s="40"/>
      <c r="F38" s="40"/>
      <c r="G38" s="16">
        <f>SUM(G35:G37)</f>
        <v>897</v>
      </c>
      <c r="H38" s="41"/>
    </row>
    <row r="39" spans="1:8" x14ac:dyDescent="0.25">
      <c r="A39" s="1" t="s">
        <v>12</v>
      </c>
      <c r="B39" s="28" t="s">
        <v>1</v>
      </c>
      <c r="C39" s="28" t="s">
        <v>2</v>
      </c>
      <c r="D39" s="28" t="s">
        <v>3</v>
      </c>
      <c r="E39" s="29" t="s">
        <v>4</v>
      </c>
      <c r="F39" s="29"/>
      <c r="G39" s="3" t="s">
        <v>5</v>
      </c>
      <c r="H39" s="1" t="s">
        <v>6</v>
      </c>
    </row>
    <row r="40" spans="1:8" x14ac:dyDescent="0.25">
      <c r="A40" s="64"/>
      <c r="B40" s="1" t="s">
        <v>101</v>
      </c>
      <c r="C40" s="1"/>
      <c r="D40" s="1">
        <v>10.199999999999999</v>
      </c>
      <c r="E40" s="1">
        <v>75.84</v>
      </c>
      <c r="F40" s="1" t="s">
        <v>41</v>
      </c>
      <c r="G40" s="2">
        <f>D40*E40</f>
        <v>773.56799999999998</v>
      </c>
      <c r="H40" s="1"/>
    </row>
    <row r="41" spans="1:8" x14ac:dyDescent="0.25">
      <c r="A41" s="65"/>
      <c r="B41" s="1" t="s">
        <v>179</v>
      </c>
      <c r="C41" s="1"/>
      <c r="D41" s="1"/>
      <c r="E41" s="1"/>
      <c r="F41" s="1" t="s">
        <v>41</v>
      </c>
      <c r="G41" s="2">
        <f>D41*E41</f>
        <v>0</v>
      </c>
      <c r="H41" s="1" t="s">
        <v>180</v>
      </c>
    </row>
    <row r="42" spans="1:8" x14ac:dyDescent="0.25">
      <c r="A42" s="66"/>
      <c r="B42" s="57" t="s">
        <v>7</v>
      </c>
      <c r="C42" s="58"/>
      <c r="D42" s="59"/>
      <c r="E42" s="3"/>
      <c r="F42" s="3"/>
      <c r="G42" s="14">
        <f>SUM(G40:G41)</f>
        <v>773.56799999999998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63"/>
      <c r="B44" s="1" t="s">
        <v>91</v>
      </c>
      <c r="C44" s="1"/>
      <c r="D44" s="1">
        <v>23.46</v>
      </c>
      <c r="E44" s="1">
        <v>1</v>
      </c>
      <c r="F44" s="1" t="s">
        <v>41</v>
      </c>
      <c r="G44" s="1">
        <f>D44*E44</f>
        <v>23.46</v>
      </c>
      <c r="H44" s="1"/>
    </row>
    <row r="45" spans="1:8" x14ac:dyDescent="0.25">
      <c r="A45" s="63"/>
      <c r="B45" s="1" t="s">
        <v>96</v>
      </c>
      <c r="C45" s="1"/>
      <c r="D45" s="1">
        <v>141</v>
      </c>
      <c r="E45" s="1">
        <v>4</v>
      </c>
      <c r="F45" s="1" t="s">
        <v>95</v>
      </c>
      <c r="G45" s="51">
        <f t="shared" ref="G45:G49" si="5">D45*E45</f>
        <v>564</v>
      </c>
      <c r="H45" s="1"/>
    </row>
    <row r="46" spans="1:8" x14ac:dyDescent="0.25">
      <c r="A46" s="63"/>
      <c r="B46" s="1" t="s">
        <v>97</v>
      </c>
      <c r="C46" s="1"/>
      <c r="D46" s="1">
        <v>99</v>
      </c>
      <c r="E46" s="1">
        <v>11.25</v>
      </c>
      <c r="F46" s="1" t="s">
        <v>95</v>
      </c>
      <c r="G46" s="51">
        <f t="shared" si="5"/>
        <v>1113.75</v>
      </c>
      <c r="H46" s="1"/>
    </row>
    <row r="47" spans="1:8" x14ac:dyDescent="0.25">
      <c r="A47" s="63"/>
      <c r="B47" s="1" t="s">
        <v>98</v>
      </c>
      <c r="C47" s="1"/>
      <c r="D47" s="1">
        <v>141</v>
      </c>
      <c r="E47" s="1">
        <v>6</v>
      </c>
      <c r="F47" s="1" t="s">
        <v>95</v>
      </c>
      <c r="G47" s="51">
        <f t="shared" si="5"/>
        <v>846</v>
      </c>
      <c r="H47" s="1"/>
    </row>
    <row r="48" spans="1:8" x14ac:dyDescent="0.25">
      <c r="A48" s="63"/>
      <c r="B48" s="51" t="s">
        <v>99</v>
      </c>
      <c r="C48" s="51"/>
      <c r="D48" s="51">
        <v>108.3</v>
      </c>
      <c r="E48" s="51">
        <v>0.5</v>
      </c>
      <c r="F48" s="51" t="s">
        <v>95</v>
      </c>
      <c r="G48" s="51">
        <f t="shared" si="5"/>
        <v>54.15</v>
      </c>
      <c r="H48" s="51"/>
    </row>
    <row r="49" spans="1:8" x14ac:dyDescent="0.25">
      <c r="A49" s="63"/>
      <c r="B49" s="51" t="s">
        <v>100</v>
      </c>
      <c r="C49" s="51"/>
      <c r="D49" s="51">
        <v>114</v>
      </c>
      <c r="E49" s="51">
        <v>1</v>
      </c>
      <c r="F49" s="51" t="s">
        <v>95</v>
      </c>
      <c r="G49" s="51">
        <f t="shared" si="5"/>
        <v>114</v>
      </c>
      <c r="H49" s="51"/>
    </row>
    <row r="50" spans="1:8" x14ac:dyDescent="0.25">
      <c r="A50" s="63"/>
      <c r="B50" s="57" t="s">
        <v>7</v>
      </c>
      <c r="C50" s="58"/>
      <c r="D50" s="59"/>
      <c r="E50" s="3"/>
      <c r="F50" s="3"/>
      <c r="G50" s="16">
        <f>SUM(G44:G49)</f>
        <v>2715.36</v>
      </c>
      <c r="H50" s="1"/>
    </row>
    <row r="51" spans="1:8" ht="17.25" thickBot="1" x14ac:dyDescent="0.3">
      <c r="A51" s="1"/>
      <c r="B51" s="67" t="s">
        <v>14</v>
      </c>
      <c r="C51" s="68"/>
      <c r="D51" s="69"/>
      <c r="E51" s="8"/>
      <c r="F51" s="8"/>
      <c r="G51" s="9">
        <f>G50+G42+G38+G20+G14+G7+G33</f>
        <v>22919.428</v>
      </c>
      <c r="H51" s="1"/>
    </row>
    <row r="52" spans="1:8" x14ac:dyDescent="0.25">
      <c r="A52" s="74" t="s">
        <v>42</v>
      </c>
      <c r="B52" s="77" t="s">
        <v>43</v>
      </c>
      <c r="C52" s="77"/>
      <c r="D52" s="77"/>
      <c r="E52" s="78" t="s">
        <v>44</v>
      </c>
      <c r="F52" s="79"/>
      <c r="G52" s="80"/>
      <c r="H52" s="42" t="s">
        <v>45</v>
      </c>
    </row>
    <row r="53" spans="1:8" x14ac:dyDescent="0.25">
      <c r="A53" s="75"/>
      <c r="B53" s="81" t="s">
        <v>182</v>
      </c>
      <c r="C53" s="82"/>
      <c r="D53" s="82"/>
      <c r="E53" s="43" t="s">
        <v>46</v>
      </c>
      <c r="F53" s="84"/>
      <c r="G53" s="85"/>
      <c r="H53" s="70" t="s">
        <v>83</v>
      </c>
    </row>
    <row r="54" spans="1:8" ht="17.25" thickBot="1" x14ac:dyDescent="0.3">
      <c r="A54" s="76"/>
      <c r="B54" s="83"/>
      <c r="C54" s="83"/>
      <c r="D54" s="83"/>
      <c r="E54" s="44" t="s">
        <v>47</v>
      </c>
      <c r="F54" s="72" t="s">
        <v>181</v>
      </c>
      <c r="G54" s="73"/>
      <c r="H54" s="71"/>
    </row>
  </sheetData>
  <mergeCells count="23">
    <mergeCell ref="H53:H54"/>
    <mergeCell ref="F54:G54"/>
    <mergeCell ref="A52:A54"/>
    <mergeCell ref="B52:D52"/>
    <mergeCell ref="E52:G52"/>
    <mergeCell ref="B53:D54"/>
    <mergeCell ref="F53:G53"/>
    <mergeCell ref="B51:D51"/>
    <mergeCell ref="B50:D50"/>
    <mergeCell ref="B42:D42"/>
    <mergeCell ref="B38:D38"/>
    <mergeCell ref="B33:D33"/>
    <mergeCell ref="A44:A50"/>
    <mergeCell ref="A35:A38"/>
    <mergeCell ref="A40:A42"/>
    <mergeCell ref="A16:A20"/>
    <mergeCell ref="A22:A33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22" workbookViewId="0">
      <selection activeCell="E5" sqref="E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0" t="s">
        <v>56</v>
      </c>
      <c r="B1" s="61"/>
      <c r="C1" s="61"/>
      <c r="D1" s="61"/>
      <c r="E1" s="61"/>
      <c r="F1" s="61"/>
      <c r="G1" s="61"/>
      <c r="H1" s="6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3" t="s">
        <v>64</v>
      </c>
      <c r="B3" s="51" t="s">
        <v>104</v>
      </c>
      <c r="C3" s="51"/>
      <c r="D3" s="51">
        <v>180</v>
      </c>
      <c r="E3" s="51">
        <v>60</v>
      </c>
      <c r="F3" s="51" t="s">
        <v>16</v>
      </c>
      <c r="G3" s="2">
        <f>D3*E3</f>
        <v>10800</v>
      </c>
      <c r="H3" s="1"/>
    </row>
    <row r="4" spans="1:8" x14ac:dyDescent="0.25">
      <c r="A4" s="63"/>
      <c r="B4" s="1" t="s">
        <v>105</v>
      </c>
      <c r="C4" s="1">
        <v>800</v>
      </c>
      <c r="D4" s="1">
        <v>156</v>
      </c>
      <c r="E4" s="47">
        <v>16</v>
      </c>
      <c r="F4" s="51" t="s">
        <v>16</v>
      </c>
      <c r="G4" s="2">
        <f>D4*E4</f>
        <v>2496</v>
      </c>
      <c r="H4" s="1"/>
    </row>
    <row r="5" spans="1:8" x14ac:dyDescent="0.25">
      <c r="A5" s="63"/>
      <c r="B5" s="1"/>
      <c r="C5" s="1"/>
      <c r="D5" s="1"/>
      <c r="E5" s="1"/>
      <c r="F5" s="34" t="s">
        <v>32</v>
      </c>
      <c r="G5" s="2">
        <f t="shared" ref="G5:G6" si="0">D5*E5</f>
        <v>0</v>
      </c>
      <c r="H5" s="1"/>
    </row>
    <row r="6" spans="1:8" x14ac:dyDescent="0.25">
      <c r="A6" s="63"/>
      <c r="B6" s="1"/>
      <c r="C6" s="1"/>
      <c r="D6" s="1"/>
      <c r="E6" s="3"/>
      <c r="F6" s="3" t="s">
        <v>32</v>
      </c>
      <c r="G6" s="2">
        <f t="shared" si="0"/>
        <v>0</v>
      </c>
      <c r="H6" s="1"/>
    </row>
    <row r="7" spans="1:8" x14ac:dyDescent="0.25">
      <c r="A7" s="63"/>
      <c r="B7" s="57" t="s">
        <v>7</v>
      </c>
      <c r="C7" s="58"/>
      <c r="D7" s="59"/>
      <c r="E7" s="3"/>
      <c r="F7" s="3"/>
      <c r="G7" s="14">
        <f>SUM(G3:G6)</f>
        <v>13296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3" t="s">
        <v>65</v>
      </c>
      <c r="B9" s="1" t="s">
        <v>106</v>
      </c>
      <c r="C9" s="1"/>
      <c r="D9" s="1">
        <v>32.4</v>
      </c>
      <c r="E9" s="1">
        <v>3</v>
      </c>
      <c r="F9" s="31" t="s">
        <v>16</v>
      </c>
      <c r="G9" s="1">
        <f>D9*E9</f>
        <v>97.199999999999989</v>
      </c>
      <c r="H9" s="1"/>
    </row>
    <row r="10" spans="1:8" x14ac:dyDescent="0.25">
      <c r="A10" s="63"/>
      <c r="B10" s="1" t="s">
        <v>107</v>
      </c>
      <c r="C10" s="1"/>
      <c r="D10" s="1">
        <v>50.4</v>
      </c>
      <c r="E10" s="1">
        <v>20</v>
      </c>
      <c r="F10" s="31" t="s">
        <v>16</v>
      </c>
      <c r="G10" s="19">
        <f>D10*E10</f>
        <v>1008</v>
      </c>
      <c r="H10" s="1"/>
    </row>
    <row r="11" spans="1:8" x14ac:dyDescent="0.25">
      <c r="A11" s="63"/>
      <c r="B11" s="1"/>
      <c r="C11" s="1"/>
      <c r="D11" s="1"/>
      <c r="E11" s="1"/>
      <c r="F11" s="31"/>
      <c r="G11" s="1"/>
      <c r="H11" s="1"/>
    </row>
    <row r="12" spans="1:8" x14ac:dyDescent="0.25">
      <c r="A12" s="63"/>
      <c r="B12" s="1"/>
      <c r="C12" s="1"/>
      <c r="D12" s="1"/>
      <c r="E12" s="1"/>
      <c r="F12" s="31"/>
      <c r="G12" s="1"/>
      <c r="H12" s="1"/>
    </row>
    <row r="13" spans="1:8" x14ac:dyDescent="0.25">
      <c r="A13" s="63"/>
      <c r="B13" s="1"/>
      <c r="C13" s="1"/>
      <c r="D13" s="1"/>
      <c r="E13" s="1"/>
      <c r="F13" s="1"/>
      <c r="G13" s="1"/>
      <c r="H13" s="1"/>
    </row>
    <row r="14" spans="1:8" x14ac:dyDescent="0.25">
      <c r="A14" s="63"/>
      <c r="B14" s="57" t="s">
        <v>7</v>
      </c>
      <c r="C14" s="58"/>
      <c r="D14" s="59"/>
      <c r="E14" s="3"/>
      <c r="F14" s="3"/>
      <c r="G14" s="14">
        <f>SUM(G9:G13)</f>
        <v>1105.2</v>
      </c>
      <c r="H14" s="1"/>
    </row>
    <row r="15" spans="1:8" x14ac:dyDescent="0.25">
      <c r="A15" s="28" t="s">
        <v>27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3" t="s">
        <v>66</v>
      </c>
      <c r="B16" s="1" t="s">
        <v>108</v>
      </c>
      <c r="C16" s="1"/>
      <c r="D16" s="1">
        <v>98.8</v>
      </c>
      <c r="E16" s="1">
        <v>15</v>
      </c>
      <c r="F16" s="34" t="s">
        <v>31</v>
      </c>
      <c r="G16" s="1">
        <f>D16*E16</f>
        <v>1482</v>
      </c>
      <c r="H16" s="1"/>
    </row>
    <row r="17" spans="1:8" x14ac:dyDescent="0.25">
      <c r="A17" s="63"/>
      <c r="B17" s="1" t="s">
        <v>92</v>
      </c>
      <c r="C17" s="1"/>
      <c r="D17" s="1">
        <v>117</v>
      </c>
      <c r="E17" s="1">
        <v>5</v>
      </c>
      <c r="F17" s="34" t="s">
        <v>16</v>
      </c>
      <c r="G17" s="19">
        <f t="shared" ref="G17:G18" si="1">D17*E17</f>
        <v>585</v>
      </c>
      <c r="H17" s="1"/>
    </row>
    <row r="18" spans="1:8" x14ac:dyDescent="0.25">
      <c r="A18" s="63"/>
      <c r="B18" s="1"/>
      <c r="C18" s="1"/>
      <c r="D18" s="1"/>
      <c r="E18" s="1"/>
      <c r="F18" s="34"/>
      <c r="G18" s="19">
        <f t="shared" si="1"/>
        <v>0</v>
      </c>
      <c r="H18" s="1"/>
    </row>
    <row r="19" spans="1:8" x14ac:dyDescent="0.25">
      <c r="A19" s="63"/>
      <c r="B19" s="57" t="s">
        <v>7</v>
      </c>
      <c r="C19" s="58"/>
      <c r="D19" s="59"/>
      <c r="E19" s="3"/>
      <c r="F19" s="3"/>
      <c r="G19" s="14">
        <f>SUM(G16:G18)</f>
        <v>2067</v>
      </c>
      <c r="H19" s="1"/>
    </row>
    <row r="20" spans="1:8" x14ac:dyDescent="0.25">
      <c r="A20" s="5" t="s">
        <v>10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 t="s">
        <v>5</v>
      </c>
      <c r="H20" s="1" t="s">
        <v>6</v>
      </c>
    </row>
    <row r="21" spans="1:8" x14ac:dyDescent="0.25">
      <c r="A21" s="64"/>
      <c r="B21" s="1" t="s">
        <v>109</v>
      </c>
      <c r="C21" s="1"/>
      <c r="D21" s="1">
        <v>21</v>
      </c>
      <c r="E21" s="1">
        <v>8</v>
      </c>
      <c r="F21" s="1" t="s">
        <v>95</v>
      </c>
      <c r="G21" s="1">
        <f>D21*E21</f>
        <v>168</v>
      </c>
      <c r="H21" s="1"/>
    </row>
    <row r="22" spans="1:8" x14ac:dyDescent="0.25">
      <c r="A22" s="65"/>
      <c r="B22" s="32" t="s">
        <v>28</v>
      </c>
      <c r="C22" s="32">
        <v>2</v>
      </c>
      <c r="D22" s="32">
        <v>530</v>
      </c>
      <c r="E22" s="32">
        <v>8</v>
      </c>
      <c r="F22" s="32" t="s">
        <v>38</v>
      </c>
      <c r="G22" s="51">
        <f t="shared" ref="G22:G27" si="2">D22*E22</f>
        <v>4240</v>
      </c>
      <c r="H22" s="1"/>
    </row>
    <row r="23" spans="1:8" x14ac:dyDescent="0.25">
      <c r="A23" s="65"/>
      <c r="B23" s="32" t="s">
        <v>102</v>
      </c>
      <c r="C23" s="32"/>
      <c r="D23" s="32">
        <v>12</v>
      </c>
      <c r="E23" s="32">
        <v>20</v>
      </c>
      <c r="F23" s="32" t="s">
        <v>103</v>
      </c>
      <c r="G23" s="51">
        <f t="shared" si="2"/>
        <v>240</v>
      </c>
      <c r="H23" s="1"/>
    </row>
    <row r="24" spans="1:8" x14ac:dyDescent="0.25">
      <c r="A24" s="65"/>
      <c r="B24" s="1" t="s">
        <v>98</v>
      </c>
      <c r="C24" s="1"/>
      <c r="D24" s="1">
        <v>141</v>
      </c>
      <c r="E24" s="1">
        <v>4</v>
      </c>
      <c r="F24" s="1" t="s">
        <v>16</v>
      </c>
      <c r="G24" s="51">
        <f t="shared" si="2"/>
        <v>564</v>
      </c>
      <c r="H24" s="1" t="s">
        <v>34</v>
      </c>
    </row>
    <row r="25" spans="1:8" x14ac:dyDescent="0.25">
      <c r="A25" s="65"/>
      <c r="B25" s="31" t="s">
        <v>111</v>
      </c>
      <c r="C25" s="31"/>
      <c r="D25" s="31">
        <v>78</v>
      </c>
      <c r="E25" s="37">
        <v>7.5</v>
      </c>
      <c r="F25" s="37" t="s">
        <v>16</v>
      </c>
      <c r="G25" s="51">
        <f t="shared" si="2"/>
        <v>585</v>
      </c>
      <c r="H25" s="36" t="s">
        <v>34</v>
      </c>
    </row>
    <row r="26" spans="1:8" x14ac:dyDescent="0.25">
      <c r="A26" s="65"/>
      <c r="B26" s="36" t="s">
        <v>112</v>
      </c>
      <c r="C26" s="36"/>
      <c r="D26" s="36">
        <v>93</v>
      </c>
      <c r="E26" s="36">
        <v>1</v>
      </c>
      <c r="F26" s="35" t="s">
        <v>22</v>
      </c>
      <c r="G26" s="51">
        <f t="shared" si="2"/>
        <v>93</v>
      </c>
      <c r="H26" s="36" t="s">
        <v>40</v>
      </c>
    </row>
    <row r="27" spans="1:8" x14ac:dyDescent="0.25">
      <c r="A27" s="66"/>
      <c r="B27" s="19" t="s">
        <v>113</v>
      </c>
      <c r="C27" s="19"/>
      <c r="D27" s="19">
        <v>14.82</v>
      </c>
      <c r="E27" s="19">
        <v>2</v>
      </c>
      <c r="F27" s="33" t="s">
        <v>16</v>
      </c>
      <c r="G27" s="51">
        <f t="shared" si="2"/>
        <v>29.64</v>
      </c>
      <c r="H27" s="19" t="s">
        <v>35</v>
      </c>
    </row>
    <row r="28" spans="1:8" x14ac:dyDescent="0.25">
      <c r="A28" s="38"/>
      <c r="B28" s="57" t="s">
        <v>29</v>
      </c>
      <c r="C28" s="58"/>
      <c r="D28" s="59"/>
      <c r="E28" s="3"/>
      <c r="F28" s="3"/>
      <c r="G28" s="14">
        <f>SUM(G21:G27)</f>
        <v>5919.64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63" t="s">
        <v>67</v>
      </c>
      <c r="B30" s="1" t="s">
        <v>110</v>
      </c>
      <c r="C30" s="1"/>
      <c r="D30" s="1">
        <v>250</v>
      </c>
      <c r="E30" s="1">
        <v>10</v>
      </c>
      <c r="F30" s="1" t="s">
        <v>95</v>
      </c>
      <c r="G30" s="1">
        <f>D30*E30</f>
        <v>2500</v>
      </c>
      <c r="H30" s="1"/>
    </row>
    <row r="31" spans="1:8" x14ac:dyDescent="0.25">
      <c r="A31" s="63"/>
      <c r="B31" s="37" t="s">
        <v>117</v>
      </c>
      <c r="C31" s="37"/>
      <c r="D31" s="37"/>
      <c r="E31" s="37"/>
      <c r="F31" s="37"/>
      <c r="G31" s="37"/>
      <c r="H31" s="45" t="s">
        <v>48</v>
      </c>
    </row>
    <row r="32" spans="1:8" x14ac:dyDescent="0.25">
      <c r="A32" s="63"/>
      <c r="B32" s="37"/>
      <c r="C32" s="37"/>
      <c r="D32" s="37"/>
      <c r="E32" s="37"/>
      <c r="F32" s="37"/>
      <c r="G32" s="37"/>
      <c r="H32" s="1"/>
    </row>
    <row r="33" spans="1:8" x14ac:dyDescent="0.25">
      <c r="A33" s="63"/>
      <c r="B33" s="57" t="s">
        <v>7</v>
      </c>
      <c r="C33" s="58"/>
      <c r="D33" s="59"/>
      <c r="E33" s="3"/>
      <c r="F33" s="3"/>
      <c r="G33" s="16">
        <f>SUM(G30:G32)</f>
        <v>2500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64"/>
      <c r="B35" s="1" t="s">
        <v>116</v>
      </c>
      <c r="C35" s="1"/>
      <c r="D35" s="1">
        <v>25.2</v>
      </c>
      <c r="E35" s="1">
        <v>75</v>
      </c>
      <c r="F35" s="1" t="s">
        <v>41</v>
      </c>
      <c r="G35" s="24">
        <f>D35*E35</f>
        <v>1890</v>
      </c>
      <c r="H35" s="1"/>
    </row>
    <row r="36" spans="1:8" x14ac:dyDescent="0.25">
      <c r="A36" s="65"/>
      <c r="B36" s="1" t="s">
        <v>194</v>
      </c>
      <c r="C36" s="1"/>
      <c r="D36" s="1">
        <v>34.56</v>
      </c>
      <c r="E36" s="1">
        <v>50.67</v>
      </c>
      <c r="F36" s="1" t="s">
        <v>49</v>
      </c>
      <c r="G36" s="2">
        <f>D36*E36</f>
        <v>1751.1552000000001</v>
      </c>
      <c r="H36" s="1"/>
    </row>
    <row r="37" spans="1:8" x14ac:dyDescent="0.25">
      <c r="A37" s="66"/>
      <c r="B37" s="57" t="s">
        <v>7</v>
      </c>
      <c r="C37" s="58"/>
      <c r="D37" s="59"/>
      <c r="E37" s="3"/>
      <c r="F37" s="3"/>
      <c r="G37" s="14">
        <f>SUM(G35:G36)</f>
        <v>3641.1552000000001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63"/>
      <c r="B39" s="1" t="s">
        <v>114</v>
      </c>
      <c r="C39" s="1"/>
      <c r="D39" s="1">
        <v>60</v>
      </c>
      <c r="E39" s="1">
        <v>20</v>
      </c>
      <c r="F39" s="1" t="s">
        <v>95</v>
      </c>
      <c r="G39" s="1">
        <f>D39*E39</f>
        <v>1200</v>
      </c>
      <c r="H39" s="1"/>
    </row>
    <row r="40" spans="1:8" x14ac:dyDescent="0.25">
      <c r="A40" s="63"/>
      <c r="B40" s="1" t="s">
        <v>115</v>
      </c>
      <c r="C40" s="1"/>
      <c r="D40" s="1">
        <v>60</v>
      </c>
      <c r="E40" s="1">
        <v>3</v>
      </c>
      <c r="F40" s="1" t="s">
        <v>95</v>
      </c>
      <c r="G40" s="51">
        <f>D40*E40</f>
        <v>180</v>
      </c>
      <c r="H40" s="1"/>
    </row>
    <row r="41" spans="1:8" x14ac:dyDescent="0.25">
      <c r="A41" s="63"/>
      <c r="B41" s="1"/>
      <c r="C41" s="1"/>
      <c r="D41" s="1"/>
      <c r="E41" s="1"/>
      <c r="F41" s="1"/>
      <c r="G41" s="1"/>
      <c r="H41" s="1"/>
    </row>
    <row r="42" spans="1:8" x14ac:dyDescent="0.25">
      <c r="A42" s="63"/>
      <c r="B42" s="1"/>
      <c r="C42" s="1"/>
      <c r="D42" s="1"/>
      <c r="E42" s="1"/>
      <c r="F42" s="1"/>
      <c r="G42" s="1"/>
      <c r="H42" s="1"/>
    </row>
    <row r="43" spans="1:8" x14ac:dyDescent="0.25">
      <c r="A43" s="63"/>
      <c r="B43" s="57" t="s">
        <v>7</v>
      </c>
      <c r="C43" s="58"/>
      <c r="D43" s="59"/>
      <c r="E43" s="3"/>
      <c r="F43" s="3"/>
      <c r="G43" s="16">
        <f>SUM(G39:G42)</f>
        <v>1380</v>
      </c>
      <c r="H43" s="1"/>
    </row>
    <row r="44" spans="1:8" ht="17.25" thickBot="1" x14ac:dyDescent="0.3">
      <c r="A44" s="1"/>
      <c r="B44" s="67" t="s">
        <v>14</v>
      </c>
      <c r="C44" s="68"/>
      <c r="D44" s="69"/>
      <c r="E44" s="8"/>
      <c r="F44" s="8"/>
      <c r="G44" s="9">
        <f>G43+G37+G33+G19+G14+G7+G28</f>
        <v>29908.995200000001</v>
      </c>
      <c r="H44" s="1"/>
    </row>
    <row r="45" spans="1:8" x14ac:dyDescent="0.25">
      <c r="A45" s="74" t="s">
        <v>42</v>
      </c>
      <c r="B45" s="77" t="s">
        <v>43</v>
      </c>
      <c r="C45" s="77"/>
      <c r="D45" s="77"/>
      <c r="E45" s="78" t="s">
        <v>44</v>
      </c>
      <c r="F45" s="79"/>
      <c r="G45" s="80"/>
      <c r="H45" s="42" t="s">
        <v>45</v>
      </c>
    </row>
    <row r="46" spans="1:8" x14ac:dyDescent="0.25">
      <c r="A46" s="75"/>
      <c r="B46" s="81" t="s">
        <v>212</v>
      </c>
      <c r="C46" s="82"/>
      <c r="D46" s="82"/>
      <c r="E46" s="43" t="s">
        <v>46</v>
      </c>
      <c r="F46" s="84"/>
      <c r="G46" s="85"/>
      <c r="H46" s="70" t="s">
        <v>195</v>
      </c>
    </row>
    <row r="47" spans="1:8" ht="17.25" thickBot="1" x14ac:dyDescent="0.3">
      <c r="A47" s="76"/>
      <c r="B47" s="83"/>
      <c r="C47" s="83"/>
      <c r="D47" s="83"/>
      <c r="E47" s="44" t="s">
        <v>47</v>
      </c>
      <c r="F47" s="72" t="s">
        <v>211</v>
      </c>
      <c r="G47" s="73"/>
      <c r="H47" s="71"/>
    </row>
  </sheetData>
  <mergeCells count="23">
    <mergeCell ref="H46:H47"/>
    <mergeCell ref="F47:G47"/>
    <mergeCell ref="A21:A27"/>
    <mergeCell ref="A45:A47"/>
    <mergeCell ref="B45:D45"/>
    <mergeCell ref="E45:G45"/>
    <mergeCell ref="B46:D47"/>
    <mergeCell ref="F46:G46"/>
    <mergeCell ref="A39:A43"/>
    <mergeCell ref="B43:D43"/>
    <mergeCell ref="B44:D44"/>
    <mergeCell ref="B28:D28"/>
    <mergeCell ref="A30:A33"/>
    <mergeCell ref="B33:D33"/>
    <mergeCell ref="A35:A37"/>
    <mergeCell ref="B37:D37"/>
    <mergeCell ref="A16:A19"/>
    <mergeCell ref="B19:D19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6"/>
  <sheetViews>
    <sheetView tabSelected="1" topLeftCell="A23" workbookViewId="0">
      <selection activeCell="L43" sqref="L42:L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0" t="s">
        <v>57</v>
      </c>
      <c r="B1" s="61"/>
      <c r="C1" s="61"/>
      <c r="D1" s="61"/>
      <c r="E1" s="61"/>
      <c r="F1" s="61"/>
      <c r="G1" s="61"/>
      <c r="H1" s="6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3" t="s">
        <v>68</v>
      </c>
      <c r="B3" s="1" t="s">
        <v>208</v>
      </c>
      <c r="C3" s="1"/>
      <c r="D3" s="1">
        <v>220</v>
      </c>
      <c r="E3" s="1">
        <v>65</v>
      </c>
      <c r="F3" s="54" t="s">
        <v>183</v>
      </c>
      <c r="G3" s="2">
        <f>D3*E3</f>
        <v>14300</v>
      </c>
      <c r="H3" s="1" t="s">
        <v>209</v>
      </c>
    </row>
    <row r="4" spans="1:8" x14ac:dyDescent="0.25">
      <c r="A4" s="63"/>
      <c r="B4" s="1"/>
      <c r="C4" s="1"/>
      <c r="D4" s="1"/>
      <c r="E4" s="1"/>
      <c r="F4" s="36"/>
      <c r="G4" s="2"/>
      <c r="H4" s="1"/>
    </row>
    <row r="5" spans="1:8" x14ac:dyDescent="0.25">
      <c r="A5" s="63"/>
      <c r="B5" s="1"/>
      <c r="C5" s="1"/>
      <c r="D5" s="1"/>
      <c r="E5" s="1"/>
      <c r="F5" s="31"/>
      <c r="G5" s="2"/>
      <c r="H5" s="1"/>
    </row>
    <row r="6" spans="1:8" x14ac:dyDescent="0.25">
      <c r="A6" s="63"/>
      <c r="B6" s="57" t="s">
        <v>7</v>
      </c>
      <c r="C6" s="58"/>
      <c r="D6" s="59"/>
      <c r="E6" s="3"/>
      <c r="F6" s="3"/>
      <c r="G6" s="14">
        <f>SUM(G3:G5)</f>
        <v>14300</v>
      </c>
      <c r="H6" s="1"/>
    </row>
    <row r="7" spans="1:8" x14ac:dyDescent="0.25">
      <c r="A7" s="1" t="s">
        <v>8</v>
      </c>
      <c r="B7" s="1" t="s">
        <v>1</v>
      </c>
      <c r="C7" s="1" t="s">
        <v>2</v>
      </c>
      <c r="D7" s="1" t="s">
        <v>3</v>
      </c>
      <c r="E7" s="1" t="s">
        <v>4</v>
      </c>
      <c r="F7" s="1"/>
      <c r="G7" s="1" t="s">
        <v>5</v>
      </c>
      <c r="H7" s="1" t="s">
        <v>6</v>
      </c>
    </row>
    <row r="8" spans="1:8" x14ac:dyDescent="0.25">
      <c r="A8" s="63" t="s">
        <v>70</v>
      </c>
      <c r="B8" s="1" t="s">
        <v>71</v>
      </c>
      <c r="C8" s="1" t="s">
        <v>119</v>
      </c>
      <c r="D8" s="1">
        <v>150</v>
      </c>
      <c r="E8" s="27">
        <v>35</v>
      </c>
      <c r="F8" s="34" t="s">
        <v>185</v>
      </c>
      <c r="G8" s="1">
        <f>D8*E8</f>
        <v>5250</v>
      </c>
      <c r="H8" s="1"/>
    </row>
    <row r="9" spans="1:8" x14ac:dyDescent="0.25">
      <c r="A9" s="63"/>
      <c r="B9" s="1" t="s">
        <v>120</v>
      </c>
      <c r="C9" s="1" t="s">
        <v>121</v>
      </c>
      <c r="D9" s="1">
        <v>23.46</v>
      </c>
      <c r="E9" s="1">
        <v>5</v>
      </c>
      <c r="F9" s="31" t="s">
        <v>185</v>
      </c>
      <c r="G9" s="22">
        <f t="shared" ref="G9" si="0">D9*E9</f>
        <v>117.30000000000001</v>
      </c>
      <c r="H9" s="1"/>
    </row>
    <row r="10" spans="1:8" x14ac:dyDescent="0.25">
      <c r="A10" s="63"/>
      <c r="B10" s="1"/>
      <c r="C10" s="1"/>
      <c r="D10" s="1"/>
      <c r="E10" s="1"/>
      <c r="F10" s="31"/>
      <c r="G10" s="1"/>
      <c r="H10" s="1"/>
    </row>
    <row r="11" spans="1:8" x14ac:dyDescent="0.25">
      <c r="A11" s="1" t="s">
        <v>9</v>
      </c>
      <c r="B11" s="57" t="s">
        <v>7</v>
      </c>
      <c r="C11" s="58"/>
      <c r="D11" s="59"/>
      <c r="E11" s="3"/>
      <c r="F11" s="3"/>
      <c r="G11" s="14">
        <f>SUM(G8:G10)</f>
        <v>5367.3</v>
      </c>
      <c r="H11" s="1"/>
    </row>
    <row r="12" spans="1:8" x14ac:dyDescent="0.25">
      <c r="A12" s="63" t="s">
        <v>69</v>
      </c>
      <c r="B12" s="1" t="s">
        <v>1</v>
      </c>
      <c r="C12" s="1" t="s">
        <v>2</v>
      </c>
      <c r="D12" s="1" t="s">
        <v>3</v>
      </c>
      <c r="E12" s="1" t="s">
        <v>4</v>
      </c>
      <c r="F12" s="1"/>
      <c r="G12" s="1" t="s">
        <v>5</v>
      </c>
      <c r="H12" s="1" t="s">
        <v>6</v>
      </c>
    </row>
    <row r="13" spans="1:8" x14ac:dyDescent="0.25">
      <c r="A13" s="63"/>
      <c r="B13" s="1" t="s">
        <v>122</v>
      </c>
      <c r="C13" s="1" t="s">
        <v>123</v>
      </c>
      <c r="D13" s="1">
        <v>118</v>
      </c>
      <c r="E13" s="1">
        <v>14</v>
      </c>
      <c r="F13" s="31" t="s">
        <v>184</v>
      </c>
      <c r="G13" s="1">
        <f>D13*E13</f>
        <v>1652</v>
      </c>
      <c r="H13" s="1"/>
    </row>
    <row r="14" spans="1:8" x14ac:dyDescent="0.25">
      <c r="A14" s="63"/>
      <c r="B14" s="1" t="s">
        <v>124</v>
      </c>
      <c r="C14" s="1" t="s">
        <v>125</v>
      </c>
      <c r="D14" s="1">
        <v>45</v>
      </c>
      <c r="E14" s="20">
        <v>45</v>
      </c>
      <c r="F14" s="45" t="s">
        <v>196</v>
      </c>
      <c r="G14" s="54">
        <f>D14*E14</f>
        <v>2025</v>
      </c>
      <c r="H14" s="1"/>
    </row>
    <row r="15" spans="1:8" x14ac:dyDescent="0.25">
      <c r="A15" s="63"/>
      <c r="B15" s="1"/>
      <c r="C15" s="1"/>
      <c r="D15" s="1"/>
      <c r="E15" s="1"/>
      <c r="F15" s="36"/>
      <c r="G15" s="45"/>
      <c r="H15" s="1"/>
    </row>
    <row r="16" spans="1:8" x14ac:dyDescent="0.25">
      <c r="A16" s="63"/>
      <c r="B16" s="1"/>
      <c r="C16" s="1"/>
      <c r="D16" s="1"/>
      <c r="E16" s="3"/>
      <c r="F16" s="3"/>
      <c r="G16" s="45"/>
      <c r="H16" s="1"/>
    </row>
    <row r="17" spans="1:8" x14ac:dyDescent="0.25">
      <c r="A17" s="5" t="s">
        <v>10</v>
      </c>
      <c r="B17" s="57" t="s">
        <v>7</v>
      </c>
      <c r="C17" s="58"/>
      <c r="D17" s="59"/>
      <c r="E17" s="3"/>
      <c r="F17" s="3"/>
      <c r="G17" s="16">
        <f>SUM(G13:G16)</f>
        <v>3677</v>
      </c>
      <c r="H17" s="1"/>
    </row>
    <row r="18" spans="1:8" x14ac:dyDescent="0.25">
      <c r="A18" s="63"/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63"/>
      <c r="B19" s="1" t="s">
        <v>133</v>
      </c>
      <c r="C19" s="1"/>
      <c r="D19" s="1">
        <v>132</v>
      </c>
      <c r="E19" s="1">
        <v>4</v>
      </c>
      <c r="F19" s="34" t="s">
        <v>184</v>
      </c>
      <c r="G19" s="1">
        <f>D19*E19</f>
        <v>528</v>
      </c>
      <c r="H19" s="1" t="s">
        <v>141</v>
      </c>
    </row>
    <row r="20" spans="1:8" x14ac:dyDescent="0.25">
      <c r="A20" s="63"/>
      <c r="B20" s="1" t="s">
        <v>134</v>
      </c>
      <c r="C20" s="1"/>
      <c r="D20" s="1">
        <v>13.68</v>
      </c>
      <c r="E20" s="1">
        <v>0.5</v>
      </c>
      <c r="F20" s="36" t="s">
        <v>185</v>
      </c>
      <c r="G20" s="54">
        <f t="shared" ref="G20:G26" si="1">D20*E20</f>
        <v>6.84</v>
      </c>
      <c r="H20" s="36"/>
    </row>
    <row r="21" spans="1:8" x14ac:dyDescent="0.25">
      <c r="A21" s="63"/>
      <c r="B21" s="1" t="s">
        <v>135</v>
      </c>
      <c r="C21" s="1"/>
      <c r="D21" s="1">
        <v>60</v>
      </c>
      <c r="E21" s="54">
        <v>0.5</v>
      </c>
      <c r="F21" s="54" t="s">
        <v>185</v>
      </c>
      <c r="G21" s="54">
        <f t="shared" si="1"/>
        <v>30</v>
      </c>
      <c r="H21" s="36"/>
    </row>
    <row r="22" spans="1:8" x14ac:dyDescent="0.25">
      <c r="A22" s="63"/>
      <c r="B22" s="1" t="s">
        <v>136</v>
      </c>
      <c r="C22" s="1"/>
      <c r="D22" s="1">
        <v>90</v>
      </c>
      <c r="E22" s="1">
        <v>0.67</v>
      </c>
      <c r="F22" s="36" t="s">
        <v>185</v>
      </c>
      <c r="G22" s="54">
        <f t="shared" si="1"/>
        <v>60.300000000000004</v>
      </c>
      <c r="H22" s="36"/>
    </row>
    <row r="23" spans="1:8" x14ac:dyDescent="0.25">
      <c r="A23" s="63"/>
      <c r="B23" s="22" t="s">
        <v>137</v>
      </c>
      <c r="C23" s="22"/>
      <c r="D23" s="54">
        <v>90</v>
      </c>
      <c r="E23" s="54">
        <v>0.84</v>
      </c>
      <c r="F23" s="54" t="s">
        <v>185</v>
      </c>
      <c r="G23" s="54">
        <f t="shared" si="1"/>
        <v>75.599999999999994</v>
      </c>
      <c r="H23" s="22"/>
    </row>
    <row r="24" spans="1:8" x14ac:dyDescent="0.25">
      <c r="A24" s="63"/>
      <c r="B24" s="53" t="s">
        <v>138</v>
      </c>
      <c r="C24" s="53"/>
      <c r="D24" s="53">
        <v>125</v>
      </c>
      <c r="E24" s="53">
        <v>5</v>
      </c>
      <c r="F24" s="52" t="s">
        <v>185</v>
      </c>
      <c r="G24" s="54">
        <f t="shared" si="1"/>
        <v>625</v>
      </c>
      <c r="H24" s="53"/>
    </row>
    <row r="25" spans="1:8" x14ac:dyDescent="0.25">
      <c r="A25" s="63"/>
      <c r="B25" s="45" t="s">
        <v>207</v>
      </c>
      <c r="C25" s="45"/>
      <c r="D25" s="45">
        <v>27</v>
      </c>
      <c r="E25" s="45">
        <v>2</v>
      </c>
      <c r="F25" s="45" t="s">
        <v>185</v>
      </c>
      <c r="G25" s="2">
        <f>D25*E25</f>
        <v>54</v>
      </c>
      <c r="H25" s="53"/>
    </row>
    <row r="26" spans="1:8" x14ac:dyDescent="0.25">
      <c r="A26" s="63"/>
      <c r="B26" s="22" t="s">
        <v>139</v>
      </c>
      <c r="C26" s="22"/>
      <c r="D26" s="22">
        <v>60</v>
      </c>
      <c r="E26" s="22">
        <v>1</v>
      </c>
      <c r="F26" s="23" t="s">
        <v>187</v>
      </c>
      <c r="G26" s="54">
        <f t="shared" si="1"/>
        <v>60</v>
      </c>
      <c r="H26" s="22" t="s">
        <v>140</v>
      </c>
    </row>
    <row r="27" spans="1:8" x14ac:dyDescent="0.25">
      <c r="A27" s="1" t="s">
        <v>11</v>
      </c>
      <c r="B27" s="57" t="s">
        <v>7</v>
      </c>
      <c r="C27" s="58"/>
      <c r="D27" s="59"/>
      <c r="E27" s="3"/>
      <c r="F27" s="3"/>
      <c r="G27" s="14">
        <f>SUM(G19:G26)</f>
        <v>1439.74</v>
      </c>
      <c r="H27" s="1"/>
    </row>
    <row r="28" spans="1:8" x14ac:dyDescent="0.25">
      <c r="A28" s="63" t="s">
        <v>72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63"/>
      <c r="B29" s="34" t="s">
        <v>126</v>
      </c>
      <c r="C29" s="34" t="s">
        <v>130</v>
      </c>
      <c r="D29" s="34">
        <v>84</v>
      </c>
      <c r="E29" s="34">
        <v>8</v>
      </c>
      <c r="F29" s="36" t="s">
        <v>184</v>
      </c>
      <c r="G29" s="36">
        <f>D29*E29</f>
        <v>672</v>
      </c>
      <c r="H29" s="34"/>
    </row>
    <row r="30" spans="1:8" x14ac:dyDescent="0.25">
      <c r="A30" s="63"/>
      <c r="B30" s="34" t="s">
        <v>127</v>
      </c>
      <c r="C30" s="34" t="s">
        <v>131</v>
      </c>
      <c r="D30" s="34">
        <v>187</v>
      </c>
      <c r="E30" s="34">
        <v>1</v>
      </c>
      <c r="F30" s="34" t="s">
        <v>184</v>
      </c>
      <c r="G30" s="54">
        <f t="shared" ref="G30:G33" si="2">D30*E30</f>
        <v>187</v>
      </c>
      <c r="H30" s="34"/>
    </row>
    <row r="31" spans="1:8" x14ac:dyDescent="0.25">
      <c r="A31" s="63"/>
      <c r="B31" s="1" t="s">
        <v>128</v>
      </c>
      <c r="C31" s="1" t="s">
        <v>132</v>
      </c>
      <c r="D31" s="1">
        <v>275</v>
      </c>
      <c r="E31" s="1">
        <v>2</v>
      </c>
      <c r="F31" s="12" t="s">
        <v>197</v>
      </c>
      <c r="G31" s="54">
        <f t="shared" si="2"/>
        <v>550</v>
      </c>
      <c r="H31" s="1"/>
    </row>
    <row r="32" spans="1:8" x14ac:dyDescent="0.25">
      <c r="A32" s="63"/>
      <c r="B32" s="1" t="s">
        <v>129</v>
      </c>
      <c r="C32" s="1" t="s">
        <v>132</v>
      </c>
      <c r="D32" s="1">
        <v>270</v>
      </c>
      <c r="E32" s="1">
        <v>2</v>
      </c>
      <c r="F32" s="1" t="s">
        <v>186</v>
      </c>
      <c r="G32" s="54">
        <f t="shared" si="2"/>
        <v>540</v>
      </c>
      <c r="H32" s="1"/>
    </row>
    <row r="33" spans="1:8" x14ac:dyDescent="0.25">
      <c r="A33" s="63"/>
      <c r="B33" s="1"/>
      <c r="C33" s="1"/>
      <c r="D33" s="1"/>
      <c r="E33" s="1"/>
      <c r="F33" s="1"/>
      <c r="G33" s="54">
        <f t="shared" si="2"/>
        <v>0</v>
      </c>
      <c r="H33" s="1"/>
    </row>
    <row r="34" spans="1:8" x14ac:dyDescent="0.25">
      <c r="A34" s="1" t="s">
        <v>12</v>
      </c>
      <c r="B34" s="57" t="s">
        <v>15</v>
      </c>
      <c r="C34" s="58"/>
      <c r="D34" s="59"/>
      <c r="E34" s="3"/>
      <c r="F34" s="3"/>
      <c r="G34" s="14">
        <f>SUM(G29:G33)</f>
        <v>1949</v>
      </c>
      <c r="H34" s="1"/>
    </row>
    <row r="35" spans="1:8" x14ac:dyDescent="0.25">
      <c r="A35" s="64"/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65"/>
      <c r="B36" s="1" t="s">
        <v>198</v>
      </c>
      <c r="C36" s="1"/>
      <c r="D36" s="1">
        <v>8.16</v>
      </c>
      <c r="E36" s="1">
        <v>65</v>
      </c>
      <c r="F36" s="1" t="s">
        <v>185</v>
      </c>
      <c r="G36" s="2">
        <f>D36*E36</f>
        <v>530.4</v>
      </c>
      <c r="H36" s="1"/>
    </row>
    <row r="37" spans="1:8" x14ac:dyDescent="0.25">
      <c r="A37" s="66"/>
      <c r="B37" s="1" t="s">
        <v>213</v>
      </c>
      <c r="C37" s="1"/>
      <c r="D37" s="1">
        <v>51.84</v>
      </c>
      <c r="E37" s="46">
        <v>75</v>
      </c>
      <c r="F37" s="46" t="s">
        <v>214</v>
      </c>
      <c r="G37" s="2">
        <f>D37*E37</f>
        <v>3888.0000000000005</v>
      </c>
      <c r="H37" s="1"/>
    </row>
    <row r="38" spans="1:8" x14ac:dyDescent="0.25">
      <c r="A38" s="7" t="s">
        <v>13</v>
      </c>
      <c r="B38" s="57" t="s">
        <v>7</v>
      </c>
      <c r="C38" s="58"/>
      <c r="D38" s="59"/>
      <c r="E38" s="3"/>
      <c r="F38" s="3"/>
      <c r="G38" s="14">
        <f>SUM(G36:G37)</f>
        <v>4418.4000000000005</v>
      </c>
      <c r="H38" s="6"/>
    </row>
    <row r="39" spans="1:8" x14ac:dyDescent="0.25">
      <c r="A39" s="86"/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87"/>
      <c r="B40" s="1" t="s">
        <v>188</v>
      </c>
      <c r="C40" s="1"/>
      <c r="D40" s="1">
        <v>235</v>
      </c>
      <c r="E40" s="1">
        <v>2</v>
      </c>
      <c r="F40" s="12" t="s">
        <v>189</v>
      </c>
      <c r="G40" s="2">
        <f>D40*E40</f>
        <v>470</v>
      </c>
      <c r="H40" s="1"/>
    </row>
    <row r="41" spans="1:8" x14ac:dyDescent="0.25">
      <c r="A41" s="87"/>
      <c r="B41" s="1" t="s">
        <v>190</v>
      </c>
      <c r="C41" s="1"/>
      <c r="D41" s="1">
        <v>480</v>
      </c>
      <c r="E41" s="1">
        <v>1</v>
      </c>
      <c r="F41" s="12" t="s">
        <v>191</v>
      </c>
      <c r="G41" s="2">
        <f t="shared" ref="G41:G51" si="3">D41*E41</f>
        <v>480</v>
      </c>
      <c r="H41" s="1"/>
    </row>
    <row r="42" spans="1:8" x14ac:dyDescent="0.25">
      <c r="A42" s="87"/>
      <c r="B42" s="1" t="s">
        <v>192</v>
      </c>
      <c r="C42" s="1"/>
      <c r="D42" s="1">
        <v>120</v>
      </c>
      <c r="E42" s="1">
        <v>1</v>
      </c>
      <c r="F42" s="12" t="s">
        <v>189</v>
      </c>
      <c r="G42" s="2">
        <f t="shared" si="3"/>
        <v>120</v>
      </c>
      <c r="H42" s="1"/>
    </row>
    <row r="43" spans="1:8" x14ac:dyDescent="0.25">
      <c r="A43" s="87"/>
      <c r="B43" s="54" t="s">
        <v>129</v>
      </c>
      <c r="C43" s="54"/>
      <c r="D43" s="54">
        <v>270</v>
      </c>
      <c r="E43" s="54">
        <v>3</v>
      </c>
      <c r="F43" s="54" t="s">
        <v>186</v>
      </c>
      <c r="G43" s="2">
        <f t="shared" si="3"/>
        <v>810</v>
      </c>
      <c r="H43" s="1"/>
    </row>
    <row r="44" spans="1:8" x14ac:dyDescent="0.25">
      <c r="A44" s="87"/>
      <c r="B44" s="12" t="s">
        <v>193</v>
      </c>
      <c r="C44" s="12"/>
      <c r="D44" s="13">
        <v>285</v>
      </c>
      <c r="E44" s="45">
        <v>1</v>
      </c>
      <c r="F44" s="45" t="s">
        <v>187</v>
      </c>
      <c r="G44" s="2">
        <f t="shared" si="3"/>
        <v>285</v>
      </c>
      <c r="H44" s="12"/>
    </row>
    <row r="45" spans="1:8" x14ac:dyDescent="0.25">
      <c r="A45" s="87"/>
      <c r="B45" s="45" t="s">
        <v>199</v>
      </c>
      <c r="C45" s="45"/>
      <c r="D45" s="45">
        <v>52.8</v>
      </c>
      <c r="E45" s="47"/>
      <c r="F45" s="45" t="s">
        <v>185</v>
      </c>
      <c r="G45" s="55">
        <f t="shared" si="3"/>
        <v>0</v>
      </c>
      <c r="H45" s="45"/>
    </row>
    <row r="46" spans="1:8" x14ac:dyDescent="0.25">
      <c r="A46" s="87"/>
      <c r="B46" s="45" t="s">
        <v>200</v>
      </c>
      <c r="C46" s="45"/>
      <c r="D46" s="45">
        <v>37</v>
      </c>
      <c r="E46" s="45">
        <v>20</v>
      </c>
      <c r="F46" s="45" t="s">
        <v>186</v>
      </c>
      <c r="G46" s="2">
        <f t="shared" si="3"/>
        <v>740</v>
      </c>
      <c r="H46" s="45"/>
    </row>
    <row r="47" spans="1:8" x14ac:dyDescent="0.25">
      <c r="A47" s="87"/>
      <c r="B47" s="45" t="s">
        <v>201</v>
      </c>
      <c r="C47" s="45"/>
      <c r="D47" s="45">
        <v>255</v>
      </c>
      <c r="E47" s="45">
        <v>2</v>
      </c>
      <c r="F47" s="45" t="s">
        <v>191</v>
      </c>
      <c r="G47" s="2">
        <f t="shared" si="3"/>
        <v>510</v>
      </c>
      <c r="H47" s="45"/>
    </row>
    <row r="48" spans="1:8" x14ac:dyDescent="0.25">
      <c r="A48" s="87"/>
      <c r="B48" s="45" t="s">
        <v>202</v>
      </c>
      <c r="C48" s="45"/>
      <c r="D48" s="45">
        <v>32</v>
      </c>
      <c r="E48" s="45">
        <v>100</v>
      </c>
      <c r="F48" s="45" t="s">
        <v>185</v>
      </c>
      <c r="G48" s="2">
        <f t="shared" si="3"/>
        <v>3200</v>
      </c>
      <c r="H48" s="45"/>
    </row>
    <row r="49" spans="1:8" x14ac:dyDescent="0.25">
      <c r="A49" s="87"/>
      <c r="B49" s="45" t="s">
        <v>203</v>
      </c>
      <c r="C49" s="45"/>
      <c r="D49" s="45">
        <v>105.6</v>
      </c>
      <c r="E49" s="45">
        <v>50</v>
      </c>
      <c r="F49" s="45" t="s">
        <v>185</v>
      </c>
      <c r="G49" s="2">
        <f t="shared" si="3"/>
        <v>5280</v>
      </c>
      <c r="H49" s="45"/>
    </row>
    <row r="50" spans="1:8" x14ac:dyDescent="0.25">
      <c r="A50" s="87"/>
      <c r="B50" s="45" t="s">
        <v>204</v>
      </c>
      <c r="C50" s="45"/>
      <c r="D50" s="45">
        <v>125</v>
      </c>
      <c r="E50" s="45">
        <v>12</v>
      </c>
      <c r="F50" s="45" t="s">
        <v>184</v>
      </c>
      <c r="G50" s="2">
        <f t="shared" si="3"/>
        <v>1500</v>
      </c>
      <c r="H50" s="45"/>
    </row>
    <row r="51" spans="1:8" x14ac:dyDescent="0.25">
      <c r="A51" s="87"/>
      <c r="B51" s="54" t="s">
        <v>205</v>
      </c>
      <c r="C51" s="54"/>
      <c r="D51" s="54">
        <v>187</v>
      </c>
      <c r="E51" s="54">
        <v>1</v>
      </c>
      <c r="F51" s="54" t="s">
        <v>206</v>
      </c>
      <c r="G51" s="2">
        <f t="shared" si="3"/>
        <v>187</v>
      </c>
      <c r="H51" s="45"/>
    </row>
    <row r="52" spans="1:8" x14ac:dyDescent="0.25">
      <c r="A52" s="87"/>
      <c r="B52" s="57" t="s">
        <v>7</v>
      </c>
      <c r="C52" s="58"/>
      <c r="D52" s="59"/>
      <c r="E52" s="3"/>
      <c r="F52" s="3"/>
      <c r="G52" s="14">
        <f>SUM(G40:G51)</f>
        <v>13582</v>
      </c>
      <c r="H52" s="1"/>
    </row>
    <row r="53" spans="1:8" ht="17.25" thickBot="1" x14ac:dyDescent="0.3">
      <c r="A53" s="88"/>
      <c r="B53" s="67" t="s">
        <v>14</v>
      </c>
      <c r="C53" s="68"/>
      <c r="D53" s="69"/>
      <c r="E53" s="8"/>
      <c r="F53" s="8"/>
      <c r="G53" s="9">
        <f>G52+G38+G34+G17+G11+G6+G27</f>
        <v>44733.439999999995</v>
      </c>
      <c r="H53" s="1"/>
    </row>
    <row r="54" spans="1:8" x14ac:dyDescent="0.25">
      <c r="A54" s="74" t="s">
        <v>42</v>
      </c>
      <c r="B54" s="77" t="s">
        <v>43</v>
      </c>
      <c r="C54" s="77"/>
      <c r="D54" s="77"/>
      <c r="E54" s="78" t="s">
        <v>44</v>
      </c>
      <c r="F54" s="79"/>
      <c r="G54" s="80"/>
      <c r="H54" s="42" t="s">
        <v>45</v>
      </c>
    </row>
    <row r="55" spans="1:8" x14ac:dyDescent="0.25">
      <c r="A55" s="75"/>
      <c r="B55" s="81" t="s">
        <v>217</v>
      </c>
      <c r="C55" s="82"/>
      <c r="D55" s="82"/>
      <c r="E55" s="43" t="s">
        <v>46</v>
      </c>
      <c r="F55" s="84"/>
      <c r="G55" s="85"/>
      <c r="H55" s="70" t="s">
        <v>210</v>
      </c>
    </row>
    <row r="56" spans="1:8" ht="17.25" thickBot="1" x14ac:dyDescent="0.3">
      <c r="A56" s="76"/>
      <c r="B56" s="83"/>
      <c r="C56" s="83"/>
      <c r="D56" s="83"/>
      <c r="E56" s="44" t="s">
        <v>47</v>
      </c>
      <c r="F56" s="72" t="s">
        <v>218</v>
      </c>
      <c r="G56" s="73"/>
      <c r="H56" s="71"/>
    </row>
  </sheetData>
  <mergeCells count="23">
    <mergeCell ref="H55:H56"/>
    <mergeCell ref="F56:G56"/>
    <mergeCell ref="A54:A56"/>
    <mergeCell ref="B54:D54"/>
    <mergeCell ref="E54:G54"/>
    <mergeCell ref="B55:D56"/>
    <mergeCell ref="F55:G55"/>
    <mergeCell ref="B52:D52"/>
    <mergeCell ref="B53:D53"/>
    <mergeCell ref="A18:A26"/>
    <mergeCell ref="B27:D27"/>
    <mergeCell ref="A28:A33"/>
    <mergeCell ref="B34:D34"/>
    <mergeCell ref="A35:A37"/>
    <mergeCell ref="B38:D38"/>
    <mergeCell ref="A39:A53"/>
    <mergeCell ref="A12:A16"/>
    <mergeCell ref="B17:D17"/>
    <mergeCell ref="A1:H1"/>
    <mergeCell ref="A3:A6"/>
    <mergeCell ref="B6:D6"/>
    <mergeCell ref="A8:A10"/>
    <mergeCell ref="B11:D11"/>
  </mergeCells>
  <phoneticPr fontId="2" type="noConversion"/>
  <pageMargins left="0.7" right="0.7" top="0.75" bottom="0.75" header="0.3" footer="0.3"/>
  <pageSetup paperSize="9" scale="83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30" workbookViewId="0">
      <selection activeCell="H47" sqref="H47: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0" t="s">
        <v>58</v>
      </c>
      <c r="B1" s="61"/>
      <c r="C1" s="61"/>
      <c r="D1" s="61"/>
      <c r="E1" s="61"/>
      <c r="F1" s="61"/>
      <c r="G1" s="61"/>
      <c r="H1" s="6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3" t="s">
        <v>118</v>
      </c>
      <c r="B3" s="1" t="s">
        <v>142</v>
      </c>
      <c r="C3" s="1" t="s">
        <v>150</v>
      </c>
      <c r="D3" s="1">
        <v>117</v>
      </c>
      <c r="E3" s="56">
        <v>45</v>
      </c>
      <c r="F3" s="46" t="s">
        <v>214</v>
      </c>
      <c r="G3" s="2">
        <f>D3*E3</f>
        <v>5265</v>
      </c>
      <c r="H3" s="1"/>
    </row>
    <row r="4" spans="1:8" x14ac:dyDescent="0.25">
      <c r="A4" s="63"/>
      <c r="B4" s="1" t="s">
        <v>143</v>
      </c>
      <c r="C4" s="1" t="s">
        <v>151</v>
      </c>
      <c r="D4" s="1">
        <v>165</v>
      </c>
      <c r="E4" s="1">
        <v>8</v>
      </c>
      <c r="F4" s="34" t="s">
        <v>214</v>
      </c>
      <c r="G4" s="2">
        <f t="shared" ref="G4:G5" si="0">D4*E4</f>
        <v>1320</v>
      </c>
      <c r="H4" s="1"/>
    </row>
    <row r="5" spans="1:8" x14ac:dyDescent="0.25">
      <c r="A5" s="63"/>
      <c r="B5" s="1" t="s">
        <v>144</v>
      </c>
      <c r="C5" s="1" t="s">
        <v>152</v>
      </c>
      <c r="D5" s="1">
        <v>180</v>
      </c>
      <c r="E5" s="1">
        <v>1</v>
      </c>
      <c r="F5" s="34" t="s">
        <v>215</v>
      </c>
      <c r="G5" s="2">
        <f t="shared" si="0"/>
        <v>180</v>
      </c>
      <c r="H5" s="1"/>
    </row>
    <row r="6" spans="1:8" x14ac:dyDescent="0.25">
      <c r="A6" s="63"/>
      <c r="B6" s="36"/>
      <c r="C6" s="34"/>
      <c r="D6" s="34"/>
      <c r="E6" s="33"/>
      <c r="F6" s="33"/>
      <c r="G6" s="33"/>
      <c r="H6" s="34"/>
    </row>
    <row r="7" spans="1:8" x14ac:dyDescent="0.25">
      <c r="A7" s="63"/>
      <c r="B7" s="20"/>
      <c r="C7" s="1"/>
      <c r="D7" s="1"/>
      <c r="E7" s="3"/>
      <c r="F7" s="33"/>
      <c r="G7" s="3"/>
      <c r="H7" s="1"/>
    </row>
    <row r="8" spans="1:8" x14ac:dyDescent="0.25">
      <c r="A8" s="63"/>
      <c r="B8" s="57" t="s">
        <v>7</v>
      </c>
      <c r="C8" s="58"/>
      <c r="D8" s="59"/>
      <c r="E8" s="3"/>
      <c r="F8" s="3"/>
      <c r="G8" s="14">
        <f>SUM(G3:G7)</f>
        <v>6765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63" t="s">
        <v>73</v>
      </c>
      <c r="B10" s="18" t="s">
        <v>145</v>
      </c>
      <c r="C10" s="1" t="s">
        <v>151</v>
      </c>
      <c r="D10" s="1">
        <v>67.5</v>
      </c>
      <c r="E10" s="1">
        <v>8</v>
      </c>
      <c r="F10" s="36" t="s">
        <v>214</v>
      </c>
      <c r="G10" s="2">
        <f>D10*E10</f>
        <v>540</v>
      </c>
      <c r="H10" s="1"/>
    </row>
    <row r="11" spans="1:8" x14ac:dyDescent="0.25">
      <c r="A11" s="63"/>
      <c r="B11" s="1" t="s">
        <v>135</v>
      </c>
      <c r="C11" s="1" t="s">
        <v>121</v>
      </c>
      <c r="D11" s="1">
        <v>60</v>
      </c>
      <c r="E11" s="1">
        <v>5</v>
      </c>
      <c r="F11" s="56" t="s">
        <v>214</v>
      </c>
      <c r="G11" s="2">
        <f t="shared" ref="G11:G13" si="1">D11*E11</f>
        <v>300</v>
      </c>
      <c r="H11" s="1"/>
    </row>
    <row r="12" spans="1:8" x14ac:dyDescent="0.25">
      <c r="A12" s="63"/>
      <c r="B12" s="1" t="s">
        <v>134</v>
      </c>
      <c r="C12" s="1" t="s">
        <v>153</v>
      </c>
      <c r="D12" s="1">
        <v>12.54</v>
      </c>
      <c r="E12" s="1">
        <v>12</v>
      </c>
      <c r="F12" s="56" t="s">
        <v>214</v>
      </c>
      <c r="G12" s="2">
        <f t="shared" si="1"/>
        <v>150.47999999999999</v>
      </c>
      <c r="H12" s="1"/>
    </row>
    <row r="13" spans="1:8" x14ac:dyDescent="0.25">
      <c r="A13" s="63"/>
      <c r="B13" s="1" t="s">
        <v>146</v>
      </c>
      <c r="C13" s="1" t="s">
        <v>154</v>
      </c>
      <c r="D13" s="1">
        <v>52.8</v>
      </c>
      <c r="E13" s="1">
        <v>20</v>
      </c>
      <c r="F13" s="56" t="s">
        <v>214</v>
      </c>
      <c r="G13" s="2">
        <f t="shared" si="1"/>
        <v>1056</v>
      </c>
      <c r="H13" s="1"/>
    </row>
    <row r="14" spans="1:8" x14ac:dyDescent="0.25">
      <c r="A14" s="63"/>
      <c r="B14" s="1"/>
      <c r="C14" s="1"/>
      <c r="D14" s="1"/>
      <c r="E14" s="1"/>
      <c r="F14" s="1"/>
      <c r="G14" s="1"/>
      <c r="H14" s="1"/>
    </row>
    <row r="15" spans="1:8" x14ac:dyDescent="0.25">
      <c r="A15" s="63"/>
      <c r="B15" s="57" t="s">
        <v>7</v>
      </c>
      <c r="C15" s="58"/>
      <c r="D15" s="59"/>
      <c r="E15" s="3"/>
      <c r="F15" s="3"/>
      <c r="G15" s="14">
        <f>SUM(G10:G14)</f>
        <v>2046.48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63" t="s">
        <v>74</v>
      </c>
      <c r="B17" s="1" t="s">
        <v>142</v>
      </c>
      <c r="C17" s="1" t="s">
        <v>155</v>
      </c>
      <c r="D17" s="1">
        <v>117</v>
      </c>
      <c r="E17" s="1">
        <v>10</v>
      </c>
      <c r="F17" s="56" t="s">
        <v>214</v>
      </c>
      <c r="G17" s="2">
        <f>D17*E17</f>
        <v>1170</v>
      </c>
      <c r="H17" s="1"/>
    </row>
    <row r="18" spans="1:8" x14ac:dyDescent="0.25">
      <c r="A18" s="63"/>
      <c r="B18" s="1" t="s">
        <v>147</v>
      </c>
      <c r="C18" s="1" t="s">
        <v>156</v>
      </c>
      <c r="D18" s="1">
        <v>25.2</v>
      </c>
      <c r="E18" s="1">
        <v>50</v>
      </c>
      <c r="F18" s="56" t="s">
        <v>214</v>
      </c>
      <c r="G18" s="2">
        <f t="shared" ref="G18:G19" si="2">D18*E18</f>
        <v>1260</v>
      </c>
      <c r="H18" s="1"/>
    </row>
    <row r="19" spans="1:8" x14ac:dyDescent="0.25">
      <c r="A19" s="63"/>
      <c r="B19" s="1" t="s">
        <v>120</v>
      </c>
      <c r="C19" s="1" t="s">
        <v>157</v>
      </c>
      <c r="D19" s="1">
        <v>23.46</v>
      </c>
      <c r="E19" s="1">
        <v>4</v>
      </c>
      <c r="F19" s="56" t="s">
        <v>214</v>
      </c>
      <c r="G19" s="2">
        <f t="shared" si="2"/>
        <v>93.84</v>
      </c>
      <c r="H19" s="1"/>
    </row>
    <row r="20" spans="1:8" x14ac:dyDescent="0.25">
      <c r="A20" s="63"/>
      <c r="B20" s="25"/>
      <c r="C20" s="25"/>
      <c r="D20" s="25"/>
      <c r="E20" s="25"/>
      <c r="F20" s="56"/>
      <c r="G20" s="2"/>
      <c r="H20" s="1"/>
    </row>
    <row r="21" spans="1:8" x14ac:dyDescent="0.25">
      <c r="A21" s="63"/>
      <c r="B21" s="57" t="s">
        <v>7</v>
      </c>
      <c r="C21" s="58"/>
      <c r="D21" s="59"/>
      <c r="E21" s="3"/>
      <c r="F21" s="3"/>
      <c r="G21" s="14">
        <f>SUM(G17:G20)</f>
        <v>2523.84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63"/>
      <c r="B23" s="1" t="s">
        <v>158</v>
      </c>
      <c r="C23" s="1" t="s">
        <v>160</v>
      </c>
      <c r="D23" s="1">
        <v>22.8</v>
      </c>
      <c r="E23" s="1">
        <v>3</v>
      </c>
      <c r="F23" s="34" t="s">
        <v>214</v>
      </c>
      <c r="G23" s="2">
        <f>D23*E23</f>
        <v>68.400000000000006</v>
      </c>
      <c r="H23" s="1" t="s">
        <v>141</v>
      </c>
    </row>
    <row r="24" spans="1:8" x14ac:dyDescent="0.25">
      <c r="A24" s="63"/>
      <c r="B24" s="1" t="s">
        <v>159</v>
      </c>
      <c r="C24" s="1" t="s">
        <v>161</v>
      </c>
      <c r="D24" s="1">
        <v>168</v>
      </c>
      <c r="E24" s="1">
        <v>8</v>
      </c>
      <c r="F24" s="31" t="s">
        <v>214</v>
      </c>
      <c r="G24" s="2">
        <f>D24*E24</f>
        <v>1344</v>
      </c>
      <c r="H24" s="1" t="s">
        <v>162</v>
      </c>
    </row>
    <row r="25" spans="1:8" x14ac:dyDescent="0.25">
      <c r="A25" s="63"/>
      <c r="B25" s="50"/>
      <c r="C25" s="50"/>
      <c r="D25" s="50"/>
      <c r="E25" s="50"/>
      <c r="F25" s="50"/>
      <c r="G25" s="2"/>
      <c r="H25" s="53"/>
    </row>
    <row r="26" spans="1:8" x14ac:dyDescent="0.25">
      <c r="A26" s="63"/>
      <c r="B26" s="31"/>
      <c r="C26" s="31"/>
      <c r="D26" s="31"/>
      <c r="E26" s="31"/>
      <c r="F26" s="31"/>
      <c r="G26" s="2"/>
      <c r="H26" s="53"/>
    </row>
    <row r="27" spans="1:8" x14ac:dyDescent="0.25">
      <c r="A27" s="63"/>
      <c r="B27" s="53"/>
      <c r="C27" s="53"/>
      <c r="D27" s="53"/>
      <c r="E27" s="53"/>
      <c r="F27" s="53"/>
      <c r="G27" s="2"/>
      <c r="H27" s="53"/>
    </row>
    <row r="28" spans="1:8" x14ac:dyDescent="0.25">
      <c r="A28" s="63"/>
      <c r="B28" s="1"/>
      <c r="C28" s="1"/>
      <c r="D28" s="1"/>
      <c r="E28" s="1"/>
      <c r="F28" s="31"/>
      <c r="G28" s="2"/>
      <c r="H28" s="1"/>
    </row>
    <row r="29" spans="1:8" x14ac:dyDescent="0.25">
      <c r="A29" s="63"/>
      <c r="B29" s="57" t="s">
        <v>7</v>
      </c>
      <c r="C29" s="58"/>
      <c r="D29" s="59"/>
      <c r="E29" s="3"/>
      <c r="F29" s="3"/>
      <c r="G29" s="14">
        <f>SUM(G23:G28)</f>
        <v>1412.4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63" t="s">
        <v>75</v>
      </c>
      <c r="B31" s="25" t="s">
        <v>148</v>
      </c>
      <c r="C31" s="25" t="s">
        <v>149</v>
      </c>
      <c r="D31" s="25">
        <v>141</v>
      </c>
      <c r="E31" s="25">
        <v>20</v>
      </c>
      <c r="F31" s="39" t="s">
        <v>214</v>
      </c>
      <c r="G31" s="2">
        <f>D31*E31</f>
        <v>2820</v>
      </c>
      <c r="H31" s="1"/>
    </row>
    <row r="32" spans="1:8" x14ac:dyDescent="0.25">
      <c r="A32" s="63"/>
      <c r="B32" s="1"/>
      <c r="C32" s="1"/>
      <c r="D32" s="1"/>
      <c r="E32" s="1"/>
      <c r="F32" s="34"/>
      <c r="G32" s="2"/>
      <c r="H32" s="1"/>
    </row>
    <row r="33" spans="1:8" x14ac:dyDescent="0.25">
      <c r="A33" s="63"/>
      <c r="B33" s="1"/>
      <c r="C33" s="1"/>
      <c r="D33" s="1"/>
      <c r="E33" s="1"/>
      <c r="F33" s="34"/>
      <c r="G33" s="1"/>
      <c r="H33" s="1"/>
    </row>
    <row r="34" spans="1:8" x14ac:dyDescent="0.25">
      <c r="A34" s="63"/>
      <c r="B34" s="57" t="s">
        <v>7</v>
      </c>
      <c r="C34" s="58"/>
      <c r="D34" s="59"/>
      <c r="E34" s="3"/>
      <c r="F34" s="3"/>
      <c r="G34" s="14">
        <f>SUM(G31:G33)</f>
        <v>2820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4" t="s">
        <v>5</v>
      </c>
      <c r="H35" s="1" t="s">
        <v>6</v>
      </c>
    </row>
    <row r="36" spans="1:8" x14ac:dyDescent="0.25">
      <c r="A36" s="64"/>
      <c r="B36" s="1" t="s">
        <v>216</v>
      </c>
      <c r="C36" s="1"/>
      <c r="D36" s="1">
        <v>20.7</v>
      </c>
      <c r="E36" s="1">
        <v>75</v>
      </c>
      <c r="F36" s="1" t="s">
        <v>214</v>
      </c>
      <c r="G36" s="2">
        <f>D36*E36</f>
        <v>1552.5</v>
      </c>
      <c r="H36" s="1"/>
    </row>
    <row r="37" spans="1:8" x14ac:dyDescent="0.25">
      <c r="A37" s="65"/>
      <c r="B37" s="1"/>
      <c r="C37" s="1"/>
      <c r="D37" s="1"/>
      <c r="E37" s="48"/>
      <c r="F37" s="48"/>
      <c r="G37" s="48"/>
      <c r="H37" s="1"/>
    </row>
    <row r="38" spans="1:8" x14ac:dyDescent="0.25">
      <c r="A38" s="66"/>
      <c r="B38" s="57" t="s">
        <v>7</v>
      </c>
      <c r="C38" s="58"/>
      <c r="D38" s="59"/>
      <c r="E38" s="3"/>
      <c r="F38" s="3"/>
      <c r="G38" s="14">
        <f>SUM(G36:G37)</f>
        <v>1552.5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63"/>
      <c r="B40" s="1"/>
      <c r="C40" s="1"/>
      <c r="D40" s="1"/>
      <c r="E40" s="1"/>
      <c r="F40" s="1"/>
      <c r="G40" s="1"/>
      <c r="H40" s="1"/>
    </row>
    <row r="41" spans="1:8" x14ac:dyDescent="0.25">
      <c r="A41" s="63"/>
      <c r="B41" s="1"/>
      <c r="C41" s="1"/>
      <c r="D41" s="1"/>
      <c r="E41" s="1"/>
      <c r="F41" s="1"/>
      <c r="G41" s="46"/>
      <c r="H41" s="1"/>
    </row>
    <row r="42" spans="1:8" x14ac:dyDescent="0.25">
      <c r="A42" s="63"/>
      <c r="B42" s="1"/>
      <c r="C42" s="1"/>
      <c r="D42" s="1"/>
      <c r="E42" s="1"/>
      <c r="F42" s="1"/>
      <c r="G42" s="46"/>
      <c r="H42" s="1"/>
    </row>
    <row r="43" spans="1:8" x14ac:dyDescent="0.25">
      <c r="A43" s="63"/>
      <c r="B43" s="1"/>
      <c r="C43" s="1"/>
      <c r="D43" s="1"/>
      <c r="E43" s="1"/>
      <c r="F43" s="1"/>
      <c r="G43" s="46"/>
      <c r="H43" s="1"/>
    </row>
    <row r="44" spans="1:8" x14ac:dyDescent="0.25">
      <c r="A44" s="63"/>
      <c r="B44" s="57" t="s">
        <v>7</v>
      </c>
      <c r="C44" s="58"/>
      <c r="D44" s="59"/>
      <c r="E44" s="3"/>
      <c r="F44" s="3"/>
      <c r="G44" s="16">
        <f>SUM(G40:G43)</f>
        <v>0</v>
      </c>
      <c r="H44" s="1"/>
    </row>
    <row r="45" spans="1:8" ht="17.25" thickBot="1" x14ac:dyDescent="0.3">
      <c r="A45" s="1"/>
      <c r="B45" s="67" t="s">
        <v>14</v>
      </c>
      <c r="C45" s="68"/>
      <c r="D45" s="69"/>
      <c r="E45" s="8"/>
      <c r="F45" s="8"/>
      <c r="G45" s="9">
        <f>G44+G38+G34+G21+G15+G8+G29</f>
        <v>17120.22</v>
      </c>
      <c r="H45" s="1"/>
    </row>
    <row r="46" spans="1:8" x14ac:dyDescent="0.25">
      <c r="A46" s="74" t="s">
        <v>42</v>
      </c>
      <c r="B46" s="77" t="s">
        <v>43</v>
      </c>
      <c r="C46" s="77"/>
      <c r="D46" s="77"/>
      <c r="E46" s="78" t="s">
        <v>44</v>
      </c>
      <c r="F46" s="79"/>
      <c r="G46" s="80"/>
      <c r="H46" s="42" t="s">
        <v>45</v>
      </c>
    </row>
    <row r="47" spans="1:8" x14ac:dyDescent="0.25">
      <c r="A47" s="75"/>
      <c r="B47" s="81"/>
      <c r="C47" s="82"/>
      <c r="D47" s="82"/>
      <c r="E47" s="43" t="s">
        <v>46</v>
      </c>
      <c r="F47" s="84"/>
      <c r="G47" s="85"/>
      <c r="H47" s="70" t="s">
        <v>51</v>
      </c>
    </row>
    <row r="48" spans="1:8" ht="17.25" thickBot="1" x14ac:dyDescent="0.3">
      <c r="A48" s="76"/>
      <c r="B48" s="83"/>
      <c r="C48" s="83"/>
      <c r="D48" s="83"/>
      <c r="E48" s="44" t="s">
        <v>47</v>
      </c>
      <c r="F48" s="72"/>
      <c r="G48" s="73"/>
      <c r="H48" s="71"/>
    </row>
  </sheetData>
  <mergeCells count="23">
    <mergeCell ref="H47:H48"/>
    <mergeCell ref="F48:G48"/>
    <mergeCell ref="A46:A48"/>
    <mergeCell ref="B46:D46"/>
    <mergeCell ref="E46:G46"/>
    <mergeCell ref="B47:D48"/>
    <mergeCell ref="F47:G47"/>
    <mergeCell ref="A40:A44"/>
    <mergeCell ref="B44:D44"/>
    <mergeCell ref="B45:D45"/>
    <mergeCell ref="A23:A29"/>
    <mergeCell ref="B29:D29"/>
    <mergeCell ref="A31:A34"/>
    <mergeCell ref="B34:D34"/>
    <mergeCell ref="A36:A38"/>
    <mergeCell ref="B38:D38"/>
    <mergeCell ref="A17:A21"/>
    <mergeCell ref="B21:D21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Views>
    <sheetView workbookViewId="0">
      <selection activeCell="H20" sqref="H2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0" t="s">
        <v>59</v>
      </c>
      <c r="B1" s="61"/>
      <c r="C1" s="61"/>
      <c r="D1" s="61"/>
      <c r="E1" s="61"/>
      <c r="F1" s="61"/>
      <c r="G1" s="61"/>
      <c r="H1" s="6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3" t="s">
        <v>76</v>
      </c>
      <c r="B3" s="1" t="s">
        <v>37</v>
      </c>
      <c r="C3" s="1" t="s">
        <v>163</v>
      </c>
      <c r="D3" s="1"/>
      <c r="E3" s="1"/>
      <c r="F3" s="34"/>
      <c r="G3" s="2"/>
      <c r="H3" s="1"/>
    </row>
    <row r="4" spans="1:8" x14ac:dyDescent="0.25">
      <c r="A4" s="63"/>
      <c r="B4" s="1"/>
      <c r="C4" s="1"/>
      <c r="D4" s="1"/>
      <c r="E4" s="3"/>
      <c r="F4" s="33"/>
      <c r="G4" s="3"/>
      <c r="H4" s="1"/>
    </row>
    <row r="5" spans="1:8" x14ac:dyDescent="0.25">
      <c r="A5" s="63"/>
      <c r="B5" s="57" t="s">
        <v>7</v>
      </c>
      <c r="C5" s="58"/>
      <c r="D5" s="59"/>
      <c r="E5" s="3"/>
      <c r="F5" s="3"/>
      <c r="G5" s="14">
        <f>SUM(G3:G4)</f>
        <v>0</v>
      </c>
      <c r="H5" s="1"/>
    </row>
    <row r="6" spans="1:8" x14ac:dyDescent="0.25">
      <c r="A6" s="1" t="s">
        <v>8</v>
      </c>
      <c r="B6" s="1" t="s">
        <v>1</v>
      </c>
      <c r="C6" s="1" t="s">
        <v>2</v>
      </c>
      <c r="D6" s="1" t="s">
        <v>3</v>
      </c>
      <c r="E6" s="1" t="s">
        <v>4</v>
      </c>
      <c r="F6" s="31"/>
      <c r="G6" s="1" t="s">
        <v>5</v>
      </c>
      <c r="H6" s="1" t="s">
        <v>6</v>
      </c>
    </row>
    <row r="7" spans="1:8" x14ac:dyDescent="0.25">
      <c r="A7" s="64" t="s">
        <v>77</v>
      </c>
      <c r="B7" s="25" t="s">
        <v>164</v>
      </c>
      <c r="C7" s="25" t="s">
        <v>150</v>
      </c>
      <c r="D7" s="25"/>
      <c r="E7" s="25"/>
      <c r="F7" s="34"/>
      <c r="G7" s="25"/>
      <c r="H7" s="25"/>
    </row>
    <row r="8" spans="1:8" x14ac:dyDescent="0.25">
      <c r="A8" s="65"/>
      <c r="B8" s="1" t="s">
        <v>165</v>
      </c>
      <c r="C8" s="1" t="s">
        <v>166</v>
      </c>
      <c r="D8" s="1"/>
      <c r="E8" s="1"/>
      <c r="F8" s="36"/>
      <c r="G8" s="48"/>
      <c r="H8" s="1"/>
    </row>
    <row r="9" spans="1:8" x14ac:dyDescent="0.25">
      <c r="A9" s="65"/>
      <c r="B9" s="1"/>
      <c r="C9" s="1"/>
      <c r="D9" s="1"/>
      <c r="E9" s="1"/>
      <c r="F9" s="34"/>
      <c r="G9" s="48"/>
      <c r="H9" s="1"/>
    </row>
    <row r="10" spans="1:8" x14ac:dyDescent="0.25">
      <c r="A10" s="66"/>
      <c r="B10" s="57" t="s">
        <v>7</v>
      </c>
      <c r="C10" s="58"/>
      <c r="D10" s="59"/>
      <c r="E10" s="3"/>
      <c r="F10" s="3"/>
      <c r="G10" s="14">
        <f>SUM(G7:G9)</f>
        <v>0</v>
      </c>
      <c r="H10" s="1"/>
    </row>
    <row r="11" spans="1:8" x14ac:dyDescent="0.25">
      <c r="A11" s="1" t="s">
        <v>9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 t="s">
        <v>5</v>
      </c>
      <c r="H11" s="1" t="s">
        <v>6</v>
      </c>
    </row>
    <row r="12" spans="1:8" x14ac:dyDescent="0.25">
      <c r="A12" s="63" t="s">
        <v>78</v>
      </c>
      <c r="B12" s="1" t="s">
        <v>167</v>
      </c>
      <c r="C12" s="1" t="s">
        <v>121</v>
      </c>
      <c r="D12" s="1"/>
      <c r="E12" s="1"/>
      <c r="F12" s="34"/>
      <c r="G12" s="1"/>
      <c r="H12" s="1"/>
    </row>
    <row r="13" spans="1:8" x14ac:dyDescent="0.25">
      <c r="A13" s="63"/>
      <c r="B13" s="1" t="s">
        <v>168</v>
      </c>
      <c r="C13" s="1" t="s">
        <v>119</v>
      </c>
      <c r="D13" s="1"/>
      <c r="E13" s="1"/>
      <c r="F13" s="34"/>
      <c r="G13" s="48"/>
      <c r="H13" s="1"/>
    </row>
    <row r="14" spans="1:8" x14ac:dyDescent="0.25">
      <c r="A14" s="63"/>
      <c r="B14" s="1" t="s">
        <v>169</v>
      </c>
      <c r="C14" s="1" t="s">
        <v>160</v>
      </c>
      <c r="D14" s="1"/>
      <c r="E14" s="1"/>
      <c r="F14" s="34"/>
      <c r="G14" s="48"/>
      <c r="H14" s="1"/>
    </row>
    <row r="15" spans="1:8" x14ac:dyDescent="0.25">
      <c r="A15" s="63"/>
      <c r="B15" s="1" t="s">
        <v>170</v>
      </c>
      <c r="C15" s="1" t="s">
        <v>171</v>
      </c>
      <c r="D15" s="1"/>
      <c r="E15" s="3"/>
      <c r="F15" s="36"/>
      <c r="G15" s="48"/>
      <c r="H15" s="1"/>
    </row>
    <row r="16" spans="1:8" x14ac:dyDescent="0.25">
      <c r="A16" s="63"/>
      <c r="B16" s="57" t="s">
        <v>7</v>
      </c>
      <c r="C16" s="58"/>
      <c r="D16" s="59"/>
      <c r="E16" s="3"/>
      <c r="F16" s="3"/>
      <c r="G16" s="16">
        <f>SUM(G12:G15)</f>
        <v>0</v>
      </c>
      <c r="H16" s="1"/>
    </row>
    <row r="17" spans="1:8" x14ac:dyDescent="0.25">
      <c r="A17" s="5" t="s">
        <v>10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89"/>
      <c r="B18" s="18" t="s">
        <v>174</v>
      </c>
      <c r="C18" s="12" t="s">
        <v>176</v>
      </c>
      <c r="D18" s="12"/>
      <c r="E18" s="12"/>
      <c r="F18" s="31"/>
      <c r="G18" s="12"/>
      <c r="H18" s="12" t="s">
        <v>162</v>
      </c>
    </row>
    <row r="19" spans="1:8" x14ac:dyDescent="0.25">
      <c r="A19" s="90"/>
      <c r="B19" s="12" t="s">
        <v>175</v>
      </c>
      <c r="C19" s="12" t="s">
        <v>177</v>
      </c>
      <c r="D19" s="12"/>
      <c r="E19" s="12"/>
      <c r="F19" s="34"/>
      <c r="G19" s="48"/>
      <c r="H19" s="12" t="s">
        <v>162</v>
      </c>
    </row>
    <row r="20" spans="1:8" x14ac:dyDescent="0.25">
      <c r="A20" s="90"/>
      <c r="B20" s="12" t="s">
        <v>178</v>
      </c>
      <c r="C20" s="12" t="s">
        <v>131</v>
      </c>
      <c r="D20" s="12"/>
      <c r="E20" s="12"/>
      <c r="F20" s="34"/>
      <c r="G20" s="48"/>
      <c r="H20" s="36" t="s">
        <v>140</v>
      </c>
    </row>
    <row r="21" spans="1:8" x14ac:dyDescent="0.25">
      <c r="A21" s="90"/>
      <c r="B21" s="1"/>
      <c r="C21" s="1"/>
      <c r="D21" s="1"/>
      <c r="E21" s="1"/>
      <c r="F21" s="1"/>
      <c r="G21" s="48"/>
      <c r="H21" s="12"/>
    </row>
    <row r="22" spans="1:8" x14ac:dyDescent="0.25">
      <c r="A22" s="90"/>
      <c r="B22" s="1"/>
      <c r="C22" s="1"/>
      <c r="D22" s="1"/>
      <c r="E22" s="1"/>
      <c r="F22" s="1"/>
      <c r="G22" s="48"/>
      <c r="H22" s="12"/>
    </row>
    <row r="23" spans="1:8" x14ac:dyDescent="0.25">
      <c r="A23" s="90"/>
      <c r="B23" s="1"/>
      <c r="C23" s="1"/>
      <c r="D23" s="1"/>
      <c r="E23" s="1"/>
      <c r="F23" s="1"/>
      <c r="G23" s="48"/>
      <c r="H23" s="25"/>
    </row>
    <row r="24" spans="1:8" x14ac:dyDescent="0.25">
      <c r="A24" s="90"/>
      <c r="B24" s="1"/>
      <c r="C24" s="1"/>
      <c r="D24" s="1"/>
      <c r="E24" s="48"/>
      <c r="F24" s="48"/>
      <c r="G24" s="48"/>
      <c r="H24" s="1"/>
    </row>
    <row r="25" spans="1:8" x14ac:dyDescent="0.25">
      <c r="A25" s="90"/>
      <c r="B25" s="48"/>
      <c r="C25" s="48"/>
      <c r="D25" s="48"/>
      <c r="E25" s="48"/>
      <c r="F25" s="48"/>
      <c r="G25" s="48"/>
      <c r="H25" s="48"/>
    </row>
    <row r="26" spans="1:8" x14ac:dyDescent="0.25">
      <c r="A26" s="90"/>
      <c r="B26" s="48"/>
      <c r="C26" s="48"/>
      <c r="D26" s="48"/>
      <c r="E26" s="48"/>
      <c r="F26" s="48"/>
      <c r="G26" s="48"/>
      <c r="H26" s="48"/>
    </row>
    <row r="27" spans="1:8" x14ac:dyDescent="0.25">
      <c r="A27" s="90"/>
      <c r="B27" s="48"/>
      <c r="C27" s="48"/>
      <c r="D27" s="48"/>
      <c r="E27" s="48"/>
      <c r="F27" s="48"/>
      <c r="G27" s="48"/>
      <c r="H27" s="48"/>
    </row>
    <row r="28" spans="1:8" x14ac:dyDescent="0.25">
      <c r="A28" s="90"/>
      <c r="B28" s="48"/>
      <c r="C28" s="48"/>
      <c r="D28" s="48"/>
      <c r="E28" s="48"/>
      <c r="F28" s="48"/>
      <c r="G28" s="48"/>
      <c r="H28" s="48"/>
    </row>
    <row r="29" spans="1:8" x14ac:dyDescent="0.25">
      <c r="A29" s="90"/>
      <c r="B29" s="48"/>
      <c r="C29" s="48"/>
      <c r="D29" s="48"/>
      <c r="E29" s="48"/>
      <c r="F29" s="48"/>
      <c r="G29" s="48"/>
      <c r="H29" s="48"/>
    </row>
    <row r="30" spans="1:8" x14ac:dyDescent="0.25">
      <c r="A30" s="90"/>
      <c r="B30" s="48"/>
      <c r="C30" s="48"/>
      <c r="D30" s="48"/>
      <c r="E30" s="48"/>
      <c r="F30" s="48"/>
      <c r="G30" s="48"/>
      <c r="H30" s="48"/>
    </row>
    <row r="31" spans="1:8" x14ac:dyDescent="0.25">
      <c r="A31" s="90"/>
      <c r="B31" s="48"/>
      <c r="C31" s="48"/>
      <c r="D31" s="48"/>
      <c r="E31" s="48"/>
      <c r="F31" s="48"/>
      <c r="G31" s="48"/>
      <c r="H31" s="48"/>
    </row>
    <row r="32" spans="1:8" x14ac:dyDescent="0.25">
      <c r="A32" s="90"/>
      <c r="B32" s="48"/>
      <c r="C32" s="48"/>
      <c r="D32" s="48"/>
      <c r="E32" s="47"/>
      <c r="F32" s="48"/>
      <c r="G32" s="2"/>
      <c r="H32" s="48"/>
    </row>
    <row r="33" spans="1:8" x14ac:dyDescent="0.25">
      <c r="A33" s="90"/>
      <c r="B33" s="20"/>
      <c r="C33" s="20"/>
      <c r="D33" s="20"/>
      <c r="E33" s="20"/>
      <c r="F33" s="20"/>
      <c r="G33" s="48"/>
      <c r="H33" s="48"/>
    </row>
    <row r="34" spans="1:8" x14ac:dyDescent="0.25">
      <c r="A34" s="90"/>
      <c r="B34" s="20"/>
      <c r="C34" s="20"/>
      <c r="D34" s="20"/>
      <c r="E34" s="20"/>
      <c r="F34" s="20"/>
      <c r="G34" s="48"/>
      <c r="H34" s="48"/>
    </row>
    <row r="35" spans="1:8" x14ac:dyDescent="0.25">
      <c r="A35" s="90"/>
      <c r="B35" s="20"/>
      <c r="C35" s="20"/>
      <c r="D35" s="20"/>
      <c r="E35" s="20"/>
      <c r="F35" s="20"/>
      <c r="G35" s="48"/>
      <c r="H35" s="48"/>
    </row>
    <row r="36" spans="1:8" x14ac:dyDescent="0.25">
      <c r="A36" s="90"/>
      <c r="B36" s="20"/>
      <c r="C36" s="20"/>
      <c r="D36" s="20"/>
      <c r="E36" s="49"/>
      <c r="F36" s="20"/>
      <c r="G36" s="48"/>
      <c r="H36" s="48"/>
    </row>
    <row r="37" spans="1:8" x14ac:dyDescent="0.25">
      <c r="A37" s="90"/>
      <c r="B37" s="20"/>
      <c r="C37" s="20"/>
      <c r="D37" s="20"/>
      <c r="E37" s="20"/>
      <c r="F37" s="20"/>
      <c r="G37" s="48"/>
      <c r="H37" s="48"/>
    </row>
    <row r="38" spans="1:8" x14ac:dyDescent="0.25">
      <c r="A38" s="91"/>
      <c r="B38" s="57" t="s">
        <v>7</v>
      </c>
      <c r="C38" s="58"/>
      <c r="D38" s="59"/>
      <c r="E38" s="3"/>
      <c r="F38" s="3"/>
      <c r="G38" s="14">
        <f>SUM(G18:G37)</f>
        <v>0</v>
      </c>
      <c r="H38" s="1"/>
    </row>
    <row r="39" spans="1:8" x14ac:dyDescent="0.25">
      <c r="A39" s="1" t="s">
        <v>11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 t="s">
        <v>6</v>
      </c>
    </row>
    <row r="40" spans="1:8" x14ac:dyDescent="0.25">
      <c r="A40" s="63" t="s">
        <v>79</v>
      </c>
      <c r="B40" s="1" t="s">
        <v>172</v>
      </c>
      <c r="C40" s="1"/>
      <c r="D40" s="1"/>
      <c r="E40" s="1"/>
      <c r="F40" s="1"/>
      <c r="G40" s="1"/>
      <c r="H40" s="1" t="s">
        <v>173</v>
      </c>
    </row>
    <row r="41" spans="1:8" x14ac:dyDescent="0.25">
      <c r="A41" s="63"/>
      <c r="B41" s="1" t="s">
        <v>146</v>
      </c>
      <c r="C41" s="1"/>
      <c r="D41" s="1"/>
      <c r="E41" s="1"/>
      <c r="F41" s="34"/>
      <c r="G41" s="48"/>
      <c r="H41" s="1" t="s">
        <v>173</v>
      </c>
    </row>
    <row r="42" spans="1:8" x14ac:dyDescent="0.25">
      <c r="A42" s="63"/>
      <c r="B42" s="1"/>
      <c r="C42" s="1"/>
      <c r="D42" s="1"/>
      <c r="E42" s="1"/>
      <c r="F42" s="1"/>
      <c r="G42" s="48"/>
      <c r="H42" s="1"/>
    </row>
    <row r="43" spans="1:8" x14ac:dyDescent="0.25">
      <c r="A43" s="63"/>
      <c r="B43" s="48"/>
      <c r="C43" s="48"/>
      <c r="D43" s="48"/>
      <c r="E43" s="48"/>
      <c r="F43" s="48"/>
      <c r="G43" s="48"/>
      <c r="H43" s="48"/>
    </row>
    <row r="44" spans="1:8" x14ac:dyDescent="0.25">
      <c r="A44" s="63"/>
      <c r="B44" s="48"/>
      <c r="C44" s="48"/>
      <c r="D44" s="48"/>
      <c r="E44" s="48"/>
      <c r="F44" s="48"/>
      <c r="G44" s="48"/>
      <c r="H44" s="48"/>
    </row>
    <row r="45" spans="1:8" x14ac:dyDescent="0.25">
      <c r="A45" s="63"/>
      <c r="B45" s="57"/>
      <c r="C45" s="58"/>
      <c r="D45" s="59"/>
      <c r="E45" s="3"/>
      <c r="F45" s="3"/>
      <c r="G45" s="16">
        <f>SUM(G40:G44)</f>
        <v>0</v>
      </c>
      <c r="H45" s="1"/>
    </row>
    <row r="46" spans="1:8" x14ac:dyDescent="0.25">
      <c r="A46" s="1" t="s">
        <v>12</v>
      </c>
      <c r="B46" s="1" t="s">
        <v>1</v>
      </c>
      <c r="C46" s="1" t="s">
        <v>2</v>
      </c>
      <c r="D46" s="1" t="s">
        <v>3</v>
      </c>
      <c r="E46" s="3" t="s">
        <v>4</v>
      </c>
      <c r="F46" s="3"/>
      <c r="G46" s="3" t="s">
        <v>5</v>
      </c>
      <c r="H46" s="1" t="s">
        <v>6</v>
      </c>
    </row>
    <row r="47" spans="1:8" x14ac:dyDescent="0.25">
      <c r="A47" s="64"/>
      <c r="B47" s="48"/>
      <c r="C47" s="48"/>
      <c r="D47" s="48"/>
      <c r="E47" s="48"/>
      <c r="F47" s="50"/>
      <c r="G47" s="2"/>
      <c r="H47" s="1"/>
    </row>
    <row r="48" spans="1:8" x14ac:dyDescent="0.25">
      <c r="A48" s="65"/>
      <c r="B48" s="48"/>
      <c r="C48" s="48"/>
      <c r="D48" s="48"/>
      <c r="E48" s="48"/>
      <c r="F48" s="50"/>
      <c r="G48" s="2"/>
      <c r="H48" s="1"/>
    </row>
    <row r="49" spans="1:8" x14ac:dyDescent="0.25">
      <c r="A49" s="66"/>
      <c r="B49" s="57" t="s">
        <v>7</v>
      </c>
      <c r="C49" s="58"/>
      <c r="D49" s="59"/>
      <c r="E49" s="3"/>
      <c r="F49" s="3"/>
      <c r="G49" s="14">
        <f>SUM(G47:G48)</f>
        <v>0</v>
      </c>
      <c r="H49" s="6"/>
    </row>
    <row r="50" spans="1:8" x14ac:dyDescent="0.25">
      <c r="A50" s="7" t="s">
        <v>13</v>
      </c>
      <c r="B50" s="1" t="s">
        <v>1</v>
      </c>
      <c r="C50" s="1" t="s">
        <v>2</v>
      </c>
      <c r="D50" s="1" t="s">
        <v>3</v>
      </c>
      <c r="E50" s="1" t="s">
        <v>4</v>
      </c>
      <c r="F50" s="1"/>
      <c r="G50" s="1" t="s">
        <v>5</v>
      </c>
      <c r="H50" s="1"/>
    </row>
    <row r="51" spans="1:8" x14ac:dyDescent="0.25">
      <c r="A51" s="63"/>
      <c r="B51" s="1"/>
      <c r="C51" s="1"/>
      <c r="D51" s="1"/>
      <c r="E51" s="1"/>
      <c r="F51" s="1"/>
      <c r="G51" s="1"/>
      <c r="H51" s="1"/>
    </row>
    <row r="52" spans="1:8" x14ac:dyDescent="0.25">
      <c r="A52" s="63"/>
      <c r="B52" s="1"/>
      <c r="C52" s="1"/>
      <c r="D52" s="1"/>
      <c r="E52" s="1"/>
      <c r="F52" s="1"/>
      <c r="G52" s="48"/>
      <c r="H52" s="1"/>
    </row>
    <row r="53" spans="1:8" x14ac:dyDescent="0.25">
      <c r="A53" s="63"/>
      <c r="B53" s="1"/>
      <c r="C53" s="1"/>
      <c r="D53" s="1"/>
      <c r="E53" s="1"/>
      <c r="F53" s="1"/>
      <c r="G53" s="48"/>
      <c r="H53" s="1"/>
    </row>
    <row r="54" spans="1:8" x14ac:dyDescent="0.25">
      <c r="A54" s="63"/>
      <c r="B54" s="1"/>
      <c r="C54" s="1"/>
      <c r="D54" s="47"/>
      <c r="E54" s="1"/>
      <c r="F54" s="1"/>
      <c r="G54" s="47"/>
      <c r="H54" s="1"/>
    </row>
    <row r="55" spans="1:8" x14ac:dyDescent="0.25">
      <c r="A55" s="63"/>
      <c r="B55" s="48"/>
      <c r="C55" s="48"/>
      <c r="D55" s="47"/>
      <c r="E55" s="48"/>
      <c r="F55" s="48"/>
      <c r="G55" s="47"/>
      <c r="H55" s="48"/>
    </row>
    <row r="56" spans="1:8" x14ac:dyDescent="0.25">
      <c r="A56" s="63"/>
      <c r="B56" s="48"/>
      <c r="C56" s="48"/>
      <c r="D56" s="48"/>
      <c r="E56" s="48"/>
      <c r="F56" s="48"/>
      <c r="G56" s="48"/>
      <c r="H56" s="48"/>
    </row>
    <row r="57" spans="1:8" x14ac:dyDescent="0.25">
      <c r="A57" s="63"/>
      <c r="B57" s="48"/>
      <c r="C57" s="48"/>
      <c r="D57" s="48"/>
      <c r="E57" s="48"/>
      <c r="F57" s="48"/>
      <c r="G57" s="48"/>
      <c r="H57" s="48"/>
    </row>
    <row r="58" spans="1:8" x14ac:dyDescent="0.25">
      <c r="A58" s="63"/>
      <c r="B58" s="48"/>
      <c r="C58" s="48"/>
      <c r="D58" s="48"/>
      <c r="E58" s="48"/>
      <c r="F58" s="48"/>
      <c r="G58" s="48"/>
      <c r="H58" s="48"/>
    </row>
    <row r="59" spans="1:8" x14ac:dyDescent="0.25">
      <c r="A59" s="63"/>
      <c r="B59" s="48"/>
      <c r="C59" s="48"/>
      <c r="D59" s="48"/>
      <c r="E59" s="48"/>
      <c r="F59" s="48"/>
      <c r="G59" s="48"/>
      <c r="H59" s="48"/>
    </row>
    <row r="60" spans="1:8" x14ac:dyDescent="0.25">
      <c r="A60" s="63"/>
      <c r="B60" s="57" t="s">
        <v>7</v>
      </c>
      <c r="C60" s="58"/>
      <c r="D60" s="59"/>
      <c r="E60" s="3"/>
      <c r="F60" s="3"/>
      <c r="G60" s="14">
        <f>SUM(G51:G59)</f>
        <v>0</v>
      </c>
      <c r="H60" s="1"/>
    </row>
    <row r="61" spans="1:8" ht="17.25" thickBot="1" x14ac:dyDescent="0.3">
      <c r="A61" s="1"/>
      <c r="B61" s="67" t="s">
        <v>14</v>
      </c>
      <c r="C61" s="68"/>
      <c r="D61" s="69"/>
      <c r="E61" s="8"/>
      <c r="F61" s="8"/>
      <c r="G61" s="9">
        <f>G60+G49+G45+G16+G10+G5+G38</f>
        <v>0</v>
      </c>
      <c r="H61" s="1"/>
    </row>
    <row r="62" spans="1:8" x14ac:dyDescent="0.25">
      <c r="A62" s="74" t="s">
        <v>42</v>
      </c>
      <c r="B62" s="77" t="s">
        <v>43</v>
      </c>
      <c r="C62" s="77"/>
      <c r="D62" s="77"/>
      <c r="E62" s="78" t="s">
        <v>44</v>
      </c>
      <c r="F62" s="79"/>
      <c r="G62" s="80"/>
      <c r="H62" s="42" t="s">
        <v>45</v>
      </c>
    </row>
    <row r="63" spans="1:8" x14ac:dyDescent="0.25">
      <c r="A63" s="75"/>
      <c r="B63" s="81" t="s">
        <v>54</v>
      </c>
      <c r="C63" s="82"/>
      <c r="D63" s="82"/>
      <c r="E63" s="43" t="s">
        <v>46</v>
      </c>
      <c r="F63" s="84"/>
      <c r="G63" s="85"/>
      <c r="H63" s="70" t="s">
        <v>53</v>
      </c>
    </row>
    <row r="64" spans="1:8" ht="17.25" thickBot="1" x14ac:dyDescent="0.3">
      <c r="A64" s="76"/>
      <c r="B64" s="83"/>
      <c r="C64" s="83"/>
      <c r="D64" s="83"/>
      <c r="E64" s="44" t="s">
        <v>47</v>
      </c>
      <c r="F64" s="72" t="s">
        <v>52</v>
      </c>
      <c r="G64" s="73"/>
      <c r="H64" s="71"/>
    </row>
  </sheetData>
  <mergeCells count="23">
    <mergeCell ref="H63:H64"/>
    <mergeCell ref="F64:G64"/>
    <mergeCell ref="A62:A64"/>
    <mergeCell ref="B62:D62"/>
    <mergeCell ref="E62:G62"/>
    <mergeCell ref="B63:D64"/>
    <mergeCell ref="F63:G63"/>
    <mergeCell ref="A51:A60"/>
    <mergeCell ref="B60:D60"/>
    <mergeCell ref="B61:D61"/>
    <mergeCell ref="B38:D38"/>
    <mergeCell ref="A40:A45"/>
    <mergeCell ref="B45:D45"/>
    <mergeCell ref="A47:A49"/>
    <mergeCell ref="B49:D49"/>
    <mergeCell ref="A18:A38"/>
    <mergeCell ref="A12:A16"/>
    <mergeCell ref="B16:D16"/>
    <mergeCell ref="A1:H1"/>
    <mergeCell ref="A3:A5"/>
    <mergeCell ref="B5:D5"/>
    <mergeCell ref="B10:D10"/>
    <mergeCell ref="A7:A10"/>
  </mergeCells>
  <phoneticPr fontId="2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0119+</vt:lpstr>
      <vt:lpstr>0120+</vt:lpstr>
      <vt:lpstr>0121</vt:lpstr>
      <vt:lpstr>0122</vt:lpstr>
      <vt:lpstr>0123</vt:lpstr>
      <vt:lpstr>'0119+'!Print_Area</vt:lpstr>
      <vt:lpstr>'0120+'!Print_Area</vt:lpstr>
      <vt:lpstr>'0121'!Print_Area</vt:lpstr>
      <vt:lpstr>'0122'!Print_Area</vt:lpstr>
      <vt:lpstr>'0123'!Print_Area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2026-01-21T05:33:24Z</cp:lastPrinted>
  <dcterms:created xsi:type="dcterms:W3CDTF">2025-02-19T17:01:12Z</dcterms:created>
  <dcterms:modified xsi:type="dcterms:W3CDTF">2026-01-21T06:39:42Z</dcterms:modified>
</cp:coreProperties>
</file>