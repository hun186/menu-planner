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柯伊秀♡\★★伙房專區★★\午餐明細表\115年度\2月份\"/>
    </mc:Choice>
  </mc:AlternateContent>
  <bookViews>
    <workbookView xWindow="0" yWindow="0" windowWidth="28800" windowHeight="12255" activeTab="3"/>
  </bookViews>
  <sheets>
    <sheet name="0202+" sheetId="1" r:id="rId1"/>
    <sheet name="0203+" sheetId="2" r:id="rId2"/>
    <sheet name="0204" sheetId="3" r:id="rId3"/>
    <sheet name="0205" sheetId="4" r:id="rId4"/>
    <sheet name="0206" sheetId="5" r:id="rId5"/>
  </sheets>
  <definedNames>
    <definedName name="_xlnm.Print_Area" localSheetId="0">'0202+'!$A$1:$H$47</definedName>
    <definedName name="_xlnm.Print_Area" localSheetId="1">'0203+'!$A$1:$H$51</definedName>
    <definedName name="_xlnm.Print_Area" localSheetId="2">'0204'!$A$1:$H$53</definedName>
    <definedName name="_xlnm.Print_Area" localSheetId="3">'0205'!$A$1:$H$47</definedName>
    <definedName name="_xlnm.Print_Area" localSheetId="4">'0206'!$A$1:$H$55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4" l="1"/>
  <c r="G36" i="4"/>
  <c r="G52" i="5" l="1"/>
  <c r="G17" i="5"/>
  <c r="G24" i="5"/>
  <c r="G25" i="5"/>
  <c r="G26" i="5"/>
  <c r="G27" i="5"/>
  <c r="G28" i="5"/>
  <c r="G29" i="5"/>
  <c r="G30" i="5"/>
  <c r="G23" i="5"/>
  <c r="G31" i="5" s="1"/>
  <c r="G34" i="5"/>
  <c r="G33" i="5"/>
  <c r="G39" i="5"/>
  <c r="G38" i="5"/>
  <c r="G43" i="5"/>
  <c r="G44" i="5"/>
  <c r="G45" i="5"/>
  <c r="G46" i="5"/>
  <c r="G47" i="5"/>
  <c r="G48" i="5"/>
  <c r="G49" i="5"/>
  <c r="G50" i="5"/>
  <c r="G42" i="5"/>
  <c r="G4" i="5"/>
  <c r="G5" i="5"/>
  <c r="G6" i="5"/>
  <c r="G7" i="5"/>
  <c r="G8" i="5"/>
  <c r="G3" i="5"/>
  <c r="G12" i="5"/>
  <c r="G13" i="5"/>
  <c r="G11" i="5"/>
  <c r="G15" i="5" s="1"/>
  <c r="G9" i="5" l="1"/>
  <c r="G51" i="5"/>
  <c r="G50" i="3"/>
  <c r="G4" i="4" l="1"/>
  <c r="G3" i="4"/>
  <c r="G24" i="4"/>
  <c r="G35" i="4"/>
  <c r="G31" i="4"/>
  <c r="G11" i="4"/>
  <c r="G12" i="4"/>
  <c r="G10" i="4"/>
  <c r="G18" i="4"/>
  <c r="G19" i="4"/>
  <c r="G20" i="4"/>
  <c r="G21" i="4"/>
  <c r="G17" i="4"/>
  <c r="G22" i="4" s="1"/>
  <c r="G37" i="3"/>
  <c r="G48" i="2"/>
  <c r="G3" i="1"/>
  <c r="G34" i="3" l="1"/>
  <c r="G29" i="3"/>
  <c r="G19" i="3"/>
  <c r="G14" i="3"/>
  <c r="G7" i="3"/>
  <c r="G41" i="3"/>
  <c r="G49" i="3" s="1"/>
  <c r="G42" i="3"/>
  <c r="G43" i="3"/>
  <c r="G44" i="3"/>
  <c r="G28" i="3"/>
  <c r="G40" i="3"/>
  <c r="G36" i="3"/>
  <c r="G32" i="3"/>
  <c r="G22" i="3"/>
  <c r="G23" i="3"/>
  <c r="G24" i="3"/>
  <c r="G25" i="3"/>
  <c r="G26" i="3"/>
  <c r="G27" i="3"/>
  <c r="G21" i="3"/>
  <c r="G17" i="3"/>
  <c r="G18" i="3"/>
  <c r="G16" i="3"/>
  <c r="G10" i="3"/>
  <c r="G11" i="3"/>
  <c r="G12" i="3"/>
  <c r="G13" i="3"/>
  <c r="G9" i="3"/>
  <c r="G4" i="3"/>
  <c r="G3" i="3"/>
  <c r="G47" i="2"/>
  <c r="G37" i="2"/>
  <c r="G38" i="2"/>
  <c r="G39" i="2"/>
  <c r="G40" i="2"/>
  <c r="G41" i="2"/>
  <c r="G42" i="2"/>
  <c r="G43" i="2"/>
  <c r="G44" i="2"/>
  <c r="G45" i="2"/>
  <c r="G46" i="2"/>
  <c r="G36" i="2"/>
  <c r="G33" i="2"/>
  <c r="G32" i="2" l="1"/>
  <c r="G18" i="2"/>
  <c r="G17" i="2"/>
  <c r="G16" i="2"/>
  <c r="G22" i="2"/>
  <c r="G25" i="2" s="1"/>
  <c r="G23" i="2"/>
  <c r="G24" i="2"/>
  <c r="G21" i="2"/>
  <c r="G10" i="2"/>
  <c r="G9" i="2"/>
  <c r="G7" i="2"/>
  <c r="G4" i="2"/>
  <c r="G5" i="2"/>
  <c r="G3" i="2"/>
  <c r="G4" i="1"/>
  <c r="G14" i="1"/>
  <c r="G10" i="1"/>
  <c r="G11" i="1"/>
  <c r="G12" i="1"/>
  <c r="G13" i="1"/>
  <c r="G9" i="1"/>
  <c r="G20" i="1"/>
  <c r="G31" i="1"/>
  <c r="G17" i="1"/>
  <c r="G18" i="1"/>
  <c r="G19" i="1"/>
  <c r="G16" i="1"/>
  <c r="G38" i="1"/>
  <c r="G42" i="1"/>
  <c r="G29" i="1"/>
  <c r="G23" i="1"/>
  <c r="G24" i="1"/>
  <c r="G25" i="1"/>
  <c r="G26" i="1"/>
  <c r="G27" i="1"/>
  <c r="G28" i="1"/>
  <c r="G7" i="1" l="1"/>
  <c r="G44" i="1" s="1"/>
  <c r="G43" i="1"/>
  <c r="G36" i="5" l="1"/>
  <c r="G21" i="5"/>
  <c r="G38" i="3" l="1"/>
  <c r="G43" i="4"/>
  <c r="G28" i="4"/>
  <c r="G15" i="4"/>
  <c r="G8" i="4"/>
  <c r="G33" i="4"/>
  <c r="G35" i="1" l="1"/>
  <c r="G36" i="1" l="1"/>
  <c r="G39" i="1"/>
  <c r="G30" i="2" l="1"/>
  <c r="G19" i="2" l="1"/>
  <c r="G14" i="2"/>
  <c r="G40" i="1" l="1"/>
  <c r="G22" i="1" l="1"/>
  <c r="G40" i="5" l="1"/>
  <c r="G37" i="4"/>
  <c r="G34" i="2"/>
</calcChain>
</file>

<file path=xl/sharedStrings.xml><?xml version="1.0" encoding="utf-8"?>
<sst xmlns="http://schemas.openxmlformats.org/spreadsheetml/2006/main" count="658" uniqueCount="233">
  <si>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</si>
  <si>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</si>
  <si>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</si>
  <si>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</si>
  <si>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</si>
  <si>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</si>
  <si>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</si>
  <si>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</si>
  <si>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</si>
  <si>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</si>
  <si>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</si>
  <si>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</si>
  <si>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</si>
  <si>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</si>
  <si>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</si>
  <si>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</si>
  <si>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</si>
  <si>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</si>
  <si>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</si>
  <si>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</si>
  <si>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</si>
  <si>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</si>
  <si>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</si>
  <si>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</si>
  <si>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</si>
  <si>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</si>
  <si>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</si>
  <si>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合      計</t>
    <phoneticPr fontId="2" type="noConversion"/>
  </si>
  <si>
    <t>杏鮑菇</t>
    <phoneticPr fontId="2" type="noConversion"/>
  </si>
  <si>
    <t>斤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</si>
  <si>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</si>
  <si>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</si>
  <si>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</si>
  <si>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</si>
  <si>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</si>
  <si>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</si>
  <si>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食材量預估
250人</t>
    <phoneticPr fontId="2" type="noConversion"/>
  </si>
  <si>
    <t>晚餐</t>
    <phoneticPr fontId="2" type="noConversion"/>
  </si>
  <si>
    <t>滷蛋</t>
    <phoneticPr fontId="2" type="noConversion"/>
  </si>
  <si>
    <t>香腸</t>
    <phoneticPr fontId="2" type="noConversion"/>
  </si>
  <si>
    <t>30顆</t>
    <phoneticPr fontId="2" type="noConversion"/>
  </si>
  <si>
    <t>40支</t>
    <phoneticPr fontId="2" type="noConversion"/>
  </si>
  <si>
    <t>電訊科技中心(安康營區)     115年      2月   6日      午餐明細表</t>
    <phoneticPr fontId="2" type="noConversion"/>
  </si>
  <si>
    <t>電訊科技中心(安康營區)     115年      2月  5日      午餐明細表</t>
    <phoneticPr fontId="2" type="noConversion"/>
  </si>
  <si>
    <t>電訊科技中心(安康營區)     115年      2月   4日      午餐明細表</t>
    <phoneticPr fontId="2" type="noConversion"/>
  </si>
  <si>
    <t>電訊科技中心(安康營區)     115年      2月   3日      午餐明細表</t>
    <phoneticPr fontId="2" type="noConversion"/>
  </si>
  <si>
    <t>電訊科技中心(安康營區)     115年     2月   2日      午餐明細表</t>
    <phoneticPr fontId="2" type="noConversion"/>
  </si>
  <si>
    <t>炸腿排</t>
    <phoneticPr fontId="2" type="noConversion"/>
  </si>
  <si>
    <t>腿排</t>
    <phoneticPr fontId="2" type="noConversion"/>
  </si>
  <si>
    <t>酥炸粉</t>
    <phoneticPr fontId="2" type="noConversion"/>
  </si>
  <si>
    <t>豆干肉絲</t>
    <phoneticPr fontId="2" type="noConversion"/>
  </si>
  <si>
    <t>4X4豆干</t>
    <phoneticPr fontId="2" type="noConversion"/>
  </si>
  <si>
    <t>豬柳</t>
    <phoneticPr fontId="2" type="noConversion"/>
  </si>
  <si>
    <t>去葉芹菜</t>
    <phoneticPr fontId="2" type="noConversion"/>
  </si>
  <si>
    <t>紅蘿蔔絲</t>
    <phoneticPr fontId="2" type="noConversion"/>
  </si>
  <si>
    <t>雪白菇</t>
    <phoneticPr fontId="2" type="noConversion"/>
  </si>
  <si>
    <t>20斤</t>
    <phoneticPr fontId="2" type="noConversion"/>
  </si>
  <si>
    <t>15斤</t>
    <phoneticPr fontId="2" type="noConversion"/>
  </si>
  <si>
    <t>3斤</t>
    <phoneticPr fontId="2" type="noConversion"/>
  </si>
  <si>
    <t>8斤</t>
    <phoneticPr fontId="2" type="noConversion"/>
  </si>
  <si>
    <t>大黃瓜切片</t>
    <phoneticPr fontId="2" type="noConversion"/>
  </si>
  <si>
    <t>川耳</t>
    <phoneticPr fontId="2" type="noConversion"/>
  </si>
  <si>
    <t>去皮洋蔥</t>
    <phoneticPr fontId="2" type="noConversion"/>
  </si>
  <si>
    <t>油麵</t>
    <phoneticPr fontId="2" type="noConversion"/>
  </si>
  <si>
    <t>晚餐</t>
    <phoneticPr fontId="2" type="noConversion"/>
  </si>
  <si>
    <t>45斤</t>
    <phoneticPr fontId="2" type="noConversion"/>
  </si>
  <si>
    <t>4斤</t>
    <phoneticPr fontId="2" type="noConversion"/>
  </si>
  <si>
    <t>10斤</t>
    <phoneticPr fontId="2" type="noConversion"/>
  </si>
  <si>
    <t>5斤</t>
    <phoneticPr fontId="2" type="noConversion"/>
  </si>
  <si>
    <t>紫菜蛋花湯</t>
    <phoneticPr fontId="2" type="noConversion"/>
  </si>
  <si>
    <t>紫菜</t>
    <phoneticPr fontId="2" type="noConversion"/>
  </si>
  <si>
    <t>雞蛋</t>
    <phoneticPr fontId="2" type="noConversion"/>
  </si>
  <si>
    <t>庫存</t>
    <phoneticPr fontId="2" type="noConversion"/>
  </si>
  <si>
    <t>刈包</t>
    <phoneticPr fontId="2" type="noConversion"/>
  </si>
  <si>
    <t>雞捲 控肉片</t>
    <phoneticPr fontId="2" type="noConversion"/>
  </si>
  <si>
    <t>四神湯</t>
    <phoneticPr fontId="2" type="noConversion"/>
  </si>
  <si>
    <t>酸菜 花生粉</t>
    <phoneticPr fontId="2" type="noConversion"/>
  </si>
  <si>
    <t>刈包 菜圃蛋</t>
    <phoneticPr fontId="2" type="noConversion"/>
  </si>
  <si>
    <t>菜圃碎</t>
    <phoneticPr fontId="2" type="noConversion"/>
  </si>
  <si>
    <t>雞捲</t>
    <phoneticPr fontId="2" type="noConversion"/>
  </si>
  <si>
    <t>控肉片</t>
    <phoneticPr fontId="2" type="noConversion"/>
  </si>
  <si>
    <t>酸菜絲</t>
    <phoneticPr fontId="2" type="noConversion"/>
  </si>
  <si>
    <t>拌糖花生粉</t>
    <phoneticPr fontId="2" type="noConversion"/>
  </si>
  <si>
    <t>香菜</t>
    <phoneticPr fontId="2" type="noConversion"/>
  </si>
  <si>
    <t>300個</t>
    <phoneticPr fontId="2" type="noConversion"/>
  </si>
  <si>
    <t>1件</t>
    <phoneticPr fontId="2" type="noConversion"/>
  </si>
  <si>
    <t>580條</t>
    <phoneticPr fontId="2" type="noConversion"/>
  </si>
  <si>
    <t>300片</t>
    <phoneticPr fontId="2" type="noConversion"/>
  </si>
  <si>
    <t>25斤</t>
    <phoneticPr fontId="2" type="noConversion"/>
  </si>
  <si>
    <t>四神料</t>
    <phoneticPr fontId="2" type="noConversion"/>
  </si>
  <si>
    <t>小腸</t>
    <phoneticPr fontId="2" type="noConversion"/>
  </si>
  <si>
    <t>軟骨排</t>
    <phoneticPr fontId="2" type="noConversion"/>
  </si>
  <si>
    <t>6包</t>
    <phoneticPr fontId="2" type="noConversion"/>
  </si>
  <si>
    <t>素控肉</t>
    <phoneticPr fontId="2" type="noConversion"/>
  </si>
  <si>
    <t>2包</t>
    <phoneticPr fontId="2" type="noConversion"/>
  </si>
  <si>
    <t>45個</t>
    <phoneticPr fontId="2" type="noConversion"/>
  </si>
  <si>
    <t>素食</t>
    <phoneticPr fontId="2" type="noConversion"/>
  </si>
  <si>
    <t>木耳絲</t>
    <phoneticPr fontId="2" type="noConversion"/>
  </si>
  <si>
    <t>豬肉片</t>
    <phoneticPr fontId="2" type="noConversion"/>
  </si>
  <si>
    <t>60斤</t>
    <phoneticPr fontId="2" type="noConversion"/>
  </si>
  <si>
    <t>滷雞腿</t>
    <phoneticPr fontId="2" type="noConversion"/>
  </si>
  <si>
    <t>棒腿</t>
    <phoneticPr fontId="2" type="noConversion"/>
  </si>
  <si>
    <t>冰糖</t>
    <phoneticPr fontId="2" type="noConversion"/>
  </si>
  <si>
    <t>270個</t>
    <phoneticPr fontId="2" type="noConversion"/>
  </si>
  <si>
    <t>1包</t>
    <phoneticPr fontId="2" type="noConversion"/>
  </si>
  <si>
    <t>烤時蔬</t>
    <phoneticPr fontId="2" type="noConversion"/>
  </si>
  <si>
    <t>紅椒</t>
    <phoneticPr fontId="2" type="noConversion"/>
  </si>
  <si>
    <t>黃椒</t>
    <phoneticPr fontId="2" type="noConversion"/>
  </si>
  <si>
    <t>櫛瓜</t>
    <phoneticPr fontId="2" type="noConversion"/>
  </si>
  <si>
    <t>杏鮑菇</t>
    <phoneticPr fontId="2" type="noConversion"/>
  </si>
  <si>
    <t>去皮馬鈴薯</t>
    <phoneticPr fontId="2" type="noConversion"/>
  </si>
  <si>
    <t>金針排骨湯</t>
    <phoneticPr fontId="2" type="noConversion"/>
  </si>
  <si>
    <t>乾金針</t>
    <phoneticPr fontId="2" type="noConversion"/>
  </si>
  <si>
    <t>粉蒸排骨</t>
    <phoneticPr fontId="2" type="noConversion"/>
  </si>
  <si>
    <t>蔥燒油豆腐</t>
    <phoneticPr fontId="2" type="noConversion"/>
  </si>
  <si>
    <t>白菜滷</t>
    <phoneticPr fontId="2" type="noConversion"/>
  </si>
  <si>
    <t>紅豆湯圓</t>
    <phoneticPr fontId="2" type="noConversion"/>
  </si>
  <si>
    <t>紅豆</t>
    <phoneticPr fontId="2" type="noConversion"/>
  </si>
  <si>
    <t>紅白小湯圓</t>
    <phoneticPr fontId="2" type="noConversion"/>
  </si>
  <si>
    <t>蒸肉粉</t>
    <phoneticPr fontId="2" type="noConversion"/>
  </si>
  <si>
    <t>小排骨</t>
    <phoneticPr fontId="2" type="noConversion"/>
  </si>
  <si>
    <t>小三角油豆腐</t>
    <phoneticPr fontId="2" type="noConversion"/>
  </si>
  <si>
    <t>玉米筍罐頭</t>
    <phoneticPr fontId="2" type="noConversion"/>
  </si>
  <si>
    <t>900個</t>
    <phoneticPr fontId="2" type="noConversion"/>
  </si>
  <si>
    <t>4罐</t>
    <phoneticPr fontId="2" type="noConversion"/>
  </si>
  <si>
    <t>大白菜</t>
    <phoneticPr fontId="2" type="noConversion"/>
  </si>
  <si>
    <t>小蝦米</t>
    <phoneticPr fontId="2" type="noConversion"/>
  </si>
  <si>
    <t>乾香菇絲</t>
    <phoneticPr fontId="2" type="noConversion"/>
  </si>
  <si>
    <t>生豆皮</t>
    <phoneticPr fontId="2" type="noConversion"/>
  </si>
  <si>
    <t>1斤</t>
    <phoneticPr fontId="2" type="noConversion"/>
  </si>
  <si>
    <t>三杯雞</t>
    <phoneticPr fontId="2" type="noConversion"/>
  </si>
  <si>
    <t>無骨腿丁</t>
    <phoneticPr fontId="2" type="noConversion"/>
  </si>
  <si>
    <t>九層塔</t>
    <phoneticPr fontId="2" type="noConversion"/>
  </si>
  <si>
    <t>薑</t>
    <phoneticPr fontId="2" type="noConversion"/>
  </si>
  <si>
    <t>米血丁</t>
    <phoneticPr fontId="2" type="noConversion"/>
  </si>
  <si>
    <t>玉米絞肉</t>
    <phoneticPr fontId="2" type="noConversion"/>
  </si>
  <si>
    <t>冷凍玉米粒</t>
    <phoneticPr fontId="2" type="noConversion"/>
  </si>
  <si>
    <t>冷凍洋芋丁</t>
    <phoneticPr fontId="2" type="noConversion"/>
  </si>
  <si>
    <t>絞肉</t>
    <phoneticPr fontId="2" type="noConversion"/>
  </si>
  <si>
    <t>8包</t>
    <phoneticPr fontId="2" type="noConversion"/>
  </si>
  <si>
    <t>荷包蛋</t>
    <phoneticPr fontId="2" type="noConversion"/>
  </si>
  <si>
    <t>蘿蔔玉米湯</t>
    <phoneticPr fontId="2" type="noConversion"/>
  </si>
  <si>
    <t>白蘿蔔</t>
    <phoneticPr fontId="2" type="noConversion"/>
  </si>
  <si>
    <t>去殼玉米條</t>
    <phoneticPr fontId="2" type="noConversion"/>
  </si>
  <si>
    <t>0.5斤</t>
    <phoneticPr fontId="2" type="noConversion"/>
  </si>
  <si>
    <t>斤</t>
    <phoneticPr fontId="2" type="noConversion"/>
  </si>
  <si>
    <t>包</t>
    <phoneticPr fontId="2" type="noConversion"/>
  </si>
  <si>
    <t>高麗菜</t>
    <phoneticPr fontId="2" type="noConversion"/>
  </si>
  <si>
    <t>虱目魚丸</t>
    <phoneticPr fontId="2" type="noConversion"/>
  </si>
  <si>
    <t>小籠湯包</t>
    <phoneticPr fontId="2" type="noConversion"/>
  </si>
  <si>
    <t>個</t>
    <phoneticPr fontId="2" type="noConversion"/>
  </si>
  <si>
    <t>嫩精粉</t>
    <phoneticPr fontId="2" type="noConversion"/>
  </si>
  <si>
    <t>罐</t>
    <phoneticPr fontId="2" type="noConversion"/>
  </si>
  <si>
    <t>茂谷柑</t>
    <phoneticPr fontId="2" type="noConversion"/>
  </si>
  <si>
    <t>大黃瓜魚丸</t>
    <phoneticPr fontId="2" type="noConversion"/>
  </si>
  <si>
    <t>食材量預估
   250 人</t>
    <phoneticPr fontId="2" type="noConversion"/>
  </si>
  <si>
    <t>油菜</t>
    <phoneticPr fontId="2" type="noConversion"/>
  </si>
  <si>
    <t>條</t>
    <phoneticPr fontId="2" type="noConversion"/>
  </si>
  <si>
    <t>五穀米</t>
    <phoneticPr fontId="2" type="noConversion"/>
  </si>
  <si>
    <t>芥花油</t>
    <phoneticPr fontId="2" type="noConversion"/>
  </si>
  <si>
    <t>桶</t>
    <phoneticPr fontId="2" type="noConversion"/>
  </si>
  <si>
    <t>食材量預估
 300人</t>
    <phoneticPr fontId="2" type="noConversion"/>
  </si>
  <si>
    <t xml:space="preserve">  250 人</t>
    <phoneticPr fontId="2" type="noConversion"/>
  </si>
  <si>
    <t>大黃瓜魚丸剩一盆供回打
其餘剛好</t>
    <phoneticPr fontId="2" type="noConversion"/>
  </si>
  <si>
    <t>細冰糖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</si>
  <si>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</si>
  <si>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</si>
  <si>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</si>
  <si>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咖哩粉</t>
    <phoneticPr fontId="2" type="noConversion"/>
  </si>
  <si>
    <t>盒</t>
    <phoneticPr fontId="2" type="noConversion"/>
  </si>
  <si>
    <t>水餃</t>
    <phoneticPr fontId="2" type="noConversion"/>
  </si>
  <si>
    <t>包</t>
    <phoneticPr fontId="2" type="noConversion"/>
  </si>
  <si>
    <t>烤肉醬</t>
    <phoneticPr fontId="2" type="noConversion"/>
  </si>
  <si>
    <t>桶</t>
    <phoneticPr fontId="2" type="noConversion"/>
  </si>
  <si>
    <t>蜂蜜</t>
    <phoneticPr fontId="2" type="noConversion"/>
  </si>
  <si>
    <t>五花肉柳</t>
    <phoneticPr fontId="2" type="noConversion"/>
  </si>
  <si>
    <t>起司豬排</t>
    <phoneticPr fontId="2" type="noConversion"/>
  </si>
  <si>
    <t>件</t>
    <phoneticPr fontId="2" type="noConversion"/>
  </si>
  <si>
    <t>無骨豬排</t>
    <phoneticPr fontId="2" type="noConversion"/>
  </si>
  <si>
    <t>巧克力醬</t>
    <phoneticPr fontId="2" type="noConversion"/>
  </si>
  <si>
    <t>罐</t>
    <phoneticPr fontId="2" type="noConversion"/>
  </si>
  <si>
    <t>大亨堡</t>
    <phoneticPr fontId="2" type="noConversion"/>
  </si>
  <si>
    <t>個</t>
    <phoneticPr fontId="2" type="noConversion"/>
  </si>
  <si>
    <t>柳丁</t>
    <phoneticPr fontId="2" type="noConversion"/>
  </si>
  <si>
    <t>金蘭醬油</t>
    <phoneticPr fontId="2" type="noConversion"/>
  </si>
  <si>
    <t>素蠔油</t>
    <phoneticPr fontId="2" type="noConversion"/>
  </si>
  <si>
    <t>洗選蛋</t>
    <phoneticPr fontId="2" type="noConversion"/>
  </si>
  <si>
    <t>五香粉</t>
    <phoneticPr fontId="2" type="noConversion"/>
  </si>
  <si>
    <t>滷包</t>
    <phoneticPr fontId="2" type="noConversion"/>
  </si>
  <si>
    <t>香油</t>
    <phoneticPr fontId="2" type="noConversion"/>
  </si>
  <si>
    <t>味霖</t>
    <phoneticPr fontId="2" type="noConversion"/>
  </si>
  <si>
    <t>調理米酒</t>
    <phoneticPr fontId="2" type="noConversion"/>
  </si>
  <si>
    <t>瓶</t>
    <phoneticPr fontId="2" type="noConversion"/>
  </si>
  <si>
    <t>三好米</t>
    <phoneticPr fontId="2" type="noConversion"/>
  </si>
  <si>
    <t>花生醬</t>
    <phoneticPr fontId="2" type="noConversion"/>
  </si>
  <si>
    <t>白胡椒粉</t>
    <phoneticPr fontId="2" type="noConversion"/>
  </si>
  <si>
    <t>高麗菜</t>
    <phoneticPr fontId="2" type="noConversion"/>
  </si>
  <si>
    <t>很平均</t>
    <phoneticPr fontId="2" type="noConversion"/>
  </si>
  <si>
    <t>茂谷柑</t>
    <phoneticPr fontId="2" type="noConversion"/>
  </si>
  <si>
    <t>斤</t>
  </si>
  <si>
    <t>斤</t>
    <phoneticPr fontId="2" type="noConversion"/>
  </si>
  <si>
    <t>250左右</t>
    <phoneticPr fontId="2" type="noConversion"/>
  </si>
  <si>
    <t>鵝白菜</t>
    <phoneticPr fontId="2" type="noConversion"/>
  </si>
  <si>
    <t>包</t>
    <phoneticPr fontId="2" type="noConversion"/>
  </si>
  <si>
    <t>食材量預估
     人</t>
    <phoneticPr fontId="2" type="noConversion"/>
  </si>
  <si>
    <t>什錦炒麵</t>
    <phoneticPr fontId="2" type="noConversion"/>
  </si>
  <si>
    <t>食材量預估
    270人</t>
    <phoneticPr fontId="2" type="noConversion"/>
  </si>
  <si>
    <t>240人左右</t>
    <phoneticPr fontId="2" type="noConversion"/>
  </si>
  <si>
    <t>雞腿剩一盆攻回打(剩20左右)
其餘菜量差不多</t>
    <phoneticPr fontId="2" type="noConversion"/>
  </si>
  <si>
    <t>斤</t>
    <phoneticPr fontId="2" type="noConversion"/>
  </si>
  <si>
    <t>包</t>
    <phoneticPr fontId="2" type="noConversion"/>
  </si>
  <si>
    <t>顆</t>
    <phoneticPr fontId="2" type="noConversion"/>
  </si>
  <si>
    <t>高麗菜</t>
    <phoneticPr fontId="2" type="noConversion"/>
  </si>
  <si>
    <t>柳丁</t>
    <phoneticPr fontId="2" type="noConversion"/>
  </si>
  <si>
    <t>前腿肉片</t>
    <phoneticPr fontId="2" type="noConversion"/>
  </si>
  <si>
    <t>醬油</t>
    <phoneticPr fontId="2" type="noConversion"/>
  </si>
  <si>
    <t>桶</t>
    <phoneticPr fontId="2" type="noConversion"/>
  </si>
  <si>
    <t>素蠔油</t>
    <phoneticPr fontId="2" type="noConversion"/>
  </si>
  <si>
    <t>沙拉油</t>
    <phoneticPr fontId="2" type="noConversion"/>
  </si>
  <si>
    <t>生香菇</t>
    <phoneticPr fontId="2" type="noConversion"/>
  </si>
  <si>
    <t>厚片土司</t>
    <phoneticPr fontId="2" type="noConversion"/>
  </si>
  <si>
    <t>條</t>
    <phoneticPr fontId="2" type="noConversion"/>
  </si>
  <si>
    <t>鍋貼</t>
    <phoneticPr fontId="2" type="noConversion"/>
  </si>
  <si>
    <t>個</t>
    <phoneticPr fontId="2" type="noConversion"/>
  </si>
  <si>
    <t>鋁箔包</t>
    <phoneticPr fontId="2" type="noConversion"/>
  </si>
  <si>
    <t>件</t>
    <phoneticPr fontId="2" type="noConversion"/>
  </si>
  <si>
    <t>味素</t>
    <phoneticPr fontId="2" type="noConversion"/>
  </si>
  <si>
    <t>盒</t>
    <phoneticPr fontId="2" type="noConversion"/>
  </si>
  <si>
    <t>糯米粉</t>
    <phoneticPr fontId="2" type="noConversion"/>
  </si>
  <si>
    <t>玉米粉</t>
    <phoneticPr fontId="2" type="noConversion"/>
  </si>
  <si>
    <t>香蕉</t>
    <phoneticPr fontId="2" type="noConversion"/>
  </si>
  <si>
    <t>無統計</t>
    <phoneticPr fontId="2" type="noConversion"/>
  </si>
  <si>
    <t xml:space="preserve"> 無統計  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</si>
</sst>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D38" sqref="D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85" t="s">
        <v>46</v>
      </c>
      <c r="B1" s="86"/>
      <c r="C1" s="86"/>
      <c r="D1" s="86"/>
      <c r="E1" s="86"/>
      <c r="F1" s="86"/>
      <c r="G1" s="86"/>
      <c r="H1" s="8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81" t="s">
        <v>47</v>
      </c>
      <c r="B3" s="1" t="s">
        <v>48</v>
      </c>
      <c r="C3" s="1">
        <v>250</v>
      </c>
      <c r="D3" s="1">
        <v>72</v>
      </c>
      <c r="E3" s="19">
        <v>62.5</v>
      </c>
      <c r="F3" s="19" t="s">
        <v>145</v>
      </c>
      <c r="G3" s="20">
        <f>D3*E3</f>
        <v>4500</v>
      </c>
      <c r="H3" s="1"/>
    </row>
    <row r="4" spans="1:8" x14ac:dyDescent="0.25">
      <c r="A4" s="81"/>
      <c r="B4" s="10" t="s">
        <v>49</v>
      </c>
      <c r="C4" s="10"/>
      <c r="D4" s="10">
        <v>93</v>
      </c>
      <c r="E4" s="10">
        <v>5</v>
      </c>
      <c r="F4" s="29" t="s">
        <v>146</v>
      </c>
      <c r="G4" s="20">
        <f>D4*E4</f>
        <v>465</v>
      </c>
      <c r="H4" s="1"/>
    </row>
    <row r="5" spans="1:8" x14ac:dyDescent="0.25">
      <c r="A5" s="81"/>
      <c r="B5" s="1"/>
      <c r="C5" s="1"/>
      <c r="D5" s="1"/>
      <c r="E5" s="1"/>
      <c r="F5" s="1"/>
      <c r="G5" s="20"/>
      <c r="H5" s="1"/>
    </row>
    <row r="6" spans="1:8" x14ac:dyDescent="0.25">
      <c r="A6" s="81"/>
      <c r="B6" s="1"/>
      <c r="C6" s="1"/>
      <c r="D6" s="1"/>
      <c r="E6" s="3"/>
      <c r="F6" s="28"/>
      <c r="G6" s="3"/>
      <c r="H6" s="1"/>
    </row>
    <row r="7" spans="1:8" x14ac:dyDescent="0.25">
      <c r="A7" s="81"/>
      <c r="B7" s="78" t="s">
        <v>7</v>
      </c>
      <c r="C7" s="79"/>
      <c r="D7" s="80"/>
      <c r="E7" s="3"/>
      <c r="F7" s="3"/>
      <c r="G7" s="14">
        <f>SUM(G3:G6)</f>
        <v>4965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81" t="s">
        <v>50</v>
      </c>
      <c r="B9" s="1" t="s">
        <v>51</v>
      </c>
      <c r="C9" s="1" t="s">
        <v>56</v>
      </c>
      <c r="D9" s="1">
        <v>45</v>
      </c>
      <c r="E9" s="1">
        <v>20</v>
      </c>
      <c r="F9" s="19" t="s">
        <v>145</v>
      </c>
      <c r="G9" s="1">
        <f>D9*E9</f>
        <v>900</v>
      </c>
      <c r="H9" s="1"/>
    </row>
    <row r="10" spans="1:8" x14ac:dyDescent="0.25">
      <c r="A10" s="81"/>
      <c r="B10" s="1" t="s">
        <v>52</v>
      </c>
      <c r="C10" s="1" t="s">
        <v>57</v>
      </c>
      <c r="D10" s="1">
        <v>144</v>
      </c>
      <c r="E10" s="1">
        <v>15</v>
      </c>
      <c r="F10" s="19" t="s">
        <v>145</v>
      </c>
      <c r="G10" s="51">
        <f t="shared" ref="G10:G13" si="0">D10*E10</f>
        <v>2160</v>
      </c>
      <c r="H10" s="1"/>
    </row>
    <row r="11" spans="1:8" x14ac:dyDescent="0.25">
      <c r="A11" s="81"/>
      <c r="B11" s="1" t="s">
        <v>53</v>
      </c>
      <c r="C11" s="1" t="s">
        <v>58</v>
      </c>
      <c r="D11" s="1">
        <v>21.42</v>
      </c>
      <c r="E11" s="1">
        <v>3</v>
      </c>
      <c r="F11" s="19" t="s">
        <v>145</v>
      </c>
      <c r="G11" s="51">
        <f t="shared" si="0"/>
        <v>64.260000000000005</v>
      </c>
      <c r="H11" s="1"/>
    </row>
    <row r="12" spans="1:8" x14ac:dyDescent="0.25">
      <c r="A12" s="81"/>
      <c r="B12" s="1" t="s">
        <v>54</v>
      </c>
      <c r="C12" s="1" t="s">
        <v>58</v>
      </c>
      <c r="D12" s="1">
        <v>10.26</v>
      </c>
      <c r="E12" s="1">
        <v>3</v>
      </c>
      <c r="F12" s="19" t="s">
        <v>145</v>
      </c>
      <c r="G12" s="51">
        <f t="shared" si="0"/>
        <v>30.78</v>
      </c>
      <c r="H12" s="1"/>
    </row>
    <row r="13" spans="1:8" x14ac:dyDescent="0.25">
      <c r="A13" s="81"/>
      <c r="B13" s="1" t="s">
        <v>55</v>
      </c>
      <c r="C13" s="1" t="s">
        <v>59</v>
      </c>
      <c r="D13" s="1">
        <v>150</v>
      </c>
      <c r="E13" s="1">
        <v>8</v>
      </c>
      <c r="F13" s="19" t="s">
        <v>145</v>
      </c>
      <c r="G13" s="51">
        <f t="shared" si="0"/>
        <v>1200</v>
      </c>
      <c r="H13" s="1"/>
    </row>
    <row r="14" spans="1:8" x14ac:dyDescent="0.25">
      <c r="A14" s="81"/>
      <c r="B14" s="78" t="s">
        <v>7</v>
      </c>
      <c r="C14" s="79"/>
      <c r="D14" s="80"/>
      <c r="E14" s="3"/>
      <c r="F14" s="3"/>
      <c r="G14" s="14">
        <f>SUM(G9:G13)</f>
        <v>4355.0400000000009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81" t="s">
        <v>154</v>
      </c>
      <c r="B16" s="1" t="s">
        <v>60</v>
      </c>
      <c r="C16" s="1" t="s">
        <v>65</v>
      </c>
      <c r="D16" s="1">
        <v>38.76</v>
      </c>
      <c r="E16" s="1">
        <v>45</v>
      </c>
      <c r="F16" s="55" t="s">
        <v>16</v>
      </c>
      <c r="G16" s="1">
        <f>D16*E16</f>
        <v>1744.1999999999998</v>
      </c>
      <c r="H16" s="1"/>
    </row>
    <row r="17" spans="1:8" x14ac:dyDescent="0.25">
      <c r="A17" s="81"/>
      <c r="B17" s="1" t="s">
        <v>61</v>
      </c>
      <c r="C17" s="1" t="s">
        <v>66</v>
      </c>
      <c r="D17" s="1">
        <v>100</v>
      </c>
      <c r="E17" s="1">
        <v>4</v>
      </c>
      <c r="F17" s="55" t="s">
        <v>16</v>
      </c>
      <c r="G17" s="51">
        <f t="shared" ref="G17:G19" si="1">D17*E17</f>
        <v>400</v>
      </c>
      <c r="H17" s="1"/>
    </row>
    <row r="18" spans="1:8" x14ac:dyDescent="0.25">
      <c r="A18" s="81"/>
      <c r="B18" s="51" t="s">
        <v>148</v>
      </c>
      <c r="C18" s="51"/>
      <c r="D18" s="51">
        <v>78.599999999999994</v>
      </c>
      <c r="E18" s="51">
        <v>10</v>
      </c>
      <c r="F18" s="51" t="s">
        <v>145</v>
      </c>
      <c r="G18" s="51">
        <f t="shared" si="1"/>
        <v>786</v>
      </c>
      <c r="H18" s="1"/>
    </row>
    <row r="19" spans="1:8" x14ac:dyDescent="0.25">
      <c r="A19" s="81"/>
      <c r="B19" s="1" t="s">
        <v>62</v>
      </c>
      <c r="C19" s="1" t="s">
        <v>68</v>
      </c>
      <c r="D19" s="1">
        <v>22.44</v>
      </c>
      <c r="E19" s="3">
        <v>5</v>
      </c>
      <c r="F19" s="55" t="s">
        <v>16</v>
      </c>
      <c r="G19" s="51">
        <f t="shared" si="1"/>
        <v>112.2</v>
      </c>
      <c r="H19" s="1"/>
    </row>
    <row r="20" spans="1:8" x14ac:dyDescent="0.25">
      <c r="A20" s="81"/>
      <c r="B20" s="78"/>
      <c r="C20" s="79"/>
      <c r="D20" s="80"/>
      <c r="E20" s="3"/>
      <c r="F20" s="3"/>
      <c r="G20" s="14">
        <f>SUM(G16:G19)</f>
        <v>3042.3999999999996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82"/>
      <c r="B22" s="1" t="s">
        <v>23</v>
      </c>
      <c r="C22" s="1"/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83"/>
      <c r="B23" s="24" t="s">
        <v>25</v>
      </c>
      <c r="C23" s="1"/>
      <c r="D23" s="1">
        <v>90</v>
      </c>
      <c r="E23" s="1">
        <v>0.5</v>
      </c>
      <c r="F23" s="1" t="s">
        <v>22</v>
      </c>
      <c r="G23" s="51">
        <f t="shared" ref="G23:G29" si="2">D23*E23</f>
        <v>45</v>
      </c>
      <c r="H23" s="1"/>
    </row>
    <row r="24" spans="1:8" x14ac:dyDescent="0.25">
      <c r="A24" s="83"/>
      <c r="B24" s="24" t="s">
        <v>19</v>
      </c>
      <c r="C24" s="1"/>
      <c r="D24" s="1">
        <v>96</v>
      </c>
      <c r="E24" s="1">
        <v>8</v>
      </c>
      <c r="F24" s="1" t="s">
        <v>18</v>
      </c>
      <c r="G24" s="51">
        <f t="shared" si="2"/>
        <v>768</v>
      </c>
      <c r="H24" s="1"/>
    </row>
    <row r="25" spans="1:8" x14ac:dyDescent="0.25">
      <c r="A25" s="83"/>
      <c r="B25" s="1" t="s">
        <v>20</v>
      </c>
      <c r="C25" s="1"/>
      <c r="D25" s="1">
        <v>28.8</v>
      </c>
      <c r="E25" s="1">
        <v>4</v>
      </c>
      <c r="F25" s="1" t="s">
        <v>18</v>
      </c>
      <c r="G25" s="51">
        <f t="shared" si="2"/>
        <v>115.2</v>
      </c>
      <c r="H25" s="1"/>
    </row>
    <row r="26" spans="1:8" x14ac:dyDescent="0.25">
      <c r="A26" s="83"/>
      <c r="B26" s="10" t="s">
        <v>21</v>
      </c>
      <c r="C26" s="10"/>
      <c r="D26" s="10">
        <v>56.4</v>
      </c>
      <c r="E26" s="10">
        <v>20</v>
      </c>
      <c r="F26" s="11" t="s">
        <v>16</v>
      </c>
      <c r="G26" s="51">
        <f t="shared" si="2"/>
        <v>1128</v>
      </c>
      <c r="H26" s="10"/>
    </row>
    <row r="27" spans="1:8" x14ac:dyDescent="0.25">
      <c r="A27" s="83"/>
      <c r="B27" s="10" t="s">
        <v>28</v>
      </c>
      <c r="C27" s="10"/>
      <c r="D27" s="10">
        <v>97.5</v>
      </c>
      <c r="E27" s="10">
        <v>4</v>
      </c>
      <c r="F27" s="10" t="s">
        <v>24</v>
      </c>
      <c r="G27" s="51">
        <f t="shared" si="2"/>
        <v>390</v>
      </c>
      <c r="H27" s="10"/>
    </row>
    <row r="28" spans="1:8" x14ac:dyDescent="0.25">
      <c r="A28" s="83"/>
      <c r="B28" s="10" t="s">
        <v>63</v>
      </c>
      <c r="C28" s="10" t="s">
        <v>59</v>
      </c>
      <c r="D28" s="10">
        <v>22.8</v>
      </c>
      <c r="E28" s="10">
        <v>8</v>
      </c>
      <c r="F28" s="33" t="s">
        <v>145</v>
      </c>
      <c r="G28" s="51">
        <f t="shared" si="2"/>
        <v>182.4</v>
      </c>
      <c r="H28" s="10" t="s">
        <v>64</v>
      </c>
    </row>
    <row r="29" spans="1:8" x14ac:dyDescent="0.25">
      <c r="A29" s="83"/>
      <c r="B29" s="51" t="s">
        <v>149</v>
      </c>
      <c r="C29" s="51"/>
      <c r="D29" s="51">
        <v>4.5</v>
      </c>
      <c r="E29" s="51">
        <v>50</v>
      </c>
      <c r="F29" s="51" t="s">
        <v>150</v>
      </c>
      <c r="G29" s="34">
        <f t="shared" si="2"/>
        <v>225</v>
      </c>
      <c r="H29" s="10"/>
    </row>
    <row r="30" spans="1:8" x14ac:dyDescent="0.25">
      <c r="A30" s="83"/>
      <c r="B30" s="10"/>
      <c r="C30" s="10"/>
      <c r="D30" s="10"/>
      <c r="E30" s="10"/>
      <c r="F30" s="10"/>
      <c r="G30" s="34"/>
      <c r="H30" s="10"/>
    </row>
    <row r="31" spans="1:8" x14ac:dyDescent="0.25">
      <c r="A31" s="84"/>
      <c r="B31" s="78" t="s">
        <v>17</v>
      </c>
      <c r="C31" s="79"/>
      <c r="D31" s="80"/>
      <c r="E31" s="26"/>
      <c r="F31" s="26"/>
      <c r="G31" s="15">
        <f>SUM(G22:G30)</f>
        <v>3153.6</v>
      </c>
      <c r="H31" s="10"/>
    </row>
    <row r="32" spans="1:8" x14ac:dyDescent="0.25">
      <c r="A32" s="1" t="s">
        <v>11</v>
      </c>
      <c r="B32" s="26" t="s">
        <v>1</v>
      </c>
      <c r="C32" s="26" t="s">
        <v>2</v>
      </c>
      <c r="D32" s="26" t="s">
        <v>3</v>
      </c>
      <c r="E32" s="26" t="s">
        <v>4</v>
      </c>
      <c r="F32" s="26"/>
      <c r="G32" s="1" t="s">
        <v>5</v>
      </c>
      <c r="H32" s="1" t="s">
        <v>6</v>
      </c>
    </row>
    <row r="33" spans="1:8" x14ac:dyDescent="0.25">
      <c r="A33" s="81" t="s">
        <v>69</v>
      </c>
      <c r="B33" s="38" t="s">
        <v>70</v>
      </c>
      <c r="C33" s="38"/>
      <c r="D33" s="38"/>
      <c r="E33" s="38"/>
      <c r="F33" s="38"/>
      <c r="G33" s="38"/>
      <c r="H33" s="38" t="s">
        <v>72</v>
      </c>
    </row>
    <row r="34" spans="1:8" x14ac:dyDescent="0.25">
      <c r="A34" s="81"/>
      <c r="B34" s="38" t="s">
        <v>71</v>
      </c>
      <c r="C34" s="38"/>
      <c r="D34" s="38"/>
      <c r="E34" s="38"/>
      <c r="F34" s="38"/>
      <c r="G34" s="38"/>
      <c r="H34" s="38" t="s">
        <v>72</v>
      </c>
    </row>
    <row r="35" spans="1:8" x14ac:dyDescent="0.25">
      <c r="A35" s="81"/>
      <c r="B35" s="38"/>
      <c r="C35" s="38"/>
      <c r="D35" s="38"/>
      <c r="E35" s="38"/>
      <c r="F35" s="38"/>
      <c r="G35" s="38">
        <f t="shared" ref="G35" si="3">D35*E35</f>
        <v>0</v>
      </c>
      <c r="H35" s="38"/>
    </row>
    <row r="36" spans="1:8" x14ac:dyDescent="0.25">
      <c r="A36" s="81"/>
      <c r="B36" s="78" t="s">
        <v>7</v>
      </c>
      <c r="C36" s="79"/>
      <c r="D36" s="80"/>
      <c r="E36" s="37"/>
      <c r="F36" s="37"/>
      <c r="G36" s="16">
        <f>SUM(G33:G35)</f>
        <v>0</v>
      </c>
      <c r="H36" s="38"/>
    </row>
    <row r="37" spans="1:8" x14ac:dyDescent="0.25">
      <c r="A37" s="1" t="s">
        <v>12</v>
      </c>
      <c r="B37" s="26" t="s">
        <v>1</v>
      </c>
      <c r="C37" s="26" t="s">
        <v>2</v>
      </c>
      <c r="D37" s="26" t="s">
        <v>3</v>
      </c>
      <c r="E37" s="27" t="s">
        <v>4</v>
      </c>
      <c r="F37" s="27"/>
      <c r="G37" s="3" t="s">
        <v>5</v>
      </c>
      <c r="H37" s="1" t="s">
        <v>6</v>
      </c>
    </row>
    <row r="38" spans="1:8" x14ac:dyDescent="0.25">
      <c r="A38" s="82"/>
      <c r="B38" s="1" t="s">
        <v>147</v>
      </c>
      <c r="C38" s="1"/>
      <c r="D38" s="1">
        <v>7.14</v>
      </c>
      <c r="E38" s="1">
        <v>70</v>
      </c>
      <c r="F38" s="1" t="s">
        <v>145</v>
      </c>
      <c r="G38" s="2">
        <f>D38*E38</f>
        <v>499.79999999999995</v>
      </c>
      <c r="H38" s="1"/>
    </row>
    <row r="39" spans="1:8" x14ac:dyDescent="0.25">
      <c r="A39" s="83"/>
      <c r="B39" s="1" t="s">
        <v>153</v>
      </c>
      <c r="C39" s="1">
        <v>260</v>
      </c>
      <c r="D39" s="1">
        <v>36.479999999999997</v>
      </c>
      <c r="E39" s="19">
        <v>80</v>
      </c>
      <c r="F39" s="1" t="s">
        <v>29</v>
      </c>
      <c r="G39" s="2">
        <f>D39*E39</f>
        <v>2918.3999999999996</v>
      </c>
      <c r="H39" s="1"/>
    </row>
    <row r="40" spans="1:8" x14ac:dyDescent="0.25">
      <c r="A40" s="84"/>
      <c r="B40" s="78" t="s">
        <v>7</v>
      </c>
      <c r="C40" s="79"/>
      <c r="D40" s="80"/>
      <c r="E40" s="3"/>
      <c r="F40" s="3"/>
      <c r="G40" s="14">
        <f>SUM(G38:G39)</f>
        <v>3418.2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81"/>
      <c r="B42" s="1" t="s">
        <v>151</v>
      </c>
      <c r="C42" s="1"/>
      <c r="D42" s="1">
        <v>120</v>
      </c>
      <c r="E42" s="1">
        <v>1</v>
      </c>
      <c r="F42" s="1" t="s">
        <v>152</v>
      </c>
      <c r="G42" s="1">
        <f>D42*E42</f>
        <v>120</v>
      </c>
      <c r="H42" s="1"/>
    </row>
    <row r="43" spans="1:8" x14ac:dyDescent="0.25">
      <c r="A43" s="81"/>
      <c r="B43" s="78" t="s">
        <v>7</v>
      </c>
      <c r="C43" s="79"/>
      <c r="D43" s="80"/>
      <c r="E43" s="3"/>
      <c r="F43" s="3"/>
      <c r="G43" s="16">
        <f>SUM(G42:G42)</f>
        <v>120</v>
      </c>
      <c r="H43" s="1"/>
    </row>
    <row r="44" spans="1:8" ht="17.25" thickBot="1" x14ac:dyDescent="0.3">
      <c r="A44" s="1"/>
      <c r="B44" s="75" t="s">
        <v>14</v>
      </c>
      <c r="C44" s="76"/>
      <c r="D44" s="77"/>
      <c r="E44" s="8"/>
      <c r="F44" s="8"/>
      <c r="G44" s="9">
        <f>G43+G40+G36+G20+G14+G7+G31</f>
        <v>19054.239999999998</v>
      </c>
      <c r="H44" s="1"/>
    </row>
    <row r="45" spans="1:8" x14ac:dyDescent="0.25">
      <c r="A45" s="63" t="s">
        <v>30</v>
      </c>
      <c r="B45" s="66" t="s">
        <v>31</v>
      </c>
      <c r="C45" s="66"/>
      <c r="D45" s="66"/>
      <c r="E45" s="67" t="s">
        <v>32</v>
      </c>
      <c r="F45" s="68"/>
      <c r="G45" s="69"/>
      <c r="H45" s="39" t="s">
        <v>33</v>
      </c>
    </row>
    <row r="46" spans="1:8" x14ac:dyDescent="0.25">
      <c r="A46" s="64"/>
      <c r="B46" s="70" t="s">
        <v>163</v>
      </c>
      <c r="C46" s="71"/>
      <c r="D46" s="71"/>
      <c r="E46" s="40" t="s">
        <v>34</v>
      </c>
      <c r="F46" s="73"/>
      <c r="G46" s="74"/>
      <c r="H46" s="59" t="s">
        <v>155</v>
      </c>
    </row>
    <row r="47" spans="1:8" ht="17.25" thickBot="1" x14ac:dyDescent="0.3">
      <c r="A47" s="65"/>
      <c r="B47" s="72"/>
      <c r="C47" s="72"/>
      <c r="D47" s="72"/>
      <c r="E47" s="41" t="s">
        <v>35</v>
      </c>
      <c r="F47" s="61" t="s">
        <v>162</v>
      </c>
      <c r="G47" s="62"/>
      <c r="H47" s="60"/>
    </row>
  </sheetData>
  <mergeCells count="23">
    <mergeCell ref="B20:D20"/>
    <mergeCell ref="A1:H1"/>
    <mergeCell ref="A3:A7"/>
    <mergeCell ref="B7:D7"/>
    <mergeCell ref="A9:A14"/>
    <mergeCell ref="B14:D14"/>
    <mergeCell ref="A42:A43"/>
    <mergeCell ref="A33:A36"/>
    <mergeCell ref="A38:A40"/>
    <mergeCell ref="A16:A20"/>
    <mergeCell ref="A22:A31"/>
    <mergeCell ref="B44:D44"/>
    <mergeCell ref="B43:D43"/>
    <mergeCell ref="B40:D40"/>
    <mergeCell ref="B36:D36"/>
    <mergeCell ref="B31:D31"/>
    <mergeCell ref="H46:H47"/>
    <mergeCell ref="F47:G47"/>
    <mergeCell ref="A45:A47"/>
    <mergeCell ref="B45:D45"/>
    <mergeCell ref="E45:G45"/>
    <mergeCell ref="B46:D47"/>
    <mergeCell ref="F46:G4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28" workbookViewId="0">
      <selection activeCell="F54" sqref="F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85" t="s">
        <v>45</v>
      </c>
      <c r="B1" s="86"/>
      <c r="C1" s="86"/>
      <c r="D1" s="86"/>
      <c r="E1" s="86"/>
      <c r="F1" s="86"/>
      <c r="G1" s="86"/>
      <c r="H1" s="8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81" t="s">
        <v>77</v>
      </c>
      <c r="B3" s="46" t="s">
        <v>73</v>
      </c>
      <c r="C3" s="46" t="s">
        <v>84</v>
      </c>
      <c r="D3" s="46">
        <v>7</v>
      </c>
      <c r="E3" s="46">
        <v>300</v>
      </c>
      <c r="F3" s="46" t="s">
        <v>150</v>
      </c>
      <c r="G3" s="2">
        <f>D3*E3</f>
        <v>2100</v>
      </c>
      <c r="H3" s="1"/>
    </row>
    <row r="4" spans="1:8" x14ac:dyDescent="0.25">
      <c r="A4" s="81"/>
      <c r="B4" s="1" t="s">
        <v>78</v>
      </c>
      <c r="C4" s="1" t="s">
        <v>57</v>
      </c>
      <c r="D4" s="1">
        <v>30</v>
      </c>
      <c r="E4" s="25">
        <v>15</v>
      </c>
      <c r="F4" s="46" t="s">
        <v>145</v>
      </c>
      <c r="G4" s="2">
        <f t="shared" ref="G4:G5" si="0">D4*E4</f>
        <v>450</v>
      </c>
      <c r="H4" s="1"/>
    </row>
    <row r="5" spans="1:8" x14ac:dyDescent="0.25">
      <c r="A5" s="81"/>
      <c r="B5" s="1" t="s">
        <v>71</v>
      </c>
      <c r="C5" s="1" t="s">
        <v>85</v>
      </c>
      <c r="D5" s="1">
        <v>56.4</v>
      </c>
      <c r="E5" s="1">
        <v>20</v>
      </c>
      <c r="F5" s="51" t="s">
        <v>145</v>
      </c>
      <c r="G5" s="2">
        <f t="shared" si="0"/>
        <v>1128</v>
      </c>
      <c r="H5" s="1"/>
    </row>
    <row r="6" spans="1:8" x14ac:dyDescent="0.25">
      <c r="A6" s="81"/>
      <c r="B6" s="1"/>
      <c r="C6" s="1"/>
      <c r="D6" s="1"/>
      <c r="E6" s="3"/>
      <c r="F6" s="3"/>
      <c r="G6" s="2"/>
      <c r="H6" s="1"/>
    </row>
    <row r="7" spans="1:8" x14ac:dyDescent="0.25">
      <c r="A7" s="81"/>
      <c r="B7" s="78" t="s">
        <v>7</v>
      </c>
      <c r="C7" s="79"/>
      <c r="D7" s="80"/>
      <c r="E7" s="3"/>
      <c r="F7" s="3"/>
      <c r="G7" s="14">
        <f>SUM(G3:G6)</f>
        <v>3678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81" t="s">
        <v>74</v>
      </c>
      <c r="B9" s="1" t="s">
        <v>79</v>
      </c>
      <c r="C9" s="1" t="s">
        <v>86</v>
      </c>
      <c r="D9" s="1">
        <v>11.5</v>
      </c>
      <c r="E9" s="1">
        <v>580</v>
      </c>
      <c r="F9" s="29" t="s">
        <v>157</v>
      </c>
      <c r="G9" s="1">
        <f>D9*E9</f>
        <v>6670</v>
      </c>
      <c r="H9" s="1"/>
    </row>
    <row r="10" spans="1:8" x14ac:dyDescent="0.25">
      <c r="A10" s="81"/>
      <c r="B10" s="1" t="s">
        <v>80</v>
      </c>
      <c r="C10" s="1" t="s">
        <v>87</v>
      </c>
      <c r="D10" s="1">
        <v>168</v>
      </c>
      <c r="E10" s="19">
        <v>50.5</v>
      </c>
      <c r="F10" s="29" t="s">
        <v>145</v>
      </c>
      <c r="G10" s="51">
        <f>D10*E10</f>
        <v>8484</v>
      </c>
      <c r="H10" s="1"/>
    </row>
    <row r="11" spans="1:8" x14ac:dyDescent="0.25">
      <c r="A11" s="81"/>
      <c r="B11" s="1"/>
      <c r="C11" s="1"/>
      <c r="D11" s="1"/>
      <c r="E11" s="1"/>
      <c r="F11" s="29"/>
      <c r="G11" s="1"/>
      <c r="H11" s="1"/>
    </row>
    <row r="12" spans="1:8" x14ac:dyDescent="0.25">
      <c r="A12" s="81"/>
      <c r="B12" s="1"/>
      <c r="C12" s="1"/>
      <c r="D12" s="1"/>
      <c r="E12" s="1"/>
      <c r="F12" s="29"/>
      <c r="G12" s="1"/>
      <c r="H12" s="1"/>
    </row>
    <row r="13" spans="1:8" x14ac:dyDescent="0.25">
      <c r="A13" s="81"/>
      <c r="B13" s="1"/>
      <c r="C13" s="1"/>
      <c r="D13" s="1"/>
      <c r="E13" s="1"/>
      <c r="F13" s="1"/>
      <c r="G13" s="1"/>
      <c r="H13" s="1"/>
    </row>
    <row r="14" spans="1:8" x14ac:dyDescent="0.25">
      <c r="A14" s="81"/>
      <c r="B14" s="78" t="s">
        <v>7</v>
      </c>
      <c r="C14" s="79"/>
      <c r="D14" s="80"/>
      <c r="E14" s="3"/>
      <c r="F14" s="3"/>
      <c r="G14" s="14">
        <f>SUM(G9:G13)</f>
        <v>15154</v>
      </c>
      <c r="H14" s="1"/>
    </row>
    <row r="15" spans="1:8" x14ac:dyDescent="0.25">
      <c r="A15" s="26" t="s">
        <v>26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81" t="s">
        <v>76</v>
      </c>
      <c r="B16" s="1" t="s">
        <v>81</v>
      </c>
      <c r="C16" s="1" t="s">
        <v>88</v>
      </c>
      <c r="D16" s="1">
        <v>42.6</v>
      </c>
      <c r="E16" s="1">
        <v>25</v>
      </c>
      <c r="F16" s="51" t="s">
        <v>145</v>
      </c>
      <c r="G16" s="1">
        <f>D16*E16</f>
        <v>1065</v>
      </c>
      <c r="H16" s="1"/>
    </row>
    <row r="17" spans="1:8" x14ac:dyDescent="0.25">
      <c r="A17" s="81"/>
      <c r="B17" s="1" t="s">
        <v>82</v>
      </c>
      <c r="C17" s="1" t="s">
        <v>59</v>
      </c>
      <c r="D17" s="1">
        <v>126</v>
      </c>
      <c r="E17" s="1">
        <v>8</v>
      </c>
      <c r="F17" s="51" t="s">
        <v>145</v>
      </c>
      <c r="G17" s="51">
        <f>D17*E17</f>
        <v>1008</v>
      </c>
      <c r="H17" s="1"/>
    </row>
    <row r="18" spans="1:8" x14ac:dyDescent="0.25">
      <c r="A18" s="81"/>
      <c r="B18" s="1" t="s">
        <v>83</v>
      </c>
      <c r="C18" s="1" t="s">
        <v>66</v>
      </c>
      <c r="D18" s="1">
        <v>30.6</v>
      </c>
      <c r="E18" s="1">
        <v>4</v>
      </c>
      <c r="F18" s="51" t="s">
        <v>145</v>
      </c>
      <c r="G18" s="51">
        <f>D18*E18</f>
        <v>122.4</v>
      </c>
      <c r="H18" s="1"/>
    </row>
    <row r="19" spans="1:8" x14ac:dyDescent="0.25">
      <c r="A19" s="81"/>
      <c r="B19" s="78" t="s">
        <v>7</v>
      </c>
      <c r="C19" s="79"/>
      <c r="D19" s="80"/>
      <c r="E19" s="3"/>
      <c r="F19" s="3"/>
      <c r="G19" s="14">
        <f>SUM(G16:G18)</f>
        <v>2195.4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82"/>
      <c r="B21" s="1" t="s">
        <v>93</v>
      </c>
      <c r="C21" s="1" t="s">
        <v>94</v>
      </c>
      <c r="D21" s="1">
        <v>210</v>
      </c>
      <c r="E21" s="1">
        <v>2</v>
      </c>
      <c r="F21" s="1" t="s">
        <v>150</v>
      </c>
      <c r="G21" s="1">
        <f>D21*E21</f>
        <v>420</v>
      </c>
      <c r="H21" s="1" t="s">
        <v>96</v>
      </c>
    </row>
    <row r="22" spans="1:8" x14ac:dyDescent="0.25">
      <c r="A22" s="83"/>
      <c r="B22" s="30" t="s">
        <v>48</v>
      </c>
      <c r="C22" s="30" t="s">
        <v>95</v>
      </c>
      <c r="D22" s="30">
        <v>72</v>
      </c>
      <c r="E22" s="19">
        <v>10.9</v>
      </c>
      <c r="F22" s="30" t="s">
        <v>145</v>
      </c>
      <c r="G22" s="51">
        <f t="shared" ref="G22:G24" si="1">D22*E22</f>
        <v>784.80000000000007</v>
      </c>
      <c r="H22" s="48" t="s">
        <v>64</v>
      </c>
    </row>
    <row r="23" spans="1:8" x14ac:dyDescent="0.25">
      <c r="A23" s="83"/>
      <c r="B23" s="30" t="s">
        <v>158</v>
      </c>
      <c r="C23" s="30"/>
      <c r="D23" s="30">
        <v>60</v>
      </c>
      <c r="E23" s="30">
        <v>20</v>
      </c>
      <c r="F23" s="30" t="s">
        <v>145</v>
      </c>
      <c r="G23" s="51">
        <f t="shared" si="1"/>
        <v>1200</v>
      </c>
      <c r="H23" s="48"/>
    </row>
    <row r="24" spans="1:8" x14ac:dyDescent="0.25">
      <c r="A24" s="84"/>
      <c r="B24" s="18" t="s">
        <v>159</v>
      </c>
      <c r="C24" s="18"/>
      <c r="D24" s="18">
        <v>530</v>
      </c>
      <c r="E24" s="18">
        <v>8</v>
      </c>
      <c r="F24" s="31" t="s">
        <v>160</v>
      </c>
      <c r="G24" s="51">
        <f t="shared" si="1"/>
        <v>4240</v>
      </c>
      <c r="H24" s="18"/>
    </row>
    <row r="25" spans="1:8" x14ac:dyDescent="0.25">
      <c r="A25" s="35"/>
      <c r="B25" s="78" t="s">
        <v>27</v>
      </c>
      <c r="C25" s="79"/>
      <c r="D25" s="80"/>
      <c r="E25" s="3"/>
      <c r="F25" s="3"/>
      <c r="G25" s="14">
        <f>SUM(G21:G24)</f>
        <v>6644.8</v>
      </c>
      <c r="H25" s="1"/>
    </row>
    <row r="26" spans="1:8" x14ac:dyDescent="0.25">
      <c r="A26" s="1" t="s">
        <v>11</v>
      </c>
      <c r="B26" s="1" t="s">
        <v>1</v>
      </c>
      <c r="C26" s="1" t="s">
        <v>2</v>
      </c>
      <c r="D26" s="1" t="s">
        <v>3</v>
      </c>
      <c r="E26" s="1" t="s">
        <v>4</v>
      </c>
      <c r="F26" s="1"/>
      <c r="G26" s="1" t="s">
        <v>5</v>
      </c>
      <c r="H26" s="1" t="s">
        <v>6</v>
      </c>
    </row>
    <row r="27" spans="1:8" x14ac:dyDescent="0.25">
      <c r="A27" s="81" t="s">
        <v>75</v>
      </c>
      <c r="B27" s="1" t="s">
        <v>89</v>
      </c>
      <c r="C27" s="1" t="s">
        <v>92</v>
      </c>
      <c r="D27" s="1">
        <v>215</v>
      </c>
      <c r="E27" s="1">
        <v>6</v>
      </c>
      <c r="F27" s="1"/>
      <c r="G27" s="1"/>
      <c r="H27" s="1"/>
    </row>
    <row r="28" spans="1:8" x14ac:dyDescent="0.25">
      <c r="A28" s="81"/>
      <c r="B28" s="34" t="s">
        <v>90</v>
      </c>
      <c r="C28" s="34" t="s">
        <v>88</v>
      </c>
      <c r="D28" s="34">
        <v>60</v>
      </c>
      <c r="E28" s="34">
        <v>25</v>
      </c>
      <c r="F28" s="34"/>
      <c r="G28" s="34"/>
      <c r="H28" s="42"/>
    </row>
    <row r="29" spans="1:8" x14ac:dyDescent="0.25">
      <c r="A29" s="81"/>
      <c r="B29" s="34" t="s">
        <v>91</v>
      </c>
      <c r="C29" s="34" t="s">
        <v>67</v>
      </c>
      <c r="D29" s="34">
        <v>141</v>
      </c>
      <c r="E29" s="34">
        <v>10</v>
      </c>
      <c r="F29" s="34"/>
      <c r="G29" s="34"/>
      <c r="H29" s="1"/>
    </row>
    <row r="30" spans="1:8" x14ac:dyDescent="0.25">
      <c r="A30" s="81"/>
      <c r="B30" s="78" t="s">
        <v>7</v>
      </c>
      <c r="C30" s="79"/>
      <c r="D30" s="80"/>
      <c r="E30" s="3"/>
      <c r="F30" s="3"/>
      <c r="G30" s="16">
        <f>SUM(G27:G29)</f>
        <v>0</v>
      </c>
      <c r="H30" s="1"/>
    </row>
    <row r="31" spans="1:8" x14ac:dyDescent="0.25">
      <c r="A31" s="1" t="s">
        <v>12</v>
      </c>
      <c r="B31" s="1" t="s">
        <v>1</v>
      </c>
      <c r="C31" s="1" t="s">
        <v>2</v>
      </c>
      <c r="D31" s="1" t="s">
        <v>3</v>
      </c>
      <c r="E31" s="3" t="s">
        <v>4</v>
      </c>
      <c r="F31" s="3"/>
      <c r="G31" s="3" t="s">
        <v>5</v>
      </c>
      <c r="H31" s="1" t="s">
        <v>6</v>
      </c>
    </row>
    <row r="32" spans="1:8" x14ac:dyDescent="0.25">
      <c r="A32" s="82"/>
      <c r="B32" s="1" t="s">
        <v>156</v>
      </c>
      <c r="C32" s="1"/>
      <c r="D32" s="1">
        <v>9.9</v>
      </c>
      <c r="E32" s="1">
        <v>70</v>
      </c>
      <c r="F32" s="1" t="s">
        <v>145</v>
      </c>
      <c r="G32" s="22">
        <f>D32*E32</f>
        <v>693</v>
      </c>
      <c r="H32" s="1"/>
    </row>
    <row r="33" spans="1:8" x14ac:dyDescent="0.25">
      <c r="A33" s="83"/>
      <c r="B33" s="1" t="s">
        <v>183</v>
      </c>
      <c r="C33" s="1"/>
      <c r="D33" s="1">
        <v>32.64</v>
      </c>
      <c r="E33" s="1">
        <v>63.34</v>
      </c>
      <c r="F33" s="1" t="s">
        <v>165</v>
      </c>
      <c r="G33" s="22">
        <f>D33*E33</f>
        <v>2067.4176000000002</v>
      </c>
      <c r="H33" s="1"/>
    </row>
    <row r="34" spans="1:8" x14ac:dyDescent="0.25">
      <c r="A34" s="84"/>
      <c r="B34" s="78" t="s">
        <v>7</v>
      </c>
      <c r="C34" s="79"/>
      <c r="D34" s="80"/>
      <c r="E34" s="3"/>
      <c r="F34" s="3"/>
      <c r="G34" s="14">
        <f>SUM(G32:G33)</f>
        <v>2760.4176000000002</v>
      </c>
      <c r="H34" s="6"/>
    </row>
    <row r="35" spans="1:8" x14ac:dyDescent="0.25">
      <c r="A35" s="7" t="s">
        <v>13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/>
    </row>
    <row r="36" spans="1:8" x14ac:dyDescent="0.25">
      <c r="A36" s="81"/>
      <c r="B36" s="1" t="s">
        <v>184</v>
      </c>
      <c r="C36" s="1"/>
      <c r="D36" s="1">
        <v>255</v>
      </c>
      <c r="E36" s="1">
        <v>1</v>
      </c>
      <c r="F36" s="1" t="s">
        <v>173</v>
      </c>
      <c r="G36" s="1">
        <f>D36*E36</f>
        <v>255</v>
      </c>
      <c r="H36" s="1"/>
    </row>
    <row r="37" spans="1:8" x14ac:dyDescent="0.25">
      <c r="A37" s="81"/>
      <c r="B37" s="1" t="s">
        <v>185</v>
      </c>
      <c r="C37" s="1"/>
      <c r="D37" s="1">
        <v>310</v>
      </c>
      <c r="E37" s="53">
        <v>1</v>
      </c>
      <c r="F37" s="53" t="s">
        <v>173</v>
      </c>
      <c r="G37" s="53">
        <f t="shared" ref="G37:G46" si="2">D37*E37</f>
        <v>310</v>
      </c>
      <c r="H37" s="1"/>
    </row>
    <row r="38" spans="1:8" x14ac:dyDescent="0.25">
      <c r="A38" s="81"/>
      <c r="B38" s="1" t="s">
        <v>186</v>
      </c>
      <c r="C38" s="1"/>
      <c r="D38" s="1">
        <v>56.4</v>
      </c>
      <c r="E38" s="1">
        <v>20</v>
      </c>
      <c r="F38" s="1" t="s">
        <v>165</v>
      </c>
      <c r="G38" s="53">
        <f t="shared" si="2"/>
        <v>1128</v>
      </c>
      <c r="H38" s="1"/>
    </row>
    <row r="39" spans="1:8" x14ac:dyDescent="0.25">
      <c r="A39" s="81"/>
      <c r="B39" s="1" t="s">
        <v>187</v>
      </c>
      <c r="C39" s="1"/>
      <c r="D39" s="1">
        <v>255</v>
      </c>
      <c r="E39" s="1">
        <v>1</v>
      </c>
      <c r="F39" s="1" t="s">
        <v>169</v>
      </c>
      <c r="G39" s="53">
        <f t="shared" si="2"/>
        <v>255</v>
      </c>
      <c r="H39" s="1"/>
    </row>
    <row r="40" spans="1:8" x14ac:dyDescent="0.25">
      <c r="A40" s="81"/>
      <c r="B40" s="53" t="s">
        <v>188</v>
      </c>
      <c r="C40" s="53"/>
      <c r="D40" s="53">
        <v>138</v>
      </c>
      <c r="E40" s="53">
        <v>2</v>
      </c>
      <c r="F40" s="53" t="s">
        <v>171</v>
      </c>
      <c r="G40" s="53">
        <f t="shared" si="2"/>
        <v>276</v>
      </c>
      <c r="H40" s="53"/>
    </row>
    <row r="41" spans="1:8" x14ac:dyDescent="0.25">
      <c r="A41" s="81"/>
      <c r="B41" s="53" t="s">
        <v>189</v>
      </c>
      <c r="C41" s="53"/>
      <c r="D41" s="53">
        <v>362</v>
      </c>
      <c r="E41" s="53">
        <v>2</v>
      </c>
      <c r="F41" s="53" t="s">
        <v>173</v>
      </c>
      <c r="G41" s="53">
        <f t="shared" si="2"/>
        <v>724</v>
      </c>
      <c r="H41" s="53"/>
    </row>
    <row r="42" spans="1:8" x14ac:dyDescent="0.25">
      <c r="A42" s="81"/>
      <c r="B42" s="53" t="s">
        <v>190</v>
      </c>
      <c r="C42" s="53"/>
      <c r="D42" s="53">
        <v>193</v>
      </c>
      <c r="E42" s="53">
        <v>2</v>
      </c>
      <c r="F42" s="53" t="s">
        <v>173</v>
      </c>
      <c r="G42" s="53">
        <f t="shared" si="2"/>
        <v>386</v>
      </c>
      <c r="H42" s="53"/>
    </row>
    <row r="43" spans="1:8" x14ac:dyDescent="0.25">
      <c r="A43" s="81"/>
      <c r="B43" s="53" t="s">
        <v>191</v>
      </c>
      <c r="C43" s="53"/>
      <c r="D43" s="53">
        <v>37</v>
      </c>
      <c r="E43" s="53">
        <v>20</v>
      </c>
      <c r="F43" s="53" t="s">
        <v>192</v>
      </c>
      <c r="G43" s="53">
        <f t="shared" si="2"/>
        <v>740</v>
      </c>
      <c r="H43" s="53"/>
    </row>
    <row r="44" spans="1:8" x14ac:dyDescent="0.25">
      <c r="A44" s="81"/>
      <c r="B44" s="53" t="s">
        <v>193</v>
      </c>
      <c r="C44" s="53"/>
      <c r="D44" s="53">
        <v>32</v>
      </c>
      <c r="E44" s="53">
        <v>50</v>
      </c>
      <c r="F44" s="53" t="s">
        <v>165</v>
      </c>
      <c r="G44" s="53">
        <f t="shared" si="2"/>
        <v>1600</v>
      </c>
      <c r="H44" s="53"/>
    </row>
    <row r="45" spans="1:8" x14ac:dyDescent="0.25">
      <c r="A45" s="81"/>
      <c r="B45" s="53" t="s">
        <v>194</v>
      </c>
      <c r="C45" s="53"/>
      <c r="D45" s="53">
        <v>600</v>
      </c>
      <c r="E45" s="53">
        <v>1</v>
      </c>
      <c r="F45" s="53" t="s">
        <v>173</v>
      </c>
      <c r="G45" s="53">
        <f t="shared" si="2"/>
        <v>600</v>
      </c>
      <c r="H45" s="53"/>
    </row>
    <row r="46" spans="1:8" x14ac:dyDescent="0.25">
      <c r="A46" s="81"/>
      <c r="B46" s="53" t="s">
        <v>195</v>
      </c>
      <c r="C46" s="53"/>
      <c r="D46" s="53">
        <v>120</v>
      </c>
      <c r="E46" s="53">
        <v>1</v>
      </c>
      <c r="F46" s="53" t="s">
        <v>169</v>
      </c>
      <c r="G46" s="53">
        <f t="shared" si="2"/>
        <v>120</v>
      </c>
      <c r="H46" s="53"/>
    </row>
    <row r="47" spans="1:8" x14ac:dyDescent="0.25">
      <c r="A47" s="81"/>
      <c r="B47" s="78" t="s">
        <v>7</v>
      </c>
      <c r="C47" s="79"/>
      <c r="D47" s="80"/>
      <c r="E47" s="3"/>
      <c r="F47" s="3"/>
      <c r="G47" s="16">
        <f>SUM(G36:G46)</f>
        <v>6394</v>
      </c>
      <c r="H47" s="1"/>
    </row>
    <row r="48" spans="1:8" ht="17.25" thickBot="1" x14ac:dyDescent="0.3">
      <c r="A48" s="1"/>
      <c r="B48" s="75" t="s">
        <v>14</v>
      </c>
      <c r="C48" s="76"/>
      <c r="D48" s="77"/>
      <c r="E48" s="8"/>
      <c r="F48" s="8"/>
      <c r="G48" s="9">
        <f>G47+G34+G30+G19+G14+G7+G25</f>
        <v>36826.617600000005</v>
      </c>
      <c r="H48" s="1"/>
    </row>
    <row r="49" spans="1:8" x14ac:dyDescent="0.25">
      <c r="A49" s="63" t="s">
        <v>30</v>
      </c>
      <c r="B49" s="66" t="s">
        <v>31</v>
      </c>
      <c r="C49" s="66"/>
      <c r="D49" s="66"/>
      <c r="E49" s="67" t="s">
        <v>32</v>
      </c>
      <c r="F49" s="68"/>
      <c r="G49" s="69"/>
      <c r="H49" s="39" t="s">
        <v>33</v>
      </c>
    </row>
    <row r="50" spans="1:8" x14ac:dyDescent="0.25">
      <c r="A50" s="64"/>
      <c r="B50" s="70" t="s">
        <v>197</v>
      </c>
      <c r="C50" s="71"/>
      <c r="D50" s="71"/>
      <c r="E50" s="40" t="s">
        <v>34</v>
      </c>
      <c r="F50" s="73"/>
      <c r="G50" s="74"/>
      <c r="H50" s="59" t="s">
        <v>161</v>
      </c>
    </row>
    <row r="51" spans="1:8" ht="17.25" thickBot="1" x14ac:dyDescent="0.3">
      <c r="A51" s="65"/>
      <c r="B51" s="72"/>
      <c r="C51" s="72"/>
      <c r="D51" s="72"/>
      <c r="E51" s="41" t="s">
        <v>35</v>
      </c>
      <c r="F51" s="61" t="s">
        <v>201</v>
      </c>
      <c r="G51" s="62"/>
      <c r="H51" s="60"/>
    </row>
  </sheetData>
  <mergeCells count="23">
    <mergeCell ref="A16:A19"/>
    <mergeCell ref="B19:D19"/>
    <mergeCell ref="A1:H1"/>
    <mergeCell ref="A3:A7"/>
    <mergeCell ref="B7:D7"/>
    <mergeCell ref="A9:A14"/>
    <mergeCell ref="B14:D14"/>
    <mergeCell ref="H50:H51"/>
    <mergeCell ref="F51:G51"/>
    <mergeCell ref="A21:A24"/>
    <mergeCell ref="A49:A51"/>
    <mergeCell ref="B49:D49"/>
    <mergeCell ref="E49:G49"/>
    <mergeCell ref="B50:D51"/>
    <mergeCell ref="F50:G50"/>
    <mergeCell ref="A36:A47"/>
    <mergeCell ref="B47:D47"/>
    <mergeCell ref="B48:D48"/>
    <mergeCell ref="B25:D25"/>
    <mergeCell ref="A27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>
      <selection activeCell="H52" sqref="H52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85" t="s">
        <v>44</v>
      </c>
      <c r="B1" s="86"/>
      <c r="C1" s="86"/>
      <c r="D1" s="86"/>
      <c r="E1" s="86"/>
      <c r="F1" s="86"/>
      <c r="G1" s="86"/>
      <c r="H1" s="8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81" t="s">
        <v>100</v>
      </c>
      <c r="B3" s="1" t="s">
        <v>101</v>
      </c>
      <c r="C3" s="1" t="s">
        <v>103</v>
      </c>
      <c r="D3" s="1">
        <v>99</v>
      </c>
      <c r="E3" s="1">
        <v>67.72</v>
      </c>
      <c r="F3" s="32" t="s">
        <v>165</v>
      </c>
      <c r="G3" s="2">
        <f>D3*E3</f>
        <v>6704.28</v>
      </c>
      <c r="H3" s="1"/>
    </row>
    <row r="4" spans="1:8" x14ac:dyDescent="0.25">
      <c r="A4" s="81"/>
      <c r="B4" s="1" t="s">
        <v>102</v>
      </c>
      <c r="C4" s="1" t="s">
        <v>104</v>
      </c>
      <c r="D4" s="1">
        <v>53.4</v>
      </c>
      <c r="E4" s="1">
        <v>5</v>
      </c>
      <c r="F4" s="33" t="s">
        <v>165</v>
      </c>
      <c r="G4" s="2">
        <f>D4*E4</f>
        <v>267</v>
      </c>
      <c r="H4" s="1"/>
    </row>
    <row r="5" spans="1:8" x14ac:dyDescent="0.25">
      <c r="A5" s="81"/>
      <c r="B5" s="1"/>
      <c r="C5" s="1"/>
      <c r="D5" s="1"/>
      <c r="E5" s="1"/>
      <c r="F5" s="29"/>
      <c r="G5" s="2"/>
      <c r="H5" s="1"/>
    </row>
    <row r="6" spans="1:8" x14ac:dyDescent="0.25">
      <c r="A6" s="81"/>
      <c r="B6" s="1"/>
      <c r="C6" s="1"/>
      <c r="D6" s="42"/>
      <c r="E6" s="42"/>
      <c r="F6" s="33"/>
      <c r="G6" s="2"/>
      <c r="H6" s="1"/>
    </row>
    <row r="7" spans="1:8" x14ac:dyDescent="0.25">
      <c r="A7" s="81"/>
      <c r="B7" s="78" t="s">
        <v>7</v>
      </c>
      <c r="C7" s="79"/>
      <c r="D7" s="80"/>
      <c r="E7" s="3"/>
      <c r="F7" s="3"/>
      <c r="G7" s="14">
        <f>SUM(G3:G6)</f>
        <v>6971.28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81" t="s">
        <v>105</v>
      </c>
      <c r="B9" s="1" t="s">
        <v>106</v>
      </c>
      <c r="C9" s="1" t="s">
        <v>59</v>
      </c>
      <c r="D9" s="1">
        <v>50.4</v>
      </c>
      <c r="E9" s="25">
        <v>8</v>
      </c>
      <c r="F9" s="53" t="s">
        <v>165</v>
      </c>
      <c r="G9" s="1">
        <f>D9*E9</f>
        <v>403.2</v>
      </c>
      <c r="H9" s="1"/>
    </row>
    <row r="10" spans="1:8" x14ac:dyDescent="0.25">
      <c r="A10" s="81"/>
      <c r="B10" s="1" t="s">
        <v>107</v>
      </c>
      <c r="C10" s="1" t="s">
        <v>59</v>
      </c>
      <c r="D10" s="1">
        <v>53.1</v>
      </c>
      <c r="E10" s="1">
        <v>8</v>
      </c>
      <c r="F10" s="53" t="s">
        <v>165</v>
      </c>
      <c r="G10" s="53">
        <f t="shared" ref="G10:G13" si="0">D10*E10</f>
        <v>424.8</v>
      </c>
      <c r="H10" s="1"/>
    </row>
    <row r="11" spans="1:8" x14ac:dyDescent="0.25">
      <c r="A11" s="81"/>
      <c r="B11" s="50" t="s">
        <v>108</v>
      </c>
      <c r="C11" s="50" t="s">
        <v>67</v>
      </c>
      <c r="D11" s="50">
        <v>21.6</v>
      </c>
      <c r="E11" s="50">
        <v>10</v>
      </c>
      <c r="F11" s="53" t="s">
        <v>165</v>
      </c>
      <c r="G11" s="53">
        <f t="shared" si="0"/>
        <v>216</v>
      </c>
      <c r="H11" s="50"/>
    </row>
    <row r="12" spans="1:8" x14ac:dyDescent="0.25">
      <c r="A12" s="81"/>
      <c r="B12" s="50" t="s">
        <v>109</v>
      </c>
      <c r="C12" s="50" t="s">
        <v>67</v>
      </c>
      <c r="D12" s="50">
        <v>97.5</v>
      </c>
      <c r="E12" s="50">
        <v>15</v>
      </c>
      <c r="F12" s="50" t="s">
        <v>165</v>
      </c>
      <c r="G12" s="53">
        <f t="shared" si="0"/>
        <v>1462.5</v>
      </c>
      <c r="H12" s="50"/>
    </row>
    <row r="13" spans="1:8" x14ac:dyDescent="0.25">
      <c r="A13" s="81"/>
      <c r="B13" s="1" t="s">
        <v>110</v>
      </c>
      <c r="C13" s="1" t="s">
        <v>67</v>
      </c>
      <c r="D13" s="1">
        <v>29.58</v>
      </c>
      <c r="E13" s="1">
        <v>20</v>
      </c>
      <c r="F13" s="29" t="s">
        <v>165</v>
      </c>
      <c r="G13" s="53">
        <f t="shared" si="0"/>
        <v>591.59999999999991</v>
      </c>
      <c r="H13" s="1"/>
    </row>
    <row r="14" spans="1:8" x14ac:dyDescent="0.25">
      <c r="A14" s="1" t="s">
        <v>9</v>
      </c>
      <c r="B14" s="78" t="s">
        <v>7</v>
      </c>
      <c r="C14" s="79"/>
      <c r="D14" s="80"/>
      <c r="E14" s="3"/>
      <c r="F14" s="3"/>
      <c r="G14" s="14">
        <f>SUM(G9:G13)</f>
        <v>3098.1</v>
      </c>
      <c r="H14" s="1"/>
    </row>
    <row r="15" spans="1:8" x14ac:dyDescent="0.25">
      <c r="A15" s="82"/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83"/>
      <c r="B16" s="1" t="s">
        <v>164</v>
      </c>
      <c r="C16" s="1"/>
      <c r="D16" s="1">
        <v>53.4</v>
      </c>
      <c r="E16" s="1">
        <v>5</v>
      </c>
      <c r="F16" s="29" t="s">
        <v>165</v>
      </c>
      <c r="G16" s="1">
        <f>D16*E16</f>
        <v>267</v>
      </c>
      <c r="H16" s="1"/>
    </row>
    <row r="17" spans="1:8" x14ac:dyDescent="0.25">
      <c r="A17" s="83"/>
      <c r="B17" s="1" t="s">
        <v>166</v>
      </c>
      <c r="C17" s="1"/>
      <c r="D17" s="1">
        <v>60</v>
      </c>
      <c r="E17" s="19">
        <v>1</v>
      </c>
      <c r="F17" s="42" t="s">
        <v>167</v>
      </c>
      <c r="G17" s="53">
        <f t="shared" ref="G17:G18" si="1">D17*E17</f>
        <v>60</v>
      </c>
      <c r="H17" s="1"/>
    </row>
    <row r="18" spans="1:8" x14ac:dyDescent="0.25">
      <c r="A18" s="83"/>
      <c r="B18" s="53" t="s">
        <v>170</v>
      </c>
      <c r="C18" s="53"/>
      <c r="D18" s="53">
        <v>125</v>
      </c>
      <c r="E18" s="52">
        <v>12</v>
      </c>
      <c r="F18" s="52" t="s">
        <v>171</v>
      </c>
      <c r="G18" s="53">
        <f t="shared" si="1"/>
        <v>1500</v>
      </c>
      <c r="H18" s="1"/>
    </row>
    <row r="19" spans="1:8" x14ac:dyDescent="0.25">
      <c r="A19" s="84"/>
      <c r="B19" s="78" t="s">
        <v>7</v>
      </c>
      <c r="C19" s="79"/>
      <c r="D19" s="80"/>
      <c r="E19" s="3"/>
      <c r="F19" s="3"/>
      <c r="G19" s="16">
        <f>SUM(G16:G18)</f>
        <v>1827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81"/>
      <c r="B21" s="1" t="s">
        <v>172</v>
      </c>
      <c r="C21" s="1"/>
      <c r="D21" s="1">
        <v>480</v>
      </c>
      <c r="E21" s="1">
        <v>1</v>
      </c>
      <c r="F21" s="32" t="s">
        <v>173</v>
      </c>
      <c r="G21" s="1">
        <f>D21*E21</f>
        <v>480</v>
      </c>
      <c r="H21" s="1"/>
    </row>
    <row r="22" spans="1:8" x14ac:dyDescent="0.25">
      <c r="A22" s="81"/>
      <c r="B22" s="1" t="s">
        <v>174</v>
      </c>
      <c r="C22" s="1"/>
      <c r="D22" s="1">
        <v>480</v>
      </c>
      <c r="E22" s="53">
        <v>1</v>
      </c>
      <c r="F22" s="53" t="s">
        <v>173</v>
      </c>
      <c r="G22" s="53">
        <f t="shared" ref="G22:G27" si="2">D22*E22</f>
        <v>480</v>
      </c>
      <c r="H22" s="33"/>
    </row>
    <row r="23" spans="1:8" x14ac:dyDescent="0.25">
      <c r="A23" s="81"/>
      <c r="B23" s="1" t="s">
        <v>175</v>
      </c>
      <c r="C23" s="1"/>
      <c r="D23" s="1">
        <v>180</v>
      </c>
      <c r="E23" s="1">
        <v>5</v>
      </c>
      <c r="F23" s="33" t="s">
        <v>165</v>
      </c>
      <c r="G23" s="53">
        <f t="shared" si="2"/>
        <v>900</v>
      </c>
      <c r="H23" s="33"/>
    </row>
    <row r="24" spans="1:8" x14ac:dyDescent="0.25">
      <c r="A24" s="81"/>
      <c r="B24" s="1" t="s">
        <v>176</v>
      </c>
      <c r="C24" s="1"/>
      <c r="D24" s="1">
        <v>1250</v>
      </c>
      <c r="E24" s="1">
        <v>1</v>
      </c>
      <c r="F24" s="33" t="s">
        <v>177</v>
      </c>
      <c r="G24" s="53">
        <f t="shared" si="2"/>
        <v>1250</v>
      </c>
      <c r="H24" s="33"/>
    </row>
    <row r="25" spans="1:8" x14ac:dyDescent="0.25">
      <c r="A25" s="81"/>
      <c r="B25" s="21" t="s">
        <v>178</v>
      </c>
      <c r="C25" s="21"/>
      <c r="D25" s="21">
        <v>1350</v>
      </c>
      <c r="E25" s="53">
        <v>1</v>
      </c>
      <c r="F25" s="53" t="s">
        <v>177</v>
      </c>
      <c r="G25" s="53">
        <f t="shared" si="2"/>
        <v>1350</v>
      </c>
      <c r="H25" s="21"/>
    </row>
    <row r="26" spans="1:8" x14ac:dyDescent="0.25">
      <c r="A26" s="81"/>
      <c r="B26" s="48" t="s">
        <v>179</v>
      </c>
      <c r="C26" s="48"/>
      <c r="D26" s="48">
        <v>275</v>
      </c>
      <c r="E26" s="48">
        <v>1</v>
      </c>
      <c r="F26" s="47" t="s">
        <v>180</v>
      </c>
      <c r="G26" s="53">
        <f t="shared" si="2"/>
        <v>275</v>
      </c>
      <c r="H26" s="48"/>
    </row>
    <row r="27" spans="1:8" x14ac:dyDescent="0.25">
      <c r="A27" s="81"/>
      <c r="B27" s="48" t="s">
        <v>181</v>
      </c>
      <c r="C27" s="48"/>
      <c r="D27" s="48">
        <v>12</v>
      </c>
      <c r="E27" s="48">
        <v>20</v>
      </c>
      <c r="F27" s="47" t="s">
        <v>182</v>
      </c>
      <c r="G27" s="53">
        <f t="shared" si="2"/>
        <v>240</v>
      </c>
      <c r="H27" s="48"/>
    </row>
    <row r="28" spans="1:8" x14ac:dyDescent="0.25">
      <c r="A28" s="81"/>
      <c r="B28" s="1" t="s">
        <v>168</v>
      </c>
      <c r="C28" s="1"/>
      <c r="D28" s="1">
        <v>234</v>
      </c>
      <c r="E28" s="1">
        <v>1</v>
      </c>
      <c r="F28" s="33" t="s">
        <v>169</v>
      </c>
      <c r="G28" s="2">
        <f>D28*E28</f>
        <v>234</v>
      </c>
      <c r="H28" s="21"/>
    </row>
    <row r="29" spans="1:8" x14ac:dyDescent="0.25">
      <c r="A29" s="81"/>
      <c r="B29" s="78" t="s">
        <v>7</v>
      </c>
      <c r="C29" s="79"/>
      <c r="D29" s="80"/>
      <c r="E29" s="3"/>
      <c r="F29" s="3"/>
      <c r="G29" s="16">
        <f>SUM(G21:G28)</f>
        <v>5209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81" t="s">
        <v>111</v>
      </c>
      <c r="B31" s="32" t="s">
        <v>112</v>
      </c>
      <c r="C31" s="32"/>
      <c r="D31" s="32"/>
      <c r="E31" s="32"/>
      <c r="F31" s="33"/>
      <c r="G31" s="33"/>
      <c r="H31" s="32" t="s">
        <v>72</v>
      </c>
    </row>
    <row r="32" spans="1:8" x14ac:dyDescent="0.25">
      <c r="A32" s="81"/>
      <c r="B32" s="32" t="s">
        <v>91</v>
      </c>
      <c r="C32" s="32" t="s">
        <v>57</v>
      </c>
      <c r="D32" s="32">
        <v>141</v>
      </c>
      <c r="E32" s="32">
        <v>15</v>
      </c>
      <c r="F32" s="32" t="s">
        <v>165</v>
      </c>
      <c r="G32" s="33">
        <f>D32*E32</f>
        <v>2115</v>
      </c>
      <c r="H32" s="32"/>
    </row>
    <row r="33" spans="1:8" x14ac:dyDescent="0.25">
      <c r="A33" s="81"/>
      <c r="B33" s="1"/>
      <c r="C33" s="1"/>
      <c r="D33" s="1"/>
      <c r="E33" s="1"/>
      <c r="F33" s="1"/>
      <c r="G33" s="1"/>
      <c r="H33" s="1"/>
    </row>
    <row r="34" spans="1:8" x14ac:dyDescent="0.25">
      <c r="A34" s="81"/>
      <c r="B34" s="78" t="s">
        <v>15</v>
      </c>
      <c r="C34" s="79"/>
      <c r="D34" s="80"/>
      <c r="E34" s="3"/>
      <c r="F34" s="3"/>
      <c r="G34" s="14">
        <f>SUM(G31:G33)</f>
        <v>2115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82"/>
      <c r="B36" s="1" t="s">
        <v>196</v>
      </c>
      <c r="C36" s="1"/>
      <c r="D36" s="1">
        <v>7.14</v>
      </c>
      <c r="E36" s="1">
        <v>70</v>
      </c>
      <c r="F36" s="1" t="s">
        <v>165</v>
      </c>
      <c r="G36" s="2">
        <f>D36*E36</f>
        <v>499.79999999999995</v>
      </c>
      <c r="H36" s="1"/>
    </row>
    <row r="37" spans="1:8" x14ac:dyDescent="0.25">
      <c r="A37" s="83"/>
      <c r="B37" s="1" t="s">
        <v>198</v>
      </c>
      <c r="C37" s="1"/>
      <c r="D37" s="1">
        <v>40.32</v>
      </c>
      <c r="E37" s="43">
        <v>82.5</v>
      </c>
      <c r="F37" s="43" t="s">
        <v>200</v>
      </c>
      <c r="G37" s="2">
        <f>D37*E37</f>
        <v>3326.4</v>
      </c>
      <c r="H37" s="1"/>
    </row>
    <row r="38" spans="1:8" x14ac:dyDescent="0.25">
      <c r="A38" s="84"/>
      <c r="B38" s="78" t="s">
        <v>7</v>
      </c>
      <c r="C38" s="79"/>
      <c r="D38" s="80"/>
      <c r="E38" s="3"/>
      <c r="F38" s="3"/>
      <c r="G38" s="14">
        <f>SUM(G36:G37)</f>
        <v>3826.2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88" t="s">
        <v>205</v>
      </c>
      <c r="B40" s="1" t="s">
        <v>63</v>
      </c>
      <c r="C40" s="1" t="s">
        <v>99</v>
      </c>
      <c r="D40" s="1">
        <v>22.8</v>
      </c>
      <c r="E40" s="1">
        <v>60</v>
      </c>
      <c r="F40" s="53" t="s">
        <v>165</v>
      </c>
      <c r="G40" s="2">
        <f>D40*E40</f>
        <v>1368</v>
      </c>
      <c r="H40" s="1"/>
    </row>
    <row r="41" spans="1:8" x14ac:dyDescent="0.25">
      <c r="A41" s="89"/>
      <c r="B41" s="1" t="s">
        <v>54</v>
      </c>
      <c r="C41" s="1" t="s">
        <v>66</v>
      </c>
      <c r="D41" s="1">
        <v>9.1199999999999992</v>
      </c>
      <c r="E41" s="1">
        <v>4</v>
      </c>
      <c r="F41" s="53" t="s">
        <v>165</v>
      </c>
      <c r="G41" s="2">
        <f t="shared" ref="G41:G44" si="3">D41*E41</f>
        <v>36.479999999999997</v>
      </c>
      <c r="H41" s="1"/>
    </row>
    <row r="42" spans="1:8" x14ac:dyDescent="0.25">
      <c r="A42" s="89"/>
      <c r="B42" s="1" t="s">
        <v>97</v>
      </c>
      <c r="C42" s="1" t="s">
        <v>66</v>
      </c>
      <c r="D42" s="1">
        <v>60</v>
      </c>
      <c r="E42" s="1">
        <v>4</v>
      </c>
      <c r="F42" s="53" t="s">
        <v>165</v>
      </c>
      <c r="G42" s="2">
        <f t="shared" si="3"/>
        <v>240</v>
      </c>
      <c r="H42" s="1"/>
    </row>
    <row r="43" spans="1:8" x14ac:dyDescent="0.25">
      <c r="A43" s="89"/>
      <c r="B43" s="1" t="s">
        <v>62</v>
      </c>
      <c r="C43" s="1" t="s">
        <v>59</v>
      </c>
      <c r="D43" s="1">
        <v>22.44</v>
      </c>
      <c r="E43" s="1">
        <v>8</v>
      </c>
      <c r="F43" s="53" t="s">
        <v>165</v>
      </c>
      <c r="G43" s="2">
        <f t="shared" si="3"/>
        <v>179.52</v>
      </c>
      <c r="H43" s="1"/>
    </row>
    <row r="44" spans="1:8" x14ac:dyDescent="0.25">
      <c r="A44" s="89"/>
      <c r="B44" s="12" t="s">
        <v>98</v>
      </c>
      <c r="C44" s="12" t="s">
        <v>88</v>
      </c>
      <c r="D44" s="13">
        <v>141</v>
      </c>
      <c r="E44" s="42">
        <v>25</v>
      </c>
      <c r="F44" s="53" t="s">
        <v>165</v>
      </c>
      <c r="G44" s="2">
        <f t="shared" si="3"/>
        <v>3525</v>
      </c>
      <c r="H44" s="12"/>
    </row>
    <row r="45" spans="1:8" x14ac:dyDescent="0.25">
      <c r="A45" s="89"/>
      <c r="B45" s="45"/>
      <c r="C45" s="45"/>
      <c r="D45" s="45"/>
      <c r="E45" s="45"/>
      <c r="F45" s="45"/>
      <c r="G45" s="45"/>
      <c r="H45" s="42"/>
    </row>
    <row r="46" spans="1:8" x14ac:dyDescent="0.25">
      <c r="A46" s="89"/>
      <c r="B46" s="42"/>
      <c r="C46" s="42"/>
      <c r="D46" s="42"/>
      <c r="E46" s="42"/>
      <c r="F46" s="42"/>
      <c r="G46" s="2"/>
      <c r="H46" s="42"/>
    </row>
    <row r="47" spans="1:8" x14ac:dyDescent="0.25">
      <c r="A47" s="89"/>
      <c r="B47" s="53"/>
      <c r="C47" s="53"/>
      <c r="D47" s="53"/>
      <c r="E47" s="53"/>
      <c r="F47" s="53"/>
      <c r="G47" s="2"/>
      <c r="H47" s="42"/>
    </row>
    <row r="48" spans="1:8" x14ac:dyDescent="0.25">
      <c r="A48" s="89"/>
      <c r="B48" s="53"/>
      <c r="C48" s="53"/>
      <c r="D48" s="53"/>
      <c r="E48" s="53"/>
      <c r="F48" s="53"/>
      <c r="G48" s="56"/>
      <c r="H48" s="19"/>
    </row>
    <row r="49" spans="1:8" x14ac:dyDescent="0.25">
      <c r="A49" s="89"/>
      <c r="B49" s="78" t="s">
        <v>7</v>
      </c>
      <c r="C49" s="79"/>
      <c r="D49" s="80"/>
      <c r="E49" s="52"/>
      <c r="F49" s="52"/>
      <c r="G49" s="14">
        <f>SUM(G40:G48)</f>
        <v>5349</v>
      </c>
      <c r="H49" s="53"/>
    </row>
    <row r="50" spans="1:8" ht="17.25" thickBot="1" x14ac:dyDescent="0.3">
      <c r="A50" s="90"/>
      <c r="B50" s="75" t="s">
        <v>14</v>
      </c>
      <c r="C50" s="76"/>
      <c r="D50" s="77"/>
      <c r="E50" s="54"/>
      <c r="F50" s="54"/>
      <c r="G50" s="9">
        <f>G49+G38+G34+G29+G19+G14+G7</f>
        <v>28395.579999999998</v>
      </c>
      <c r="H50" s="53"/>
    </row>
    <row r="51" spans="1:8" x14ac:dyDescent="0.25">
      <c r="A51" s="63" t="s">
        <v>30</v>
      </c>
      <c r="B51" s="66" t="s">
        <v>31</v>
      </c>
      <c r="C51" s="66"/>
      <c r="D51" s="66"/>
      <c r="E51" s="67" t="s">
        <v>32</v>
      </c>
      <c r="F51" s="68"/>
      <c r="G51" s="69"/>
      <c r="H51" s="39" t="s">
        <v>33</v>
      </c>
    </row>
    <row r="52" spans="1:8" x14ac:dyDescent="0.25">
      <c r="A52" s="64"/>
      <c r="B52" s="70" t="s">
        <v>208</v>
      </c>
      <c r="C52" s="71"/>
      <c r="D52" s="71"/>
      <c r="E52" s="40" t="s">
        <v>34</v>
      </c>
      <c r="F52" s="73"/>
      <c r="G52" s="74"/>
      <c r="H52" s="59" t="s">
        <v>206</v>
      </c>
    </row>
    <row r="53" spans="1:8" ht="17.25" thickBot="1" x14ac:dyDescent="0.3">
      <c r="A53" s="65"/>
      <c r="B53" s="72"/>
      <c r="C53" s="72"/>
      <c r="D53" s="72"/>
      <c r="E53" s="41" t="s">
        <v>35</v>
      </c>
      <c r="F53" s="61" t="s">
        <v>207</v>
      </c>
      <c r="G53" s="62"/>
      <c r="H53" s="60"/>
    </row>
  </sheetData>
  <mergeCells count="23">
    <mergeCell ref="B19:D19"/>
    <mergeCell ref="A1:H1"/>
    <mergeCell ref="A3:A7"/>
    <mergeCell ref="B7:D7"/>
    <mergeCell ref="A9:A13"/>
    <mergeCell ref="B14:D14"/>
    <mergeCell ref="A15:A19"/>
    <mergeCell ref="B49:D49"/>
    <mergeCell ref="A21:A29"/>
    <mergeCell ref="B29:D29"/>
    <mergeCell ref="A31:A34"/>
    <mergeCell ref="B34:D34"/>
    <mergeCell ref="A36:A38"/>
    <mergeCell ref="B38:D38"/>
    <mergeCell ref="A40:A50"/>
    <mergeCell ref="B50:D50"/>
    <mergeCell ref="H52:H53"/>
    <mergeCell ref="F53:G53"/>
    <mergeCell ref="A51:A53"/>
    <mergeCell ref="B51:D51"/>
    <mergeCell ref="E51:G51"/>
    <mergeCell ref="B52:D53"/>
    <mergeCell ref="F52:G52"/>
  </mergeCells>
  <phoneticPr fontId="2" type="noConversion"/>
  <pageMargins left="0.7" right="0.7" top="0.75" bottom="0.75" header="0.3" footer="0.3"/>
  <pageSetup paperSize="9" scale="8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topLeftCell="A19" workbookViewId="0">
      <selection activeCell="H46" sqref="H46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85" t="s">
        <v>43</v>
      </c>
      <c r="B1" s="86"/>
      <c r="C1" s="86"/>
      <c r="D1" s="86"/>
      <c r="E1" s="86"/>
      <c r="F1" s="86"/>
      <c r="G1" s="86"/>
      <c r="H1" s="8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81" t="s">
        <v>113</v>
      </c>
      <c r="B3" s="1" t="s">
        <v>119</v>
      </c>
      <c r="C3" s="1" t="s">
        <v>92</v>
      </c>
      <c r="D3" s="1">
        <v>87</v>
      </c>
      <c r="E3" s="25">
        <v>6</v>
      </c>
      <c r="F3" s="43" t="s">
        <v>203</v>
      </c>
      <c r="G3" s="2">
        <f>D3*E3</f>
        <v>522</v>
      </c>
      <c r="H3" s="1"/>
    </row>
    <row r="4" spans="1:8" x14ac:dyDescent="0.25">
      <c r="A4" s="81"/>
      <c r="B4" s="1" t="s">
        <v>120</v>
      </c>
      <c r="C4" s="1" t="s">
        <v>99</v>
      </c>
      <c r="D4" s="1">
        <v>171</v>
      </c>
      <c r="E4" s="1">
        <v>60</v>
      </c>
      <c r="F4" s="32" t="s">
        <v>200</v>
      </c>
      <c r="G4" s="2">
        <f>D4*E4</f>
        <v>10260</v>
      </c>
      <c r="H4" s="1"/>
    </row>
    <row r="5" spans="1:8" x14ac:dyDescent="0.25">
      <c r="A5" s="81"/>
      <c r="B5" s="1"/>
      <c r="C5" s="1"/>
      <c r="D5" s="1"/>
      <c r="E5" s="1"/>
      <c r="F5" s="32"/>
      <c r="G5" s="2"/>
      <c r="H5" s="1"/>
    </row>
    <row r="6" spans="1:8" x14ac:dyDescent="0.25">
      <c r="A6" s="81"/>
      <c r="B6" s="33"/>
      <c r="C6" s="32"/>
      <c r="D6" s="32"/>
      <c r="E6" s="31"/>
      <c r="F6" s="31"/>
      <c r="G6" s="31"/>
      <c r="H6" s="32"/>
    </row>
    <row r="7" spans="1:8" x14ac:dyDescent="0.25">
      <c r="A7" s="81"/>
      <c r="B7" s="19"/>
      <c r="C7" s="1"/>
      <c r="D7" s="1"/>
      <c r="E7" s="3"/>
      <c r="F7" s="31"/>
      <c r="G7" s="3"/>
      <c r="H7" s="1"/>
    </row>
    <row r="8" spans="1:8" x14ac:dyDescent="0.25">
      <c r="A8" s="81"/>
      <c r="B8" s="78" t="s">
        <v>7</v>
      </c>
      <c r="C8" s="79"/>
      <c r="D8" s="80"/>
      <c r="E8" s="3"/>
      <c r="F8" s="3"/>
      <c r="G8" s="14">
        <f>SUM(G3:G7)</f>
        <v>10782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81" t="s">
        <v>114</v>
      </c>
      <c r="B10" s="17" t="s">
        <v>121</v>
      </c>
      <c r="C10" s="1" t="s">
        <v>123</v>
      </c>
      <c r="D10" s="1">
        <v>52.8</v>
      </c>
      <c r="E10" s="1">
        <v>42</v>
      </c>
      <c r="F10" s="55" t="s">
        <v>200</v>
      </c>
      <c r="G10" s="2">
        <f>D10*E10</f>
        <v>2217.6</v>
      </c>
      <c r="H10" s="1"/>
    </row>
    <row r="11" spans="1:8" x14ac:dyDescent="0.25">
      <c r="A11" s="81"/>
      <c r="B11" s="1" t="s">
        <v>61</v>
      </c>
      <c r="C11" s="1" t="s">
        <v>66</v>
      </c>
      <c r="D11" s="1">
        <v>100</v>
      </c>
      <c r="E11" s="1">
        <v>4</v>
      </c>
      <c r="F11" s="55" t="s">
        <v>200</v>
      </c>
      <c r="G11" s="2">
        <f t="shared" ref="G11:G12" si="0">D11*E11</f>
        <v>400</v>
      </c>
      <c r="H11" s="1"/>
    </row>
    <row r="12" spans="1:8" x14ac:dyDescent="0.25">
      <c r="A12" s="81"/>
      <c r="B12" s="1" t="s">
        <v>122</v>
      </c>
      <c r="C12" s="1" t="s">
        <v>124</v>
      </c>
      <c r="D12" s="1"/>
      <c r="E12" s="1"/>
      <c r="F12" s="33"/>
      <c r="G12" s="2">
        <f t="shared" si="0"/>
        <v>0</v>
      </c>
      <c r="H12" s="1"/>
    </row>
    <row r="13" spans="1:8" x14ac:dyDescent="0.25">
      <c r="A13" s="81"/>
      <c r="B13" s="1"/>
      <c r="C13" s="1"/>
      <c r="D13" s="1"/>
      <c r="E13" s="1"/>
      <c r="F13" s="29"/>
      <c r="G13" s="1"/>
      <c r="H13" s="1"/>
    </row>
    <row r="14" spans="1:8" x14ac:dyDescent="0.25">
      <c r="A14" s="81"/>
      <c r="B14" s="1"/>
      <c r="C14" s="1"/>
      <c r="D14" s="1"/>
      <c r="E14" s="1"/>
      <c r="F14" s="1"/>
      <c r="G14" s="1"/>
      <c r="H14" s="1"/>
    </row>
    <row r="15" spans="1:8" x14ac:dyDescent="0.25">
      <c r="A15" s="81"/>
      <c r="B15" s="78" t="s">
        <v>7</v>
      </c>
      <c r="C15" s="79"/>
      <c r="D15" s="80"/>
      <c r="E15" s="3"/>
      <c r="F15" s="3"/>
      <c r="G15" s="14">
        <f>SUM(G10:G14)</f>
        <v>2617.6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81" t="s">
        <v>115</v>
      </c>
      <c r="B17" s="1" t="s">
        <v>125</v>
      </c>
      <c r="C17" s="1" t="s">
        <v>99</v>
      </c>
      <c r="D17" s="1">
        <v>25.5</v>
      </c>
      <c r="E17" s="1">
        <v>60</v>
      </c>
      <c r="F17" s="55" t="s">
        <v>199</v>
      </c>
      <c r="G17" s="2">
        <f>D17*E17</f>
        <v>1530</v>
      </c>
      <c r="H17" s="1"/>
    </row>
    <row r="18" spans="1:8" x14ac:dyDescent="0.25">
      <c r="A18" s="81"/>
      <c r="B18" s="1" t="s">
        <v>126</v>
      </c>
      <c r="C18" s="1" t="s">
        <v>129</v>
      </c>
      <c r="D18" s="1">
        <v>666.6</v>
      </c>
      <c r="E18" s="1">
        <v>1</v>
      </c>
      <c r="F18" s="55" t="s">
        <v>199</v>
      </c>
      <c r="G18" s="2">
        <f t="shared" ref="G18:G21" si="1">D18*E18</f>
        <v>666.6</v>
      </c>
      <c r="H18" s="1"/>
    </row>
    <row r="19" spans="1:8" x14ac:dyDescent="0.25">
      <c r="A19" s="81"/>
      <c r="B19" s="1" t="s">
        <v>127</v>
      </c>
      <c r="C19" s="1" t="s">
        <v>129</v>
      </c>
      <c r="D19" s="1">
        <v>990</v>
      </c>
      <c r="E19" s="1">
        <v>1</v>
      </c>
      <c r="F19" s="55" t="s">
        <v>199</v>
      </c>
      <c r="G19" s="2">
        <f t="shared" si="1"/>
        <v>990</v>
      </c>
      <c r="H19" s="1"/>
    </row>
    <row r="20" spans="1:8" x14ac:dyDescent="0.25">
      <c r="A20" s="81"/>
      <c r="B20" s="50" t="s">
        <v>128</v>
      </c>
      <c r="C20" s="50" t="s">
        <v>59</v>
      </c>
      <c r="D20" s="50">
        <v>123</v>
      </c>
      <c r="E20" s="50">
        <v>8</v>
      </c>
      <c r="F20" s="55" t="s">
        <v>199</v>
      </c>
      <c r="G20" s="2">
        <f t="shared" si="1"/>
        <v>984</v>
      </c>
      <c r="H20" s="50"/>
    </row>
    <row r="21" spans="1:8" x14ac:dyDescent="0.25">
      <c r="A21" s="81"/>
      <c r="B21" s="23" t="s">
        <v>54</v>
      </c>
      <c r="C21" s="23" t="s">
        <v>58</v>
      </c>
      <c r="D21" s="23">
        <v>11.4</v>
      </c>
      <c r="E21" s="23">
        <v>3</v>
      </c>
      <c r="F21" s="55" t="s">
        <v>199</v>
      </c>
      <c r="G21" s="2">
        <f t="shared" si="1"/>
        <v>34.200000000000003</v>
      </c>
      <c r="H21" s="1"/>
    </row>
    <row r="22" spans="1:8" x14ac:dyDescent="0.25">
      <c r="A22" s="81"/>
      <c r="B22" s="78" t="s">
        <v>7</v>
      </c>
      <c r="C22" s="79"/>
      <c r="D22" s="80"/>
      <c r="E22" s="3"/>
      <c r="F22" s="3"/>
      <c r="G22" s="14">
        <f>SUM(G17:G21)</f>
        <v>4204.8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81"/>
      <c r="B24" s="1" t="s">
        <v>63</v>
      </c>
      <c r="C24" s="1" t="s">
        <v>59</v>
      </c>
      <c r="D24" s="1">
        <v>22.8</v>
      </c>
      <c r="E24" s="1">
        <v>8</v>
      </c>
      <c r="F24" s="32" t="s">
        <v>200</v>
      </c>
      <c r="G24" s="2">
        <f>D24*E24</f>
        <v>182.4</v>
      </c>
      <c r="H24" s="1"/>
    </row>
    <row r="25" spans="1:8" x14ac:dyDescent="0.25">
      <c r="A25" s="81"/>
      <c r="B25" s="1"/>
      <c r="C25" s="1"/>
      <c r="D25" s="1"/>
      <c r="E25" s="1"/>
      <c r="F25" s="32"/>
      <c r="G25" s="2"/>
      <c r="H25" s="48"/>
    </row>
    <row r="26" spans="1:8" x14ac:dyDescent="0.25">
      <c r="A26" s="81"/>
      <c r="B26" s="1"/>
      <c r="C26" s="1"/>
      <c r="D26" s="1"/>
      <c r="E26" s="1"/>
      <c r="F26" s="29"/>
      <c r="G26" s="2"/>
      <c r="H26" s="48"/>
    </row>
    <row r="27" spans="1:8" x14ac:dyDescent="0.25">
      <c r="A27" s="81"/>
      <c r="B27" s="29"/>
      <c r="C27" s="29"/>
      <c r="D27" s="29"/>
      <c r="E27" s="29"/>
      <c r="F27" s="29"/>
      <c r="G27" s="2"/>
      <c r="H27" s="48"/>
    </row>
    <row r="28" spans="1:8" x14ac:dyDescent="0.25">
      <c r="A28" s="81"/>
      <c r="B28" s="78" t="s">
        <v>7</v>
      </c>
      <c r="C28" s="79"/>
      <c r="D28" s="80"/>
      <c r="E28" s="3"/>
      <c r="F28" s="3"/>
      <c r="G28" s="14">
        <f>SUM(G24:G27)</f>
        <v>182.4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81" t="s">
        <v>116</v>
      </c>
      <c r="B30" s="23" t="s">
        <v>117</v>
      </c>
      <c r="C30" s="23"/>
      <c r="D30" s="23"/>
      <c r="E30" s="23"/>
      <c r="F30" s="36"/>
      <c r="G30" s="2"/>
      <c r="H30" s="1" t="s">
        <v>72</v>
      </c>
    </row>
    <row r="31" spans="1:8" x14ac:dyDescent="0.25">
      <c r="A31" s="81"/>
      <c r="B31" s="1" t="s">
        <v>118</v>
      </c>
      <c r="C31" s="1" t="s">
        <v>57</v>
      </c>
      <c r="D31" s="1">
        <v>56</v>
      </c>
      <c r="E31" s="1">
        <v>15</v>
      </c>
      <c r="F31" s="32" t="s">
        <v>200</v>
      </c>
      <c r="G31" s="2">
        <f>D31*E31</f>
        <v>840</v>
      </c>
      <c r="H31" s="1"/>
    </row>
    <row r="32" spans="1:8" x14ac:dyDescent="0.25">
      <c r="A32" s="81"/>
      <c r="B32" s="1"/>
      <c r="C32" s="1"/>
      <c r="D32" s="1"/>
      <c r="E32" s="1"/>
      <c r="F32" s="32"/>
      <c r="G32" s="1"/>
      <c r="H32" s="1"/>
    </row>
    <row r="33" spans="1:8" x14ac:dyDescent="0.25">
      <c r="A33" s="81"/>
      <c r="B33" s="78" t="s">
        <v>7</v>
      </c>
      <c r="C33" s="79"/>
      <c r="D33" s="80"/>
      <c r="E33" s="3"/>
      <c r="F33" s="3"/>
      <c r="G33" s="14">
        <f>SUM(G30:G32)</f>
        <v>840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4" t="s">
        <v>5</v>
      </c>
      <c r="H34" s="1" t="s">
        <v>6</v>
      </c>
    </row>
    <row r="35" spans="1:8" x14ac:dyDescent="0.25">
      <c r="A35" s="82"/>
      <c r="B35" s="1" t="s">
        <v>202</v>
      </c>
      <c r="C35" s="1"/>
      <c r="D35" s="1">
        <v>23.4</v>
      </c>
      <c r="E35" s="1">
        <v>70</v>
      </c>
      <c r="F35" s="1" t="s">
        <v>200</v>
      </c>
      <c r="G35" s="1">
        <f>D35*E35</f>
        <v>1638</v>
      </c>
      <c r="H35" s="1"/>
    </row>
    <row r="36" spans="1:8" x14ac:dyDescent="0.25">
      <c r="A36" s="83"/>
      <c r="B36" s="1" t="s">
        <v>230</v>
      </c>
      <c r="C36" s="1"/>
      <c r="D36" s="1">
        <v>63</v>
      </c>
      <c r="E36" s="44">
        <v>75</v>
      </c>
      <c r="F36" s="44" t="s">
        <v>209</v>
      </c>
      <c r="G36" s="58">
        <f>D36*E36</f>
        <v>4725</v>
      </c>
      <c r="H36" s="1"/>
    </row>
    <row r="37" spans="1:8" x14ac:dyDescent="0.25">
      <c r="A37" s="84"/>
      <c r="B37" s="78" t="s">
        <v>7</v>
      </c>
      <c r="C37" s="79"/>
      <c r="D37" s="80"/>
      <c r="E37" s="3"/>
      <c r="F37" s="3"/>
      <c r="G37" s="14">
        <f>SUM(G35:G36)</f>
        <v>6363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81"/>
      <c r="B39" s="1"/>
      <c r="C39" s="1"/>
      <c r="D39" s="1"/>
      <c r="E39" s="1"/>
      <c r="F39" s="1"/>
      <c r="G39" s="1"/>
      <c r="H39" s="1"/>
    </row>
    <row r="40" spans="1:8" x14ac:dyDescent="0.25">
      <c r="A40" s="81"/>
      <c r="B40" s="1"/>
      <c r="C40" s="1"/>
      <c r="D40" s="1"/>
      <c r="E40" s="1"/>
      <c r="F40" s="1"/>
      <c r="G40" s="43"/>
      <c r="H40" s="1"/>
    </row>
    <row r="41" spans="1:8" x14ac:dyDescent="0.25">
      <c r="A41" s="81"/>
      <c r="B41" s="1"/>
      <c r="C41" s="1"/>
      <c r="D41" s="1"/>
      <c r="E41" s="1"/>
      <c r="F41" s="1"/>
      <c r="G41" s="43"/>
      <c r="H41" s="1"/>
    </row>
    <row r="42" spans="1:8" x14ac:dyDescent="0.25">
      <c r="A42" s="81"/>
      <c r="B42" s="1"/>
      <c r="C42" s="1"/>
      <c r="D42" s="1"/>
      <c r="E42" s="1"/>
      <c r="F42" s="1"/>
      <c r="G42" s="43"/>
      <c r="H42" s="1"/>
    </row>
    <row r="43" spans="1:8" x14ac:dyDescent="0.25">
      <c r="A43" s="81"/>
      <c r="B43" s="78" t="s">
        <v>7</v>
      </c>
      <c r="C43" s="79"/>
      <c r="D43" s="80"/>
      <c r="E43" s="3"/>
      <c r="F43" s="3"/>
      <c r="G43" s="16">
        <f>SUM(G39:G42)</f>
        <v>0</v>
      </c>
      <c r="H43" s="1"/>
    </row>
    <row r="44" spans="1:8" ht="17.25" thickBot="1" x14ac:dyDescent="0.3">
      <c r="A44" s="1"/>
      <c r="B44" s="75" t="s">
        <v>14</v>
      </c>
      <c r="C44" s="76"/>
      <c r="D44" s="77"/>
      <c r="E44" s="8"/>
      <c r="F44" s="8"/>
      <c r="G44" s="9">
        <f>G43+G37+G33+G22+G15+G8+G28</f>
        <v>24989.800000000003</v>
      </c>
      <c r="H44" s="1"/>
    </row>
    <row r="45" spans="1:8" x14ac:dyDescent="0.25">
      <c r="A45" s="63" t="s">
        <v>30</v>
      </c>
      <c r="B45" s="66" t="s">
        <v>31</v>
      </c>
      <c r="C45" s="66"/>
      <c r="D45" s="66"/>
      <c r="E45" s="67" t="s">
        <v>32</v>
      </c>
      <c r="F45" s="68"/>
      <c r="G45" s="69"/>
      <c r="H45" s="39" t="s">
        <v>33</v>
      </c>
    </row>
    <row r="46" spans="1:8" x14ac:dyDescent="0.25">
      <c r="A46" s="64"/>
      <c r="B46" s="70"/>
      <c r="C46" s="71"/>
      <c r="D46" s="71"/>
      <c r="E46" s="40" t="s">
        <v>34</v>
      </c>
      <c r="F46" s="73"/>
      <c r="G46" s="74"/>
      <c r="H46" s="59" t="s">
        <v>204</v>
      </c>
    </row>
    <row r="47" spans="1:8" ht="17.25" thickBot="1" x14ac:dyDescent="0.3">
      <c r="A47" s="65"/>
      <c r="B47" s="72"/>
      <c r="C47" s="72"/>
      <c r="D47" s="72"/>
      <c r="E47" s="41" t="s">
        <v>35</v>
      </c>
      <c r="F47" s="61" t="s">
        <v>231</v>
      </c>
      <c r="G47" s="62"/>
      <c r="H47" s="60"/>
    </row>
  </sheetData>
  <mergeCells count="23">
    <mergeCell ref="A17:A22"/>
    <mergeCell ref="B22:D22"/>
    <mergeCell ref="A1:H1"/>
    <mergeCell ref="A3:A8"/>
    <mergeCell ref="B8:D8"/>
    <mergeCell ref="A10:A15"/>
    <mergeCell ref="B15:D15"/>
    <mergeCell ref="A39:A43"/>
    <mergeCell ref="B43:D43"/>
    <mergeCell ref="B44:D44"/>
    <mergeCell ref="A24:A28"/>
    <mergeCell ref="B28:D28"/>
    <mergeCell ref="A30:A33"/>
    <mergeCell ref="B33:D33"/>
    <mergeCell ref="A35:A37"/>
    <mergeCell ref="B37:D37"/>
    <mergeCell ref="H46:H47"/>
    <mergeCell ref="F47:G47"/>
    <mergeCell ref="A45:A47"/>
    <mergeCell ref="B45:D45"/>
    <mergeCell ref="E45:G45"/>
    <mergeCell ref="B46:D47"/>
    <mergeCell ref="F46:G46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I53" sqref="I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85" t="s">
        <v>42</v>
      </c>
      <c r="B1" s="86"/>
      <c r="C1" s="86"/>
      <c r="D1" s="86"/>
      <c r="E1" s="86"/>
      <c r="F1" s="86"/>
      <c r="G1" s="86"/>
      <c r="H1" s="8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81" t="s">
        <v>130</v>
      </c>
      <c r="B3" s="1" t="s">
        <v>131</v>
      </c>
      <c r="C3" s="1" t="s">
        <v>99</v>
      </c>
      <c r="D3" s="1">
        <v>168</v>
      </c>
      <c r="E3" s="1">
        <v>60</v>
      </c>
      <c r="F3" s="57" t="s">
        <v>209</v>
      </c>
      <c r="G3" s="2">
        <f>D3*E3</f>
        <v>10080</v>
      </c>
      <c r="H3" s="1"/>
    </row>
    <row r="4" spans="1:8" x14ac:dyDescent="0.25">
      <c r="A4" s="81"/>
      <c r="B4" s="50" t="s">
        <v>132</v>
      </c>
      <c r="C4" s="50" t="s">
        <v>129</v>
      </c>
      <c r="D4" s="50">
        <v>40.799999999999997</v>
      </c>
      <c r="E4" s="49">
        <v>1.25</v>
      </c>
      <c r="F4" s="57" t="s">
        <v>209</v>
      </c>
      <c r="G4" s="2">
        <f t="shared" ref="G4:G8" si="0">D4*E4</f>
        <v>51</v>
      </c>
      <c r="H4" s="50"/>
    </row>
    <row r="5" spans="1:8" x14ac:dyDescent="0.25">
      <c r="A5" s="81"/>
      <c r="B5" s="50" t="s">
        <v>133</v>
      </c>
      <c r="C5" s="50" t="s">
        <v>129</v>
      </c>
      <c r="D5" s="50">
        <v>90</v>
      </c>
      <c r="E5" s="49">
        <v>1</v>
      </c>
      <c r="F5" s="49" t="s">
        <v>209</v>
      </c>
      <c r="G5" s="2">
        <f t="shared" si="0"/>
        <v>90</v>
      </c>
      <c r="H5" s="50"/>
    </row>
    <row r="6" spans="1:8" x14ac:dyDescent="0.25">
      <c r="A6" s="81"/>
      <c r="B6" s="50" t="s">
        <v>134</v>
      </c>
      <c r="C6" s="50" t="s">
        <v>67</v>
      </c>
      <c r="D6" s="50">
        <v>52.8</v>
      </c>
      <c r="E6" s="49">
        <v>10</v>
      </c>
      <c r="F6" s="57" t="s">
        <v>209</v>
      </c>
      <c r="G6" s="2">
        <f t="shared" si="0"/>
        <v>528</v>
      </c>
      <c r="H6" s="50"/>
    </row>
    <row r="7" spans="1:8" x14ac:dyDescent="0.25">
      <c r="A7" s="81"/>
      <c r="B7" s="50" t="s">
        <v>62</v>
      </c>
      <c r="C7" s="50" t="s">
        <v>68</v>
      </c>
      <c r="D7" s="50">
        <v>22.44</v>
      </c>
      <c r="E7" s="49">
        <v>5</v>
      </c>
      <c r="F7" s="57" t="s">
        <v>209</v>
      </c>
      <c r="G7" s="2">
        <f t="shared" si="0"/>
        <v>112.2</v>
      </c>
      <c r="H7" s="50"/>
    </row>
    <row r="8" spans="1:8" x14ac:dyDescent="0.25">
      <c r="A8" s="81"/>
      <c r="B8" s="1" t="s">
        <v>109</v>
      </c>
      <c r="C8" s="1" t="s">
        <v>67</v>
      </c>
      <c r="D8" s="1">
        <v>97.5</v>
      </c>
      <c r="E8" s="3">
        <v>10</v>
      </c>
      <c r="F8" s="57" t="s">
        <v>209</v>
      </c>
      <c r="G8" s="2">
        <f t="shared" si="0"/>
        <v>975</v>
      </c>
      <c r="H8" s="1"/>
    </row>
    <row r="9" spans="1:8" x14ac:dyDescent="0.25">
      <c r="A9" s="81"/>
      <c r="B9" s="78" t="s">
        <v>7</v>
      </c>
      <c r="C9" s="79"/>
      <c r="D9" s="80"/>
      <c r="E9" s="3"/>
      <c r="F9" s="3"/>
      <c r="G9" s="14">
        <f>SUM(G3:G8)</f>
        <v>11836.2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29"/>
      <c r="G10" s="1" t="s">
        <v>5</v>
      </c>
      <c r="H10" s="1" t="s">
        <v>6</v>
      </c>
    </row>
    <row r="11" spans="1:8" x14ac:dyDescent="0.25">
      <c r="A11" s="82" t="s">
        <v>135</v>
      </c>
      <c r="B11" s="23" t="s">
        <v>136</v>
      </c>
      <c r="C11" s="23" t="s">
        <v>85</v>
      </c>
      <c r="D11" s="23">
        <v>84</v>
      </c>
      <c r="E11" s="23">
        <v>15</v>
      </c>
      <c r="F11" s="32" t="s">
        <v>210</v>
      </c>
      <c r="G11" s="23">
        <f>D11*E11</f>
        <v>1260</v>
      </c>
      <c r="H11" s="23"/>
    </row>
    <row r="12" spans="1:8" x14ac:dyDescent="0.25">
      <c r="A12" s="83"/>
      <c r="B12" s="48" t="s">
        <v>137</v>
      </c>
      <c r="C12" s="48" t="s">
        <v>139</v>
      </c>
      <c r="D12" s="48">
        <v>100</v>
      </c>
      <c r="E12" s="48">
        <v>8</v>
      </c>
      <c r="F12" s="48" t="s">
        <v>210</v>
      </c>
      <c r="G12" s="58">
        <f t="shared" ref="G12:G13" si="1">D12*E12</f>
        <v>800</v>
      </c>
      <c r="H12" s="48"/>
    </row>
    <row r="13" spans="1:8" x14ac:dyDescent="0.25">
      <c r="A13" s="83"/>
      <c r="B13" s="48" t="s">
        <v>138</v>
      </c>
      <c r="C13" s="48" t="s">
        <v>67</v>
      </c>
      <c r="D13" s="48">
        <v>117</v>
      </c>
      <c r="E13" s="48">
        <v>10</v>
      </c>
      <c r="F13" s="48" t="s">
        <v>209</v>
      </c>
      <c r="G13" s="58">
        <f t="shared" si="1"/>
        <v>1170</v>
      </c>
      <c r="H13" s="48"/>
    </row>
    <row r="14" spans="1:8" x14ac:dyDescent="0.25">
      <c r="A14" s="83"/>
      <c r="B14" s="1"/>
      <c r="C14" s="1"/>
      <c r="D14" s="1"/>
      <c r="E14" s="1"/>
      <c r="F14" s="32"/>
      <c r="G14" s="44"/>
      <c r="H14" s="1"/>
    </row>
    <row r="15" spans="1:8" x14ac:dyDescent="0.25">
      <c r="A15" s="84"/>
      <c r="B15" s="78" t="s">
        <v>7</v>
      </c>
      <c r="C15" s="79"/>
      <c r="D15" s="80"/>
      <c r="E15" s="3"/>
      <c r="F15" s="3"/>
      <c r="G15" s="14">
        <f>SUM(G11:G14)</f>
        <v>3230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81" t="s">
        <v>140</v>
      </c>
      <c r="B17" s="1" t="s">
        <v>71</v>
      </c>
      <c r="C17" s="1" t="s">
        <v>85</v>
      </c>
      <c r="D17" s="1">
        <v>56.4</v>
      </c>
      <c r="E17" s="1">
        <v>20</v>
      </c>
      <c r="F17" s="32" t="s">
        <v>209</v>
      </c>
      <c r="G17" s="1">
        <f>D17*E17</f>
        <v>1128</v>
      </c>
      <c r="H17" s="1"/>
    </row>
    <row r="18" spans="1:8" x14ac:dyDescent="0.25">
      <c r="A18" s="81"/>
      <c r="B18" s="1"/>
      <c r="C18" s="1"/>
      <c r="D18" s="1"/>
      <c r="E18" s="1"/>
      <c r="F18" s="32"/>
      <c r="G18" s="44"/>
      <c r="H18" s="1"/>
    </row>
    <row r="19" spans="1:8" x14ac:dyDescent="0.25">
      <c r="A19" s="81"/>
      <c r="B19" s="1"/>
      <c r="C19" s="1"/>
      <c r="D19" s="1"/>
      <c r="E19" s="1"/>
      <c r="F19" s="32"/>
      <c r="G19" s="44"/>
      <c r="H19" s="1"/>
    </row>
    <row r="20" spans="1:8" x14ac:dyDescent="0.25">
      <c r="A20" s="81"/>
      <c r="B20" s="1"/>
      <c r="C20" s="1"/>
      <c r="D20" s="1"/>
      <c r="E20" s="3"/>
      <c r="F20" s="33"/>
      <c r="G20" s="44"/>
      <c r="H20" s="1"/>
    </row>
    <row r="21" spans="1:8" x14ac:dyDescent="0.25">
      <c r="A21" s="81"/>
      <c r="B21" s="78" t="s">
        <v>7</v>
      </c>
      <c r="C21" s="79"/>
      <c r="D21" s="80"/>
      <c r="E21" s="3"/>
      <c r="F21" s="3"/>
      <c r="G21" s="16">
        <f>SUM(G17:G20)</f>
        <v>1128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91"/>
      <c r="B23" s="50" t="s">
        <v>39</v>
      </c>
      <c r="C23" s="50" t="s">
        <v>41</v>
      </c>
      <c r="D23" s="12">
        <v>132</v>
      </c>
      <c r="E23" s="12">
        <v>2.5</v>
      </c>
      <c r="F23" s="32" t="s">
        <v>209</v>
      </c>
      <c r="G23" s="44">
        <f>D23*E23</f>
        <v>330</v>
      </c>
      <c r="H23" s="50" t="s">
        <v>37</v>
      </c>
    </row>
    <row r="24" spans="1:8" x14ac:dyDescent="0.25">
      <c r="A24" s="91"/>
      <c r="B24" s="50" t="s">
        <v>38</v>
      </c>
      <c r="C24" s="50" t="s">
        <v>40</v>
      </c>
      <c r="D24" s="12">
        <v>10</v>
      </c>
      <c r="E24" s="12">
        <v>30</v>
      </c>
      <c r="F24" s="32" t="s">
        <v>211</v>
      </c>
      <c r="G24" s="58">
        <f t="shared" ref="G24:G30" si="2">D24*E24</f>
        <v>300</v>
      </c>
      <c r="H24" s="50" t="s">
        <v>37</v>
      </c>
    </row>
    <row r="25" spans="1:8" x14ac:dyDescent="0.25">
      <c r="A25" s="91"/>
      <c r="B25" s="1" t="s">
        <v>106</v>
      </c>
      <c r="C25" s="1" t="s">
        <v>144</v>
      </c>
      <c r="D25" s="1">
        <v>45</v>
      </c>
      <c r="E25" s="1">
        <v>0.5</v>
      </c>
      <c r="F25" s="1" t="s">
        <v>209</v>
      </c>
      <c r="G25" s="58">
        <f t="shared" si="2"/>
        <v>22.5</v>
      </c>
      <c r="H25" s="12"/>
    </row>
    <row r="26" spans="1:8" x14ac:dyDescent="0.25">
      <c r="A26" s="91"/>
      <c r="B26" s="1" t="s">
        <v>107</v>
      </c>
      <c r="C26" s="1" t="s">
        <v>144</v>
      </c>
      <c r="D26" s="1">
        <v>45.9</v>
      </c>
      <c r="E26" s="58">
        <v>0.67</v>
      </c>
      <c r="F26" s="58" t="s">
        <v>209</v>
      </c>
      <c r="G26" s="58">
        <f t="shared" si="2"/>
        <v>30.753</v>
      </c>
      <c r="H26" s="12"/>
    </row>
    <row r="27" spans="1:8" x14ac:dyDescent="0.25">
      <c r="A27" s="91"/>
      <c r="B27" s="1" t="s">
        <v>214</v>
      </c>
      <c r="C27" s="1"/>
      <c r="D27" s="1">
        <v>141</v>
      </c>
      <c r="E27" s="1">
        <v>3</v>
      </c>
      <c r="F27" s="1" t="s">
        <v>209</v>
      </c>
      <c r="G27" s="58">
        <f t="shared" si="2"/>
        <v>423</v>
      </c>
      <c r="H27" s="23"/>
    </row>
    <row r="28" spans="1:8" x14ac:dyDescent="0.25">
      <c r="A28" s="91"/>
      <c r="B28" s="1" t="s">
        <v>215</v>
      </c>
      <c r="C28" s="1"/>
      <c r="D28" s="1">
        <v>255</v>
      </c>
      <c r="E28" s="44">
        <v>1</v>
      </c>
      <c r="F28" s="44" t="s">
        <v>216</v>
      </c>
      <c r="G28" s="58">
        <f t="shared" si="2"/>
        <v>255</v>
      </c>
      <c r="H28" s="1"/>
    </row>
    <row r="29" spans="1:8" x14ac:dyDescent="0.25">
      <c r="A29" s="91"/>
      <c r="B29" s="44" t="s">
        <v>217</v>
      </c>
      <c r="C29" s="44"/>
      <c r="D29" s="44">
        <v>310</v>
      </c>
      <c r="E29" s="58">
        <v>1</v>
      </c>
      <c r="F29" s="58" t="s">
        <v>216</v>
      </c>
      <c r="G29" s="58">
        <f t="shared" si="2"/>
        <v>310</v>
      </c>
      <c r="H29" s="44"/>
    </row>
    <row r="30" spans="1:8" x14ac:dyDescent="0.25">
      <c r="A30" s="91"/>
      <c r="B30" s="19" t="s">
        <v>218</v>
      </c>
      <c r="C30" s="19"/>
      <c r="D30" s="19">
        <v>1188</v>
      </c>
      <c r="E30" s="58">
        <v>1</v>
      </c>
      <c r="F30" s="58" t="s">
        <v>216</v>
      </c>
      <c r="G30" s="58">
        <f t="shared" si="2"/>
        <v>1188</v>
      </c>
      <c r="H30" s="44"/>
    </row>
    <row r="31" spans="1:8" x14ac:dyDescent="0.25">
      <c r="A31" s="92"/>
      <c r="B31" s="78" t="s">
        <v>7</v>
      </c>
      <c r="C31" s="79"/>
      <c r="D31" s="80"/>
      <c r="E31" s="3"/>
      <c r="F31" s="3"/>
      <c r="G31" s="14">
        <f>SUM(G23:G30)</f>
        <v>2859.2530000000002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81" t="s">
        <v>141</v>
      </c>
      <c r="B33" s="1" t="s">
        <v>142</v>
      </c>
      <c r="C33" s="1" t="s">
        <v>57</v>
      </c>
      <c r="D33" s="1">
        <v>7.2</v>
      </c>
      <c r="E33" s="1">
        <v>15</v>
      </c>
      <c r="F33" s="1" t="s">
        <v>209</v>
      </c>
      <c r="G33" s="1">
        <f>D33*E33</f>
        <v>108</v>
      </c>
      <c r="H33" s="1"/>
    </row>
    <row r="34" spans="1:8" x14ac:dyDescent="0.25">
      <c r="A34" s="81"/>
      <c r="B34" s="1" t="s">
        <v>143</v>
      </c>
      <c r="C34" s="1" t="s">
        <v>57</v>
      </c>
      <c r="D34" s="1">
        <v>18.36</v>
      </c>
      <c r="E34" s="1">
        <v>15</v>
      </c>
      <c r="F34" s="32" t="s">
        <v>209</v>
      </c>
      <c r="G34" s="58">
        <f>D34*E34</f>
        <v>275.39999999999998</v>
      </c>
      <c r="H34" s="1"/>
    </row>
    <row r="35" spans="1:8" x14ac:dyDescent="0.25">
      <c r="A35" s="81"/>
      <c r="B35" s="1"/>
      <c r="C35" s="1"/>
      <c r="D35" s="1"/>
      <c r="E35" s="1"/>
      <c r="F35" s="1"/>
      <c r="G35" s="44"/>
      <c r="H35" s="1"/>
    </row>
    <row r="36" spans="1:8" x14ac:dyDescent="0.25">
      <c r="A36" s="81"/>
      <c r="B36" s="78"/>
      <c r="C36" s="79"/>
      <c r="D36" s="80"/>
      <c r="E36" s="3"/>
      <c r="F36" s="3"/>
      <c r="G36" s="16">
        <f>SUM(G33:G35)</f>
        <v>383.4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82"/>
      <c r="B38" s="44" t="s">
        <v>212</v>
      </c>
      <c r="C38" s="44"/>
      <c r="D38" s="44">
        <v>8.16</v>
      </c>
      <c r="E38" s="44">
        <v>65</v>
      </c>
      <c r="F38" s="45" t="s">
        <v>209</v>
      </c>
      <c r="G38" s="2">
        <f>D38*E38</f>
        <v>530.4</v>
      </c>
      <c r="H38" s="1"/>
    </row>
    <row r="39" spans="1:8" x14ac:dyDescent="0.25">
      <c r="A39" s="83"/>
      <c r="B39" s="44" t="s">
        <v>213</v>
      </c>
      <c r="C39" s="44"/>
      <c r="D39" s="44">
        <v>34.56</v>
      </c>
      <c r="E39" s="44">
        <v>63.34</v>
      </c>
      <c r="F39" s="45" t="s">
        <v>209</v>
      </c>
      <c r="G39" s="2">
        <f>D39*E39</f>
        <v>2189.0304000000001</v>
      </c>
      <c r="H39" s="1"/>
    </row>
    <row r="40" spans="1:8" x14ac:dyDescent="0.25">
      <c r="A40" s="84"/>
      <c r="B40" s="78" t="s">
        <v>7</v>
      </c>
      <c r="C40" s="79"/>
      <c r="D40" s="80"/>
      <c r="E40" s="3"/>
      <c r="F40" s="3"/>
      <c r="G40" s="14">
        <f>SUM(G38:G39)</f>
        <v>2719.4304000000002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81"/>
      <c r="B42" s="1" t="s">
        <v>219</v>
      </c>
      <c r="C42" s="1"/>
      <c r="D42" s="1">
        <v>165</v>
      </c>
      <c r="E42" s="1">
        <v>0.5</v>
      </c>
      <c r="F42" s="1" t="s">
        <v>209</v>
      </c>
      <c r="G42" s="1">
        <f>D42*E42</f>
        <v>82.5</v>
      </c>
      <c r="H42" s="1"/>
    </row>
    <row r="43" spans="1:8" x14ac:dyDescent="0.25">
      <c r="A43" s="81"/>
      <c r="B43" s="1" t="s">
        <v>220</v>
      </c>
      <c r="C43" s="1"/>
      <c r="D43" s="1">
        <v>60</v>
      </c>
      <c r="E43" s="1">
        <v>1</v>
      </c>
      <c r="F43" s="1" t="s">
        <v>221</v>
      </c>
      <c r="G43" s="58">
        <f t="shared" ref="G43:G50" si="3">D43*E43</f>
        <v>60</v>
      </c>
      <c r="H43" s="1"/>
    </row>
    <row r="44" spans="1:8" x14ac:dyDescent="0.25">
      <c r="A44" s="81"/>
      <c r="B44" s="1" t="s">
        <v>222</v>
      </c>
      <c r="C44" s="1"/>
      <c r="D44" s="1">
        <v>4.5</v>
      </c>
      <c r="E44" s="1">
        <v>50</v>
      </c>
      <c r="F44" s="1" t="s">
        <v>223</v>
      </c>
      <c r="G44" s="58">
        <f t="shared" si="3"/>
        <v>225</v>
      </c>
      <c r="H44" s="1"/>
    </row>
    <row r="45" spans="1:8" x14ac:dyDescent="0.25">
      <c r="A45" s="81"/>
      <c r="B45" s="1" t="s">
        <v>224</v>
      </c>
      <c r="C45" s="1"/>
      <c r="D45" s="19">
        <v>240</v>
      </c>
      <c r="E45" s="19">
        <v>1</v>
      </c>
      <c r="F45" s="19" t="s">
        <v>225</v>
      </c>
      <c r="G45" s="58">
        <f t="shared" si="3"/>
        <v>240</v>
      </c>
      <c r="H45" s="1"/>
    </row>
    <row r="46" spans="1:8" x14ac:dyDescent="0.25">
      <c r="A46" s="81"/>
      <c r="B46" s="44" t="s">
        <v>226</v>
      </c>
      <c r="C46" s="44"/>
      <c r="D46" s="19">
        <v>235</v>
      </c>
      <c r="E46" s="19">
        <v>3</v>
      </c>
      <c r="F46" s="19" t="s">
        <v>227</v>
      </c>
      <c r="G46" s="58">
        <f t="shared" si="3"/>
        <v>705</v>
      </c>
      <c r="H46" s="44"/>
    </row>
    <row r="47" spans="1:8" x14ac:dyDescent="0.25">
      <c r="A47" s="81"/>
      <c r="B47" s="44" t="s">
        <v>228</v>
      </c>
      <c r="C47" s="44"/>
      <c r="D47" s="44">
        <v>60</v>
      </c>
      <c r="E47" s="44">
        <v>1</v>
      </c>
      <c r="F47" s="44" t="s">
        <v>209</v>
      </c>
      <c r="G47" s="58">
        <f t="shared" si="3"/>
        <v>60</v>
      </c>
      <c r="H47" s="44"/>
    </row>
    <row r="48" spans="1:8" x14ac:dyDescent="0.25">
      <c r="A48" s="81"/>
      <c r="B48" s="44" t="s">
        <v>229</v>
      </c>
      <c r="C48" s="44"/>
      <c r="D48" s="44">
        <v>32</v>
      </c>
      <c r="E48" s="44">
        <v>1</v>
      </c>
      <c r="F48" s="44" t="s">
        <v>227</v>
      </c>
      <c r="G48" s="58">
        <f t="shared" si="3"/>
        <v>32</v>
      </c>
      <c r="H48" s="44"/>
    </row>
    <row r="49" spans="1:8" x14ac:dyDescent="0.25">
      <c r="A49" s="81"/>
      <c r="B49" s="44" t="s">
        <v>218</v>
      </c>
      <c r="C49" s="44"/>
      <c r="D49" s="44">
        <v>1188</v>
      </c>
      <c r="E49" s="44">
        <v>1</v>
      </c>
      <c r="F49" s="44" t="s">
        <v>216</v>
      </c>
      <c r="G49" s="58">
        <f t="shared" si="3"/>
        <v>1188</v>
      </c>
      <c r="H49" s="44"/>
    </row>
    <row r="50" spans="1:8" x14ac:dyDescent="0.25">
      <c r="A50" s="81"/>
      <c r="B50" s="44"/>
      <c r="C50" s="44"/>
      <c r="D50" s="44"/>
      <c r="E50" s="44"/>
      <c r="F50" s="44"/>
      <c r="G50" s="58">
        <f t="shared" si="3"/>
        <v>0</v>
      </c>
      <c r="H50" s="44"/>
    </row>
    <row r="51" spans="1:8" x14ac:dyDescent="0.25">
      <c r="A51" s="81"/>
      <c r="B51" s="78" t="s">
        <v>7</v>
      </c>
      <c r="C51" s="79"/>
      <c r="D51" s="80"/>
      <c r="E51" s="3"/>
      <c r="F51" s="3"/>
      <c r="G51" s="14">
        <f>SUM(G42:G50)</f>
        <v>2592.5</v>
      </c>
      <c r="H51" s="1"/>
    </row>
    <row r="52" spans="1:8" ht="17.25" thickBot="1" x14ac:dyDescent="0.3">
      <c r="A52" s="1"/>
      <c r="B52" s="75" t="s">
        <v>14</v>
      </c>
      <c r="C52" s="76"/>
      <c r="D52" s="77"/>
      <c r="E52" s="8"/>
      <c r="F52" s="8"/>
      <c r="G52" s="9">
        <f>G51+G40+G36+G21+G15+G9+G31</f>
        <v>24748.7834</v>
      </c>
      <c r="H52" s="1"/>
    </row>
    <row r="53" spans="1:8" x14ac:dyDescent="0.25">
      <c r="A53" s="63" t="s">
        <v>30</v>
      </c>
      <c r="B53" s="66" t="s">
        <v>31</v>
      </c>
      <c r="C53" s="66"/>
      <c r="D53" s="66"/>
      <c r="E53" s="67" t="s">
        <v>32</v>
      </c>
      <c r="F53" s="68"/>
      <c r="G53" s="69"/>
      <c r="H53" s="39" t="s">
        <v>33</v>
      </c>
    </row>
    <row r="54" spans="1:8" x14ac:dyDescent="0.25">
      <c r="A54" s="64"/>
      <c r="B54" s="70"/>
      <c r="C54" s="71"/>
      <c r="D54" s="71"/>
      <c r="E54" s="40" t="s">
        <v>34</v>
      </c>
      <c r="F54" s="73"/>
      <c r="G54" s="74"/>
      <c r="H54" s="59" t="s">
        <v>36</v>
      </c>
    </row>
    <row r="55" spans="1:8" ht="17.25" thickBot="1" x14ac:dyDescent="0.3">
      <c r="A55" s="65"/>
      <c r="B55" s="72"/>
      <c r="C55" s="72"/>
      <c r="D55" s="72"/>
      <c r="E55" s="41" t="s">
        <v>35</v>
      </c>
      <c r="F55" s="61" t="s">
        <v>232</v>
      </c>
      <c r="G55" s="62"/>
      <c r="H55" s="60"/>
    </row>
  </sheetData>
  <mergeCells count="23">
    <mergeCell ref="A17:A21"/>
    <mergeCell ref="B21:D21"/>
    <mergeCell ref="A1:H1"/>
    <mergeCell ref="A3:A9"/>
    <mergeCell ref="B9:D9"/>
    <mergeCell ref="B15:D15"/>
    <mergeCell ref="A11:A15"/>
    <mergeCell ref="A42:A51"/>
    <mergeCell ref="B51:D51"/>
    <mergeCell ref="B52:D52"/>
    <mergeCell ref="B31:D31"/>
    <mergeCell ref="A33:A36"/>
    <mergeCell ref="B36:D36"/>
    <mergeCell ref="A38:A40"/>
    <mergeCell ref="B40:D40"/>
    <mergeCell ref="A23:A31"/>
    <mergeCell ref="H54:H55"/>
    <mergeCell ref="F55:G55"/>
    <mergeCell ref="A53:A55"/>
    <mergeCell ref="B53:D53"/>
    <mergeCell ref="E53:G53"/>
    <mergeCell ref="B54:D55"/>
    <mergeCell ref="F54:G54"/>
  </mergeCells>
  <phoneticPr fontId="2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0202+</vt:lpstr>
      <vt:lpstr>0203+</vt:lpstr>
      <vt:lpstr>0204</vt:lpstr>
      <vt:lpstr>0205</vt:lpstr>
      <vt:lpstr>0206</vt:lpstr>
      <vt:lpstr>'0202+'!Print_Area</vt:lpstr>
      <vt:lpstr>'0203+'!Print_Area</vt:lpstr>
      <vt:lpstr>'0204'!Print_Area</vt:lpstr>
      <vt:lpstr>'0205'!Print_Area</vt:lpstr>
      <vt:lpstr>'0206'!Print_Area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2026-02-06T07:25:50Z</cp:lastPrinted>
  <dcterms:created xsi:type="dcterms:W3CDTF">2025-02-19T17:01:12Z</dcterms:created>
  <dcterms:modified xsi:type="dcterms:W3CDTF">2026-02-06T07:25:54Z</dcterms:modified>
</cp:coreProperties>
</file>