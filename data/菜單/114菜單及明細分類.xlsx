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s01455\Desktop\"/>
    </mc:Choice>
  </mc:AlternateContent>
  <xr:revisionPtr revIDLastSave="0" documentId="13_ncr:1_{CC8963E7-1FF6-407A-B447-6635528978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工作表1" sheetId="1" r:id="rId1"/>
    <sheet name="餐會春節" sheetId="3" r:id="rId2"/>
    <sheet name="端節餐會" sheetId="4" r:id="rId3"/>
    <sheet name="秋節餐會" sheetId="5" r:id="rId4"/>
  </sheets>
  <definedNames>
    <definedName name="_xlnm.Print_Area" localSheetId="3">秋節餐會!$A$1:$H$59</definedName>
    <definedName name="_xlnm.Print_Area" localSheetId="2">端節餐會!$A$1:$H$48</definedName>
    <definedName name="_xlnm.Print_Area" localSheetId="1">餐會春節!$A$1:$H$55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R228" i="1" l="1"/>
  <c r="BR231" i="1" s="1"/>
  <c r="AH496" i="1"/>
  <c r="AH495" i="1"/>
  <c r="AH498" i="1" s="1"/>
  <c r="AQ449" i="1"/>
  <c r="AQ448" i="1"/>
  <c r="AQ447" i="1"/>
  <c r="AQ450" i="1" s="1"/>
  <c r="AQ441" i="1" l="1"/>
  <c r="AQ440" i="1"/>
  <c r="AQ439" i="1"/>
  <c r="AQ444" i="1" s="1"/>
  <c r="P205" i="1"/>
  <c r="P204" i="1"/>
  <c r="P203" i="1"/>
  <c r="P208" i="1" s="1"/>
  <c r="BR224" i="1"/>
  <c r="BR223" i="1"/>
  <c r="BR222" i="1"/>
  <c r="BR221" i="1"/>
  <c r="BR220" i="1"/>
  <c r="BR225" i="1" s="1"/>
  <c r="AH491" i="1" l="1"/>
  <c r="AH490" i="1"/>
  <c r="AH489" i="1"/>
  <c r="AH488" i="1"/>
  <c r="AH487" i="1"/>
  <c r="AH492" i="1" s="1"/>
  <c r="BR216" i="1" l="1"/>
  <c r="BR215" i="1"/>
  <c r="BR214" i="1"/>
  <c r="BR213" i="1"/>
  <c r="BR212" i="1"/>
  <c r="BR211" i="1"/>
  <c r="CJ136" i="1"/>
  <c r="CJ135" i="1"/>
  <c r="CJ134" i="1"/>
  <c r="CJ133" i="1"/>
  <c r="CJ132" i="1"/>
  <c r="CJ138" i="1" s="1"/>
  <c r="BR217" i="1" l="1"/>
  <c r="G111" i="1" l="1"/>
  <c r="G115" i="1" s="1"/>
  <c r="AQ435" i="1" l="1"/>
  <c r="AQ434" i="1"/>
  <c r="AQ433" i="1"/>
  <c r="AQ432" i="1"/>
  <c r="AQ436" i="1" s="1"/>
  <c r="P150" i="1"/>
  <c r="AQ427" i="1"/>
  <c r="AQ426" i="1"/>
  <c r="AQ425" i="1"/>
  <c r="AQ424" i="1"/>
  <c r="AQ423" i="1"/>
  <c r="AQ429" i="1" s="1"/>
  <c r="CA93" i="1"/>
  <c r="CA92" i="1"/>
  <c r="CA91" i="1"/>
  <c r="CA94" i="1" s="1"/>
  <c r="AH482" i="1" l="1"/>
  <c r="AH481" i="1"/>
  <c r="AH480" i="1"/>
  <c r="AH484" i="1" s="1"/>
  <c r="AQ417" i="1"/>
  <c r="AQ416" i="1"/>
  <c r="AQ415" i="1"/>
  <c r="AQ419" i="1" s="1"/>
  <c r="AQ410" i="1"/>
  <c r="AQ409" i="1"/>
  <c r="AQ408" i="1"/>
  <c r="AQ412" i="1" s="1"/>
  <c r="P198" i="1" l="1"/>
  <c r="P197" i="1"/>
  <c r="P196" i="1"/>
  <c r="P200" i="1" s="1"/>
  <c r="AH475" i="1" l="1"/>
  <c r="AH474" i="1"/>
  <c r="AH473" i="1"/>
  <c r="AH472" i="1"/>
  <c r="AH477" i="1" s="1"/>
  <c r="BR207" i="1"/>
  <c r="BR206" i="1"/>
  <c r="BR205" i="1"/>
  <c r="BR204" i="1"/>
  <c r="BR203" i="1"/>
  <c r="BR202" i="1"/>
  <c r="BR208" i="1" s="1"/>
  <c r="BR200" i="1"/>
  <c r="BR197" i="1" l="1"/>
  <c r="BR196" i="1"/>
  <c r="BR195" i="1"/>
  <c r="BR198" i="1" s="1"/>
  <c r="G106" i="1"/>
  <c r="G105" i="1"/>
  <c r="G104" i="1"/>
  <c r="G103" i="1"/>
  <c r="G108" i="1" s="1"/>
  <c r="AH468" i="1" l="1"/>
  <c r="AH467" i="1"/>
  <c r="AH466" i="1"/>
  <c r="AH465" i="1"/>
  <c r="AH469" i="1" s="1"/>
  <c r="CA87" i="1"/>
  <c r="CA86" i="1"/>
  <c r="CA88" i="1" s="1"/>
  <c r="AH461" i="1" l="1"/>
  <c r="AH460" i="1"/>
  <c r="AH459" i="1"/>
  <c r="AH462" i="1" s="1"/>
  <c r="CJ126" i="1"/>
  <c r="CJ125" i="1"/>
  <c r="CJ124" i="1"/>
  <c r="CJ123" i="1"/>
  <c r="CJ129" i="1" s="1"/>
  <c r="G54" i="5" l="1"/>
  <c r="G53" i="5"/>
  <c r="G52" i="5"/>
  <c r="G51" i="5"/>
  <c r="G50" i="5"/>
  <c r="G49" i="5"/>
  <c r="G58" i="5" s="1"/>
  <c r="G48" i="5"/>
  <c r="G45" i="5"/>
  <c r="G44" i="5"/>
  <c r="G46" i="5" s="1"/>
  <c r="G43" i="5"/>
  <c r="G40" i="5"/>
  <c r="G39" i="5"/>
  <c r="G38" i="5"/>
  <c r="G37" i="5"/>
  <c r="G36" i="5"/>
  <c r="G35" i="5"/>
  <c r="G41" i="5" s="1"/>
  <c r="G32" i="5"/>
  <c r="G31" i="5"/>
  <c r="G30" i="5"/>
  <c r="G29" i="5"/>
  <c r="G28" i="5"/>
  <c r="G27" i="5"/>
  <c r="G26" i="5"/>
  <c r="G33" i="5" s="1"/>
  <c r="G22" i="5"/>
  <c r="G21" i="5"/>
  <c r="G20" i="5"/>
  <c r="G19" i="5"/>
  <c r="G24" i="5" s="1"/>
  <c r="G14" i="5"/>
  <c r="G12" i="5"/>
  <c r="G17" i="5" s="1"/>
  <c r="G11" i="5"/>
  <c r="G9" i="5"/>
  <c r="G3" i="5"/>
  <c r="G59" i="5" l="1"/>
  <c r="G96" i="1" l="1"/>
  <c r="G100" i="1" s="1"/>
  <c r="AQ403" i="1"/>
  <c r="AQ402" i="1"/>
  <c r="AQ401" i="1"/>
  <c r="AQ405" i="1" s="1"/>
  <c r="AQ395" i="1" l="1"/>
  <c r="AQ394" i="1"/>
  <c r="AQ393" i="1"/>
  <c r="AQ398" i="1" s="1"/>
  <c r="Y18" i="1"/>
  <c r="Y17" i="1"/>
  <c r="Y21" i="1" s="1"/>
  <c r="AH452" i="1"/>
  <c r="AH451" i="1"/>
  <c r="AH456" i="1" s="1"/>
  <c r="G92" i="1" l="1"/>
  <c r="G91" i="1"/>
  <c r="G90" i="1"/>
  <c r="G89" i="1"/>
  <c r="G93" i="1" s="1"/>
  <c r="AH296" i="1"/>
  <c r="AH295" i="1"/>
  <c r="AH294" i="1"/>
  <c r="AH298" i="1" s="1"/>
  <c r="AH447" i="1" l="1"/>
  <c r="AH446" i="1"/>
  <c r="AH445" i="1"/>
  <c r="AH444" i="1"/>
  <c r="AH448" i="1" s="1"/>
  <c r="AH437" i="1"/>
  <c r="AH436" i="1"/>
  <c r="AH441" i="1" s="1"/>
  <c r="CJ119" i="1"/>
  <c r="CJ118" i="1"/>
  <c r="CJ117" i="1"/>
  <c r="CJ116" i="1"/>
  <c r="CJ115" i="1"/>
  <c r="CJ114" i="1"/>
  <c r="CJ120" i="1" s="1"/>
  <c r="AQ36" i="1" l="1"/>
  <c r="AQ35" i="1"/>
  <c r="AQ34" i="1"/>
  <c r="AQ33" i="1"/>
  <c r="AQ38" i="1" s="1"/>
  <c r="AQ389" i="1"/>
  <c r="AQ388" i="1"/>
  <c r="AQ387" i="1"/>
  <c r="AQ386" i="1"/>
  <c r="AQ385" i="1"/>
  <c r="AQ390" i="1" s="1"/>
  <c r="P175" i="1" l="1"/>
  <c r="P174" i="1"/>
  <c r="P173" i="1"/>
  <c r="P172" i="1"/>
  <c r="P176" i="1" s="1"/>
  <c r="AH424" i="1"/>
  <c r="AH423" i="1"/>
  <c r="AH422" i="1"/>
  <c r="AH421" i="1"/>
  <c r="AH426" i="1" s="1"/>
  <c r="AH417" i="1"/>
  <c r="AH416" i="1"/>
  <c r="AH415" i="1"/>
  <c r="AH409" i="1"/>
  <c r="AH408" i="1"/>
  <c r="AH407" i="1"/>
  <c r="AH412" i="1" s="1"/>
  <c r="P193" i="1"/>
  <c r="AZ99" i="1"/>
  <c r="AH418" i="1" l="1"/>
  <c r="P185" i="1" l="1"/>
  <c r="P184" i="1"/>
  <c r="P183" i="1"/>
  <c r="P182" i="1"/>
  <c r="P181" i="1"/>
  <c r="P180" i="1"/>
  <c r="P179" i="1"/>
  <c r="AQ379" i="1"/>
  <c r="AQ378" i="1"/>
  <c r="AH403" i="1"/>
  <c r="AH402" i="1"/>
  <c r="AH401" i="1"/>
  <c r="AH400" i="1"/>
  <c r="AH399" i="1"/>
  <c r="AH398" i="1"/>
  <c r="BR190" i="1"/>
  <c r="BR189" i="1"/>
  <c r="BR192" i="1" l="1"/>
  <c r="AH404" i="1"/>
  <c r="AQ382" i="1"/>
  <c r="P186" i="1"/>
  <c r="AQ366" i="1" l="1"/>
  <c r="AQ365" i="1"/>
  <c r="AQ364" i="1"/>
  <c r="AQ363" i="1"/>
  <c r="AQ367" i="1" s="1"/>
  <c r="CA67" i="1"/>
  <c r="CA66" i="1"/>
  <c r="CA65" i="1"/>
  <c r="CA68" i="1" l="1"/>
  <c r="BR184" i="1"/>
  <c r="BR186" i="1" s="1"/>
  <c r="AQ187" i="1"/>
  <c r="AQ373" i="1"/>
  <c r="AQ372" i="1"/>
  <c r="AQ371" i="1"/>
  <c r="AQ370" i="1"/>
  <c r="BR178" i="1"/>
  <c r="BR177" i="1"/>
  <c r="AH393" i="1"/>
  <c r="AH392" i="1"/>
  <c r="AH391" i="1"/>
  <c r="AH390" i="1"/>
  <c r="AH389" i="1"/>
  <c r="AH382" i="1"/>
  <c r="AH381" i="1"/>
  <c r="AH377" i="1"/>
  <c r="AH376" i="1"/>
  <c r="AH375" i="1"/>
  <c r="AH374" i="1"/>
  <c r="AH373" i="1"/>
  <c r="AH372" i="1"/>
  <c r="AH366" i="1"/>
  <c r="AH365" i="1"/>
  <c r="AH364" i="1"/>
  <c r="AH369" i="1" l="1"/>
  <c r="BR180" i="1"/>
  <c r="AQ375" i="1"/>
  <c r="AH378" i="1"/>
  <c r="AH386" i="1"/>
  <c r="AH395" i="1"/>
  <c r="BR172" i="1" l="1"/>
  <c r="BR171" i="1"/>
  <c r="AH360" i="1"/>
  <c r="AH359" i="1"/>
  <c r="AH358" i="1"/>
  <c r="AH357" i="1"/>
  <c r="P168" i="1"/>
  <c r="P167" i="1"/>
  <c r="P166" i="1"/>
  <c r="P165" i="1"/>
  <c r="BR166" i="1"/>
  <c r="BR165" i="1"/>
  <c r="BR164" i="1"/>
  <c r="AH353" i="1"/>
  <c r="AH352" i="1"/>
  <c r="AH351" i="1"/>
  <c r="AH350" i="1"/>
  <c r="AH349" i="1"/>
  <c r="AH343" i="1"/>
  <c r="AH342" i="1"/>
  <c r="AH336" i="1"/>
  <c r="AH335" i="1"/>
  <c r="AH330" i="1"/>
  <c r="AH329" i="1"/>
  <c r="AH328" i="1"/>
  <c r="AH327" i="1"/>
  <c r="AH326" i="1"/>
  <c r="AH339" i="1" l="1"/>
  <c r="AH346" i="1"/>
  <c r="AH354" i="1"/>
  <c r="P169" i="1"/>
  <c r="AH361" i="1"/>
  <c r="BR174" i="1"/>
  <c r="AH332" i="1"/>
  <c r="BR168" i="1"/>
  <c r="CA80" i="1"/>
  <c r="CA79" i="1"/>
  <c r="CA78" i="1"/>
  <c r="CA77" i="1"/>
  <c r="CA82" i="1" s="1"/>
  <c r="CJ109" i="1"/>
  <c r="CJ108" i="1"/>
  <c r="CJ107" i="1"/>
  <c r="CJ106" i="1"/>
  <c r="CJ111" i="1" s="1"/>
  <c r="AH321" i="1"/>
  <c r="AH320" i="1"/>
  <c r="AH319" i="1"/>
  <c r="AH318" i="1"/>
  <c r="AH323" i="1" s="1"/>
  <c r="CA73" i="1"/>
  <c r="CA72" i="1"/>
  <c r="CA71" i="1"/>
  <c r="BR159" i="1"/>
  <c r="BR158" i="1"/>
  <c r="AH314" i="1"/>
  <c r="AH313" i="1"/>
  <c r="AH312" i="1"/>
  <c r="AH311" i="1"/>
  <c r="AH310" i="1"/>
  <c r="AH309" i="1"/>
  <c r="AH315" i="1" l="1"/>
  <c r="BR161" i="1"/>
  <c r="CA74" i="1"/>
  <c r="BR154" i="1" l="1"/>
  <c r="BR153" i="1"/>
  <c r="BR152" i="1"/>
  <c r="BR151" i="1"/>
  <c r="BR150" i="1"/>
  <c r="AH305" i="1"/>
  <c r="AH304" i="1"/>
  <c r="AH303" i="1"/>
  <c r="AH302" i="1"/>
  <c r="AH301" i="1"/>
  <c r="AH306" i="1" s="1"/>
  <c r="AQ355" i="1"/>
  <c r="AQ354" i="1"/>
  <c r="AQ360" i="1" s="1"/>
  <c r="P157" i="1"/>
  <c r="P162" i="1" s="1"/>
  <c r="BR155" i="1" l="1"/>
  <c r="AZ98" i="1" l="1"/>
  <c r="AZ97" i="1"/>
  <c r="AZ96" i="1"/>
  <c r="AQ348" i="1"/>
  <c r="AQ347" i="1"/>
  <c r="CA61" i="1"/>
  <c r="CA60" i="1"/>
  <c r="CA59" i="1"/>
  <c r="CA62" i="1" s="1"/>
  <c r="AH290" i="1"/>
  <c r="AH289" i="1"/>
  <c r="AH288" i="1"/>
  <c r="AH287" i="1"/>
  <c r="AH291" i="1" l="1"/>
  <c r="AQ351" i="1"/>
  <c r="AQ342" i="1"/>
  <c r="AQ341" i="1"/>
  <c r="AQ340" i="1"/>
  <c r="G45" i="4"/>
  <c r="G44" i="4"/>
  <c r="G47" i="4" s="1"/>
  <c r="G41" i="4"/>
  <c r="G40" i="4"/>
  <c r="G42" i="4" s="1"/>
  <c r="G37" i="4"/>
  <c r="G36" i="4"/>
  <c r="G38" i="4" s="1"/>
  <c r="G35" i="4"/>
  <c r="G32" i="4"/>
  <c r="G31" i="4"/>
  <c r="G30" i="4"/>
  <c r="G29" i="4"/>
  <c r="G28" i="4"/>
  <c r="G27" i="4"/>
  <c r="G26" i="4"/>
  <c r="G25" i="4"/>
  <c r="G33" i="4" s="1"/>
  <c r="G22" i="4"/>
  <c r="G21" i="4"/>
  <c r="G20" i="4"/>
  <c r="G23" i="4" s="1"/>
  <c r="G17" i="4"/>
  <c r="G16" i="4"/>
  <c r="G15" i="4"/>
  <c r="G14" i="4"/>
  <c r="G13" i="4"/>
  <c r="G12" i="4"/>
  <c r="G11" i="4"/>
  <c r="G10" i="4"/>
  <c r="G18" i="4" s="1"/>
  <c r="G7" i="4"/>
  <c r="G6" i="4"/>
  <c r="G5" i="4"/>
  <c r="G4" i="4"/>
  <c r="G8" i="4" s="1"/>
  <c r="G3" i="4"/>
  <c r="CJ102" i="1"/>
  <c r="CJ101" i="1"/>
  <c r="CJ100" i="1"/>
  <c r="CJ99" i="1"/>
  <c r="CJ98" i="1"/>
  <c r="CJ97" i="1"/>
  <c r="CA53" i="1"/>
  <c r="CA56" i="1" s="1"/>
  <c r="CJ103" i="1" l="1"/>
  <c r="AQ344" i="1"/>
  <c r="G48" i="4"/>
  <c r="BR145" i="1" l="1"/>
  <c r="BR144" i="1"/>
  <c r="CJ93" i="1"/>
  <c r="CJ92" i="1"/>
  <c r="CJ91" i="1"/>
  <c r="CJ90" i="1"/>
  <c r="CJ89" i="1"/>
  <c r="CA48" i="1"/>
  <c r="CA50" i="1" s="1"/>
  <c r="P154" i="1"/>
  <c r="BR139" i="1"/>
  <c r="BR138" i="1"/>
  <c r="AH279" i="1"/>
  <c r="AH278" i="1"/>
  <c r="AH284" i="1" l="1"/>
  <c r="BR141" i="1"/>
  <c r="CJ94" i="1"/>
  <c r="BR147" i="1"/>
  <c r="BR132" i="1"/>
  <c r="BR131" i="1"/>
  <c r="BR135" i="1" s="1"/>
  <c r="AQ333" i="1"/>
  <c r="AQ337" i="1" s="1"/>
  <c r="CJ85" i="1"/>
  <c r="CJ84" i="1"/>
  <c r="CJ83" i="1"/>
  <c r="CJ82" i="1"/>
  <c r="CA43" i="1"/>
  <c r="CA42" i="1"/>
  <c r="CA41" i="1"/>
  <c r="CA44" i="1" s="1"/>
  <c r="AQ328" i="1"/>
  <c r="AQ327" i="1"/>
  <c r="AQ326" i="1"/>
  <c r="P142" i="1"/>
  <c r="P147" i="1" s="1"/>
  <c r="AQ330" i="1" l="1"/>
  <c r="CJ86" i="1"/>
  <c r="AQ320" i="1"/>
  <c r="AQ319" i="1"/>
  <c r="BR127" i="1"/>
  <c r="BR126" i="1"/>
  <c r="BR125" i="1"/>
  <c r="BR124" i="1"/>
  <c r="BR123" i="1"/>
  <c r="AH274" i="1"/>
  <c r="AH273" i="1"/>
  <c r="AH272" i="1"/>
  <c r="AH271" i="1"/>
  <c r="BI30" i="1"/>
  <c r="BI29" i="1"/>
  <c r="BI28" i="1"/>
  <c r="BI27" i="1"/>
  <c r="BI26" i="1"/>
  <c r="BI25" i="1"/>
  <c r="BR119" i="1"/>
  <c r="BR118" i="1"/>
  <c r="BR117" i="1"/>
  <c r="BR116" i="1"/>
  <c r="BR115" i="1"/>
  <c r="AQ315" i="1"/>
  <c r="AQ314" i="1"/>
  <c r="AQ313" i="1"/>
  <c r="AQ312" i="1"/>
  <c r="BI31" i="1" l="1"/>
  <c r="AH275" i="1"/>
  <c r="BR128" i="1"/>
  <c r="AQ316" i="1"/>
  <c r="BR120" i="1"/>
  <c r="AQ323" i="1"/>
  <c r="AH263" i="1"/>
  <c r="AH262" i="1"/>
  <c r="AH267" i="1" s="1"/>
  <c r="AH256" i="1"/>
  <c r="AH255" i="1"/>
  <c r="AH254" i="1"/>
  <c r="AH259" i="1" l="1"/>
  <c r="AH269" i="1"/>
  <c r="AQ306" i="1"/>
  <c r="AQ305" i="1"/>
  <c r="AQ304" i="1"/>
  <c r="AQ309" i="1" l="1"/>
  <c r="AZ95" i="1"/>
  <c r="AZ94" i="1"/>
  <c r="AQ296" i="1"/>
  <c r="AQ300" i="1" s="1"/>
  <c r="AQ302" i="1" s="1"/>
  <c r="AQ288" i="1"/>
  <c r="AQ287" i="1"/>
  <c r="P136" i="1"/>
  <c r="P135" i="1"/>
  <c r="P134" i="1"/>
  <c r="P133" i="1"/>
  <c r="BR111" i="1"/>
  <c r="BR110" i="1"/>
  <c r="BR109" i="1"/>
  <c r="G84" i="1"/>
  <c r="G83" i="1"/>
  <c r="G82" i="1"/>
  <c r="G81" i="1"/>
  <c r="P138" i="1" l="1"/>
  <c r="G86" i="1"/>
  <c r="BR112" i="1"/>
  <c r="AQ293" i="1"/>
  <c r="AQ279" i="1"/>
  <c r="AQ284" i="1" s="1"/>
  <c r="AQ278" i="1"/>
  <c r="AH248" i="1"/>
  <c r="AH247" i="1"/>
  <c r="CJ78" i="1"/>
  <c r="CJ77" i="1"/>
  <c r="CJ76" i="1"/>
  <c r="CJ75" i="1"/>
  <c r="AH241" i="1"/>
  <c r="AH240" i="1"/>
  <c r="AH239" i="1"/>
  <c r="AH238" i="1"/>
  <c r="AH244" i="1" l="1"/>
  <c r="CJ79" i="1"/>
  <c r="AH251" i="1"/>
  <c r="AQ274" i="1"/>
  <c r="AQ273" i="1"/>
  <c r="AQ272" i="1"/>
  <c r="AQ271" i="1"/>
  <c r="AQ266" i="1"/>
  <c r="AQ265" i="1"/>
  <c r="AQ264" i="1"/>
  <c r="AQ263" i="1"/>
  <c r="AQ268" i="1" l="1"/>
  <c r="AQ275" i="1"/>
  <c r="AQ256" i="1"/>
  <c r="AQ255" i="1"/>
  <c r="AQ254" i="1"/>
  <c r="AQ248" i="1"/>
  <c r="AQ247" i="1"/>
  <c r="AQ246" i="1"/>
  <c r="AQ251" i="1" s="1"/>
  <c r="CJ71" i="1"/>
  <c r="CJ70" i="1"/>
  <c r="CJ69" i="1"/>
  <c r="CJ68" i="1"/>
  <c r="CJ67" i="1"/>
  <c r="AZ93" i="1"/>
  <c r="AZ92" i="1"/>
  <c r="BI17" i="1"/>
  <c r="BI21" i="1" s="1"/>
  <c r="AQ241" i="1"/>
  <c r="AQ240" i="1"/>
  <c r="AQ239" i="1"/>
  <c r="AQ238" i="1"/>
  <c r="AQ243" i="1" s="1"/>
  <c r="AQ231" i="1"/>
  <c r="AQ235" i="1" s="1"/>
  <c r="P126" i="1"/>
  <c r="P130" i="1" s="1"/>
  <c r="P127" i="1"/>
  <c r="AH233" i="1"/>
  <c r="AH232" i="1"/>
  <c r="AH231" i="1"/>
  <c r="AH235" i="1" s="1"/>
  <c r="CJ72" i="1" l="1"/>
  <c r="AQ260" i="1"/>
  <c r="AQ226" i="1"/>
  <c r="AQ225" i="1"/>
  <c r="AQ224" i="1"/>
  <c r="AQ223" i="1"/>
  <c r="CJ63" i="1"/>
  <c r="CJ62" i="1"/>
  <c r="CJ61" i="1"/>
  <c r="CJ60" i="1"/>
  <c r="CJ59" i="1"/>
  <c r="AH226" i="1"/>
  <c r="AH225" i="1"/>
  <c r="AH224" i="1"/>
  <c r="AH223" i="1"/>
  <c r="AH218" i="1"/>
  <c r="AH217" i="1"/>
  <c r="AH216" i="1"/>
  <c r="AH215" i="1"/>
  <c r="AH220" i="1" l="1"/>
  <c r="AH228" i="1"/>
  <c r="CJ64" i="1"/>
  <c r="AQ227" i="1"/>
  <c r="G74" i="1"/>
  <c r="G78" i="1" s="1"/>
  <c r="AH210" i="1"/>
  <c r="AH209" i="1"/>
  <c r="AH208" i="1"/>
  <c r="AH207" i="1"/>
  <c r="P121" i="1"/>
  <c r="P120" i="1"/>
  <c r="P119" i="1"/>
  <c r="P118" i="1"/>
  <c r="P123" i="1" l="1"/>
  <c r="AH212" i="1"/>
  <c r="P53" i="1"/>
  <c r="P52" i="1"/>
  <c r="P56" i="1" s="1"/>
  <c r="CJ55" i="1"/>
  <c r="CJ54" i="1"/>
  <c r="CJ53" i="1"/>
  <c r="CJ52" i="1"/>
  <c r="BR105" i="1"/>
  <c r="BR104" i="1"/>
  <c r="BR103" i="1"/>
  <c r="AH201" i="1"/>
  <c r="AH200" i="1"/>
  <c r="AH199" i="1"/>
  <c r="Y25" i="1"/>
  <c r="Y24" i="1"/>
  <c r="P113" i="1"/>
  <c r="P112" i="1"/>
  <c r="P111" i="1"/>
  <c r="AQ218" i="1"/>
  <c r="AQ217" i="1"/>
  <c r="AQ216" i="1"/>
  <c r="AQ215" i="1"/>
  <c r="G70" i="1"/>
  <c r="G69" i="1"/>
  <c r="G68" i="1"/>
  <c r="G67" i="1"/>
  <c r="G66" i="1"/>
  <c r="AQ220" i="1" l="1"/>
  <c r="P115" i="1"/>
  <c r="BR106" i="1"/>
  <c r="Y28" i="1"/>
  <c r="AH204" i="1"/>
  <c r="CJ56" i="1"/>
  <c r="G71" i="1"/>
  <c r="CA19" i="1" l="1"/>
  <c r="BR98" i="1"/>
  <c r="BR97" i="1"/>
  <c r="AH194" i="1"/>
  <c r="AH193" i="1"/>
  <c r="AH192" i="1"/>
  <c r="AQ210" i="1"/>
  <c r="AQ209" i="1"/>
  <c r="AQ208" i="1"/>
  <c r="AQ203" i="1"/>
  <c r="AQ202" i="1"/>
  <c r="AQ201" i="1"/>
  <c r="AQ200" i="1"/>
  <c r="P107" i="1"/>
  <c r="P106" i="1"/>
  <c r="P105" i="1"/>
  <c r="P104" i="1"/>
  <c r="CJ48" i="1"/>
  <c r="CJ47" i="1"/>
  <c r="CJ46" i="1"/>
  <c r="CJ45" i="1"/>
  <c r="AH186" i="1"/>
  <c r="AH185" i="1"/>
  <c r="AH184" i="1"/>
  <c r="AQ193" i="1"/>
  <c r="AQ192" i="1"/>
  <c r="G62" i="1"/>
  <c r="G61" i="1"/>
  <c r="G60" i="1"/>
  <c r="G59" i="1"/>
  <c r="G63" i="1" l="1"/>
  <c r="AQ197" i="1"/>
  <c r="CJ49" i="1"/>
  <c r="P108" i="1"/>
  <c r="AQ205" i="1"/>
  <c r="AQ212" i="1"/>
  <c r="BR100" i="1"/>
  <c r="AH189" i="1"/>
  <c r="AH196" i="1"/>
  <c r="BR92" i="1"/>
  <c r="BR91" i="1"/>
  <c r="AQ186" i="1"/>
  <c r="AQ185" i="1"/>
  <c r="AH178" i="1"/>
  <c r="AH177" i="1"/>
  <c r="AH176" i="1"/>
  <c r="AH175" i="1"/>
  <c r="P100" i="1"/>
  <c r="P99" i="1"/>
  <c r="P98" i="1"/>
  <c r="P97" i="1"/>
  <c r="P96" i="1"/>
  <c r="P95" i="1"/>
  <c r="AZ91" i="1"/>
  <c r="AZ90" i="1"/>
  <c r="BR86" i="1"/>
  <c r="BR85" i="1"/>
  <c r="AQ180" i="1"/>
  <c r="AQ179" i="1"/>
  <c r="AQ178" i="1"/>
  <c r="AH168" i="1"/>
  <c r="AH167" i="1"/>
  <c r="G53" i="1"/>
  <c r="G52" i="1"/>
  <c r="CJ41" i="1"/>
  <c r="CJ40" i="1"/>
  <c r="CJ39" i="1"/>
  <c r="CJ38" i="1"/>
  <c r="CJ37" i="1"/>
  <c r="CJ36" i="1"/>
  <c r="CJ35" i="1"/>
  <c r="AH162" i="1"/>
  <c r="AH161" i="1"/>
  <c r="AH160" i="1"/>
  <c r="AQ173" i="1"/>
  <c r="AQ172" i="1"/>
  <c r="AQ171" i="1"/>
  <c r="G47" i="1"/>
  <c r="G46" i="1"/>
  <c r="G45" i="1"/>
  <c r="AZ89" i="1"/>
  <c r="AZ88" i="1"/>
  <c r="CA12" i="1"/>
  <c r="CA11" i="1"/>
  <c r="CA10" i="1"/>
  <c r="AZ87" i="1"/>
  <c r="AH155" i="1"/>
  <c r="AH154" i="1"/>
  <c r="AH153" i="1"/>
  <c r="AH147" i="1"/>
  <c r="AH146" i="1"/>
  <c r="AH145" i="1"/>
  <c r="P90" i="1"/>
  <c r="P89" i="1"/>
  <c r="P88" i="1"/>
  <c r="AQ175" i="1" l="1"/>
  <c r="BR88" i="1"/>
  <c r="P101" i="1"/>
  <c r="AH180" i="1"/>
  <c r="AQ189" i="1"/>
  <c r="BR94" i="1"/>
  <c r="AH150" i="1"/>
  <c r="G49" i="1"/>
  <c r="AH164" i="1"/>
  <c r="G56" i="1"/>
  <c r="AH172" i="1"/>
  <c r="AQ182" i="1"/>
  <c r="CJ42" i="1"/>
  <c r="P92" i="1"/>
  <c r="AH157" i="1"/>
  <c r="CA13" i="1"/>
  <c r="AQ167" i="1" l="1"/>
  <c r="AQ166" i="1"/>
  <c r="AQ165" i="1"/>
  <c r="AQ164" i="1"/>
  <c r="AQ163" i="1"/>
  <c r="AH141" i="1"/>
  <c r="AH140" i="1"/>
  <c r="AH139" i="1"/>
  <c r="AH138" i="1"/>
  <c r="AH137" i="1"/>
  <c r="AQ158" i="1"/>
  <c r="AQ157" i="1"/>
  <c r="AQ156" i="1"/>
  <c r="AQ150" i="1"/>
  <c r="AQ149" i="1"/>
  <c r="AQ148" i="1"/>
  <c r="P84" i="1"/>
  <c r="P83" i="1"/>
  <c r="P82" i="1"/>
  <c r="P81" i="1"/>
  <c r="P80" i="1"/>
  <c r="CJ30" i="1"/>
  <c r="CJ29" i="1"/>
  <c r="CJ28" i="1"/>
  <c r="BR81" i="1"/>
  <c r="BR80" i="1"/>
  <c r="BR79" i="1"/>
  <c r="BR78" i="1"/>
  <c r="BR77" i="1"/>
  <c r="BR76" i="1"/>
  <c r="AQ144" i="1"/>
  <c r="AQ143" i="1"/>
  <c r="AQ142" i="1"/>
  <c r="AQ141" i="1"/>
  <c r="AQ140" i="1"/>
  <c r="AQ139" i="1"/>
  <c r="P74" i="1"/>
  <c r="P73" i="1"/>
  <c r="AH131" i="1"/>
  <c r="AH130" i="1"/>
  <c r="AH129" i="1"/>
  <c r="AZ86" i="1"/>
  <c r="AH124" i="1"/>
  <c r="AH123" i="1"/>
  <c r="AH122" i="1"/>
  <c r="AQ134" i="1"/>
  <c r="AQ133" i="1"/>
  <c r="AQ132" i="1"/>
  <c r="AQ131" i="1"/>
  <c r="P66" i="1"/>
  <c r="P70" i="1" s="1"/>
  <c r="P77" i="1" l="1"/>
  <c r="AQ145" i="1"/>
  <c r="BR82" i="1"/>
  <c r="CJ32" i="1"/>
  <c r="AQ153" i="1"/>
  <c r="AH142" i="1"/>
  <c r="AQ136" i="1"/>
  <c r="AH126" i="1"/>
  <c r="AH134" i="1"/>
  <c r="P85" i="1"/>
  <c r="AQ160" i="1"/>
  <c r="AQ168" i="1"/>
  <c r="Y11" i="1"/>
  <c r="Y10" i="1"/>
  <c r="CJ24" i="1"/>
  <c r="CJ23" i="1"/>
  <c r="CJ22" i="1"/>
  <c r="CJ21" i="1"/>
  <c r="CJ20" i="1"/>
  <c r="BR72" i="1"/>
  <c r="BR71" i="1"/>
  <c r="BR70" i="1"/>
  <c r="BR69" i="1"/>
  <c r="AZ85" i="1"/>
  <c r="AQ127" i="1"/>
  <c r="AQ126" i="1"/>
  <c r="AQ125" i="1"/>
  <c r="AQ124" i="1"/>
  <c r="BI12" i="1"/>
  <c r="BI11" i="1"/>
  <c r="BI10" i="1"/>
  <c r="BI9" i="1"/>
  <c r="G38" i="1"/>
  <c r="G42" i="1" s="1"/>
  <c r="BR63" i="1"/>
  <c r="BR66" i="1" s="1"/>
  <c r="AQ118" i="1"/>
  <c r="AQ117" i="1"/>
  <c r="AQ116" i="1"/>
  <c r="AQ110" i="1"/>
  <c r="AQ109" i="1"/>
  <c r="P59" i="1"/>
  <c r="P63" i="1" s="1"/>
  <c r="AZ3" i="1"/>
  <c r="AZ4" i="1"/>
  <c r="AZ5" i="1"/>
  <c r="AZ6" i="1"/>
  <c r="AZ7" i="1"/>
  <c r="AZ8" i="1"/>
  <c r="AZ9" i="1"/>
  <c r="AZ10" i="1"/>
  <c r="AZ11" i="1"/>
  <c r="AZ12" i="1"/>
  <c r="AZ13" i="1"/>
  <c r="AZ14" i="1"/>
  <c r="AZ15" i="1"/>
  <c r="AZ16" i="1"/>
  <c r="AZ17" i="1"/>
  <c r="AZ18" i="1"/>
  <c r="AZ19" i="1"/>
  <c r="AZ20" i="1"/>
  <c r="AZ21" i="1"/>
  <c r="AZ22" i="1"/>
  <c r="AZ23" i="1"/>
  <c r="AZ24" i="1"/>
  <c r="AZ25" i="1"/>
  <c r="AZ26" i="1"/>
  <c r="AZ27" i="1"/>
  <c r="AZ28" i="1"/>
  <c r="AZ29" i="1"/>
  <c r="AZ30" i="1"/>
  <c r="AZ31" i="1"/>
  <c r="AZ32" i="1"/>
  <c r="AZ33" i="1"/>
  <c r="AZ34" i="1"/>
  <c r="AZ35" i="1"/>
  <c r="AZ36" i="1"/>
  <c r="AZ37" i="1"/>
  <c r="AZ38" i="1"/>
  <c r="AZ39" i="1"/>
  <c r="AZ40" i="1"/>
  <c r="AZ41" i="1"/>
  <c r="AZ42" i="1"/>
  <c r="AZ43" i="1"/>
  <c r="AZ44" i="1"/>
  <c r="AZ45" i="1"/>
  <c r="AZ46" i="1"/>
  <c r="AZ47" i="1"/>
  <c r="AZ48" i="1"/>
  <c r="AZ49" i="1"/>
  <c r="AZ50" i="1"/>
  <c r="AZ51" i="1"/>
  <c r="AZ52" i="1"/>
  <c r="AZ53" i="1"/>
  <c r="AZ54" i="1"/>
  <c r="AZ55" i="1"/>
  <c r="AZ56" i="1"/>
  <c r="AZ57" i="1"/>
  <c r="AZ58" i="1"/>
  <c r="AZ59" i="1"/>
  <c r="AZ60" i="1"/>
  <c r="AZ61" i="1"/>
  <c r="AZ62" i="1"/>
  <c r="AZ63" i="1"/>
  <c r="AZ64" i="1"/>
  <c r="AZ65" i="1"/>
  <c r="AZ66" i="1"/>
  <c r="AZ67" i="1"/>
  <c r="AZ68" i="1"/>
  <c r="AZ69" i="1"/>
  <c r="AZ70" i="1"/>
  <c r="AZ71" i="1"/>
  <c r="AZ72" i="1"/>
  <c r="AZ73" i="1"/>
  <c r="AZ74" i="1"/>
  <c r="AZ75" i="1"/>
  <c r="AZ76" i="1"/>
  <c r="AZ77" i="1"/>
  <c r="AZ78" i="1"/>
  <c r="AZ79" i="1"/>
  <c r="AZ80" i="1"/>
  <c r="AZ81" i="1"/>
  <c r="AZ82" i="1"/>
  <c r="AZ83" i="1"/>
  <c r="AZ84" i="1"/>
  <c r="BR59" i="1"/>
  <c r="BR58" i="1"/>
  <c r="BR57" i="1"/>
  <c r="AH117" i="1"/>
  <c r="AH116" i="1"/>
  <c r="AH115" i="1"/>
  <c r="AH114" i="1"/>
  <c r="AH113" i="1"/>
  <c r="AH112" i="1"/>
  <c r="AQ102" i="1"/>
  <c r="AQ101" i="1"/>
  <c r="AQ113" i="1" l="1"/>
  <c r="AQ121" i="1"/>
  <c r="BR73" i="1"/>
  <c r="CJ25" i="1"/>
  <c r="Y14" i="1"/>
  <c r="BI14" i="1"/>
  <c r="AQ128" i="1"/>
  <c r="AQ106" i="1"/>
  <c r="AH119" i="1"/>
  <c r="BR60" i="1"/>
  <c r="AQ97" i="1" l="1"/>
  <c r="AQ96" i="1"/>
  <c r="AQ95" i="1"/>
  <c r="AQ94" i="1"/>
  <c r="AH107" i="1"/>
  <c r="AH106" i="1"/>
  <c r="AH105" i="1"/>
  <c r="AH104" i="1"/>
  <c r="P45" i="1"/>
  <c r="P49" i="1" s="1"/>
  <c r="BR52" i="1"/>
  <c r="BR51" i="1"/>
  <c r="AH99" i="1"/>
  <c r="AH98" i="1"/>
  <c r="AH97" i="1"/>
  <c r="AH96" i="1"/>
  <c r="AH95" i="1"/>
  <c r="AQ89" i="1"/>
  <c r="AQ88" i="1"/>
  <c r="AQ87" i="1"/>
  <c r="AQ86" i="1"/>
  <c r="G32" i="1"/>
  <c r="G31" i="1"/>
  <c r="AH88" i="1"/>
  <c r="AH92" i="1" s="1"/>
  <c r="G53" i="3"/>
  <c r="G52" i="3"/>
  <c r="G51" i="3"/>
  <c r="G50" i="3"/>
  <c r="G49" i="3"/>
  <c r="G48" i="3"/>
  <c r="G54" i="3" s="1"/>
  <c r="G45" i="3"/>
  <c r="G44" i="3"/>
  <c r="G43" i="3"/>
  <c r="G46" i="3" s="1"/>
  <c r="G41" i="3"/>
  <c r="G40" i="3"/>
  <c r="G39" i="3"/>
  <c r="G38" i="3"/>
  <c r="G42" i="3" s="1"/>
  <c r="G37" i="3"/>
  <c r="G34" i="3"/>
  <c r="G33" i="3"/>
  <c r="G32" i="3"/>
  <c r="G31" i="3"/>
  <c r="G30" i="3"/>
  <c r="G35" i="3" s="1"/>
  <c r="G27" i="3"/>
  <c r="G26" i="3"/>
  <c r="G25" i="3"/>
  <c r="G24" i="3"/>
  <c r="G23" i="3"/>
  <c r="G22" i="3"/>
  <c r="G28" i="3" s="1"/>
  <c r="G16" i="3"/>
  <c r="G20" i="3" s="1"/>
  <c r="G10" i="3"/>
  <c r="G9" i="3"/>
  <c r="G14" i="3" s="1"/>
  <c r="G3" i="3"/>
  <c r="G7" i="3" s="1"/>
  <c r="BR46" i="1"/>
  <c r="BR45" i="1"/>
  <c r="AH82" i="1"/>
  <c r="AH81" i="1"/>
  <c r="AQ80" i="1"/>
  <c r="AQ79" i="1"/>
  <c r="AQ78" i="1"/>
  <c r="CA4" i="1"/>
  <c r="CA6" i="1" s="1"/>
  <c r="AQ73" i="1"/>
  <c r="AQ72" i="1"/>
  <c r="AQ71" i="1"/>
  <c r="AH75" i="1"/>
  <c r="AH74" i="1"/>
  <c r="AH73" i="1"/>
  <c r="P41" i="1"/>
  <c r="P40" i="1"/>
  <c r="P39" i="1"/>
  <c r="P38" i="1"/>
  <c r="AQ98" i="1" l="1"/>
  <c r="BR54" i="1"/>
  <c r="P42" i="1"/>
  <c r="AQ83" i="1"/>
  <c r="AH101" i="1"/>
  <c r="AH78" i="1"/>
  <c r="AH85" i="1"/>
  <c r="BR48" i="1"/>
  <c r="G35" i="1"/>
  <c r="AQ91" i="1"/>
  <c r="AH109" i="1"/>
  <c r="G55" i="3"/>
  <c r="AQ75" i="1"/>
  <c r="BR40" i="1" l="1"/>
  <c r="BR39" i="1"/>
  <c r="AH69" i="1"/>
  <c r="AH68" i="1"/>
  <c r="AH67" i="1"/>
  <c r="AH66" i="1"/>
  <c r="AQ64" i="1"/>
  <c r="AQ63" i="1"/>
  <c r="G24" i="1"/>
  <c r="G28" i="1" s="1"/>
  <c r="BR34" i="1"/>
  <c r="BR33" i="1"/>
  <c r="AH62" i="1"/>
  <c r="AH61" i="1"/>
  <c r="AH60" i="1"/>
  <c r="AH59" i="1"/>
  <c r="AQ56" i="1"/>
  <c r="AQ55" i="1"/>
  <c r="P34" i="1"/>
  <c r="P33" i="1"/>
  <c r="P32" i="1"/>
  <c r="P31" i="1"/>
  <c r="CJ16" i="1"/>
  <c r="CJ15" i="1"/>
  <c r="CJ14" i="1"/>
  <c r="CJ13" i="1"/>
  <c r="BR28" i="1"/>
  <c r="BR27" i="1"/>
  <c r="AQ48" i="1"/>
  <c r="AQ52" i="1" s="1"/>
  <c r="AH51" i="1"/>
  <c r="AH56" i="1" s="1"/>
  <c r="P24" i="1"/>
  <c r="P28" i="1" s="1"/>
  <c r="AQ44" i="1"/>
  <c r="AQ43" i="1"/>
  <c r="AQ42" i="1"/>
  <c r="AQ41" i="1"/>
  <c r="AH45" i="1"/>
  <c r="AH44" i="1"/>
  <c r="AH43" i="1"/>
  <c r="G17" i="1"/>
  <c r="G21" i="1" s="1"/>
  <c r="BR22" i="1"/>
  <c r="BR21" i="1"/>
  <c r="AH38" i="1"/>
  <c r="AH37" i="1"/>
  <c r="AH36" i="1"/>
  <c r="P19" i="1"/>
  <c r="P18" i="1"/>
  <c r="P17" i="1"/>
  <c r="AQ60" i="1" l="1"/>
  <c r="BR36" i="1"/>
  <c r="AH70" i="1"/>
  <c r="CJ17" i="1"/>
  <c r="AH63" i="1"/>
  <c r="P35" i="1"/>
  <c r="AQ68" i="1"/>
  <c r="BR42" i="1"/>
  <c r="BR30" i="1"/>
  <c r="P21" i="1"/>
  <c r="BR24" i="1"/>
  <c r="AH48" i="1"/>
  <c r="AQ45" i="1"/>
  <c r="AH40" i="1"/>
  <c r="BR16" i="1" l="1"/>
  <c r="BR15" i="1"/>
  <c r="AQ29" i="1"/>
  <c r="AQ28" i="1"/>
  <c r="AQ27" i="1"/>
  <c r="AQ26" i="1"/>
  <c r="AH32" i="1"/>
  <c r="AH31" i="1"/>
  <c r="AH30" i="1"/>
  <c r="AH29" i="1"/>
  <c r="AH28" i="1"/>
  <c r="AH27" i="1"/>
  <c r="Y5" i="1"/>
  <c r="Y4" i="1"/>
  <c r="Y3" i="1"/>
  <c r="BR10" i="1"/>
  <c r="BR9" i="1"/>
  <c r="AH23" i="1"/>
  <c r="AH22" i="1"/>
  <c r="AH21" i="1"/>
  <c r="AH20" i="1"/>
  <c r="AH19" i="1"/>
  <c r="AQ20" i="1"/>
  <c r="AQ19" i="1"/>
  <c r="AQ18" i="1"/>
  <c r="P13" i="1"/>
  <c r="P12" i="1"/>
  <c r="P11" i="1"/>
  <c r="P10" i="1"/>
  <c r="CJ9" i="1"/>
  <c r="CJ8" i="1"/>
  <c r="CJ7" i="1"/>
  <c r="CJ6" i="1"/>
  <c r="CJ5" i="1"/>
  <c r="CJ4" i="1"/>
  <c r="CJ3" i="1"/>
  <c r="BR5" i="1"/>
  <c r="BR4" i="1"/>
  <c r="BR3" i="1"/>
  <c r="BI3" i="1"/>
  <c r="BI6" i="1" s="1"/>
  <c r="G10" i="1"/>
  <c r="G14" i="1" s="1"/>
  <c r="AQ13" i="1"/>
  <c r="AQ12" i="1"/>
  <c r="AQ11" i="1"/>
  <c r="AH13" i="1"/>
  <c r="AH12" i="1"/>
  <c r="AH11" i="1"/>
  <c r="P3" i="1"/>
  <c r="P7" i="1" s="1"/>
  <c r="AH5" i="1"/>
  <c r="AH4" i="1"/>
  <c r="AH3" i="1"/>
  <c r="AQ5" i="1"/>
  <c r="AQ4" i="1"/>
  <c r="AQ3" i="1"/>
  <c r="G3" i="1"/>
  <c r="G7" i="1" s="1"/>
  <c r="AH24" i="1" l="1"/>
  <c r="P14" i="1"/>
  <c r="CJ10" i="1"/>
  <c r="AH16" i="1"/>
  <c r="AQ23" i="1"/>
  <c r="Y7" i="1"/>
  <c r="BR12" i="1"/>
  <c r="AQ15" i="1"/>
  <c r="AQ30" i="1"/>
  <c r="AH33" i="1"/>
  <c r="BR17" i="1"/>
  <c r="BR6" i="1"/>
  <c r="AQ8" i="1"/>
  <c r="AH7" i="1"/>
</calcChain>
</file>

<file path=xl/sharedStrings.xml><?xml version="1.0" encoding="utf-8"?>
<sst xmlns="http://schemas.openxmlformats.org/spreadsheetml/2006/main" count="4543" uniqueCount="1024">
  <si>
    <t>食材</t>
    <phoneticPr fontId="1" type="noConversion"/>
  </si>
  <si>
    <t>數量</t>
    <phoneticPr fontId="1" type="noConversion"/>
  </si>
  <si>
    <t>單價</t>
    <phoneticPr fontId="1" type="noConversion"/>
  </si>
  <si>
    <t>訂貨數量</t>
    <phoneticPr fontId="1" type="noConversion"/>
  </si>
  <si>
    <t>金額</t>
    <phoneticPr fontId="1" type="noConversion"/>
  </si>
  <si>
    <t>備考</t>
    <phoneticPr fontId="1" type="noConversion"/>
  </si>
  <si>
    <t>烤腿排</t>
    <phoneticPr fontId="1" type="noConversion"/>
  </si>
  <si>
    <t>腿排</t>
    <phoneticPr fontId="1" type="noConversion"/>
  </si>
  <si>
    <t>260個</t>
    <phoneticPr fontId="1" type="noConversion"/>
  </si>
  <si>
    <t>斤</t>
    <phoneticPr fontId="1" type="noConversion"/>
  </si>
  <si>
    <t>合      計</t>
    <phoneticPr fontId="1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</si>
  <si>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1" type="noConversion"/>
  </si>
  <si>
    <t>食材</t>
    <phoneticPr fontId="1" type="noConversion"/>
  </si>
  <si>
    <t>數量</t>
    <phoneticPr fontId="1" type="noConversion"/>
  </si>
  <si>
    <t>單價</t>
    <phoneticPr fontId="1" type="noConversion"/>
  </si>
  <si>
    <t>訂貨數量</t>
    <phoneticPr fontId="1" type="noConversion"/>
  </si>
  <si>
    <t>金額</t>
    <phoneticPr fontId="1" type="noConversion"/>
  </si>
  <si>
    <t>備考</t>
    <phoneticPr fontId="1" type="noConversion"/>
  </si>
  <si>
    <t>醬燒麵腸</t>
    <phoneticPr fontId="1" type="noConversion"/>
  </si>
  <si>
    <t>麵腸切片</t>
    <phoneticPr fontId="1" type="noConversion"/>
  </si>
  <si>
    <t>25斤</t>
    <phoneticPr fontId="1" type="noConversion"/>
  </si>
  <si>
    <t>斤</t>
    <phoneticPr fontId="1" type="noConversion"/>
  </si>
  <si>
    <t>杏鮑菇</t>
    <phoneticPr fontId="1" type="noConversion"/>
  </si>
  <si>
    <t>20斤</t>
    <phoneticPr fontId="1" type="noConversion"/>
  </si>
  <si>
    <t>斤</t>
    <phoneticPr fontId="1" type="noConversion"/>
  </si>
  <si>
    <t>去皮洋蔥</t>
    <phoneticPr fontId="1" type="noConversion"/>
  </si>
  <si>
    <t>6斤</t>
    <phoneticPr fontId="1" type="noConversion"/>
  </si>
  <si>
    <t>合      計</t>
    <phoneticPr fontId="1" type="noConversion"/>
  </si>
  <si>
    <t>數量</t>
    <phoneticPr fontId="1" type="noConversion"/>
  </si>
  <si>
    <t>訂貨數量</t>
    <phoneticPr fontId="1" type="noConversion"/>
  </si>
  <si>
    <t>金額</t>
    <phoneticPr fontId="1" type="noConversion"/>
  </si>
  <si>
    <t>備考</t>
    <phoneticPr fontId="1" type="noConversion"/>
  </si>
  <si>
    <t>絲瓜肉片</t>
    <phoneticPr fontId="1" type="noConversion"/>
  </si>
  <si>
    <t>去皮絲瓜</t>
    <phoneticPr fontId="1" type="noConversion"/>
  </si>
  <si>
    <t>50斤</t>
    <phoneticPr fontId="1" type="noConversion"/>
  </si>
  <si>
    <t>斤</t>
    <phoneticPr fontId="1" type="noConversion"/>
  </si>
  <si>
    <t>豬肉片</t>
    <phoneticPr fontId="1" type="noConversion"/>
  </si>
  <si>
    <t>15斤</t>
    <phoneticPr fontId="1" type="noConversion"/>
  </si>
  <si>
    <t>紅蘿蔔</t>
    <phoneticPr fontId="1" type="noConversion"/>
  </si>
  <si>
    <t>2斤</t>
    <phoneticPr fontId="1" type="noConversion"/>
  </si>
  <si>
    <t>合      計</t>
    <phoneticPr fontId="1" type="noConversion"/>
  </si>
  <si>
    <t>食材</t>
    <phoneticPr fontId="1" type="noConversion"/>
  </si>
  <si>
    <t>單價</t>
    <phoneticPr fontId="1" type="noConversion"/>
  </si>
  <si>
    <t>訂貨數量</t>
    <phoneticPr fontId="1" type="noConversion"/>
  </si>
  <si>
    <t>金額</t>
    <phoneticPr fontId="1" type="noConversion"/>
  </si>
  <si>
    <t>厚片土司</t>
    <phoneticPr fontId="1" type="noConversion"/>
  </si>
  <si>
    <t>條</t>
    <phoneticPr fontId="1" type="noConversion"/>
  </si>
  <si>
    <t>綠茶鋁茶包</t>
    <phoneticPr fontId="1" type="noConversion"/>
  </si>
  <si>
    <t>件</t>
    <phoneticPr fontId="1" type="noConversion"/>
  </si>
  <si>
    <t>小磨坊椒鹽粉</t>
    <phoneticPr fontId="1" type="noConversion"/>
  </si>
  <si>
    <t>盒</t>
    <phoneticPr fontId="1" type="noConversion"/>
  </si>
  <si>
    <t>小磨坊胡椒粉</t>
    <phoneticPr fontId="1" type="noConversion"/>
  </si>
  <si>
    <t>太白粉</t>
    <phoneticPr fontId="1" type="noConversion"/>
  </si>
  <si>
    <t>包</t>
    <phoneticPr fontId="1" type="noConversion"/>
  </si>
  <si>
    <t>番茄醬</t>
    <phoneticPr fontId="1" type="noConversion"/>
  </si>
  <si>
    <t>桶</t>
    <phoneticPr fontId="1" type="noConversion"/>
  </si>
  <si>
    <t>非基改味噌</t>
    <phoneticPr fontId="1" type="noConversion"/>
  </si>
  <si>
    <t>件</t>
    <phoneticPr fontId="1" type="noConversion"/>
  </si>
  <si>
    <t>絞肉</t>
    <phoneticPr fontId="1" type="noConversion"/>
  </si>
  <si>
    <t>單位</t>
    <phoneticPr fontId="1" type="noConversion"/>
  </si>
  <si>
    <t>配菜2</t>
    <phoneticPr fontId="1" type="noConversion"/>
  </si>
  <si>
    <t>紅豆湯</t>
    <phoneticPr fontId="1" type="noConversion"/>
  </si>
  <si>
    <t>滷蛋</t>
    <phoneticPr fontId="1" type="noConversion"/>
  </si>
  <si>
    <t>個</t>
    <phoneticPr fontId="1" type="noConversion"/>
  </si>
  <si>
    <t>蘭花干</t>
    <phoneticPr fontId="1" type="noConversion"/>
  </si>
  <si>
    <t>個</t>
    <phoneticPr fontId="1" type="noConversion"/>
  </si>
  <si>
    <t>烏龍麵</t>
    <phoneticPr fontId="1" type="noConversion"/>
  </si>
  <si>
    <t>斤</t>
    <phoneticPr fontId="1" type="noConversion"/>
  </si>
  <si>
    <t>無骨香雞排</t>
    <phoneticPr fontId="1" type="noConversion"/>
  </si>
  <si>
    <t>備考</t>
    <phoneticPr fontId="1" type="noConversion"/>
  </si>
  <si>
    <t>蔥燒里肌排</t>
    <phoneticPr fontId="1" type="noConversion"/>
  </si>
  <si>
    <t>里肌肉排</t>
    <phoneticPr fontId="1" type="noConversion"/>
  </si>
  <si>
    <t>280片</t>
    <phoneticPr fontId="1" type="noConversion"/>
  </si>
  <si>
    <t>合      計</t>
    <phoneticPr fontId="1" type="noConversion"/>
  </si>
  <si>
    <r>
      <t>菜名</t>
    </r>
    <r>
      <rPr>
        <sz val="12"/>
        <color rgb="FFFF0000"/>
        <rFont val="標楷體"/>
        <family val="4"/>
        <charset val="136"/>
      </rPr>
      <t>(主)</t>
    </r>
    <phoneticPr fontId="1" type="noConversion"/>
  </si>
  <si>
    <t>主菜(雞肉)</t>
    <phoneticPr fontId="1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</si>
  <si>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1" type="noConversion"/>
  </si>
  <si>
    <t>數量</t>
    <phoneticPr fontId="1" type="noConversion"/>
  </si>
  <si>
    <t>小黃瓜炒魚丸</t>
    <phoneticPr fontId="1" type="noConversion"/>
  </si>
  <si>
    <t>小黃瓜</t>
    <phoneticPr fontId="1" type="noConversion"/>
  </si>
  <si>
    <t>30斤</t>
    <phoneticPr fontId="1" type="noConversion"/>
  </si>
  <si>
    <t>鱈魚丸</t>
    <phoneticPr fontId="1" type="noConversion"/>
  </si>
  <si>
    <t>3包</t>
    <phoneticPr fontId="1" type="noConversion"/>
  </si>
  <si>
    <t>斤</t>
    <phoneticPr fontId="1" type="noConversion"/>
  </si>
  <si>
    <t>川耳</t>
    <phoneticPr fontId="1" type="noConversion"/>
  </si>
  <si>
    <t>4斤</t>
    <phoneticPr fontId="1" type="noConversion"/>
  </si>
  <si>
    <t>合      計</t>
    <phoneticPr fontId="1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</si>
  <si>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1" type="noConversion"/>
  </si>
  <si>
    <t>菜名(配1)</t>
    <phoneticPr fontId="1" type="noConversion"/>
  </si>
  <si>
    <t>配菜1(半葷素)</t>
    <phoneticPr fontId="1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</si>
  <si>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1" type="noConversion"/>
  </si>
  <si>
    <t>食材</t>
    <phoneticPr fontId="1" type="noConversion"/>
  </si>
  <si>
    <t>訂貨數量</t>
    <phoneticPr fontId="1" type="noConversion"/>
  </si>
  <si>
    <t>番茄炒蛋</t>
    <phoneticPr fontId="1" type="noConversion"/>
  </si>
  <si>
    <t>牛番茄</t>
    <phoneticPr fontId="1" type="noConversion"/>
  </si>
  <si>
    <t>15斤</t>
    <phoneticPr fontId="1" type="noConversion"/>
  </si>
  <si>
    <t>去皮洋蔥</t>
    <phoneticPr fontId="1" type="noConversion"/>
  </si>
  <si>
    <t>20斤</t>
    <phoneticPr fontId="1" type="noConversion"/>
  </si>
  <si>
    <t>蛋</t>
    <phoneticPr fontId="1" type="noConversion"/>
  </si>
  <si>
    <t>1件</t>
    <phoneticPr fontId="1" type="noConversion"/>
  </si>
  <si>
    <t>海帶芽蛋花湯</t>
    <phoneticPr fontId="1" type="noConversion"/>
  </si>
  <si>
    <t>湯品</t>
    <phoneticPr fontId="1" type="noConversion"/>
  </si>
  <si>
    <t>水餃</t>
    <phoneticPr fontId="1" type="noConversion"/>
  </si>
  <si>
    <r>
      <t>菜名</t>
    </r>
    <r>
      <rPr>
        <sz val="12"/>
        <color rgb="FFFF0000"/>
        <rFont val="標楷體"/>
        <family val="4"/>
        <charset val="136"/>
      </rPr>
      <t>(主)</t>
    </r>
    <phoneticPr fontId="1" type="noConversion"/>
  </si>
  <si>
    <t>單價</t>
    <phoneticPr fontId="1" type="noConversion"/>
  </si>
  <si>
    <t>金額</t>
    <phoneticPr fontId="1" type="noConversion"/>
  </si>
  <si>
    <t>備考</t>
    <phoneticPr fontId="1" type="noConversion"/>
  </si>
  <si>
    <t>炸雞腿</t>
    <phoneticPr fontId="1" type="noConversion"/>
  </si>
  <si>
    <t>棒腿</t>
    <phoneticPr fontId="1" type="noConversion"/>
  </si>
  <si>
    <t>270隻</t>
    <phoneticPr fontId="1" type="noConversion"/>
  </si>
  <si>
    <t>斤</t>
    <phoneticPr fontId="1" type="noConversion"/>
  </si>
  <si>
    <t>訂貨數量</t>
    <phoneticPr fontId="1" type="noConversion"/>
  </si>
  <si>
    <t>小餐包</t>
    <phoneticPr fontId="1" type="noConversion"/>
  </si>
  <si>
    <t>300個</t>
    <phoneticPr fontId="1" type="noConversion"/>
  </si>
  <si>
    <t>味素</t>
    <phoneticPr fontId="1" type="noConversion"/>
  </si>
  <si>
    <t>盒</t>
    <phoneticPr fontId="1" type="noConversion"/>
  </si>
  <si>
    <t>醬油</t>
    <phoneticPr fontId="1" type="noConversion"/>
  </si>
  <si>
    <t>桶</t>
    <phoneticPr fontId="1" type="noConversion"/>
  </si>
  <si>
    <t>巧克力醬</t>
    <phoneticPr fontId="1" type="noConversion"/>
  </si>
  <si>
    <t>桶</t>
    <phoneticPr fontId="1" type="noConversion"/>
  </si>
  <si>
    <t>烤肉醬</t>
    <phoneticPr fontId="1" type="noConversion"/>
  </si>
  <si>
    <t>三節翅</t>
    <phoneticPr fontId="1" type="noConversion"/>
  </si>
  <si>
    <t>調理米酒</t>
    <phoneticPr fontId="1" type="noConversion"/>
  </si>
  <si>
    <t>瓶</t>
    <phoneticPr fontId="1" type="noConversion"/>
  </si>
  <si>
    <t>蒜酥</t>
    <phoneticPr fontId="1" type="noConversion"/>
  </si>
  <si>
    <t>蔥酥</t>
    <phoneticPr fontId="1" type="noConversion"/>
  </si>
  <si>
    <t>包</t>
    <phoneticPr fontId="1" type="noConversion"/>
  </si>
  <si>
    <t>香油</t>
    <phoneticPr fontId="1" type="noConversion"/>
  </si>
  <si>
    <t>素蠔油</t>
    <phoneticPr fontId="1" type="noConversion"/>
  </si>
  <si>
    <t>桶</t>
    <phoneticPr fontId="1" type="noConversion"/>
  </si>
  <si>
    <t>金蘭醬油</t>
    <phoneticPr fontId="1" type="noConversion"/>
  </si>
  <si>
    <t>湯品</t>
    <phoneticPr fontId="1" type="noConversion"/>
  </si>
  <si>
    <t>食材</t>
    <phoneticPr fontId="1" type="noConversion"/>
  </si>
  <si>
    <t>數量</t>
    <phoneticPr fontId="1" type="noConversion"/>
  </si>
  <si>
    <t>單價</t>
    <phoneticPr fontId="1" type="noConversion"/>
  </si>
  <si>
    <t>金額</t>
    <phoneticPr fontId="1" type="noConversion"/>
  </si>
  <si>
    <t>玉米濃湯</t>
    <phoneticPr fontId="1" type="noConversion"/>
  </si>
  <si>
    <t>冷凍玉米粒</t>
    <phoneticPr fontId="1" type="noConversion"/>
  </si>
  <si>
    <t>6包</t>
    <phoneticPr fontId="1" type="noConversion"/>
  </si>
  <si>
    <t>玉米醬(大)</t>
    <phoneticPr fontId="1" type="noConversion"/>
  </si>
  <si>
    <t>2罐</t>
    <phoneticPr fontId="1" type="noConversion"/>
  </si>
  <si>
    <t>桶</t>
    <phoneticPr fontId="1" type="noConversion"/>
  </si>
  <si>
    <t>乳瑪琳(小)</t>
    <phoneticPr fontId="1" type="noConversion"/>
  </si>
  <si>
    <t>1罐</t>
    <phoneticPr fontId="1" type="noConversion"/>
  </si>
  <si>
    <t>罐</t>
    <phoneticPr fontId="1" type="noConversion"/>
  </si>
  <si>
    <t>週三麵食</t>
    <phoneticPr fontId="1" type="noConversion"/>
  </si>
  <si>
    <t>食材</t>
    <phoneticPr fontId="1" type="noConversion"/>
  </si>
  <si>
    <t>黑胡椒鐵板麵</t>
    <phoneticPr fontId="1" type="noConversion"/>
  </si>
  <si>
    <t>6包</t>
    <phoneticPr fontId="1" type="noConversion"/>
  </si>
  <si>
    <t>包</t>
    <phoneticPr fontId="1" type="noConversion"/>
  </si>
  <si>
    <t>油麵</t>
    <phoneticPr fontId="1" type="noConversion"/>
  </si>
  <si>
    <t>60斤</t>
    <phoneticPr fontId="1" type="noConversion"/>
  </si>
  <si>
    <t>黑胡椒醬(大)</t>
    <phoneticPr fontId="1" type="noConversion"/>
  </si>
  <si>
    <t>1桶</t>
    <phoneticPr fontId="1" type="noConversion"/>
  </si>
  <si>
    <t>蘑菇醬(大)</t>
    <phoneticPr fontId="1" type="noConversion"/>
  </si>
  <si>
    <t>去皮洋蔥</t>
    <phoneticPr fontId="1" type="noConversion"/>
  </si>
  <si>
    <t>10斤</t>
    <phoneticPr fontId="1" type="noConversion"/>
  </si>
  <si>
    <t>乳瑪琳(小)</t>
    <phoneticPr fontId="1" type="noConversion"/>
  </si>
  <si>
    <t>1罐</t>
    <phoneticPr fontId="1" type="noConversion"/>
  </si>
  <si>
    <t>罐</t>
    <phoneticPr fontId="1" type="noConversion"/>
  </si>
  <si>
    <t>20斤</t>
    <phoneticPr fontId="1" type="noConversion"/>
  </si>
  <si>
    <t>合      計</t>
    <phoneticPr fontId="1" type="noConversion"/>
  </si>
  <si>
    <t>週三麵食</t>
    <phoneticPr fontId="1" type="noConversion"/>
  </si>
  <si>
    <r>
      <t>菜名</t>
    </r>
    <r>
      <rPr>
        <sz val="12"/>
        <color rgb="FFFF0000"/>
        <rFont val="標楷體"/>
        <family val="4"/>
        <charset val="136"/>
      </rPr>
      <t>(主)</t>
    </r>
    <phoneticPr fontId="1" type="noConversion"/>
  </si>
  <si>
    <t>單價</t>
    <phoneticPr fontId="1" type="noConversion"/>
  </si>
  <si>
    <t>腐乳肉片</t>
    <phoneticPr fontId="1" type="noConversion"/>
  </si>
  <si>
    <t>腐乳醬(大)</t>
    <phoneticPr fontId="1" type="noConversion"/>
  </si>
  <si>
    <t>1桶</t>
    <phoneticPr fontId="1" type="noConversion"/>
  </si>
  <si>
    <t>去皮洋蔥</t>
    <phoneticPr fontId="1" type="noConversion"/>
  </si>
  <si>
    <t>豬肉片</t>
    <phoneticPr fontId="1" type="noConversion"/>
  </si>
  <si>
    <t>30斤</t>
    <phoneticPr fontId="1" type="noConversion"/>
  </si>
  <si>
    <t>五花肉片</t>
    <phoneticPr fontId="1" type="noConversion"/>
  </si>
  <si>
    <t>15斤</t>
    <phoneticPr fontId="1" type="noConversion"/>
  </si>
  <si>
    <t>斤</t>
    <phoneticPr fontId="1" type="noConversion"/>
  </si>
  <si>
    <t>單位</t>
    <phoneticPr fontId="1" type="noConversion"/>
  </si>
  <si>
    <t>單位</t>
    <phoneticPr fontId="1" type="noConversion"/>
  </si>
  <si>
    <t>單位</t>
    <phoneticPr fontId="1" type="noConversion"/>
  </si>
  <si>
    <t>單價</t>
    <phoneticPr fontId="1" type="noConversion"/>
  </si>
  <si>
    <t>訂貨數量</t>
    <phoneticPr fontId="1" type="noConversion"/>
  </si>
  <si>
    <t>薑燒南瓜</t>
    <phoneticPr fontId="1" type="noConversion"/>
  </si>
  <si>
    <t>薑絲</t>
    <phoneticPr fontId="1" type="noConversion"/>
  </si>
  <si>
    <t>2斤</t>
    <phoneticPr fontId="1" type="noConversion"/>
  </si>
  <si>
    <t>薑</t>
    <phoneticPr fontId="1" type="noConversion"/>
  </si>
  <si>
    <t>1斤</t>
    <phoneticPr fontId="1" type="noConversion"/>
  </si>
  <si>
    <t>南瓜塊3X3</t>
    <phoneticPr fontId="1" type="noConversion"/>
  </si>
  <si>
    <t>45斤</t>
    <phoneticPr fontId="1" type="noConversion"/>
  </si>
  <si>
    <t>訂貨數量</t>
    <phoneticPr fontId="1" type="noConversion"/>
  </si>
  <si>
    <t>金額</t>
    <phoneticPr fontId="1" type="noConversion"/>
  </si>
  <si>
    <t>備考</t>
    <phoneticPr fontId="1" type="noConversion"/>
  </si>
  <si>
    <t>芹香雞捲</t>
    <phoneticPr fontId="1" type="noConversion"/>
  </si>
  <si>
    <t>去葉中芹</t>
    <phoneticPr fontId="1" type="noConversion"/>
  </si>
  <si>
    <t>8斤</t>
    <phoneticPr fontId="1" type="noConversion"/>
  </si>
  <si>
    <t>斤</t>
    <phoneticPr fontId="1" type="noConversion"/>
  </si>
  <si>
    <t>雞捲</t>
    <phoneticPr fontId="1" type="noConversion"/>
  </si>
  <si>
    <t>30斤</t>
    <phoneticPr fontId="1" type="noConversion"/>
  </si>
  <si>
    <t>川耳</t>
    <phoneticPr fontId="1" type="noConversion"/>
  </si>
  <si>
    <t>4斤</t>
    <phoneticPr fontId="1" type="noConversion"/>
  </si>
  <si>
    <t>紅蘿蔔</t>
    <phoneticPr fontId="1" type="noConversion"/>
  </si>
  <si>
    <t>2斤</t>
    <phoneticPr fontId="1" type="noConversion"/>
  </si>
  <si>
    <t>去皮洋蔥</t>
    <phoneticPr fontId="1" type="noConversion"/>
  </si>
  <si>
    <t>7斤</t>
    <phoneticPr fontId="1" type="noConversion"/>
  </si>
  <si>
    <t>合      計</t>
    <phoneticPr fontId="1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</si>
  <si>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1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</si>
  <si>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1" type="noConversion"/>
  </si>
  <si>
    <t>五穀米</t>
    <phoneticPr fontId="1" type="noConversion"/>
  </si>
  <si>
    <t>斤</t>
    <phoneticPr fontId="1" type="noConversion"/>
  </si>
  <si>
    <t>三好米</t>
    <phoneticPr fontId="1" type="noConversion"/>
  </si>
  <si>
    <t>沙拉油</t>
    <phoneticPr fontId="1" type="noConversion"/>
  </si>
  <si>
    <t>湯品</t>
    <phoneticPr fontId="1" type="noConversion"/>
  </si>
  <si>
    <t>數量</t>
    <phoneticPr fontId="1" type="noConversion"/>
  </si>
  <si>
    <t>單價</t>
    <phoneticPr fontId="1" type="noConversion"/>
  </si>
  <si>
    <t>訂貨數量</t>
    <phoneticPr fontId="1" type="noConversion"/>
  </si>
  <si>
    <t>備考</t>
    <phoneticPr fontId="1" type="noConversion"/>
  </si>
  <si>
    <t>味增貢丸湯</t>
    <phoneticPr fontId="1" type="noConversion"/>
  </si>
  <si>
    <t>味增</t>
    <phoneticPr fontId="1" type="noConversion"/>
  </si>
  <si>
    <t>1箱</t>
    <phoneticPr fontId="1" type="noConversion"/>
  </si>
  <si>
    <t>小貢丸</t>
    <phoneticPr fontId="1" type="noConversion"/>
  </si>
  <si>
    <t>3包</t>
    <phoneticPr fontId="1" type="noConversion"/>
  </si>
  <si>
    <t>斤</t>
    <phoneticPr fontId="1" type="noConversion"/>
  </si>
  <si>
    <t>湯品(鹹)</t>
    <phoneticPr fontId="1" type="noConversion"/>
  </si>
  <si>
    <t>花枝排</t>
    <phoneticPr fontId="1" type="noConversion"/>
  </si>
  <si>
    <t>件</t>
    <phoneticPr fontId="1" type="noConversion"/>
  </si>
  <si>
    <t>肉絲</t>
    <phoneticPr fontId="1" type="noConversion"/>
  </si>
  <si>
    <t>斤</t>
    <phoneticPr fontId="1" type="noConversion"/>
  </si>
  <si>
    <t>雜貨、查價</t>
    <phoneticPr fontId="1" type="noConversion"/>
  </si>
  <si>
    <t>訂貨數量</t>
    <phoneticPr fontId="1" type="noConversion"/>
  </si>
  <si>
    <t>備考</t>
    <phoneticPr fontId="1" type="noConversion"/>
  </si>
  <si>
    <t>鯛魚片</t>
    <phoneticPr fontId="1" type="noConversion"/>
  </si>
  <si>
    <t>250片</t>
    <phoneticPr fontId="1" type="noConversion"/>
  </si>
  <si>
    <t>去皮洋蔥</t>
    <phoneticPr fontId="1" type="noConversion"/>
  </si>
  <si>
    <t>訂貨數量</t>
    <phoneticPr fontId="1" type="noConversion"/>
  </si>
  <si>
    <t>樹子魚片</t>
    <phoneticPr fontId="1" type="noConversion"/>
  </si>
  <si>
    <t>樹子</t>
    <phoneticPr fontId="1" type="noConversion"/>
  </si>
  <si>
    <t>1桶</t>
    <phoneticPr fontId="1" type="noConversion"/>
  </si>
  <si>
    <t>桶</t>
    <phoneticPr fontId="1" type="noConversion"/>
  </si>
  <si>
    <t>8斤</t>
    <phoneticPr fontId="1" type="noConversion"/>
  </si>
  <si>
    <t>主菜(豬肉)</t>
    <phoneticPr fontId="1" type="noConversion"/>
  </si>
  <si>
    <t>主菜(魚肉)</t>
    <phoneticPr fontId="1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</si>
  <si>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1" type="noConversion"/>
  </si>
  <si>
    <t>食材</t>
    <phoneticPr fontId="1" type="noConversion"/>
  </si>
  <si>
    <t>數量</t>
    <phoneticPr fontId="1" type="noConversion"/>
  </si>
  <si>
    <t>訂貨數量</t>
    <phoneticPr fontId="1" type="noConversion"/>
  </si>
  <si>
    <t>金額</t>
    <phoneticPr fontId="1" type="noConversion"/>
  </si>
  <si>
    <t>備考</t>
    <phoneticPr fontId="1" type="noConversion"/>
  </si>
  <si>
    <t>關東煮</t>
    <phoneticPr fontId="1" type="noConversion"/>
  </si>
  <si>
    <t>大三角油豆腐</t>
    <phoneticPr fontId="1" type="noConversion"/>
  </si>
  <si>
    <t>250個</t>
    <phoneticPr fontId="1" type="noConversion"/>
  </si>
  <si>
    <t>米血丁</t>
    <phoneticPr fontId="1" type="noConversion"/>
  </si>
  <si>
    <t>10斤</t>
    <phoneticPr fontId="1" type="noConversion"/>
  </si>
  <si>
    <t>斤</t>
    <phoneticPr fontId="1" type="noConversion"/>
  </si>
  <si>
    <t>白蘿蔔</t>
    <phoneticPr fontId="1" type="noConversion"/>
  </si>
  <si>
    <t>10斤</t>
    <phoneticPr fontId="1" type="noConversion"/>
  </si>
  <si>
    <t>海山醬</t>
    <phoneticPr fontId="1" type="noConversion"/>
  </si>
  <si>
    <t>1桶</t>
    <phoneticPr fontId="1" type="noConversion"/>
  </si>
  <si>
    <t>甜不辣條</t>
    <phoneticPr fontId="1" type="noConversion"/>
  </si>
  <si>
    <t>竹輪</t>
    <phoneticPr fontId="1" type="noConversion"/>
  </si>
  <si>
    <t>8包</t>
    <phoneticPr fontId="1" type="noConversion"/>
  </si>
  <si>
    <t>包</t>
    <phoneticPr fontId="1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</si>
  <si>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1" type="noConversion"/>
  </si>
  <si>
    <t>螞蟻上樹</t>
    <phoneticPr fontId="1" type="noConversion"/>
  </si>
  <si>
    <t>冬粉</t>
    <phoneticPr fontId="1" type="noConversion"/>
  </si>
  <si>
    <t>10斤</t>
    <phoneticPr fontId="1" type="noConversion"/>
  </si>
  <si>
    <t>絞肉</t>
    <phoneticPr fontId="1" type="noConversion"/>
  </si>
  <si>
    <t>10斤</t>
    <phoneticPr fontId="1" type="noConversion"/>
  </si>
  <si>
    <t>木耳絲</t>
    <phoneticPr fontId="1" type="noConversion"/>
  </si>
  <si>
    <t>4斤</t>
    <phoneticPr fontId="1" type="noConversion"/>
  </si>
  <si>
    <t>紅蘿蔔絲</t>
    <phoneticPr fontId="1" type="noConversion"/>
  </si>
  <si>
    <t>2斤</t>
    <phoneticPr fontId="1" type="noConversion"/>
  </si>
  <si>
    <t>金額</t>
    <phoneticPr fontId="1" type="noConversion"/>
  </si>
  <si>
    <t>榨菜筍片湯</t>
    <phoneticPr fontId="1" type="noConversion"/>
  </si>
  <si>
    <t>榨菜絲</t>
    <phoneticPr fontId="1" type="noConversion"/>
  </si>
  <si>
    <t>5斤</t>
    <phoneticPr fontId="1" type="noConversion"/>
  </si>
  <si>
    <t>桶筍片</t>
    <phoneticPr fontId="1" type="noConversion"/>
  </si>
  <si>
    <t>12斤</t>
    <phoneticPr fontId="1" type="noConversion"/>
  </si>
  <si>
    <t>小籠湯包</t>
    <phoneticPr fontId="1" type="noConversion"/>
  </si>
  <si>
    <t>食材</t>
    <phoneticPr fontId="1" type="noConversion"/>
  </si>
  <si>
    <t>訂貨數量</t>
    <phoneticPr fontId="1" type="noConversion"/>
  </si>
  <si>
    <t>粉蒸排骨</t>
    <phoneticPr fontId="1" type="noConversion"/>
  </si>
  <si>
    <t>軟骨排</t>
    <phoneticPr fontId="1" type="noConversion"/>
  </si>
  <si>
    <t>50斤</t>
    <phoneticPr fontId="1" type="noConversion"/>
  </si>
  <si>
    <t>蒸肉粉</t>
    <phoneticPr fontId="1" type="noConversion"/>
  </si>
  <si>
    <t>5包</t>
    <phoneticPr fontId="1" type="noConversion"/>
  </si>
  <si>
    <t>單價</t>
    <phoneticPr fontId="1" type="noConversion"/>
  </si>
  <si>
    <t>備考</t>
    <phoneticPr fontId="1" type="noConversion"/>
  </si>
  <si>
    <t>麻辣鴨血</t>
    <phoneticPr fontId="1" type="noConversion"/>
  </si>
  <si>
    <t>鴨血</t>
    <phoneticPr fontId="1" type="noConversion"/>
  </si>
  <si>
    <t>百頁豆腐</t>
    <phoneticPr fontId="1" type="noConversion"/>
  </si>
  <si>
    <t>角螺</t>
    <phoneticPr fontId="1" type="noConversion"/>
  </si>
  <si>
    <t>3斤</t>
    <phoneticPr fontId="1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</si>
  <si>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1" type="noConversion"/>
  </si>
  <si>
    <t>食材</t>
    <phoneticPr fontId="1" type="noConversion"/>
  </si>
  <si>
    <t>數量</t>
    <phoneticPr fontId="1" type="noConversion"/>
  </si>
  <si>
    <t>金額</t>
    <phoneticPr fontId="1" type="noConversion"/>
  </si>
  <si>
    <t>雪菜炒豆皮</t>
    <phoneticPr fontId="1" type="noConversion"/>
  </si>
  <si>
    <t>切雪裡紅</t>
    <phoneticPr fontId="1" type="noConversion"/>
  </si>
  <si>
    <t>25斤</t>
    <phoneticPr fontId="1" type="noConversion"/>
  </si>
  <si>
    <t>生豆包</t>
    <phoneticPr fontId="1" type="noConversion"/>
  </si>
  <si>
    <t>10斤</t>
    <phoneticPr fontId="1" type="noConversion"/>
  </si>
  <si>
    <t>斤</t>
    <phoneticPr fontId="1" type="noConversion"/>
  </si>
  <si>
    <t>絞肉</t>
    <phoneticPr fontId="1" type="noConversion"/>
  </si>
  <si>
    <t>辣椒</t>
    <phoneticPr fontId="1" type="noConversion"/>
  </si>
  <si>
    <t>素蠔油</t>
    <phoneticPr fontId="1" type="noConversion"/>
  </si>
  <si>
    <t>醬油</t>
    <phoneticPr fontId="1" type="noConversion"/>
  </si>
  <si>
    <t>番茄醬</t>
    <phoneticPr fontId="1" type="noConversion"/>
  </si>
  <si>
    <t>味霖</t>
    <phoneticPr fontId="1" type="noConversion"/>
  </si>
  <si>
    <t>餡餅</t>
    <phoneticPr fontId="1" type="noConversion"/>
  </si>
  <si>
    <t>個</t>
    <phoneticPr fontId="1" type="noConversion"/>
  </si>
  <si>
    <t>厚片土司</t>
    <phoneticPr fontId="1" type="noConversion"/>
  </si>
  <si>
    <t>條</t>
    <phoneticPr fontId="1" type="noConversion"/>
  </si>
  <si>
    <t>烏龍茶</t>
    <phoneticPr fontId="1" type="noConversion"/>
  </si>
  <si>
    <t>件</t>
    <phoneticPr fontId="1" type="noConversion"/>
  </si>
  <si>
    <t>蔥抓餅</t>
    <phoneticPr fontId="1" type="noConversion"/>
  </si>
  <si>
    <t>蜂蜜</t>
    <phoneticPr fontId="1" type="noConversion"/>
  </si>
  <si>
    <t>烤肉醬</t>
    <phoneticPr fontId="1" type="noConversion"/>
  </si>
  <si>
    <t>冷凍檸檬汁</t>
    <phoneticPr fontId="1" type="noConversion"/>
  </si>
  <si>
    <t>罐</t>
    <phoneticPr fontId="1" type="noConversion"/>
  </si>
  <si>
    <t>青蔥</t>
    <phoneticPr fontId="1" type="noConversion"/>
  </si>
  <si>
    <t>沙拉油</t>
    <phoneticPr fontId="1" type="noConversion"/>
  </si>
  <si>
    <t>湯品</t>
    <phoneticPr fontId="1" type="noConversion"/>
  </si>
  <si>
    <t>味增豆腐湯</t>
    <phoneticPr fontId="1" type="noConversion"/>
  </si>
  <si>
    <t>味增</t>
    <phoneticPr fontId="1" type="noConversion"/>
  </si>
  <si>
    <t>1箱</t>
    <phoneticPr fontId="1" type="noConversion"/>
  </si>
  <si>
    <t>4.3豆腐</t>
    <phoneticPr fontId="1" type="noConversion"/>
  </si>
  <si>
    <t>3板</t>
    <phoneticPr fontId="1" type="noConversion"/>
  </si>
  <si>
    <t>盤</t>
    <phoneticPr fontId="1" type="noConversion"/>
  </si>
  <si>
    <t>皮蛋</t>
    <phoneticPr fontId="1" type="noConversion"/>
  </si>
  <si>
    <t>個</t>
    <phoneticPr fontId="1" type="noConversion"/>
  </si>
  <si>
    <t>起司豬排</t>
    <phoneticPr fontId="1" type="noConversion"/>
  </si>
  <si>
    <r>
      <t>菜名</t>
    </r>
    <r>
      <rPr>
        <sz val="12"/>
        <color rgb="FFFF0000"/>
        <rFont val="標楷體"/>
        <family val="4"/>
        <charset val="136"/>
      </rPr>
      <t>(主)</t>
    </r>
    <phoneticPr fontId="1" type="noConversion"/>
  </si>
  <si>
    <t>數量</t>
    <phoneticPr fontId="1" type="noConversion"/>
  </si>
  <si>
    <t>單價</t>
    <phoneticPr fontId="1" type="noConversion"/>
  </si>
  <si>
    <t>卡拉雞排</t>
    <phoneticPr fontId="1" type="noConversion"/>
  </si>
  <si>
    <t>270片</t>
    <phoneticPr fontId="1" type="noConversion"/>
  </si>
  <si>
    <t>片</t>
    <phoneticPr fontId="1" type="noConversion"/>
  </si>
  <si>
    <t>食材</t>
    <phoneticPr fontId="1" type="noConversion"/>
  </si>
  <si>
    <t>訂貨數量</t>
    <phoneticPr fontId="1" type="noConversion"/>
  </si>
  <si>
    <t>豆干炒肉絲</t>
    <phoneticPr fontId="1" type="noConversion"/>
  </si>
  <si>
    <t>豆干切片</t>
    <phoneticPr fontId="1" type="noConversion"/>
  </si>
  <si>
    <t>肉絲</t>
    <phoneticPr fontId="1" type="noConversion"/>
  </si>
  <si>
    <t>20斤</t>
    <phoneticPr fontId="1" type="noConversion"/>
  </si>
  <si>
    <t>紅蘿蔔</t>
    <phoneticPr fontId="1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</si>
  <si>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1" type="noConversion"/>
  </si>
  <si>
    <t>胡瓜菇菇</t>
    <phoneticPr fontId="1" type="noConversion"/>
  </si>
  <si>
    <t>胡瓜絲</t>
    <phoneticPr fontId="1" type="noConversion"/>
  </si>
  <si>
    <t>雪白菇</t>
    <phoneticPr fontId="1" type="noConversion"/>
  </si>
  <si>
    <t>8斤</t>
    <phoneticPr fontId="1" type="noConversion"/>
  </si>
  <si>
    <t>斤</t>
    <phoneticPr fontId="1" type="noConversion"/>
  </si>
  <si>
    <t>木耳絲</t>
    <phoneticPr fontId="1" type="noConversion"/>
  </si>
  <si>
    <t>4斤</t>
    <phoneticPr fontId="1" type="noConversion"/>
  </si>
  <si>
    <t>金針菇</t>
    <phoneticPr fontId="1" type="noConversion"/>
  </si>
  <si>
    <t>8斤</t>
    <phoneticPr fontId="1" type="noConversion"/>
  </si>
  <si>
    <t>蒜泥</t>
    <phoneticPr fontId="1" type="noConversion"/>
  </si>
  <si>
    <t>前腿肉片</t>
    <phoneticPr fontId="1" type="noConversion"/>
  </si>
  <si>
    <t>薑泥</t>
    <phoneticPr fontId="1" type="noConversion"/>
  </si>
  <si>
    <t>斤</t>
    <phoneticPr fontId="1" type="noConversion"/>
  </si>
  <si>
    <t>米酒</t>
    <phoneticPr fontId="1" type="noConversion"/>
  </si>
  <si>
    <t>五花肉片</t>
    <phoneticPr fontId="1" type="noConversion"/>
  </si>
  <si>
    <t>綠豆湯</t>
    <phoneticPr fontId="1" type="noConversion"/>
  </si>
  <si>
    <t>金額</t>
    <phoneticPr fontId="1" type="noConversion"/>
  </si>
  <si>
    <t>控肉片</t>
    <phoneticPr fontId="1" type="noConversion"/>
  </si>
  <si>
    <t>五花肉條</t>
    <phoneticPr fontId="1" type="noConversion"/>
  </si>
  <si>
    <t>45斤</t>
    <phoneticPr fontId="1" type="noConversion"/>
  </si>
  <si>
    <t>合      計</t>
    <phoneticPr fontId="1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</si>
  <si>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1" type="noConversion"/>
  </si>
  <si>
    <t>食材</t>
    <phoneticPr fontId="1" type="noConversion"/>
  </si>
  <si>
    <t>數量</t>
    <phoneticPr fontId="1" type="noConversion"/>
  </si>
  <si>
    <t>單價</t>
    <phoneticPr fontId="1" type="noConversion"/>
  </si>
  <si>
    <t>訂貨數量</t>
    <phoneticPr fontId="1" type="noConversion"/>
  </si>
  <si>
    <t>金額</t>
    <phoneticPr fontId="1" type="noConversion"/>
  </si>
  <si>
    <t>備考</t>
    <phoneticPr fontId="1" type="noConversion"/>
  </si>
  <si>
    <t>府城蝦捲</t>
    <phoneticPr fontId="1" type="noConversion"/>
  </si>
  <si>
    <t>蝦捲</t>
    <phoneticPr fontId="1" type="noConversion"/>
  </si>
  <si>
    <t>540條</t>
    <phoneticPr fontId="1" type="noConversion"/>
  </si>
  <si>
    <t>條</t>
    <phoneticPr fontId="1" type="noConversion"/>
  </si>
  <si>
    <t>合      計</t>
    <phoneticPr fontId="1" type="noConversion"/>
  </si>
  <si>
    <t>滷油豆腐</t>
    <phoneticPr fontId="1" type="noConversion"/>
  </si>
  <si>
    <t>大四角油豆腐</t>
    <phoneticPr fontId="1" type="noConversion"/>
  </si>
  <si>
    <t>280個</t>
    <phoneticPr fontId="1" type="noConversion"/>
  </si>
  <si>
    <t>紅蘿蔔切絲</t>
    <phoneticPr fontId="1" type="noConversion"/>
  </si>
  <si>
    <t>排塊</t>
    <phoneticPr fontId="1" type="noConversion"/>
  </si>
  <si>
    <t>三節翅</t>
    <phoneticPr fontId="1" type="noConversion"/>
  </si>
  <si>
    <t>洗選蛋</t>
    <phoneticPr fontId="1" type="noConversion"/>
  </si>
  <si>
    <t>台糖二砂</t>
    <phoneticPr fontId="1" type="noConversion"/>
  </si>
  <si>
    <t>袋</t>
    <phoneticPr fontId="1" type="noConversion"/>
  </si>
  <si>
    <t>油膏</t>
    <phoneticPr fontId="1" type="noConversion"/>
  </si>
  <si>
    <t>烏醋</t>
    <phoneticPr fontId="1" type="noConversion"/>
  </si>
  <si>
    <t>滷包</t>
    <phoneticPr fontId="1" type="noConversion"/>
  </si>
  <si>
    <t>烘焙紙</t>
    <phoneticPr fontId="1" type="noConversion"/>
  </si>
  <si>
    <t>卡拉雞腿堡</t>
    <phoneticPr fontId="1" type="noConversion"/>
  </si>
  <si>
    <t>片</t>
    <phoneticPr fontId="1" type="noConversion"/>
  </si>
  <si>
    <t>辣豆瓣</t>
    <phoneticPr fontId="1" type="noConversion"/>
  </si>
  <si>
    <t>烹大師</t>
    <phoneticPr fontId="1" type="noConversion"/>
  </si>
  <si>
    <t>時價</t>
    <phoneticPr fontId="1" type="noConversion"/>
  </si>
  <si>
    <t>時價</t>
    <phoneticPr fontId="1" type="noConversion"/>
  </si>
  <si>
    <t>時價</t>
    <phoneticPr fontId="1" type="noConversion"/>
  </si>
  <si>
    <t>時價</t>
    <phoneticPr fontId="1" type="noConversion"/>
  </si>
  <si>
    <t>四神湯</t>
    <phoneticPr fontId="1" type="noConversion"/>
  </si>
  <si>
    <t>四神料</t>
    <phoneticPr fontId="1" type="noConversion"/>
  </si>
  <si>
    <t>小腸</t>
    <phoneticPr fontId="1" type="noConversion"/>
  </si>
  <si>
    <t>刈包</t>
    <phoneticPr fontId="1" type="noConversion"/>
  </si>
  <si>
    <t>270個</t>
    <phoneticPr fontId="1" type="noConversion"/>
  </si>
  <si>
    <t>香菜</t>
    <phoneticPr fontId="1" type="noConversion"/>
  </si>
  <si>
    <t>3斤</t>
    <phoneticPr fontId="1" type="noConversion"/>
  </si>
  <si>
    <t>拌糖花生粉</t>
    <phoneticPr fontId="1" type="noConversion"/>
  </si>
  <si>
    <t>酸菜絲</t>
    <phoneticPr fontId="1" type="noConversion"/>
  </si>
  <si>
    <t>蠔油肉片</t>
    <phoneticPr fontId="1" type="noConversion"/>
  </si>
  <si>
    <t>豬肉片</t>
    <phoneticPr fontId="1" type="noConversion"/>
  </si>
  <si>
    <t>五花肉片</t>
    <phoneticPr fontId="1" type="noConversion"/>
  </si>
  <si>
    <t>薑絲</t>
    <phoneticPr fontId="1" type="noConversion"/>
  </si>
  <si>
    <t>半斤</t>
    <phoneticPr fontId="1" type="noConversion"/>
  </si>
  <si>
    <t>單價</t>
    <phoneticPr fontId="1" type="noConversion"/>
  </si>
  <si>
    <t>玉米蒸蛋</t>
    <phoneticPr fontId="1" type="noConversion"/>
  </si>
  <si>
    <t>蛋</t>
    <phoneticPr fontId="1" type="noConversion"/>
  </si>
  <si>
    <t>1件</t>
    <phoneticPr fontId="1" type="noConversion"/>
  </si>
  <si>
    <t>冷凍玉米粒</t>
    <phoneticPr fontId="1" type="noConversion"/>
  </si>
  <si>
    <t>合      計</t>
    <phoneticPr fontId="1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</si>
  <si>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1" type="noConversion"/>
  </si>
  <si>
    <t>魚香豆腐</t>
    <phoneticPr fontId="1" type="noConversion"/>
  </si>
  <si>
    <t>6板</t>
    <phoneticPr fontId="1" type="noConversion"/>
  </si>
  <si>
    <t>15斤</t>
    <phoneticPr fontId="1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</si>
  <si>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1" type="noConversion"/>
  </si>
  <si>
    <t>白蘿蔔貢丸湯</t>
    <phoneticPr fontId="1" type="noConversion"/>
  </si>
  <si>
    <t>小貢丸</t>
    <phoneticPr fontId="1" type="noConversion"/>
  </si>
  <si>
    <t>2包</t>
    <phoneticPr fontId="1" type="noConversion"/>
  </si>
  <si>
    <t>濕木耳絲</t>
    <phoneticPr fontId="1" type="noConversion"/>
  </si>
  <si>
    <t>蔥油雞</t>
    <phoneticPr fontId="1" type="noConversion"/>
  </si>
  <si>
    <t>腿排</t>
    <phoneticPr fontId="1" type="noConversion"/>
  </si>
  <si>
    <t>245個</t>
    <phoneticPr fontId="1" type="noConversion"/>
  </si>
  <si>
    <t>食材</t>
    <phoneticPr fontId="1" type="noConversion"/>
  </si>
  <si>
    <t>訂貨數量</t>
    <phoneticPr fontId="1" type="noConversion"/>
  </si>
  <si>
    <t>金額</t>
    <phoneticPr fontId="1" type="noConversion"/>
  </si>
  <si>
    <t>備考</t>
    <phoneticPr fontId="1" type="noConversion"/>
  </si>
  <si>
    <t>梅子地瓜</t>
    <phoneticPr fontId="1" type="noConversion"/>
  </si>
  <si>
    <t>地瓜塊3X3</t>
    <phoneticPr fontId="1" type="noConversion"/>
  </si>
  <si>
    <t>梅子粉</t>
    <phoneticPr fontId="1" type="noConversion"/>
  </si>
  <si>
    <t>1包</t>
    <phoneticPr fontId="1" type="noConversion"/>
  </si>
  <si>
    <t>包</t>
    <phoneticPr fontId="1" type="noConversion"/>
  </si>
  <si>
    <t>海帶根炒肉絲</t>
    <phoneticPr fontId="1" type="noConversion"/>
  </si>
  <si>
    <t>海帶根</t>
    <phoneticPr fontId="1" type="noConversion"/>
  </si>
  <si>
    <t>1斤</t>
    <phoneticPr fontId="1" type="noConversion"/>
  </si>
  <si>
    <t>豬肉絲</t>
    <phoneticPr fontId="1" type="noConversion"/>
  </si>
  <si>
    <t>紫菜蛋花湯</t>
    <phoneticPr fontId="1" type="noConversion"/>
  </si>
  <si>
    <t>紫菜</t>
    <phoneticPr fontId="1" type="noConversion"/>
  </si>
  <si>
    <t>斤</t>
    <phoneticPr fontId="1" type="noConversion"/>
  </si>
  <si>
    <t>預估</t>
    <phoneticPr fontId="1" type="noConversion"/>
  </si>
  <si>
    <r>
      <t>菜名</t>
    </r>
    <r>
      <rPr>
        <sz val="12"/>
        <color rgb="FFFF0000"/>
        <rFont val="標楷體"/>
        <family val="4"/>
        <charset val="136"/>
      </rPr>
      <t>(主)</t>
    </r>
    <phoneticPr fontId="1" type="noConversion"/>
  </si>
  <si>
    <t>訂貨數量</t>
    <phoneticPr fontId="1" type="noConversion"/>
  </si>
  <si>
    <t>金額</t>
    <phoneticPr fontId="1" type="noConversion"/>
  </si>
  <si>
    <t>蔥爆肉片</t>
    <phoneticPr fontId="1" type="noConversion"/>
  </si>
  <si>
    <t>豬肉片</t>
    <phoneticPr fontId="1" type="noConversion"/>
  </si>
  <si>
    <t>25斤</t>
    <phoneticPr fontId="1" type="noConversion"/>
  </si>
  <si>
    <t>15斤</t>
    <phoneticPr fontId="1" type="noConversion"/>
  </si>
  <si>
    <t>斤</t>
    <phoneticPr fontId="1" type="noConversion"/>
  </si>
  <si>
    <t>去皮洋蔥</t>
    <phoneticPr fontId="1" type="noConversion"/>
  </si>
  <si>
    <t>薑絲</t>
    <phoneticPr fontId="1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</si>
  <si>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1" type="noConversion"/>
  </si>
  <si>
    <t>油豆腐鳥蛋</t>
    <phoneticPr fontId="1" type="noConversion"/>
  </si>
  <si>
    <t>油豆腐丁</t>
    <phoneticPr fontId="1" type="noConversion"/>
  </si>
  <si>
    <t>20斤</t>
    <phoneticPr fontId="1" type="noConversion"/>
  </si>
  <si>
    <t>鳥蛋</t>
    <phoneticPr fontId="1" type="noConversion"/>
  </si>
  <si>
    <t>500顆</t>
    <phoneticPr fontId="1" type="noConversion"/>
  </si>
  <si>
    <t>大黃瓜炒竹輪</t>
    <phoneticPr fontId="1" type="noConversion"/>
  </si>
  <si>
    <t>去皮大黃瓜</t>
    <phoneticPr fontId="1" type="noConversion"/>
  </si>
  <si>
    <t>40斤</t>
    <phoneticPr fontId="1" type="noConversion"/>
  </si>
  <si>
    <t>竹輪</t>
    <phoneticPr fontId="1" type="noConversion"/>
  </si>
  <si>
    <t>8包</t>
    <phoneticPr fontId="1" type="noConversion"/>
  </si>
  <si>
    <t>川耳</t>
    <phoneticPr fontId="1" type="noConversion"/>
  </si>
  <si>
    <t>3斤</t>
    <phoneticPr fontId="1" type="noConversion"/>
  </si>
  <si>
    <t>合      計</t>
    <phoneticPr fontId="1" type="noConversion"/>
  </si>
  <si>
    <t>紅豆湯圓</t>
    <phoneticPr fontId="1" type="noConversion"/>
  </si>
  <si>
    <t>紅豆</t>
    <phoneticPr fontId="1" type="noConversion"/>
  </si>
  <si>
    <t>紅白小湯圓</t>
    <phoneticPr fontId="1" type="noConversion"/>
  </si>
  <si>
    <t>湯品(甜)</t>
    <phoneticPr fontId="1" type="noConversion"/>
  </si>
  <si>
    <t>預估</t>
    <phoneticPr fontId="1" type="noConversion"/>
  </si>
  <si>
    <t>超秦雞排</t>
    <phoneticPr fontId="1" type="noConversion"/>
  </si>
  <si>
    <t>立大絞肉</t>
    <phoneticPr fontId="1" type="noConversion"/>
  </si>
  <si>
    <t>滷蛋</t>
    <phoneticPr fontId="1" type="noConversion"/>
  </si>
  <si>
    <t>海帶捲</t>
    <phoneticPr fontId="1" type="noConversion"/>
  </si>
  <si>
    <t>泰式豆包</t>
    <phoneticPr fontId="1" type="noConversion"/>
  </si>
  <si>
    <t>豆包</t>
    <phoneticPr fontId="1" type="noConversion"/>
  </si>
  <si>
    <t>250片</t>
    <phoneticPr fontId="1" type="noConversion"/>
  </si>
  <si>
    <t>燒雞醬</t>
    <phoneticPr fontId="1" type="noConversion"/>
  </si>
  <si>
    <t>2瓶</t>
    <phoneticPr fontId="1" type="noConversion"/>
  </si>
  <si>
    <t>瓶</t>
    <phoneticPr fontId="1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</si>
  <si>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1" type="noConversion"/>
  </si>
  <si>
    <t>玉米絞肉</t>
    <phoneticPr fontId="1" type="noConversion"/>
  </si>
  <si>
    <t>冷凍玉米粒</t>
    <phoneticPr fontId="1" type="noConversion"/>
  </si>
  <si>
    <t>1件</t>
    <phoneticPr fontId="1" type="noConversion"/>
  </si>
  <si>
    <t>絞肉</t>
    <phoneticPr fontId="1" type="noConversion"/>
  </si>
  <si>
    <t>竹筍排骨湯</t>
    <phoneticPr fontId="1" type="noConversion"/>
  </si>
  <si>
    <t>桶筍片</t>
    <phoneticPr fontId="1" type="noConversion"/>
  </si>
  <si>
    <t>裹粉魚排</t>
    <phoneticPr fontId="1" type="noConversion"/>
  </si>
  <si>
    <t>件</t>
    <phoneticPr fontId="1" type="noConversion"/>
  </si>
  <si>
    <t>斤</t>
    <phoneticPr fontId="1" type="noConversion"/>
  </si>
  <si>
    <t>年糕</t>
    <phoneticPr fontId="1" type="noConversion"/>
  </si>
  <si>
    <t>個</t>
    <phoneticPr fontId="1" type="noConversion"/>
  </si>
  <si>
    <t>鮮奶</t>
    <phoneticPr fontId="1" type="noConversion"/>
  </si>
  <si>
    <t>瓶</t>
    <phoneticPr fontId="1" type="noConversion"/>
  </si>
  <si>
    <t>吉利丁</t>
    <phoneticPr fontId="1" type="noConversion"/>
  </si>
  <si>
    <t>罐</t>
    <phoneticPr fontId="1" type="noConversion"/>
  </si>
  <si>
    <t>細砂糖</t>
    <phoneticPr fontId="1" type="noConversion"/>
  </si>
  <si>
    <t>巧克力擠醬</t>
    <phoneticPr fontId="1" type="noConversion"/>
  </si>
  <si>
    <t>家樂氏玉米片</t>
    <phoneticPr fontId="1" type="noConversion"/>
  </si>
  <si>
    <t>電訊科技中心(安康營區)     114年      1月   22日      午餐明細表</t>
    <phoneticPr fontId="1" type="noConversion"/>
  </si>
  <si>
    <t>美式豬肋排</t>
    <phoneticPr fontId="1" type="noConversion"/>
  </si>
  <si>
    <t>上排</t>
    <phoneticPr fontId="1" type="noConversion"/>
  </si>
  <si>
    <t>三杯中卷</t>
    <phoneticPr fontId="1" type="noConversion"/>
  </si>
  <si>
    <t>魷魚圈</t>
    <phoneticPr fontId="1" type="noConversion"/>
  </si>
  <si>
    <t>備考</t>
    <phoneticPr fontId="1" type="noConversion"/>
  </si>
  <si>
    <t>珍珠丸子</t>
    <phoneticPr fontId="1" type="noConversion"/>
  </si>
  <si>
    <t>雜貨</t>
    <phoneticPr fontId="1" type="noConversion"/>
  </si>
  <si>
    <t>金蘭醬油</t>
    <phoneticPr fontId="1" type="noConversion"/>
  </si>
  <si>
    <t>鹽</t>
    <phoneticPr fontId="1" type="noConversion"/>
  </si>
  <si>
    <t>米酒</t>
    <phoneticPr fontId="1" type="noConversion"/>
  </si>
  <si>
    <t>沙拉油</t>
    <phoneticPr fontId="1" type="noConversion"/>
  </si>
  <si>
    <t>洗選蛋</t>
    <phoneticPr fontId="1" type="noConversion"/>
  </si>
  <si>
    <t>備考</t>
    <phoneticPr fontId="1" type="noConversion"/>
  </si>
  <si>
    <t>火鍋</t>
    <phoneticPr fontId="1" type="noConversion"/>
  </si>
  <si>
    <t>盒裝豆腐</t>
    <phoneticPr fontId="1" type="noConversion"/>
  </si>
  <si>
    <t>高麗菜</t>
    <phoneticPr fontId="1" type="noConversion"/>
  </si>
  <si>
    <t>金針菇</t>
    <phoneticPr fontId="1" type="noConversion"/>
  </si>
  <si>
    <t>火鍋料燕餃等</t>
    <phoneticPr fontId="1" type="noConversion"/>
  </si>
  <si>
    <t>杏鮑菇</t>
    <phoneticPr fontId="1" type="noConversion"/>
  </si>
  <si>
    <t>青菜 水果</t>
    <phoneticPr fontId="1" type="noConversion"/>
  </si>
  <si>
    <t>數量</t>
    <phoneticPr fontId="1" type="noConversion"/>
  </si>
  <si>
    <t>金額</t>
    <phoneticPr fontId="1" type="noConversion"/>
  </si>
  <si>
    <t>奶酪</t>
    <phoneticPr fontId="1" type="noConversion"/>
  </si>
  <si>
    <t>鮮奶</t>
    <phoneticPr fontId="1" type="noConversion"/>
  </si>
  <si>
    <t>吉利丁</t>
    <phoneticPr fontId="1" type="noConversion"/>
  </si>
  <si>
    <t>細砂糖</t>
    <phoneticPr fontId="1" type="noConversion"/>
  </si>
  <si>
    <t>巧克力擠醬</t>
    <phoneticPr fontId="1" type="noConversion"/>
  </si>
  <si>
    <t>家樂氏玉米片</t>
    <phoneticPr fontId="1" type="noConversion"/>
  </si>
  <si>
    <t>盒</t>
    <phoneticPr fontId="1" type="noConversion"/>
  </si>
  <si>
    <t>水果、高麗菜</t>
    <phoneticPr fontId="1" type="noConversion"/>
  </si>
  <si>
    <t>菠菜</t>
    <phoneticPr fontId="1" type="noConversion"/>
  </si>
  <si>
    <t>茂谷柑</t>
    <phoneticPr fontId="1" type="noConversion"/>
  </si>
  <si>
    <t>飲料</t>
    <phoneticPr fontId="1" type="noConversion"/>
  </si>
  <si>
    <t>週三麵食</t>
    <phoneticPr fontId="1" type="noConversion"/>
  </si>
  <si>
    <t>食材</t>
    <phoneticPr fontId="1" type="noConversion"/>
  </si>
  <si>
    <t>素蹄膀</t>
    <phoneticPr fontId="1" type="noConversion"/>
  </si>
  <si>
    <t>素燒賣</t>
    <phoneticPr fontId="1" type="noConversion"/>
  </si>
  <si>
    <t>前腿肉絲</t>
    <phoneticPr fontId="1" type="noConversion"/>
  </si>
  <si>
    <t>蘿蔔糕</t>
    <phoneticPr fontId="1" type="noConversion"/>
  </si>
  <si>
    <t>乾海芽</t>
    <phoneticPr fontId="1" type="noConversion"/>
  </si>
  <si>
    <t>巧克力醬</t>
    <phoneticPr fontId="1" type="noConversion"/>
  </si>
  <si>
    <t>總      計</t>
    <phoneticPr fontId="1" type="noConversion"/>
  </si>
  <si>
    <t>醬燒雞丁</t>
    <phoneticPr fontId="1" type="noConversion"/>
  </si>
  <si>
    <t>骨腿丁</t>
    <phoneticPr fontId="1" type="noConversion"/>
  </si>
  <si>
    <t>70斤</t>
    <phoneticPr fontId="1" type="noConversion"/>
  </si>
  <si>
    <t>合      計</t>
    <phoneticPr fontId="1" type="noConversion"/>
  </si>
  <si>
    <t>絲瓜油條</t>
    <phoneticPr fontId="1" type="noConversion"/>
  </si>
  <si>
    <t>去皮絲瓜</t>
    <phoneticPr fontId="1" type="noConversion"/>
  </si>
  <si>
    <t>50斤</t>
    <phoneticPr fontId="1" type="noConversion"/>
  </si>
  <si>
    <t>老油條</t>
    <phoneticPr fontId="1" type="noConversion"/>
  </si>
  <si>
    <t>25根</t>
    <phoneticPr fontId="1" type="noConversion"/>
  </si>
  <si>
    <t>川耳</t>
    <phoneticPr fontId="1" type="noConversion"/>
  </si>
  <si>
    <t>4斤</t>
    <phoneticPr fontId="1" type="noConversion"/>
  </si>
  <si>
    <t>馬鈴薯烘蛋</t>
    <phoneticPr fontId="1" type="noConversion"/>
  </si>
  <si>
    <t>冷凍洋芋丁</t>
    <phoneticPr fontId="1" type="noConversion"/>
  </si>
  <si>
    <t>1件</t>
    <phoneticPr fontId="1" type="noConversion"/>
  </si>
  <si>
    <t>培根碎</t>
    <phoneticPr fontId="1" type="noConversion"/>
  </si>
  <si>
    <t>1包</t>
    <phoneticPr fontId="1" type="noConversion"/>
  </si>
  <si>
    <t>起司絲</t>
    <phoneticPr fontId="1" type="noConversion"/>
  </si>
  <si>
    <t>牛奶</t>
    <phoneticPr fontId="1" type="noConversion"/>
  </si>
  <si>
    <t>3瓶</t>
    <phoneticPr fontId="1" type="noConversion"/>
  </si>
  <si>
    <t>桂冠沙拉</t>
    <phoneticPr fontId="1" type="noConversion"/>
  </si>
  <si>
    <t>火腿片</t>
    <phoneticPr fontId="1" type="noConversion"/>
  </si>
  <si>
    <t>食材</t>
    <phoneticPr fontId="1" type="noConversion"/>
  </si>
  <si>
    <t>冬瓜海結湯</t>
    <phoneticPr fontId="1" type="noConversion"/>
  </si>
  <si>
    <t>去皮冬瓜</t>
    <phoneticPr fontId="1" type="noConversion"/>
  </si>
  <si>
    <t>海帶結</t>
    <phoneticPr fontId="1" type="noConversion"/>
  </si>
  <si>
    <t>5斤</t>
    <phoneticPr fontId="1" type="noConversion"/>
  </si>
  <si>
    <t>斤</t>
    <phoneticPr fontId="1" type="noConversion"/>
  </si>
  <si>
    <t>起司豬排</t>
    <phoneticPr fontId="1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</si>
  <si>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1" type="noConversion"/>
  </si>
  <si>
    <t>毛豆炒肉末</t>
    <phoneticPr fontId="1" type="noConversion"/>
  </si>
  <si>
    <t>冷凍毛豆仁</t>
    <phoneticPr fontId="1" type="noConversion"/>
  </si>
  <si>
    <t>豆乾丁</t>
    <phoneticPr fontId="1" type="noConversion"/>
  </si>
  <si>
    <t>食材</t>
    <phoneticPr fontId="1" type="noConversion"/>
  </si>
  <si>
    <t>單價</t>
    <phoneticPr fontId="1" type="noConversion"/>
  </si>
  <si>
    <t>金額</t>
    <phoneticPr fontId="1" type="noConversion"/>
  </si>
  <si>
    <t>青椒炒甜條</t>
    <phoneticPr fontId="1" type="noConversion"/>
  </si>
  <si>
    <t>青椒絲</t>
    <phoneticPr fontId="1" type="noConversion"/>
  </si>
  <si>
    <t>25斤</t>
    <phoneticPr fontId="1" type="noConversion"/>
  </si>
  <si>
    <t>甜不辣條</t>
    <phoneticPr fontId="1" type="noConversion"/>
  </si>
  <si>
    <t>紅燒豬腳</t>
    <phoneticPr fontId="1" type="noConversion"/>
  </si>
  <si>
    <t>豬腳丁</t>
    <phoneticPr fontId="1" type="noConversion"/>
  </si>
  <si>
    <t>蒜泥豆腐</t>
    <phoneticPr fontId="1" type="noConversion"/>
  </si>
  <si>
    <t>白菜滷</t>
    <phoneticPr fontId="1" type="noConversion"/>
  </si>
  <si>
    <t>大白菜</t>
    <phoneticPr fontId="1" type="noConversion"/>
  </si>
  <si>
    <t>乾香菇絲</t>
    <phoneticPr fontId="1" type="noConversion"/>
  </si>
  <si>
    <t>開陽</t>
    <phoneticPr fontId="1" type="noConversion"/>
  </si>
  <si>
    <t>炸豆皮</t>
    <phoneticPr fontId="1" type="noConversion"/>
  </si>
  <si>
    <t>金針肉絲湯</t>
    <phoneticPr fontId="1" type="noConversion"/>
  </si>
  <si>
    <t>乾金針</t>
    <phoneticPr fontId="1" type="noConversion"/>
  </si>
  <si>
    <t>鐵路豬排</t>
    <phoneticPr fontId="1" type="noConversion"/>
  </si>
  <si>
    <t>4件</t>
    <phoneticPr fontId="1" type="noConversion"/>
  </si>
  <si>
    <t>菜圃蛋</t>
    <phoneticPr fontId="1" type="noConversion"/>
  </si>
  <si>
    <t>菜圃碎</t>
    <phoneticPr fontId="1" type="noConversion"/>
  </si>
  <si>
    <t>乾海帶芽</t>
    <phoneticPr fontId="1" type="noConversion"/>
  </si>
  <si>
    <t>庫存</t>
    <phoneticPr fontId="1" type="noConversion"/>
  </si>
  <si>
    <t>烤雞翅</t>
    <phoneticPr fontId="1" type="noConversion"/>
  </si>
  <si>
    <t>雞翅</t>
    <phoneticPr fontId="1" type="noConversion"/>
  </si>
  <si>
    <t>300支</t>
    <phoneticPr fontId="1" type="noConversion"/>
  </si>
  <si>
    <t>蛋塔</t>
    <phoneticPr fontId="1" type="noConversion"/>
  </si>
  <si>
    <t>蛋塔皮</t>
    <phoneticPr fontId="1" type="noConversion"/>
  </si>
  <si>
    <t>3件</t>
    <phoneticPr fontId="1" type="noConversion"/>
  </si>
  <si>
    <t>鮮奶油</t>
    <phoneticPr fontId="1" type="noConversion"/>
  </si>
  <si>
    <t>砂糖</t>
    <phoneticPr fontId="1" type="noConversion"/>
  </si>
  <si>
    <t>週三甜品</t>
    <phoneticPr fontId="1" type="noConversion"/>
  </si>
  <si>
    <t>雙色青花菜</t>
    <phoneticPr fontId="1" type="noConversion"/>
  </si>
  <si>
    <t>冷凍青花菜</t>
    <phoneticPr fontId="1" type="noConversion"/>
  </si>
  <si>
    <t>紅椒</t>
    <phoneticPr fontId="1" type="noConversion"/>
  </si>
  <si>
    <t>黃椒</t>
    <phoneticPr fontId="1" type="noConversion"/>
  </si>
  <si>
    <t>港式蘿蔔糕</t>
    <phoneticPr fontId="1" type="noConversion"/>
  </si>
  <si>
    <t>馬鈴薯濃湯</t>
    <phoneticPr fontId="1" type="noConversion"/>
  </si>
  <si>
    <t>4瓶</t>
    <phoneticPr fontId="1" type="noConversion"/>
  </si>
  <si>
    <t>玉米濃湯粉</t>
    <phoneticPr fontId="1" type="noConversion"/>
  </si>
  <si>
    <t>番茄肉醬麵(乾)</t>
    <phoneticPr fontId="1" type="noConversion"/>
  </si>
  <si>
    <t>番茄糊(大)</t>
    <phoneticPr fontId="1" type="noConversion"/>
  </si>
  <si>
    <t>螺旋麵</t>
    <phoneticPr fontId="1" type="noConversion"/>
  </si>
  <si>
    <t>豆酥鯛魚</t>
    <phoneticPr fontId="1" type="noConversion"/>
  </si>
  <si>
    <t>豆酥</t>
    <phoneticPr fontId="1" type="noConversion"/>
  </si>
  <si>
    <t>酥炸排骨</t>
    <phoneticPr fontId="1" type="noConversion"/>
  </si>
  <si>
    <t>240片</t>
    <phoneticPr fontId="1" type="noConversion"/>
  </si>
  <si>
    <t>台式咖哩</t>
    <phoneticPr fontId="1" type="noConversion"/>
  </si>
  <si>
    <t>去皮馬鈴薯</t>
    <phoneticPr fontId="1" type="noConversion"/>
  </si>
  <si>
    <t>咖哩塊(大)</t>
    <phoneticPr fontId="1" type="noConversion"/>
  </si>
  <si>
    <t>2盒</t>
    <phoneticPr fontId="1" type="noConversion"/>
  </si>
  <si>
    <t>芽菜炒肉絲</t>
    <phoneticPr fontId="1" type="noConversion"/>
  </si>
  <si>
    <t>豆芽菜</t>
    <phoneticPr fontId="1" type="noConversion"/>
  </si>
  <si>
    <t>蒼蠅頭</t>
    <phoneticPr fontId="1" type="noConversion"/>
  </si>
  <si>
    <t>韭菜</t>
    <phoneticPr fontId="1" type="noConversion"/>
  </si>
  <si>
    <t>80顆</t>
    <phoneticPr fontId="1" type="noConversion"/>
  </si>
  <si>
    <t>香菇蒸肉</t>
    <phoneticPr fontId="1" type="noConversion"/>
  </si>
  <si>
    <t>35斤</t>
    <phoneticPr fontId="1" type="noConversion"/>
  </si>
  <si>
    <t>生香菇</t>
    <phoneticPr fontId="1" type="noConversion"/>
  </si>
  <si>
    <t>涼拌干絲</t>
    <phoneticPr fontId="1" type="noConversion"/>
  </si>
  <si>
    <t>海帶絲</t>
    <phoneticPr fontId="1" type="noConversion"/>
  </si>
  <si>
    <t>白干絲</t>
    <phoneticPr fontId="1" type="noConversion"/>
  </si>
  <si>
    <t>去葉芹菜</t>
    <phoneticPr fontId="1" type="noConversion"/>
  </si>
  <si>
    <t>酸辣湯</t>
    <phoneticPr fontId="1" type="noConversion"/>
  </si>
  <si>
    <t>10盒</t>
    <phoneticPr fontId="1" type="noConversion"/>
  </si>
  <si>
    <t>10個</t>
    <phoneticPr fontId="1" type="noConversion"/>
  </si>
  <si>
    <t>筍絲</t>
    <phoneticPr fontId="1" type="noConversion"/>
  </si>
  <si>
    <t>胡椒粉</t>
    <phoneticPr fontId="1" type="noConversion"/>
  </si>
  <si>
    <t>1盒</t>
    <phoneticPr fontId="1" type="noConversion"/>
  </si>
  <si>
    <t>水餃(乾)</t>
    <phoneticPr fontId="1" type="noConversion"/>
  </si>
  <si>
    <t>香椿水餃</t>
    <phoneticPr fontId="1" type="noConversion"/>
  </si>
  <si>
    <t>外購</t>
    <phoneticPr fontId="1" type="noConversion"/>
  </si>
  <si>
    <t>蒜泥白肉</t>
    <phoneticPr fontId="1" type="noConversion"/>
  </si>
  <si>
    <t>米血燴甜條</t>
    <phoneticPr fontId="1" type="noConversion"/>
  </si>
  <si>
    <t>青椒菇菇</t>
    <phoneticPr fontId="1" type="noConversion"/>
  </si>
  <si>
    <t>青椒切絲</t>
    <phoneticPr fontId="1" type="noConversion"/>
  </si>
  <si>
    <t>木耳炒肉絲</t>
    <phoneticPr fontId="1" type="noConversion"/>
  </si>
  <si>
    <t>宮保豆腐</t>
    <phoneticPr fontId="1" type="noConversion"/>
  </si>
  <si>
    <t>泡菜燒肉</t>
    <phoneticPr fontId="1" type="noConversion"/>
  </si>
  <si>
    <t>韓式泡菜</t>
    <phoneticPr fontId="1" type="noConversion"/>
  </si>
  <si>
    <t>蒸蛋</t>
    <phoneticPr fontId="1" type="noConversion"/>
  </si>
  <si>
    <t>雞胸肉丁</t>
    <phoneticPr fontId="1" type="noConversion"/>
  </si>
  <si>
    <t>四季豆鮑菇</t>
    <phoneticPr fontId="1" type="noConversion"/>
  </si>
  <si>
    <t>冷凍四季豆</t>
    <phoneticPr fontId="1" type="noConversion"/>
  </si>
  <si>
    <t>2件</t>
    <phoneticPr fontId="1" type="noConversion"/>
  </si>
  <si>
    <t>豬耳朵</t>
    <phoneticPr fontId="1" type="noConversion"/>
  </si>
  <si>
    <t>黑糖地瓜湯</t>
    <phoneticPr fontId="1" type="noConversion"/>
  </si>
  <si>
    <t>黑糖</t>
    <phoneticPr fontId="1" type="noConversion"/>
  </si>
  <si>
    <t>去皮地瓜塊2X2</t>
    <phoneticPr fontId="1" type="noConversion"/>
  </si>
  <si>
    <t>地瓜圓</t>
    <phoneticPr fontId="1" type="noConversion"/>
  </si>
  <si>
    <t>咖哩塊</t>
    <phoneticPr fontId="1" type="noConversion"/>
  </si>
  <si>
    <t>雞胸肉</t>
    <phoneticPr fontId="1" type="noConversion"/>
  </si>
  <si>
    <t>三杯雞</t>
    <phoneticPr fontId="1" type="noConversion"/>
  </si>
  <si>
    <t>九層塔</t>
    <phoneticPr fontId="1" type="noConversion"/>
  </si>
  <si>
    <t>絲瓜寬粉</t>
    <phoneticPr fontId="1" type="noConversion"/>
  </si>
  <si>
    <t>寬冬粉</t>
    <phoneticPr fontId="1" type="noConversion"/>
  </si>
  <si>
    <t>梅乾桂筍</t>
    <phoneticPr fontId="1" type="noConversion"/>
  </si>
  <si>
    <t>梅乾菜</t>
    <phoneticPr fontId="1" type="noConversion"/>
  </si>
  <si>
    <t>10球</t>
    <phoneticPr fontId="1" type="noConversion"/>
  </si>
  <si>
    <t>桂竹筍</t>
    <phoneticPr fontId="1" type="noConversion"/>
  </si>
  <si>
    <t>台式米苔目(湯)</t>
    <phoneticPr fontId="1" type="noConversion"/>
  </si>
  <si>
    <t>米苔目</t>
    <phoneticPr fontId="1" type="noConversion"/>
  </si>
  <si>
    <t>油蔥酥</t>
    <phoneticPr fontId="1" type="noConversion"/>
  </si>
  <si>
    <t>酥炸腿排</t>
    <phoneticPr fontId="1" type="noConversion"/>
  </si>
  <si>
    <t>酥炸粉</t>
    <phoneticPr fontId="1" type="noConversion"/>
  </si>
  <si>
    <t>麻婆豆腐</t>
    <phoneticPr fontId="1" type="noConversion"/>
  </si>
  <si>
    <t>胡瓜鮮菇</t>
    <phoneticPr fontId="1" type="noConversion"/>
  </si>
  <si>
    <t>白蘿蔔排骨湯</t>
    <phoneticPr fontId="1" type="noConversion"/>
  </si>
  <si>
    <t>西北肉羹</t>
    <phoneticPr fontId="1" type="noConversion"/>
  </si>
  <si>
    <t>鮮筍切絲</t>
    <phoneticPr fontId="1" type="noConversion"/>
  </si>
  <si>
    <t>宮保肉片</t>
    <phoneticPr fontId="1" type="noConversion"/>
  </si>
  <si>
    <t>乾辣椒</t>
    <phoneticPr fontId="1" type="noConversion"/>
  </si>
  <si>
    <t>花椒粒</t>
    <phoneticPr fontId="1" type="noConversion"/>
  </si>
  <si>
    <t>三絲炒蛋</t>
    <phoneticPr fontId="1" type="noConversion"/>
  </si>
  <si>
    <t>薑絲海帶根</t>
    <phoneticPr fontId="1" type="noConversion"/>
  </si>
  <si>
    <t>冬瓜貢丸湯</t>
    <phoneticPr fontId="1" type="noConversion"/>
  </si>
  <si>
    <t>綠咖哩雞</t>
    <phoneticPr fontId="1" type="noConversion"/>
  </si>
  <si>
    <t>綠咖哩醬</t>
    <phoneticPr fontId="1" type="noConversion"/>
  </si>
  <si>
    <t>糖醋豆腐</t>
    <phoneticPr fontId="1" type="noConversion"/>
  </si>
  <si>
    <t>7板</t>
    <phoneticPr fontId="1" type="noConversion"/>
  </si>
  <si>
    <t>鯖魚</t>
    <phoneticPr fontId="1" type="noConversion"/>
  </si>
  <si>
    <t>青椒豆干</t>
    <phoneticPr fontId="1" type="noConversion"/>
  </si>
  <si>
    <t>4X4豆干</t>
    <phoneticPr fontId="1" type="noConversion"/>
  </si>
  <si>
    <t>沙茶肉絲燴飯</t>
    <phoneticPr fontId="1" type="noConversion"/>
  </si>
  <si>
    <t>沙茶醬</t>
    <phoneticPr fontId="1" type="noConversion"/>
  </si>
  <si>
    <t>薑汁燒肉</t>
    <phoneticPr fontId="1" type="noConversion"/>
  </si>
  <si>
    <t>香菇冬粉</t>
    <phoneticPr fontId="1" type="noConversion"/>
  </si>
  <si>
    <t>麵腸鮑菇</t>
    <phoneticPr fontId="1" type="noConversion"/>
  </si>
  <si>
    <t>木須炒蛋</t>
    <phoneticPr fontId="1" type="noConversion"/>
  </si>
  <si>
    <t>洗選蛋</t>
  </si>
  <si>
    <t>斤</t>
  </si>
  <si>
    <t>芹菜魚丸湯</t>
    <phoneticPr fontId="1" type="noConversion"/>
  </si>
  <si>
    <t>小魚丸</t>
    <phoneticPr fontId="1" type="noConversion"/>
  </si>
  <si>
    <t>綠豆</t>
    <phoneticPr fontId="1" type="noConversion"/>
  </si>
  <si>
    <t>粉圓</t>
    <phoneticPr fontId="1" type="noConversion"/>
  </si>
  <si>
    <t>芋圓</t>
    <phoneticPr fontId="1" type="noConversion"/>
  </si>
  <si>
    <t>粉角</t>
    <phoneticPr fontId="1" type="noConversion"/>
  </si>
  <si>
    <t>地瓜甜湯</t>
    <phoneticPr fontId="1" type="noConversion"/>
  </si>
  <si>
    <t>地瓜塊</t>
    <phoneticPr fontId="1" type="noConversion"/>
  </si>
  <si>
    <t>椒麻口水雞</t>
    <phoneticPr fontId="1" type="noConversion"/>
  </si>
  <si>
    <t>花椒油</t>
    <phoneticPr fontId="1" type="noConversion"/>
  </si>
  <si>
    <t>碎花生</t>
    <phoneticPr fontId="1" type="noConversion"/>
  </si>
  <si>
    <t>玉米筍罐頭</t>
    <phoneticPr fontId="1" type="noConversion"/>
  </si>
  <si>
    <t>3罐</t>
    <phoneticPr fontId="1" type="noConversion"/>
  </si>
  <si>
    <t>紅蘿蔔炒蛋</t>
    <phoneticPr fontId="1" type="noConversion"/>
  </si>
  <si>
    <t>回鍋肉</t>
    <phoneticPr fontId="1" type="noConversion"/>
  </si>
  <si>
    <t>海鮮卷</t>
    <phoneticPr fontId="1" type="noConversion"/>
  </si>
  <si>
    <t>塔塔醬</t>
    <phoneticPr fontId="1" type="noConversion"/>
  </si>
  <si>
    <t>塔塔醬
海鮮卷</t>
    <phoneticPr fontId="1" type="noConversion"/>
  </si>
  <si>
    <t>起司馬鈴薯</t>
    <phoneticPr fontId="1" type="noConversion"/>
  </si>
  <si>
    <t>義大利香料</t>
    <phoneticPr fontId="1" type="noConversion"/>
  </si>
  <si>
    <t>南瓜濃湯</t>
    <phoneticPr fontId="1" type="noConversion"/>
  </si>
  <si>
    <t>去皮南瓜塊2X2</t>
    <phoneticPr fontId="1" type="noConversion"/>
  </si>
  <si>
    <t>白醬雞肉燴飯</t>
    <phoneticPr fontId="1" type="noConversion"/>
  </si>
  <si>
    <t>6瓶</t>
    <phoneticPr fontId="1" type="noConversion"/>
  </si>
  <si>
    <t>雞胸肉丁2X2</t>
    <phoneticPr fontId="1" type="noConversion"/>
  </si>
  <si>
    <t>豆鼓排骨</t>
    <phoneticPr fontId="1" type="noConversion"/>
  </si>
  <si>
    <t>軟排骨</t>
    <phoneticPr fontId="1" type="noConversion"/>
  </si>
  <si>
    <t>豆鼓</t>
    <phoneticPr fontId="1" type="noConversion"/>
  </si>
  <si>
    <t>客家小炒</t>
    <phoneticPr fontId="1" type="noConversion"/>
  </si>
  <si>
    <t>五花肉絲</t>
    <phoneticPr fontId="1" type="noConversion"/>
  </si>
  <si>
    <t>乾魷魚</t>
    <phoneticPr fontId="1" type="noConversion"/>
  </si>
  <si>
    <t>泰式雞腿</t>
    <phoneticPr fontId="1" type="noConversion"/>
  </si>
  <si>
    <t>280支</t>
    <phoneticPr fontId="1" type="noConversion"/>
  </si>
  <si>
    <t>三絲胡瓜</t>
    <phoneticPr fontId="1" type="noConversion"/>
  </si>
  <si>
    <t>滷味拼盤</t>
  </si>
  <si>
    <t>粒</t>
    <phoneticPr fontId="1" type="noConversion"/>
  </si>
  <si>
    <t>甜不辣</t>
    <phoneticPr fontId="1" type="noConversion"/>
  </si>
  <si>
    <t>咖哩炒麵</t>
    <phoneticPr fontId="1" type="noConversion"/>
  </si>
  <si>
    <t>鐵板豆腐</t>
    <phoneticPr fontId="1" type="noConversion"/>
  </si>
  <si>
    <t>板</t>
    <phoneticPr fontId="1" type="noConversion"/>
  </si>
  <si>
    <t>日式蒸蛋</t>
    <phoneticPr fontId="1" type="noConversion"/>
  </si>
  <si>
    <t>雞蛋</t>
    <phoneticPr fontId="1" type="noConversion"/>
  </si>
  <si>
    <t>清雞肉</t>
    <phoneticPr fontId="1" type="noConversion"/>
  </si>
  <si>
    <t>紅糟豬排</t>
    <phoneticPr fontId="1" type="noConversion"/>
  </si>
  <si>
    <t>紅糟醬</t>
    <phoneticPr fontId="1" type="noConversion"/>
  </si>
  <si>
    <t>白醬花椰菜</t>
    <phoneticPr fontId="1" type="noConversion"/>
  </si>
  <si>
    <t>冷凍花椰菜</t>
    <phoneticPr fontId="1" type="noConversion"/>
  </si>
  <si>
    <t>杏包菇</t>
    <phoneticPr fontId="1" type="noConversion"/>
  </si>
  <si>
    <t>布丁酥</t>
    <phoneticPr fontId="1" type="noConversion"/>
  </si>
  <si>
    <t>乳瑪琳(小罐)</t>
    <phoneticPr fontId="1" type="noConversion"/>
  </si>
  <si>
    <t>吐司火腿片</t>
    <phoneticPr fontId="1" type="noConversion"/>
  </si>
  <si>
    <t>鐵板螺旋麵</t>
    <phoneticPr fontId="1" type="noConversion"/>
  </si>
  <si>
    <t>三色玉米</t>
    <phoneticPr fontId="1" type="noConversion"/>
  </si>
  <si>
    <t>素腰花</t>
    <phoneticPr fontId="1" type="noConversion"/>
  </si>
  <si>
    <t>小黃瓜素腰花</t>
    <phoneticPr fontId="1" type="noConversion"/>
  </si>
  <si>
    <t>荷包蛋</t>
    <phoneticPr fontId="1" type="noConversion"/>
  </si>
  <si>
    <t>泰式豆腐</t>
    <phoneticPr fontId="1" type="noConversion"/>
  </si>
  <si>
    <t>檸檬汁</t>
    <phoneticPr fontId="1" type="noConversion"/>
  </si>
  <si>
    <t>彩椒時蔬</t>
    <phoneticPr fontId="1" type="noConversion"/>
  </si>
  <si>
    <t>青花菜</t>
    <phoneticPr fontId="1" type="noConversion"/>
  </si>
  <si>
    <t>皮蛋炸醬麵</t>
    <phoneticPr fontId="1" type="noConversion"/>
  </si>
  <si>
    <t>顆</t>
    <phoneticPr fontId="1" type="noConversion"/>
  </si>
  <si>
    <t>紅燒馬鈴薯</t>
    <phoneticPr fontId="1" type="noConversion"/>
  </si>
  <si>
    <t>洋蔥炒蛋</t>
    <phoneticPr fontId="1" type="noConversion"/>
  </si>
  <si>
    <t>鹹水雞</t>
    <phoneticPr fontId="1" type="noConversion"/>
  </si>
  <si>
    <t>半</t>
    <phoneticPr fontId="1" type="noConversion"/>
  </si>
  <si>
    <t>糖醋排骨</t>
    <phoneticPr fontId="1" type="noConversion"/>
  </si>
  <si>
    <t>小排</t>
    <phoneticPr fontId="1" type="noConversion"/>
  </si>
  <si>
    <t>南瓜蒸蛋</t>
    <phoneticPr fontId="1" type="noConversion"/>
  </si>
  <si>
    <t>去皮南瓜片</t>
    <phoneticPr fontId="1" type="noConversion"/>
  </si>
  <si>
    <t>涼拌茄子</t>
    <phoneticPr fontId="1" type="noConversion"/>
  </si>
  <si>
    <t>茄子</t>
    <phoneticPr fontId="1" type="noConversion"/>
  </si>
  <si>
    <t>胡椒鹽</t>
    <phoneticPr fontId="1" type="noConversion"/>
  </si>
  <si>
    <t>小黃瓜鮑菇</t>
    <phoneticPr fontId="1" type="noConversion"/>
  </si>
  <si>
    <t>洋芋雞丁</t>
    <phoneticPr fontId="1" type="noConversion"/>
  </si>
  <si>
    <t>玉米粒</t>
    <phoneticPr fontId="1" type="noConversion"/>
  </si>
  <si>
    <t>洋芋丁</t>
    <phoneticPr fontId="1" type="noConversion"/>
  </si>
  <si>
    <t>皮蛋豆腐</t>
    <phoneticPr fontId="1" type="noConversion"/>
  </si>
  <si>
    <t>芹香甜不辣</t>
    <phoneticPr fontId="1" type="noConversion"/>
  </si>
  <si>
    <t>洋蔥蔬菜湯</t>
    <phoneticPr fontId="1" type="noConversion"/>
  </si>
  <si>
    <t>西洋芹</t>
    <phoneticPr fontId="1" type="noConversion"/>
  </si>
  <si>
    <t>馬鈴薯</t>
    <phoneticPr fontId="1" type="noConversion"/>
  </si>
  <si>
    <t>大骨高湯粉</t>
    <phoneticPr fontId="1" type="noConversion"/>
  </si>
  <si>
    <t>自製蛋塔</t>
    <phoneticPr fontId="1" type="noConversion"/>
  </si>
  <si>
    <t>煉乳</t>
    <phoneticPr fontId="1" type="noConversion"/>
  </si>
  <si>
    <t>白砂糖</t>
    <phoneticPr fontId="1" type="noConversion"/>
  </si>
  <si>
    <t>無鹽奶油</t>
    <phoneticPr fontId="1" type="noConversion"/>
  </si>
  <si>
    <t>青花玉米筍</t>
    <phoneticPr fontId="1" type="noConversion"/>
  </si>
  <si>
    <t>玉米筍</t>
    <phoneticPr fontId="1" type="noConversion"/>
  </si>
  <si>
    <t>蔥花蛋</t>
    <phoneticPr fontId="1" type="noConversion"/>
  </si>
  <si>
    <t>烤鹹豬肉</t>
    <phoneticPr fontId="1" type="noConversion"/>
  </si>
  <si>
    <t>青椒竹輪</t>
    <phoneticPr fontId="1" type="noConversion"/>
  </si>
  <si>
    <t>竹淪</t>
    <phoneticPr fontId="1" type="noConversion"/>
  </si>
  <si>
    <t>檸檬愛玉</t>
    <phoneticPr fontId="1" type="noConversion"/>
  </si>
  <si>
    <t>愛玉</t>
    <phoneticPr fontId="1" type="noConversion"/>
  </si>
  <si>
    <t>檸檬</t>
    <phoneticPr fontId="1" type="noConversion"/>
  </si>
  <si>
    <t>涼麵</t>
    <phoneticPr fontId="1" type="noConversion"/>
  </si>
  <si>
    <t>麻醬</t>
    <phoneticPr fontId="1" type="noConversion"/>
  </si>
  <si>
    <r>
      <rPr>
        <sz val="12"/>
        <color theme="1"/>
        <rFont val="標楷體"/>
        <family val="4"/>
        <charset val="136"/>
      </rPr>
      <t>醣心蛋</t>
    </r>
    <r>
      <rPr>
        <sz val="9"/>
        <color theme="1"/>
        <rFont val="標楷體"/>
        <family val="4"/>
        <charset val="136"/>
      </rPr>
      <t xml:space="preserve"> </t>
    </r>
    <phoneticPr fontId="1" type="noConversion"/>
  </si>
  <si>
    <t>醣心蛋</t>
    <phoneticPr fontId="1" type="noConversion"/>
  </si>
  <si>
    <t>榨菜肉絲湯</t>
    <phoneticPr fontId="1" type="noConversion"/>
  </si>
  <si>
    <t>滷桂竹筍</t>
    <phoneticPr fontId="1" type="noConversion"/>
  </si>
  <si>
    <t>冬瓜蛤蠣湯</t>
    <phoneticPr fontId="1" type="noConversion"/>
  </si>
  <si>
    <t>蛤蠣</t>
    <phoneticPr fontId="1" type="noConversion"/>
  </si>
  <si>
    <t>紅燒排骨</t>
    <phoneticPr fontId="1" type="noConversion"/>
  </si>
  <si>
    <t>綠豆薏仁湯</t>
    <phoneticPr fontId="1" type="noConversion"/>
  </si>
  <si>
    <t>小薏仁</t>
    <phoneticPr fontId="1" type="noConversion"/>
  </si>
  <si>
    <t>山粉圓甜湯</t>
    <phoneticPr fontId="1" type="noConversion"/>
  </si>
  <si>
    <t>山粉圓</t>
    <phoneticPr fontId="1" type="noConversion"/>
  </si>
  <si>
    <t>糖</t>
    <phoneticPr fontId="1" type="noConversion"/>
  </si>
  <si>
    <t>沙茶炒麵</t>
    <phoneticPr fontId="1" type="noConversion"/>
  </si>
  <si>
    <t>筍片排骨湯</t>
    <phoneticPr fontId="1" type="noConversion"/>
  </si>
  <si>
    <t>軟排</t>
    <phoneticPr fontId="1" type="noConversion"/>
  </si>
  <si>
    <t>仙草蜜</t>
    <phoneticPr fontId="1" type="noConversion"/>
  </si>
  <si>
    <t>仙草</t>
    <phoneticPr fontId="1" type="noConversion"/>
  </si>
  <si>
    <t>炒米粉</t>
    <phoneticPr fontId="1" type="noConversion"/>
  </si>
  <si>
    <t>濕米粉</t>
    <phoneticPr fontId="1" type="noConversion"/>
  </si>
  <si>
    <t>乾香菇</t>
    <phoneticPr fontId="1" type="noConversion"/>
  </si>
  <si>
    <t>電訊科技中心(安康營區)     114年      5月   27日      午餐明細表</t>
    <phoneticPr fontId="1" type="noConversion"/>
  </si>
  <si>
    <t>鹽烤鮭魚
鐵板豬柳</t>
    <phoneticPr fontId="1" type="noConversion"/>
  </si>
  <si>
    <t>鮭魚片</t>
    <phoneticPr fontId="1" type="noConversion"/>
  </si>
  <si>
    <t>前腿肉柳</t>
    <phoneticPr fontId="1" type="noConversion"/>
  </si>
  <si>
    <t>黑胡椒醬</t>
    <phoneticPr fontId="1" type="noConversion"/>
  </si>
  <si>
    <t>乳瑪琳</t>
    <phoneticPr fontId="1" type="noConversion"/>
  </si>
  <si>
    <t>豆豉鮮蚵
海鮮粉絲堡</t>
    <phoneticPr fontId="1" type="noConversion"/>
  </si>
  <si>
    <t>豆豉</t>
    <phoneticPr fontId="1" type="noConversion"/>
  </si>
  <si>
    <t>蚵仔</t>
    <phoneticPr fontId="1" type="noConversion"/>
  </si>
  <si>
    <t>家常豆腐</t>
    <phoneticPr fontId="1" type="noConversion"/>
  </si>
  <si>
    <t>小蝦仁</t>
    <phoneticPr fontId="1" type="noConversion"/>
  </si>
  <si>
    <t>魷魚細圈</t>
    <phoneticPr fontId="1" type="noConversion"/>
  </si>
  <si>
    <r>
      <t>菜名(</t>
    </r>
    <r>
      <rPr>
        <sz val="12"/>
        <color theme="9" tint="-0.249977111117893"/>
        <rFont val="標楷體"/>
        <family val="4"/>
        <charset val="136"/>
      </rPr>
      <t>配2</t>
    </r>
    <r>
      <rPr>
        <sz val="12"/>
        <color theme="1"/>
        <rFont val="標楷體"/>
        <family val="4"/>
        <charset val="136"/>
      </rPr>
      <t>)</t>
    </r>
    <phoneticPr fontId="1" type="noConversion"/>
  </si>
  <si>
    <t>炒高麗菜</t>
    <phoneticPr fontId="1" type="noConversion"/>
  </si>
  <si>
    <t>米</t>
    <phoneticPr fontId="1" type="noConversion"/>
  </si>
  <si>
    <t>咖哩粉</t>
    <phoneticPr fontId="1" type="noConversion"/>
  </si>
  <si>
    <t>豬小腸</t>
    <phoneticPr fontId="1" type="noConversion"/>
  </si>
  <si>
    <t>香蕉</t>
    <phoneticPr fontId="1" type="noConversion"/>
  </si>
  <si>
    <t>五穀粽</t>
    <phoneticPr fontId="1" type="noConversion"/>
  </si>
  <si>
    <t>肉粽</t>
    <phoneticPr fontId="1" type="noConversion"/>
  </si>
  <si>
    <t>糖醋豆包</t>
    <phoneticPr fontId="1" type="noConversion"/>
  </si>
  <si>
    <t>炸豆包</t>
    <phoneticPr fontId="1" type="noConversion"/>
  </si>
  <si>
    <t>三絲豆芽菜</t>
    <phoneticPr fontId="1" type="noConversion"/>
  </si>
  <si>
    <t>生豆皮</t>
    <phoneticPr fontId="1" type="noConversion"/>
  </si>
  <si>
    <t>珍珠奶茶</t>
    <phoneticPr fontId="1" type="noConversion"/>
  </si>
  <si>
    <t>奶精粉</t>
    <phoneticPr fontId="1" type="noConversion"/>
  </si>
  <si>
    <t>涼拌小黃瓜</t>
    <phoneticPr fontId="1" type="noConversion"/>
  </si>
  <si>
    <t>紅龍雞塊</t>
    <phoneticPr fontId="1" type="noConversion"/>
  </si>
  <si>
    <t>花生碎</t>
    <phoneticPr fontId="1" type="noConversion"/>
  </si>
  <si>
    <t>椒鹽排骨</t>
    <phoneticPr fontId="1" type="noConversion"/>
  </si>
  <si>
    <t>小排塊</t>
    <phoneticPr fontId="1" type="noConversion"/>
  </si>
  <si>
    <t>竹筍炒肉絲</t>
    <phoneticPr fontId="1" type="noConversion"/>
  </si>
  <si>
    <t>椒鹽甜不辣</t>
    <phoneticPr fontId="1" type="noConversion"/>
  </si>
  <si>
    <t>黑胡椒豆腐</t>
    <phoneticPr fontId="1" type="noConversion"/>
  </si>
  <si>
    <t>肉羹湯</t>
    <phoneticPr fontId="1" type="noConversion"/>
  </si>
  <si>
    <t>肉羹</t>
    <phoneticPr fontId="1" type="noConversion"/>
  </si>
  <si>
    <t>冬瓜雙Q</t>
    <phoneticPr fontId="1" type="noConversion"/>
  </si>
  <si>
    <t>椰果</t>
    <phoneticPr fontId="1" type="noConversion"/>
  </si>
  <si>
    <t>冬瓜磚</t>
    <phoneticPr fontId="1" type="noConversion"/>
  </si>
  <si>
    <t>涼拌素雞</t>
    <phoneticPr fontId="1" type="noConversion"/>
  </si>
  <si>
    <t>切片素雞</t>
    <phoneticPr fontId="1" type="noConversion"/>
  </si>
  <si>
    <t>海鮮煎餅</t>
    <phoneticPr fontId="1" type="noConversion"/>
  </si>
  <si>
    <t>海鮮煎餅粉</t>
    <phoneticPr fontId="1" type="noConversion"/>
  </si>
  <si>
    <t>蘿蔔玉米湯</t>
    <phoneticPr fontId="1" type="noConversion"/>
  </si>
  <si>
    <t>去殼玉米條</t>
    <phoneticPr fontId="1" type="noConversion"/>
  </si>
  <si>
    <t>粉粿米苔目</t>
    <phoneticPr fontId="1" type="noConversion"/>
  </si>
  <si>
    <t>粉粿</t>
    <phoneticPr fontId="1" type="noConversion"/>
  </si>
  <si>
    <t>雞塊
薯條</t>
    <phoneticPr fontId="1" type="noConversion"/>
  </si>
  <si>
    <t>雞塊</t>
    <phoneticPr fontId="1" type="noConversion"/>
  </si>
  <si>
    <t>薯條</t>
    <phoneticPr fontId="1" type="noConversion"/>
  </si>
  <si>
    <t>番茄肉醬麵</t>
    <phoneticPr fontId="1" type="noConversion"/>
  </si>
  <si>
    <t>番茄糊</t>
    <phoneticPr fontId="1" type="noConversion"/>
  </si>
  <si>
    <t>匈牙利辣椒粉</t>
    <phoneticPr fontId="1" type="noConversion"/>
  </si>
  <si>
    <t>青蛙下蛋</t>
    <phoneticPr fontId="1" type="noConversion"/>
  </si>
  <si>
    <t>涼拌時蔬</t>
    <phoneticPr fontId="1" type="noConversion"/>
  </si>
  <si>
    <t>豆皮</t>
    <phoneticPr fontId="1" type="noConversion"/>
  </si>
  <si>
    <t>焗烤馬鈴薯</t>
    <phoneticPr fontId="1" type="noConversion"/>
  </si>
  <si>
    <t>乳酪絲</t>
    <phoneticPr fontId="1" type="noConversion"/>
  </si>
  <si>
    <t>酥炸柳葉魚</t>
    <phoneticPr fontId="1" type="noConversion"/>
  </si>
  <si>
    <t>柳葉魚</t>
    <phoneticPr fontId="1" type="noConversion"/>
  </si>
  <si>
    <t>時蔬雞丁</t>
    <phoneticPr fontId="1" type="noConversion"/>
  </si>
  <si>
    <t>苦瓜排骨湯</t>
    <phoneticPr fontId="1" type="noConversion"/>
  </si>
  <si>
    <t>苦瓜</t>
    <phoneticPr fontId="1" type="noConversion"/>
  </si>
  <si>
    <t>三杯肉片</t>
    <phoneticPr fontId="1" type="noConversion"/>
  </si>
  <si>
    <t>清蒸臭豆腐</t>
    <phoneticPr fontId="1" type="noConversion"/>
  </si>
  <si>
    <t>臭豆腐</t>
    <phoneticPr fontId="1" type="noConversion"/>
  </si>
  <si>
    <t>番茄豆腐湯</t>
    <phoneticPr fontId="1" type="noConversion"/>
  </si>
  <si>
    <t>黑胡椒豬柳</t>
    <phoneticPr fontId="1" type="noConversion"/>
  </si>
  <si>
    <t>玉米洋芋</t>
    <phoneticPr fontId="1" type="noConversion"/>
  </si>
  <si>
    <t>火腿</t>
    <phoneticPr fontId="1" type="noConversion"/>
  </si>
  <si>
    <t>五更腸旺</t>
    <phoneticPr fontId="1" type="noConversion"/>
  </si>
  <si>
    <t>蒜苗</t>
    <phoneticPr fontId="1" type="noConversion"/>
  </si>
  <si>
    <t>處理好大腸</t>
    <phoneticPr fontId="1" type="noConversion"/>
  </si>
  <si>
    <t>鹹蛋苦瓜</t>
    <phoneticPr fontId="1" type="noConversion"/>
  </si>
  <si>
    <t>綠色苦瓜去籽切片</t>
    <phoneticPr fontId="1" type="noConversion"/>
  </si>
  <si>
    <t>鹹蛋</t>
    <phoneticPr fontId="1" type="noConversion"/>
  </si>
  <si>
    <t>三杯鮑菇</t>
    <phoneticPr fontId="1" type="noConversion"/>
  </si>
  <si>
    <t>4x4豆干</t>
    <phoneticPr fontId="1" type="noConversion"/>
  </si>
  <si>
    <t>紅豆蓮子湯</t>
    <phoneticPr fontId="1" type="noConversion"/>
  </si>
  <si>
    <t>生蓮子</t>
    <phoneticPr fontId="1" type="noConversion"/>
  </si>
  <si>
    <t>紅燒豆腐</t>
    <phoneticPr fontId="1" type="noConversion"/>
  </si>
  <si>
    <t>金針排骨湯</t>
    <phoneticPr fontId="1" type="noConversion"/>
  </si>
  <si>
    <t>金針花</t>
    <phoneticPr fontId="1" type="noConversion"/>
  </si>
  <si>
    <t>蘿蔔海帶湯</t>
    <phoneticPr fontId="1" type="noConversion"/>
  </si>
  <si>
    <t>芹香肉絲</t>
    <phoneticPr fontId="1" type="noConversion"/>
  </si>
  <si>
    <t>涼拌豆干</t>
    <phoneticPr fontId="1" type="noConversion"/>
  </si>
  <si>
    <t>4*4豆干</t>
    <phoneticPr fontId="1" type="noConversion"/>
  </si>
  <si>
    <t>麻油肉片</t>
    <phoneticPr fontId="1" type="noConversion"/>
  </si>
  <si>
    <t>枸杞</t>
    <phoneticPr fontId="1" type="noConversion"/>
  </si>
  <si>
    <t>蘑菇醬</t>
    <phoneticPr fontId="1" type="noConversion"/>
  </si>
  <si>
    <t>香烤梅花肉排</t>
    <phoneticPr fontId="1" type="noConversion"/>
  </si>
  <si>
    <t>梅花肉排</t>
    <phoneticPr fontId="1" type="noConversion"/>
  </si>
  <si>
    <t>油條</t>
    <phoneticPr fontId="1" type="noConversion"/>
  </si>
  <si>
    <t>根</t>
    <phoneticPr fontId="1" type="noConversion"/>
  </si>
  <si>
    <t>蝦仁蒸蛋</t>
    <phoneticPr fontId="1" type="noConversion"/>
  </si>
  <si>
    <t>鰹魚粉</t>
    <phoneticPr fontId="1" type="noConversion"/>
  </si>
  <si>
    <t>泰式鮑菇</t>
    <phoneticPr fontId="1" type="noConversion"/>
  </si>
  <si>
    <t>中筋麵粉</t>
    <phoneticPr fontId="1" type="noConversion"/>
  </si>
  <si>
    <t>三杯杏鮑菇</t>
    <phoneticPr fontId="1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</si>
  <si>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</si>
  <si>
    <t>食材</t>
  </si>
  <si>
    <t>數量</t>
  </si>
  <si>
    <t>單價</t>
  </si>
  <si>
    <t>訂貨數量</t>
  </si>
  <si>
    <t>金額</t>
  </si>
  <si>
    <t>備考</t>
  </si>
  <si>
    <t>台式泡菜</t>
  </si>
  <si>
    <t>合      計</t>
  </si>
  <si>
    <t>羹麵</t>
    <phoneticPr fontId="1" type="noConversion"/>
  </si>
  <si>
    <t>白菜</t>
    <phoneticPr fontId="1" type="noConversion"/>
  </si>
  <si>
    <t>蒜頭酥</t>
    <phoneticPr fontId="1" type="noConversion"/>
  </si>
  <si>
    <t>青花菜雞丁</t>
    <phoneticPr fontId="1" type="noConversion"/>
  </si>
  <si>
    <t>無骨雞腿丁</t>
    <phoneticPr fontId="1" type="noConversion"/>
  </si>
  <si>
    <t>洋蔥炒肉絲</t>
    <phoneticPr fontId="1" type="noConversion"/>
  </si>
  <si>
    <t>糖醋雞丁</t>
    <phoneticPr fontId="1" type="noConversion"/>
  </si>
  <si>
    <t>去骨雞腿丁3*3</t>
    <phoneticPr fontId="1" type="noConversion"/>
  </si>
  <si>
    <t>瓜仔肉</t>
    <phoneticPr fontId="1" type="noConversion"/>
  </si>
  <si>
    <t>脆瓜罐頭(大)</t>
    <phoneticPr fontId="1" type="noConversion"/>
  </si>
  <si>
    <t>檸檬鯖魚</t>
    <phoneticPr fontId="1" type="noConversion"/>
  </si>
  <si>
    <t>冬瓜麵輪</t>
    <phoneticPr fontId="1" type="noConversion"/>
  </si>
  <si>
    <t>麵輪</t>
    <phoneticPr fontId="1" type="noConversion"/>
  </si>
  <si>
    <t>香菇蛋冬粉</t>
    <phoneticPr fontId="1" type="noConversion"/>
  </si>
  <si>
    <t>唐揚雞</t>
    <phoneticPr fontId="1" type="noConversion"/>
  </si>
  <si>
    <t>去骨腿丁</t>
    <phoneticPr fontId="1" type="noConversion"/>
  </si>
  <si>
    <t>電訊科技中心(安康營區)     114年      10月   1日      午餐明細表</t>
    <phoneticPr fontId="1" type="noConversion"/>
  </si>
  <si>
    <t>好市多披薩</t>
    <phoneticPr fontId="1" type="noConversion"/>
  </si>
  <si>
    <t>披薩</t>
    <phoneticPr fontId="1" type="noConversion"/>
  </si>
  <si>
    <t>炸大熱狗
炸物拼盤
烤雞翅
蛋黃酥</t>
    <phoneticPr fontId="1" type="noConversion"/>
  </si>
  <si>
    <t>香酥雞塊</t>
    <phoneticPr fontId="1" type="noConversion"/>
  </si>
  <si>
    <t>炸物</t>
    <phoneticPr fontId="1" type="noConversion"/>
  </si>
  <si>
    <t>蛋黃酥</t>
    <phoneticPr fontId="1" type="noConversion"/>
  </si>
  <si>
    <t>胡麻青花菜</t>
    <phoneticPr fontId="1" type="noConversion"/>
  </si>
  <si>
    <t>胡麻醬</t>
    <phoneticPr fontId="1" type="noConversion"/>
  </si>
  <si>
    <t>早餐</t>
    <phoneticPr fontId="1" type="noConversion"/>
  </si>
  <si>
    <t>香菇</t>
    <phoneticPr fontId="1" type="noConversion"/>
  </si>
  <si>
    <t>綠節瓜</t>
    <phoneticPr fontId="1" type="noConversion"/>
  </si>
  <si>
    <t>胡蘿蔔絲</t>
    <phoneticPr fontId="1" type="noConversion"/>
  </si>
  <si>
    <t>香料</t>
    <phoneticPr fontId="1" type="noConversion"/>
  </si>
  <si>
    <t>巴斯克蛋糕</t>
    <phoneticPr fontId="1" type="noConversion"/>
  </si>
  <si>
    <t>奶油乳酪</t>
    <phoneticPr fontId="1" type="noConversion"/>
  </si>
  <si>
    <t>大熱狗</t>
    <phoneticPr fontId="1" type="noConversion"/>
  </si>
  <si>
    <t>入庫存</t>
    <phoneticPr fontId="1" type="noConversion"/>
  </si>
  <si>
    <t>香腸</t>
    <phoneticPr fontId="1" type="noConversion"/>
  </si>
  <si>
    <t>芋泥蛋黃丸</t>
    <phoneticPr fontId="1" type="noConversion"/>
  </si>
  <si>
    <t>蝦仁炒飯</t>
    <phoneticPr fontId="1" type="noConversion"/>
  </si>
  <si>
    <t>冷凍胡蘿蔔丁</t>
    <phoneticPr fontId="1" type="noConversion"/>
  </si>
  <si>
    <t>紅豆芋園湯</t>
    <phoneticPr fontId="1" type="noConversion"/>
  </si>
  <si>
    <t>芹菜炒魷魚</t>
    <phoneticPr fontId="1" type="noConversion"/>
  </si>
  <si>
    <t>4*4豆乾</t>
    <phoneticPr fontId="1" type="noConversion"/>
  </si>
  <si>
    <t>麻油雞腿</t>
    <phoneticPr fontId="1" type="noConversion"/>
  </si>
  <si>
    <t>黑麻油</t>
    <phoneticPr fontId="1" type="noConversion"/>
  </si>
  <si>
    <t>老薑</t>
    <phoneticPr fontId="1" type="noConversion"/>
  </si>
  <si>
    <t>冬瓜排骨</t>
    <phoneticPr fontId="1" type="noConversion"/>
  </si>
  <si>
    <t>義式蔬菜湯</t>
    <phoneticPr fontId="1" type="noConversion"/>
  </si>
  <si>
    <t>豬大骨高湯粉</t>
    <phoneticPr fontId="1" type="noConversion"/>
  </si>
  <si>
    <t>去葉西芹</t>
    <phoneticPr fontId="1" type="noConversion"/>
  </si>
  <si>
    <t>胡蘿蔔</t>
    <phoneticPr fontId="1" type="noConversion"/>
  </si>
  <si>
    <t>蝦仁炒蛋</t>
    <phoneticPr fontId="1" type="noConversion"/>
  </si>
  <si>
    <t>糖醋里肌</t>
    <phoneticPr fontId="1" type="noConversion"/>
  </si>
  <si>
    <t>鳳梨罐頭(大)</t>
    <phoneticPr fontId="1" type="noConversion"/>
  </si>
  <si>
    <t>里肌肉塊</t>
    <phoneticPr fontId="1" type="noConversion"/>
  </si>
  <si>
    <t>三杯麵腸</t>
    <phoneticPr fontId="1" type="noConversion"/>
  </si>
  <si>
    <t>清炒絲瓜</t>
    <phoneticPr fontId="1" type="noConversion"/>
  </si>
  <si>
    <t>大黃瓜肉片</t>
    <phoneticPr fontId="1" type="noConversion"/>
  </si>
  <si>
    <t>切片大黃瓜</t>
    <phoneticPr fontId="1" type="noConversion"/>
  </si>
  <si>
    <t>桂圓紅棗湯圓</t>
    <phoneticPr fontId="1" type="noConversion"/>
  </si>
  <si>
    <t>桂圓</t>
  </si>
  <si>
    <t>紅棗</t>
  </si>
  <si>
    <t>紅白小湯圓</t>
  </si>
  <si>
    <t>胡瓜炒蛋</t>
    <phoneticPr fontId="1" type="noConversion"/>
  </si>
  <si>
    <t xml:space="preserve">胡瓜絲 </t>
    <phoneticPr fontId="1" type="noConversion"/>
  </si>
  <si>
    <t xml:space="preserve">雞蛋 </t>
    <phoneticPr fontId="1" type="noConversion"/>
  </si>
  <si>
    <t>胡蘿蔔</t>
  </si>
  <si>
    <t xml:space="preserve">小排骨 </t>
    <phoneticPr fontId="1" type="noConversion"/>
  </si>
  <si>
    <t>涼拌豆皮</t>
    <phoneticPr fontId="1" type="noConversion"/>
  </si>
  <si>
    <t>炸豆皮</t>
  </si>
  <si>
    <t>蒜泥</t>
  </si>
  <si>
    <t>鹹酥雞</t>
    <phoneticPr fontId="1" type="noConversion"/>
  </si>
  <si>
    <t>雞胸肉3*3</t>
    <phoneticPr fontId="1" type="noConversion"/>
  </si>
  <si>
    <t>肉燥麵</t>
    <phoneticPr fontId="1" type="noConversion"/>
  </si>
  <si>
    <t>五花絞肉</t>
    <phoneticPr fontId="1" type="noConversion"/>
  </si>
  <si>
    <t>冰糖</t>
    <phoneticPr fontId="1" type="noConversion"/>
  </si>
  <si>
    <t>什錦湯</t>
    <phoneticPr fontId="1" type="noConversion"/>
  </si>
  <si>
    <t>柴魚片</t>
    <phoneticPr fontId="1" type="noConversion"/>
  </si>
  <si>
    <t>火鍋魚板</t>
    <phoneticPr fontId="1" type="noConversion"/>
  </si>
  <si>
    <t>魚板蒸蛋</t>
    <phoneticPr fontId="1" type="noConversion"/>
  </si>
  <si>
    <t>番茄蔬菜湯</t>
    <phoneticPr fontId="1" type="noConversion"/>
  </si>
  <si>
    <t>高湯粉</t>
    <phoneticPr fontId="1" type="noConversion"/>
  </si>
  <si>
    <t>紅蘿蔔丁</t>
    <phoneticPr fontId="1" type="noConversion"/>
  </si>
  <si>
    <t>去葉西洋芹</t>
    <phoneticPr fontId="1" type="noConversion"/>
  </si>
  <si>
    <t>番茄</t>
    <phoneticPr fontId="1" type="noConversion"/>
  </si>
  <si>
    <t>炸排骨</t>
    <phoneticPr fontId="1" type="noConversion"/>
  </si>
  <si>
    <t>小黃瓜黑輪</t>
    <phoneticPr fontId="1" type="noConversion"/>
  </si>
  <si>
    <t>黑輪</t>
    <phoneticPr fontId="1" type="noConversion"/>
  </si>
  <si>
    <t>台式寬冬粉</t>
    <phoneticPr fontId="1" type="noConversion"/>
  </si>
  <si>
    <t>涼拌豬耳朵</t>
    <phoneticPr fontId="1" type="noConversion"/>
  </si>
  <si>
    <t>藥燉排骨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</si>
</sst>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  <font>
      <b/>
      <sz val="12"/>
      <color rgb="FF0070C0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sz val="9"/>
      <color theme="1"/>
      <name val="標楷體"/>
      <family val="4"/>
      <charset val="136"/>
    </font>
    <font>
      <sz val="10"/>
      <color theme="1"/>
      <name val="標楷體"/>
      <family val="4"/>
      <charset val="136"/>
    </font>
    <font>
      <sz val="12"/>
      <color rgb="FF000000"/>
      <name val="標楷體"/>
      <family val="4"/>
      <charset val="136"/>
    </font>
    <font>
      <b/>
      <sz val="12"/>
      <color theme="1"/>
      <name val="標楷體"/>
      <family val="4"/>
      <charset val="136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6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" fontId="2" fillId="2" borderId="2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1" fontId="2" fillId="0" borderId="1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2" fillId="3" borderId="1" xfId="0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6" fillId="0" borderId="2" xfId="0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1" fontId="2" fillId="2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K498"/>
  <sheetViews>
    <sheetView tabSelected="1" topLeftCell="BL207" zoomScaleNormal="100" workbookViewId="0">
      <selection activeCell="BY220" sqref="BY220"/>
    </sheetView>
  </sheetViews>
  <sheetFormatPr defaultRowHeight="16.5" x14ac:dyDescent="0.25"/>
  <cols>
    <col min="1" max="1" width="10.5" bestFit="1" customWidth="1"/>
    <col min="2" max="2" width="11.625" bestFit="1" customWidth="1"/>
    <col min="5" max="5" width="10.5" bestFit="1" customWidth="1"/>
    <col min="10" max="11" width="12.875" bestFit="1" customWidth="1"/>
    <col min="14" max="14" width="10.5" bestFit="1" customWidth="1"/>
    <col min="17" max="17" width="8.875" customWidth="1"/>
    <col min="19" max="20" width="10.5" bestFit="1" customWidth="1"/>
    <col min="28" max="29" width="15.375" bestFit="1" customWidth="1"/>
    <col min="32" max="32" width="10.5" bestFit="1" customWidth="1"/>
    <col min="37" max="37" width="15.375" bestFit="1" customWidth="1"/>
    <col min="38" max="38" width="10.5" bestFit="1" customWidth="1"/>
    <col min="41" max="41" width="10.5" bestFit="1" customWidth="1"/>
    <col min="47" max="47" width="15.375" bestFit="1" customWidth="1"/>
    <col min="50" max="50" width="10.5" bestFit="1" customWidth="1"/>
    <col min="55" max="55" width="11.625" bestFit="1" customWidth="1"/>
    <col min="64" max="64" width="15.375" bestFit="1" customWidth="1"/>
    <col min="65" max="65" width="12.875" bestFit="1" customWidth="1"/>
    <col min="73" max="73" width="10.5" bestFit="1" customWidth="1"/>
    <col min="74" max="74" width="12.875" bestFit="1" customWidth="1"/>
    <col min="81" max="81" width="8.875" style="22"/>
    <col min="82" max="83" width="15.375" bestFit="1" customWidth="1"/>
  </cols>
  <sheetData>
    <row r="1" spans="1:89" x14ac:dyDescent="0.25">
      <c r="A1" s="35" t="s">
        <v>75</v>
      </c>
      <c r="B1" s="35"/>
      <c r="C1" s="35"/>
      <c r="D1" s="35"/>
      <c r="E1" s="35"/>
      <c r="F1" s="35"/>
      <c r="G1" s="35"/>
      <c r="H1" s="35"/>
      <c r="J1" s="35" t="s">
        <v>236</v>
      </c>
      <c r="K1" s="35"/>
      <c r="L1" s="35"/>
      <c r="M1" s="35"/>
      <c r="N1" s="35"/>
      <c r="O1" s="35"/>
      <c r="P1" s="35"/>
      <c r="Q1" s="35"/>
      <c r="S1" s="35" t="s">
        <v>237</v>
      </c>
      <c r="T1" s="35"/>
      <c r="U1" s="35"/>
      <c r="V1" s="35"/>
      <c r="W1" s="35"/>
      <c r="X1" s="35"/>
      <c r="Y1" s="35"/>
      <c r="Z1" s="35"/>
      <c r="AB1" s="35" t="s">
        <v>89</v>
      </c>
      <c r="AC1" s="35"/>
      <c r="AD1" s="35"/>
      <c r="AE1" s="35"/>
      <c r="AF1" s="35"/>
      <c r="AG1" s="35"/>
      <c r="AH1" s="35"/>
      <c r="AI1" s="35"/>
      <c r="AK1" s="35" t="s">
        <v>60</v>
      </c>
      <c r="AL1" s="35"/>
      <c r="AM1" s="35"/>
      <c r="AN1" s="35"/>
      <c r="AO1" s="35"/>
      <c r="AP1" s="35"/>
      <c r="AQ1" s="35"/>
      <c r="AR1" s="35"/>
      <c r="AU1" s="35" t="s">
        <v>224</v>
      </c>
      <c r="AV1" s="35"/>
      <c r="AW1" s="35"/>
      <c r="AX1" s="35"/>
      <c r="AY1" s="35"/>
      <c r="AZ1" s="35"/>
      <c r="BA1" s="35"/>
      <c r="BC1" s="35" t="s">
        <v>609</v>
      </c>
      <c r="BD1" s="35"/>
      <c r="BE1" s="35"/>
      <c r="BF1" s="35"/>
      <c r="BG1" s="35"/>
      <c r="BH1" s="35"/>
      <c r="BI1" s="35"/>
      <c r="BJ1" s="35"/>
      <c r="BL1" s="35" t="s">
        <v>219</v>
      </c>
      <c r="BM1" s="35"/>
      <c r="BN1" s="35"/>
      <c r="BO1" s="35"/>
      <c r="BP1" s="35"/>
      <c r="BQ1" s="35"/>
      <c r="BR1" s="35"/>
      <c r="BS1" s="35"/>
      <c r="BU1" s="35" t="s">
        <v>472</v>
      </c>
      <c r="BV1" s="35"/>
      <c r="BW1" s="35"/>
      <c r="BX1" s="35"/>
      <c r="BY1" s="35"/>
      <c r="BZ1" s="35"/>
      <c r="CA1" s="35"/>
      <c r="CB1" s="35"/>
      <c r="CD1" s="35" t="s">
        <v>162</v>
      </c>
      <c r="CE1" s="35"/>
      <c r="CF1" s="35"/>
      <c r="CG1" s="35"/>
      <c r="CH1" s="35"/>
      <c r="CI1" s="35"/>
      <c r="CJ1" s="35"/>
      <c r="CK1" s="35"/>
    </row>
    <row r="2" spans="1:89" x14ac:dyDescent="0.25">
      <c r="A2" s="1" t="s">
        <v>74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59</v>
      </c>
      <c r="G2" s="1" t="s">
        <v>4</v>
      </c>
      <c r="H2" s="1" t="s">
        <v>5</v>
      </c>
      <c r="I2" s="10"/>
      <c r="J2" s="1" t="s">
        <v>74</v>
      </c>
      <c r="K2" s="1" t="s">
        <v>41</v>
      </c>
      <c r="L2" s="1" t="s">
        <v>13</v>
      </c>
      <c r="M2" s="1" t="s">
        <v>42</v>
      </c>
      <c r="N2" s="1" t="s">
        <v>29</v>
      </c>
      <c r="O2" s="1" t="s">
        <v>176</v>
      </c>
      <c r="P2" s="1" t="s">
        <v>44</v>
      </c>
      <c r="Q2" s="1" t="s">
        <v>69</v>
      </c>
      <c r="R2" s="10"/>
      <c r="S2" s="1" t="s">
        <v>163</v>
      </c>
      <c r="T2" s="1" t="s">
        <v>12</v>
      </c>
      <c r="U2" s="1" t="s">
        <v>13</v>
      </c>
      <c r="V2" s="1" t="s">
        <v>164</v>
      </c>
      <c r="W2" s="1" t="s">
        <v>230</v>
      </c>
      <c r="X2" s="1"/>
      <c r="Y2" s="1" t="s">
        <v>30</v>
      </c>
      <c r="Z2" s="1" t="s">
        <v>226</v>
      </c>
      <c r="AA2" s="10"/>
      <c r="AB2" s="1" t="s">
        <v>88</v>
      </c>
      <c r="AC2" s="1" t="s">
        <v>12</v>
      </c>
      <c r="AD2" s="1" t="s">
        <v>28</v>
      </c>
      <c r="AE2" s="1" t="s">
        <v>14</v>
      </c>
      <c r="AF2" s="1" t="s">
        <v>29</v>
      </c>
      <c r="AG2" s="1" t="s">
        <v>59</v>
      </c>
      <c r="AH2" s="1" t="s">
        <v>30</v>
      </c>
      <c r="AI2" s="1" t="s">
        <v>31</v>
      </c>
      <c r="AK2" s="1" t="s">
        <v>90</v>
      </c>
      <c r="AL2" s="1" t="s">
        <v>12</v>
      </c>
      <c r="AM2" s="1" t="s">
        <v>13</v>
      </c>
      <c r="AN2" s="1" t="s">
        <v>14</v>
      </c>
      <c r="AO2" s="1" t="s">
        <v>15</v>
      </c>
      <c r="AP2" s="1" t="s">
        <v>59</v>
      </c>
      <c r="AQ2" s="1" t="s">
        <v>16</v>
      </c>
      <c r="AR2" s="1" t="s">
        <v>17</v>
      </c>
      <c r="AS2" s="13"/>
      <c r="AT2" s="12"/>
      <c r="AU2" s="1" t="s">
        <v>41</v>
      </c>
      <c r="AV2" s="1" t="s">
        <v>13</v>
      </c>
      <c r="AW2" s="1" t="s">
        <v>42</v>
      </c>
      <c r="AX2" s="1" t="s">
        <v>43</v>
      </c>
      <c r="AY2" s="1" t="s">
        <v>59</v>
      </c>
      <c r="AZ2" s="1" t="s">
        <v>44</v>
      </c>
      <c r="BA2" s="1" t="s">
        <v>31</v>
      </c>
      <c r="BC2" s="1" t="s">
        <v>76</v>
      </c>
      <c r="BD2" s="1" t="s">
        <v>41</v>
      </c>
      <c r="BE2" s="1" t="s">
        <v>13</v>
      </c>
      <c r="BF2" s="1" t="s">
        <v>42</v>
      </c>
      <c r="BG2" s="1" t="s">
        <v>111</v>
      </c>
      <c r="BH2" s="1"/>
      <c r="BI2" s="1" t="s">
        <v>44</v>
      </c>
      <c r="BJ2" s="1" t="s">
        <v>69</v>
      </c>
      <c r="BL2" s="1" t="s">
        <v>131</v>
      </c>
      <c r="BM2" s="1" t="s">
        <v>132</v>
      </c>
      <c r="BN2" s="1" t="s">
        <v>133</v>
      </c>
      <c r="BO2" s="1" t="s">
        <v>134</v>
      </c>
      <c r="BP2" s="1" t="s">
        <v>29</v>
      </c>
      <c r="BQ2" s="1"/>
      <c r="BR2" s="1" t="s">
        <v>135</v>
      </c>
      <c r="BS2" s="1" t="s">
        <v>69</v>
      </c>
      <c r="BU2" s="1" t="s">
        <v>101</v>
      </c>
      <c r="BV2" s="1" t="s">
        <v>41</v>
      </c>
      <c r="BW2" s="1" t="s">
        <v>13</v>
      </c>
      <c r="BX2" s="1" t="s">
        <v>42</v>
      </c>
      <c r="BY2" s="1" t="s">
        <v>29</v>
      </c>
      <c r="BZ2" s="1"/>
      <c r="CA2" s="1" t="s">
        <v>44</v>
      </c>
      <c r="CB2" s="1" t="s">
        <v>69</v>
      </c>
      <c r="CC2" s="10"/>
      <c r="CD2" s="16" t="s">
        <v>145</v>
      </c>
      <c r="CE2" s="1" t="s">
        <v>146</v>
      </c>
      <c r="CF2" s="1" t="s">
        <v>28</v>
      </c>
      <c r="CG2" s="1" t="s">
        <v>42</v>
      </c>
      <c r="CH2" s="1" t="s">
        <v>43</v>
      </c>
      <c r="CI2" s="1"/>
      <c r="CJ2" s="1" t="s">
        <v>44</v>
      </c>
      <c r="CK2" s="1"/>
    </row>
    <row r="3" spans="1:89" x14ac:dyDescent="0.25">
      <c r="A3" s="36" t="s">
        <v>6</v>
      </c>
      <c r="B3" s="1" t="s">
        <v>7</v>
      </c>
      <c r="C3" s="1" t="s">
        <v>8</v>
      </c>
      <c r="D3" s="1">
        <v>66</v>
      </c>
      <c r="E3" s="1">
        <v>65.47</v>
      </c>
      <c r="F3" s="1" t="s">
        <v>9</v>
      </c>
      <c r="G3" s="3">
        <f>D3*E3</f>
        <v>4321.0199999999995</v>
      </c>
      <c r="H3" s="1"/>
      <c r="I3" s="10"/>
      <c r="J3" s="31" t="s">
        <v>70</v>
      </c>
      <c r="K3" s="1" t="s">
        <v>71</v>
      </c>
      <c r="L3" s="1" t="s">
        <v>72</v>
      </c>
      <c r="M3" s="1">
        <v>150</v>
      </c>
      <c r="N3" s="1">
        <v>43.34</v>
      </c>
      <c r="O3" s="1" t="s">
        <v>24</v>
      </c>
      <c r="P3" s="1">
        <f>M3*N3</f>
        <v>6501.0000000000009</v>
      </c>
      <c r="Q3" s="1"/>
      <c r="R3" s="10"/>
      <c r="S3" s="31" t="s">
        <v>231</v>
      </c>
      <c r="T3" s="1" t="s">
        <v>227</v>
      </c>
      <c r="U3" s="1" t="s">
        <v>228</v>
      </c>
      <c r="V3" s="1">
        <v>195</v>
      </c>
      <c r="W3" s="1">
        <v>50</v>
      </c>
      <c r="X3" s="1" t="s">
        <v>149</v>
      </c>
      <c r="Y3" s="3">
        <f>V3*W3</f>
        <v>9750</v>
      </c>
      <c r="Z3" s="1"/>
      <c r="AA3" s="10"/>
      <c r="AB3" s="31" t="s">
        <v>32</v>
      </c>
      <c r="AC3" s="1" t="s">
        <v>33</v>
      </c>
      <c r="AD3" s="1" t="s">
        <v>34</v>
      </c>
      <c r="AE3" s="1">
        <v>48.96</v>
      </c>
      <c r="AF3" s="1">
        <v>50</v>
      </c>
      <c r="AG3" s="1" t="s">
        <v>35</v>
      </c>
      <c r="AH3" s="1">
        <f>AE3*AF3</f>
        <v>2448</v>
      </c>
      <c r="AI3" s="1"/>
      <c r="AK3" s="36" t="s">
        <v>18</v>
      </c>
      <c r="AL3" s="1" t="s">
        <v>19</v>
      </c>
      <c r="AM3" s="1" t="s">
        <v>20</v>
      </c>
      <c r="AN3" s="1">
        <v>54</v>
      </c>
      <c r="AO3" s="1">
        <v>25</v>
      </c>
      <c r="AP3" s="1" t="s">
        <v>21</v>
      </c>
      <c r="AQ3" s="1">
        <f>AN3*AO3</f>
        <v>1350</v>
      </c>
      <c r="AR3" s="1"/>
      <c r="AS3" s="10"/>
      <c r="AU3" s="1" t="s">
        <v>45</v>
      </c>
      <c r="AV3" s="1"/>
      <c r="AW3" s="1">
        <v>60</v>
      </c>
      <c r="AX3" s="1">
        <v>1</v>
      </c>
      <c r="AY3" s="1" t="s">
        <v>46</v>
      </c>
      <c r="AZ3" s="1">
        <f>AW3*AX3</f>
        <v>60</v>
      </c>
      <c r="BA3" s="2"/>
      <c r="BC3" s="36" t="s">
        <v>112</v>
      </c>
      <c r="BD3" s="1" t="s">
        <v>112</v>
      </c>
      <c r="BE3" s="1" t="s">
        <v>113</v>
      </c>
      <c r="BF3" s="1">
        <v>6.5</v>
      </c>
      <c r="BG3" s="1">
        <v>300</v>
      </c>
      <c r="BH3" s="1" t="s">
        <v>65</v>
      </c>
      <c r="BI3" s="1">
        <f>BF3*BG3</f>
        <v>1950</v>
      </c>
      <c r="BJ3" s="1"/>
      <c r="BL3" s="31" t="s">
        <v>136</v>
      </c>
      <c r="BM3" s="1" t="s">
        <v>137</v>
      </c>
      <c r="BN3" s="1" t="s">
        <v>138</v>
      </c>
      <c r="BO3" s="1">
        <v>75</v>
      </c>
      <c r="BP3" s="1">
        <v>9</v>
      </c>
      <c r="BQ3" s="1" t="s">
        <v>53</v>
      </c>
      <c r="BR3" s="1">
        <f>BO3*BP3</f>
        <v>675</v>
      </c>
      <c r="BS3" s="1"/>
      <c r="BU3" s="31" t="s">
        <v>469</v>
      </c>
      <c r="BV3" s="1" t="s">
        <v>470</v>
      </c>
      <c r="BW3" s="1"/>
      <c r="BX3" s="1"/>
      <c r="BY3" s="1"/>
      <c r="BZ3" s="1"/>
      <c r="CA3" s="1"/>
      <c r="CB3" s="1" t="s">
        <v>473</v>
      </c>
      <c r="CC3" s="10"/>
      <c r="CD3" s="31" t="s">
        <v>147</v>
      </c>
      <c r="CE3" s="1" t="s">
        <v>137</v>
      </c>
      <c r="CF3" s="1" t="s">
        <v>148</v>
      </c>
      <c r="CG3" s="1">
        <v>75</v>
      </c>
      <c r="CH3" s="1">
        <v>6</v>
      </c>
      <c r="CI3" s="1" t="s">
        <v>149</v>
      </c>
      <c r="CJ3" s="1">
        <f>CG3*CH3</f>
        <v>450</v>
      </c>
      <c r="CK3" s="1"/>
    </row>
    <row r="4" spans="1:89" x14ac:dyDescent="0.25">
      <c r="A4" s="37"/>
      <c r="B4" s="1"/>
      <c r="C4" s="1"/>
      <c r="D4" s="1"/>
      <c r="E4" s="1"/>
      <c r="F4" s="1"/>
      <c r="G4" s="1"/>
      <c r="H4" s="1"/>
      <c r="I4" s="10"/>
      <c r="J4" s="31"/>
      <c r="K4" s="1"/>
      <c r="L4" s="1"/>
      <c r="M4" s="1"/>
      <c r="N4" s="1"/>
      <c r="O4" s="1"/>
      <c r="P4" s="1"/>
      <c r="Q4" s="1"/>
      <c r="R4" s="10"/>
      <c r="S4" s="31"/>
      <c r="T4" s="1" t="s">
        <v>232</v>
      </c>
      <c r="U4" s="1" t="s">
        <v>233</v>
      </c>
      <c r="V4" s="1">
        <v>600</v>
      </c>
      <c r="W4" s="1">
        <v>1</v>
      </c>
      <c r="X4" s="1" t="s">
        <v>234</v>
      </c>
      <c r="Y4" s="3">
        <f t="shared" ref="Y4:Y5" si="0">V4*W4</f>
        <v>600</v>
      </c>
      <c r="Z4" s="1"/>
      <c r="AA4" s="10"/>
      <c r="AB4" s="31"/>
      <c r="AC4" s="1" t="s">
        <v>36</v>
      </c>
      <c r="AD4" s="1" t="s">
        <v>37</v>
      </c>
      <c r="AE4" s="1">
        <v>99</v>
      </c>
      <c r="AF4" s="1">
        <v>15</v>
      </c>
      <c r="AG4" s="1" t="s">
        <v>35</v>
      </c>
      <c r="AH4" s="1">
        <f t="shared" ref="AH4:AH5" si="1">AE4*AF4</f>
        <v>1485</v>
      </c>
      <c r="AI4" s="1"/>
      <c r="AK4" s="37"/>
      <c r="AL4" s="1" t="s">
        <v>22</v>
      </c>
      <c r="AM4" s="1" t="s">
        <v>23</v>
      </c>
      <c r="AN4" s="1">
        <v>105</v>
      </c>
      <c r="AO4" s="1">
        <v>20</v>
      </c>
      <c r="AP4" s="1" t="s">
        <v>24</v>
      </c>
      <c r="AQ4" s="1">
        <f t="shared" ref="AQ4:AQ5" si="2">AN4*AO4</f>
        <v>2100</v>
      </c>
      <c r="AR4" s="1"/>
      <c r="AS4" s="10"/>
      <c r="AU4" s="1" t="s">
        <v>47</v>
      </c>
      <c r="AV4" s="1"/>
      <c r="AW4" s="1">
        <v>270</v>
      </c>
      <c r="AX4" s="1">
        <v>1</v>
      </c>
      <c r="AY4" s="1" t="s">
        <v>48</v>
      </c>
      <c r="AZ4" s="1">
        <f>AW4*AX4</f>
        <v>270</v>
      </c>
      <c r="BA4" s="2"/>
      <c r="BC4" s="37"/>
      <c r="BD4" s="1"/>
      <c r="BE4" s="1"/>
      <c r="BF4" s="1"/>
      <c r="BG4" s="1"/>
      <c r="BH4" s="1"/>
      <c r="BI4" s="1"/>
      <c r="BJ4" s="1"/>
      <c r="BL4" s="31"/>
      <c r="BM4" s="1" t="s">
        <v>139</v>
      </c>
      <c r="BN4" s="1" t="s">
        <v>140</v>
      </c>
      <c r="BO4" s="1">
        <v>275</v>
      </c>
      <c r="BP4" s="1">
        <v>2</v>
      </c>
      <c r="BQ4" s="1" t="s">
        <v>141</v>
      </c>
      <c r="BR4" s="1">
        <f t="shared" ref="BR4:BR5" si="3">BO4*BP4</f>
        <v>550</v>
      </c>
      <c r="BS4" s="1"/>
      <c r="BU4" s="31"/>
      <c r="BV4" s="1" t="s">
        <v>471</v>
      </c>
      <c r="BW4" s="1" t="s">
        <v>419</v>
      </c>
      <c r="BX4" s="1">
        <v>53</v>
      </c>
      <c r="BY4" s="1">
        <v>15</v>
      </c>
      <c r="BZ4" s="1" t="s">
        <v>24</v>
      </c>
      <c r="CA4" s="1">
        <f>BX4*BY4</f>
        <v>795</v>
      </c>
      <c r="CB4" s="1"/>
      <c r="CC4" s="10"/>
      <c r="CD4" s="31"/>
      <c r="CE4" s="1" t="s">
        <v>150</v>
      </c>
      <c r="CF4" s="1" t="s">
        <v>151</v>
      </c>
      <c r="CG4" s="1">
        <v>19.8</v>
      </c>
      <c r="CH4" s="1">
        <v>60</v>
      </c>
      <c r="CI4" s="1" t="s">
        <v>83</v>
      </c>
      <c r="CJ4" s="1">
        <f t="shared" ref="CJ4:CJ9" si="4">CG4*CH4</f>
        <v>1188</v>
      </c>
      <c r="CK4" s="1"/>
    </row>
    <row r="5" spans="1:89" x14ac:dyDescent="0.25">
      <c r="A5" s="37"/>
      <c r="B5" s="1"/>
      <c r="C5" s="1"/>
      <c r="D5" s="1"/>
      <c r="E5" s="1"/>
      <c r="F5" s="1"/>
      <c r="G5" s="1"/>
      <c r="H5" s="1"/>
      <c r="I5" s="10"/>
      <c r="J5" s="31"/>
      <c r="K5" s="1"/>
      <c r="L5" s="1"/>
      <c r="M5" s="1"/>
      <c r="N5" s="1"/>
      <c r="O5" s="1"/>
      <c r="P5" s="1"/>
      <c r="Q5" s="1"/>
      <c r="R5" s="10"/>
      <c r="S5" s="31"/>
      <c r="T5" s="1" t="s">
        <v>229</v>
      </c>
      <c r="U5" s="1" t="s">
        <v>235</v>
      </c>
      <c r="V5" s="1">
        <v>30.6</v>
      </c>
      <c r="W5" s="1">
        <v>8</v>
      </c>
      <c r="X5" s="1" t="s">
        <v>83</v>
      </c>
      <c r="Y5" s="3">
        <f t="shared" si="0"/>
        <v>244.8</v>
      </c>
      <c r="Z5" s="1"/>
      <c r="AA5" s="10"/>
      <c r="AB5" s="31"/>
      <c r="AC5" s="1" t="s">
        <v>38</v>
      </c>
      <c r="AD5" s="1" t="s">
        <v>39</v>
      </c>
      <c r="AE5" s="1">
        <v>17.100000000000001</v>
      </c>
      <c r="AF5" s="1">
        <v>2</v>
      </c>
      <c r="AG5" s="1" t="s">
        <v>35</v>
      </c>
      <c r="AH5" s="1">
        <f t="shared" si="1"/>
        <v>34.200000000000003</v>
      </c>
      <c r="AI5" s="1"/>
      <c r="AK5" s="37"/>
      <c r="AL5" s="1" t="s">
        <v>25</v>
      </c>
      <c r="AM5" s="1" t="s">
        <v>26</v>
      </c>
      <c r="AN5" s="1">
        <v>30.6</v>
      </c>
      <c r="AO5" s="1">
        <v>6</v>
      </c>
      <c r="AP5" s="1" t="s">
        <v>24</v>
      </c>
      <c r="AQ5" s="1">
        <f t="shared" si="2"/>
        <v>183.60000000000002</v>
      </c>
      <c r="AR5" s="1"/>
      <c r="AS5" s="10"/>
      <c r="AU5" s="1" t="s">
        <v>49</v>
      </c>
      <c r="AV5" s="1"/>
      <c r="AW5" s="1">
        <v>140</v>
      </c>
      <c r="AX5" s="1">
        <v>1</v>
      </c>
      <c r="AY5" s="1" t="s">
        <v>50</v>
      </c>
      <c r="AZ5" s="1">
        <f>AW5*AX5</f>
        <v>140</v>
      </c>
      <c r="BA5" s="2"/>
      <c r="BC5" s="37"/>
      <c r="BD5" s="1"/>
      <c r="BE5" s="1"/>
      <c r="BF5" s="1"/>
      <c r="BG5" s="1"/>
      <c r="BH5" s="1"/>
      <c r="BI5" s="1"/>
      <c r="BJ5" s="1"/>
      <c r="BL5" s="31"/>
      <c r="BM5" s="1" t="s">
        <v>142</v>
      </c>
      <c r="BN5" s="1" t="s">
        <v>143</v>
      </c>
      <c r="BO5" s="1">
        <v>210</v>
      </c>
      <c r="BP5" s="1">
        <v>1</v>
      </c>
      <c r="BQ5" s="1" t="s">
        <v>144</v>
      </c>
      <c r="BR5" s="1">
        <f t="shared" si="3"/>
        <v>210</v>
      </c>
      <c r="BS5" s="1"/>
      <c r="BU5" s="31"/>
      <c r="BV5" s="1"/>
      <c r="BW5" s="1"/>
      <c r="BX5" s="1"/>
      <c r="BY5" s="1"/>
      <c r="BZ5" s="1"/>
      <c r="CA5" s="1"/>
      <c r="CB5" s="1"/>
      <c r="CC5" s="10"/>
      <c r="CD5" s="31"/>
      <c r="CE5" s="1" t="s">
        <v>152</v>
      </c>
      <c r="CF5" s="1" t="s">
        <v>153</v>
      </c>
      <c r="CG5" s="1">
        <v>500</v>
      </c>
      <c r="CH5" s="1">
        <v>1</v>
      </c>
      <c r="CI5" s="1" t="s">
        <v>117</v>
      </c>
      <c r="CJ5" s="1">
        <f t="shared" si="4"/>
        <v>500</v>
      </c>
      <c r="CK5" s="1"/>
    </row>
    <row r="6" spans="1:89" x14ac:dyDescent="0.25">
      <c r="A6" s="37"/>
      <c r="B6" s="1"/>
      <c r="C6" s="1"/>
      <c r="D6" s="1"/>
      <c r="E6" s="4"/>
      <c r="F6" s="4"/>
      <c r="G6" s="4"/>
      <c r="H6" s="1"/>
      <c r="I6" s="10"/>
      <c r="J6" s="31"/>
      <c r="K6" s="1"/>
      <c r="L6" s="1"/>
      <c r="M6" s="1"/>
      <c r="N6" s="4"/>
      <c r="O6" s="4"/>
      <c r="P6" s="4"/>
      <c r="Q6" s="1"/>
      <c r="R6" s="10"/>
      <c r="S6" s="31"/>
      <c r="T6" s="1"/>
      <c r="U6" s="1"/>
      <c r="V6" s="1"/>
      <c r="W6" s="4"/>
      <c r="X6" s="4"/>
      <c r="Y6" s="4"/>
      <c r="Z6" s="1"/>
      <c r="AA6" s="10"/>
      <c r="AB6" s="31"/>
      <c r="AC6" s="1"/>
      <c r="AD6" s="1"/>
      <c r="AE6" s="1"/>
      <c r="AF6" s="4"/>
      <c r="AG6" s="4"/>
      <c r="AH6" s="4"/>
      <c r="AI6" s="1"/>
      <c r="AK6" s="37"/>
      <c r="AL6" s="1"/>
      <c r="AM6" s="1"/>
      <c r="AN6" s="1"/>
      <c r="AO6" s="1"/>
      <c r="AP6" s="1"/>
      <c r="AQ6" s="1"/>
      <c r="AR6" s="1"/>
      <c r="AS6" s="10"/>
      <c r="AU6" s="1" t="s">
        <v>51</v>
      </c>
      <c r="AV6" s="1"/>
      <c r="AW6" s="1">
        <v>110</v>
      </c>
      <c r="AX6" s="1">
        <v>1</v>
      </c>
      <c r="AY6" s="1" t="s">
        <v>50</v>
      </c>
      <c r="AZ6" s="1">
        <f>AW6*AX6</f>
        <v>110</v>
      </c>
      <c r="BA6" s="2"/>
      <c r="BC6" s="38"/>
      <c r="BD6" s="32" t="s">
        <v>73</v>
      </c>
      <c r="BE6" s="33"/>
      <c r="BF6" s="34"/>
      <c r="BG6" s="4"/>
      <c r="BH6" s="4"/>
      <c r="BI6" s="14">
        <f>SUM(BI3:BI5)</f>
        <v>1950</v>
      </c>
      <c r="BJ6" s="1"/>
      <c r="BL6" s="31"/>
      <c r="BM6" s="32"/>
      <c r="BN6" s="33"/>
      <c r="BO6" s="34"/>
      <c r="BP6" s="4"/>
      <c r="BQ6" s="4"/>
      <c r="BR6" s="14">
        <f>SUM(BR3:BR5)</f>
        <v>1435</v>
      </c>
      <c r="BS6" s="1"/>
      <c r="BU6" s="31"/>
      <c r="BV6" s="32"/>
      <c r="BW6" s="33"/>
      <c r="BX6" s="34"/>
      <c r="BY6" s="4"/>
      <c r="BZ6" s="4"/>
      <c r="CA6" s="14">
        <f>SUM(CA4:CA5)</f>
        <v>795</v>
      </c>
      <c r="CB6" s="1"/>
      <c r="CC6" s="10"/>
      <c r="CD6" s="31"/>
      <c r="CE6" s="1" t="s">
        <v>154</v>
      </c>
      <c r="CF6" s="1" t="s">
        <v>153</v>
      </c>
      <c r="CG6" s="1">
        <v>500</v>
      </c>
      <c r="CH6" s="1">
        <v>1</v>
      </c>
      <c r="CI6" s="1" t="s">
        <v>117</v>
      </c>
      <c r="CJ6" s="1">
        <f t="shared" si="4"/>
        <v>500</v>
      </c>
      <c r="CK6" s="1"/>
    </row>
    <row r="7" spans="1:89" x14ac:dyDescent="0.25">
      <c r="A7" s="38"/>
      <c r="B7" s="32" t="s">
        <v>10</v>
      </c>
      <c r="C7" s="33"/>
      <c r="D7" s="34"/>
      <c r="E7" s="4"/>
      <c r="F7" s="4"/>
      <c r="G7" s="7">
        <f>SUM(G3:G6)</f>
        <v>4321.0199999999995</v>
      </c>
      <c r="H7" s="1"/>
      <c r="I7" s="10"/>
      <c r="J7" s="31"/>
      <c r="K7" s="32" t="s">
        <v>73</v>
      </c>
      <c r="L7" s="33"/>
      <c r="M7" s="34"/>
      <c r="N7" s="4"/>
      <c r="O7" s="4"/>
      <c r="P7" s="14">
        <f>SUM(P3:P6)</f>
        <v>6501.0000000000009</v>
      </c>
      <c r="Q7" s="1"/>
      <c r="R7" s="10"/>
      <c r="S7" s="31"/>
      <c r="T7" s="32" t="s">
        <v>86</v>
      </c>
      <c r="U7" s="33"/>
      <c r="V7" s="34"/>
      <c r="W7" s="4"/>
      <c r="X7" s="4"/>
      <c r="Y7" s="7">
        <f>SUM(Y3:Y6)</f>
        <v>10594.8</v>
      </c>
      <c r="Z7" s="1"/>
      <c r="AA7" s="10"/>
      <c r="AB7" s="31"/>
      <c r="AC7" s="32" t="s">
        <v>40</v>
      </c>
      <c r="AD7" s="33"/>
      <c r="AE7" s="34"/>
      <c r="AF7" s="4"/>
      <c r="AG7" s="4"/>
      <c r="AH7" s="7">
        <f>SUM(AH3:AH6)</f>
        <v>3967.2</v>
      </c>
      <c r="AI7" s="1"/>
      <c r="AK7" s="38"/>
      <c r="AL7" s="1"/>
      <c r="AM7" s="1"/>
      <c r="AN7" s="1"/>
      <c r="AO7" s="1"/>
      <c r="AP7" s="1"/>
      <c r="AQ7" s="1"/>
      <c r="AR7" s="1"/>
      <c r="AS7" s="10"/>
      <c r="AU7" s="1" t="s">
        <v>52</v>
      </c>
      <c r="AV7" s="1"/>
      <c r="AW7" s="1">
        <v>630</v>
      </c>
      <c r="AX7" s="1">
        <v>1</v>
      </c>
      <c r="AY7" s="4" t="s">
        <v>53</v>
      </c>
      <c r="AZ7" s="1">
        <f>AW7*AX7</f>
        <v>630</v>
      </c>
      <c r="BA7" s="2"/>
      <c r="CD7" s="31"/>
      <c r="CE7" s="1" t="s">
        <v>155</v>
      </c>
      <c r="CF7" s="1" t="s">
        <v>156</v>
      </c>
      <c r="CG7" s="1">
        <v>30.6</v>
      </c>
      <c r="CH7" s="1">
        <v>10</v>
      </c>
      <c r="CI7" s="1" t="s">
        <v>83</v>
      </c>
      <c r="CJ7" s="1">
        <f t="shared" si="4"/>
        <v>306</v>
      </c>
      <c r="CK7" s="1"/>
    </row>
    <row r="8" spans="1:89" x14ac:dyDescent="0.25"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K8" s="8"/>
      <c r="AL8" s="32" t="s">
        <v>27</v>
      </c>
      <c r="AM8" s="33"/>
      <c r="AN8" s="34"/>
      <c r="AO8" s="4"/>
      <c r="AP8" s="4"/>
      <c r="AQ8" s="7">
        <f>SUM(AQ3:AQ7)</f>
        <v>3633.6</v>
      </c>
      <c r="AR8" s="1"/>
      <c r="AS8" s="10"/>
      <c r="AU8" s="1" t="s">
        <v>54</v>
      </c>
      <c r="AV8" s="1"/>
      <c r="AW8" s="1">
        <v>219</v>
      </c>
      <c r="AX8" s="1">
        <v>1</v>
      </c>
      <c r="AY8" s="4" t="s">
        <v>55</v>
      </c>
      <c r="AZ8" s="1">
        <f>AW8*AX8</f>
        <v>219</v>
      </c>
      <c r="BA8" s="2"/>
      <c r="BC8" s="2" t="s">
        <v>11</v>
      </c>
      <c r="BD8" s="2" t="s">
        <v>0</v>
      </c>
      <c r="BE8" s="2" t="s">
        <v>1</v>
      </c>
      <c r="BF8" s="2" t="s">
        <v>2</v>
      </c>
      <c r="BG8" s="2" t="s">
        <v>3</v>
      </c>
      <c r="BH8" s="2"/>
      <c r="BI8" s="2" t="s">
        <v>4</v>
      </c>
      <c r="BJ8" s="2" t="s">
        <v>5</v>
      </c>
      <c r="BL8" s="1" t="s">
        <v>208</v>
      </c>
      <c r="BM8" s="1" t="s">
        <v>41</v>
      </c>
      <c r="BN8" s="1" t="s">
        <v>209</v>
      </c>
      <c r="BO8" s="1" t="s">
        <v>210</v>
      </c>
      <c r="BP8" s="1" t="s">
        <v>211</v>
      </c>
      <c r="BQ8" s="1"/>
      <c r="BR8" s="1" t="s">
        <v>44</v>
      </c>
      <c r="BS8" s="1" t="s">
        <v>212</v>
      </c>
      <c r="CD8" s="31"/>
      <c r="CE8" s="1" t="s">
        <v>157</v>
      </c>
      <c r="CF8" s="1" t="s">
        <v>158</v>
      </c>
      <c r="CG8" s="1">
        <v>210</v>
      </c>
      <c r="CH8" s="1">
        <v>1</v>
      </c>
      <c r="CI8" s="1" t="s">
        <v>159</v>
      </c>
      <c r="CJ8" s="1">
        <f t="shared" si="4"/>
        <v>210</v>
      </c>
      <c r="CK8" s="1"/>
    </row>
    <row r="9" spans="1:89" x14ac:dyDescent="0.25">
      <c r="A9" s="1" t="s">
        <v>103</v>
      </c>
      <c r="B9" s="1" t="s">
        <v>41</v>
      </c>
      <c r="C9" s="1" t="s">
        <v>13</v>
      </c>
      <c r="D9" s="1" t="s">
        <v>104</v>
      </c>
      <c r="E9" s="1" t="s">
        <v>29</v>
      </c>
      <c r="F9" s="1" t="s">
        <v>174</v>
      </c>
      <c r="G9" s="1" t="s">
        <v>105</v>
      </c>
      <c r="H9" s="1" t="s">
        <v>106</v>
      </c>
      <c r="J9" s="1" t="s">
        <v>163</v>
      </c>
      <c r="K9" s="1" t="s">
        <v>41</v>
      </c>
      <c r="L9" s="1" t="s">
        <v>13</v>
      </c>
      <c r="M9" s="1" t="s">
        <v>164</v>
      </c>
      <c r="N9" s="1" t="s">
        <v>111</v>
      </c>
      <c r="O9" s="1" t="s">
        <v>175</v>
      </c>
      <c r="P9" s="1" t="s">
        <v>30</v>
      </c>
      <c r="Q9" s="1" t="s">
        <v>69</v>
      </c>
      <c r="S9" s="2" t="s">
        <v>74</v>
      </c>
      <c r="T9" s="2" t="s">
        <v>0</v>
      </c>
      <c r="U9" s="2" t="s">
        <v>1</v>
      </c>
      <c r="V9" s="2" t="s">
        <v>2</v>
      </c>
      <c r="W9" s="2" t="s">
        <v>3</v>
      </c>
      <c r="X9" s="2"/>
      <c r="Y9" s="2" t="s">
        <v>4</v>
      </c>
      <c r="Z9" s="2" t="s">
        <v>5</v>
      </c>
      <c r="AU9" s="1" t="s">
        <v>56</v>
      </c>
      <c r="AV9" s="1"/>
      <c r="AW9" s="1">
        <v>175</v>
      </c>
      <c r="AX9" s="1">
        <v>1</v>
      </c>
      <c r="AY9" s="4" t="s">
        <v>57</v>
      </c>
      <c r="AZ9" s="1">
        <f>AW9*AX9</f>
        <v>175</v>
      </c>
      <c r="BA9" s="2"/>
      <c r="BC9" s="31" t="s">
        <v>604</v>
      </c>
      <c r="BD9" s="2" t="s">
        <v>605</v>
      </c>
      <c r="BE9" s="2" t="s">
        <v>606</v>
      </c>
      <c r="BF9" s="2">
        <v>1380</v>
      </c>
      <c r="BG9" s="2">
        <v>3</v>
      </c>
      <c r="BH9" s="2" t="s">
        <v>48</v>
      </c>
      <c r="BI9" s="2">
        <f>BF9*BG9</f>
        <v>4140</v>
      </c>
      <c r="BJ9" s="2"/>
      <c r="BL9" s="31" t="s">
        <v>213</v>
      </c>
      <c r="BM9" s="1" t="s">
        <v>214</v>
      </c>
      <c r="BN9" s="1" t="s">
        <v>215</v>
      </c>
      <c r="BO9" s="1">
        <v>175</v>
      </c>
      <c r="BP9" s="1">
        <v>1</v>
      </c>
      <c r="BQ9" s="1" t="s">
        <v>48</v>
      </c>
      <c r="BR9" s="1">
        <f>BO9*BP9</f>
        <v>175</v>
      </c>
      <c r="BS9" s="1"/>
      <c r="BU9" s="2" t="s">
        <v>101</v>
      </c>
      <c r="BV9" s="2" t="s">
        <v>0</v>
      </c>
      <c r="BW9" s="2" t="s">
        <v>1</v>
      </c>
      <c r="BX9" s="2" t="s">
        <v>2</v>
      </c>
      <c r="BY9" s="2" t="s">
        <v>3</v>
      </c>
      <c r="BZ9" s="2"/>
      <c r="CA9" s="2" t="s">
        <v>4</v>
      </c>
      <c r="CB9" s="2" t="s">
        <v>5</v>
      </c>
      <c r="CD9" s="31"/>
      <c r="CE9" s="1" t="s">
        <v>58</v>
      </c>
      <c r="CF9" s="1" t="s">
        <v>160</v>
      </c>
      <c r="CG9" s="1">
        <v>93</v>
      </c>
      <c r="CH9" s="1">
        <v>20</v>
      </c>
      <c r="CI9" s="1" t="s">
        <v>35</v>
      </c>
      <c r="CJ9" s="1">
        <f t="shared" si="4"/>
        <v>1860</v>
      </c>
      <c r="CK9" s="1"/>
    </row>
    <row r="10" spans="1:89" x14ac:dyDescent="0.25">
      <c r="A10" s="31" t="s">
        <v>107</v>
      </c>
      <c r="B10" s="1" t="s">
        <v>108</v>
      </c>
      <c r="C10" s="1" t="s">
        <v>109</v>
      </c>
      <c r="D10" s="1">
        <v>99</v>
      </c>
      <c r="E10" s="1">
        <v>63.47</v>
      </c>
      <c r="F10" s="1" t="s">
        <v>110</v>
      </c>
      <c r="G10" s="3">
        <f>D10*E10</f>
        <v>6283.53</v>
      </c>
      <c r="H10" s="1"/>
      <c r="J10" s="31" t="s">
        <v>165</v>
      </c>
      <c r="K10" s="1" t="s">
        <v>166</v>
      </c>
      <c r="L10" s="1" t="s">
        <v>167</v>
      </c>
      <c r="M10" s="1">
        <v>400</v>
      </c>
      <c r="N10" s="1">
        <v>1</v>
      </c>
      <c r="O10" s="1" t="s">
        <v>55</v>
      </c>
      <c r="P10" s="1">
        <f>M10*N10</f>
        <v>400</v>
      </c>
      <c r="Q10" s="1"/>
      <c r="S10" s="31" t="s">
        <v>621</v>
      </c>
      <c r="T10" s="2" t="s">
        <v>227</v>
      </c>
      <c r="U10" s="2" t="s">
        <v>228</v>
      </c>
      <c r="V10" s="2">
        <v>195</v>
      </c>
      <c r="W10" s="2">
        <v>50</v>
      </c>
      <c r="X10" s="2" t="s">
        <v>53</v>
      </c>
      <c r="Y10" s="2">
        <f>V10*W10</f>
        <v>9750</v>
      </c>
      <c r="Z10" s="45"/>
      <c r="AB10" s="1" t="s">
        <v>11</v>
      </c>
      <c r="AC10" s="1" t="s">
        <v>41</v>
      </c>
      <c r="AD10" s="1" t="s">
        <v>77</v>
      </c>
      <c r="AE10" s="1" t="s">
        <v>42</v>
      </c>
      <c r="AF10" s="1" t="s">
        <v>29</v>
      </c>
      <c r="AG10" s="1" t="s">
        <v>59</v>
      </c>
      <c r="AH10" s="1" t="s">
        <v>30</v>
      </c>
      <c r="AI10" s="1" t="s">
        <v>69</v>
      </c>
      <c r="AK10" s="1" t="s">
        <v>202</v>
      </c>
      <c r="AL10" s="1" t="s">
        <v>91</v>
      </c>
      <c r="AM10" s="1" t="s">
        <v>13</v>
      </c>
      <c r="AN10" s="1" t="s">
        <v>42</v>
      </c>
      <c r="AO10" s="1" t="s">
        <v>92</v>
      </c>
      <c r="AP10" s="1" t="s">
        <v>59</v>
      </c>
      <c r="AQ10" s="1" t="s">
        <v>44</v>
      </c>
      <c r="AR10" s="1" t="s">
        <v>69</v>
      </c>
      <c r="AU10" s="1" t="s">
        <v>58</v>
      </c>
      <c r="AV10" s="1"/>
      <c r="AW10" s="1">
        <v>93</v>
      </c>
      <c r="AX10" s="1">
        <v>3</v>
      </c>
      <c r="AY10" s="4" t="s">
        <v>35</v>
      </c>
      <c r="AZ10" s="1">
        <f>AW10*AX10</f>
        <v>279</v>
      </c>
      <c r="BA10" s="2"/>
      <c r="BC10" s="31"/>
      <c r="BD10" s="2" t="s">
        <v>607</v>
      </c>
      <c r="BE10" s="2"/>
      <c r="BF10" s="2">
        <v>270</v>
      </c>
      <c r="BG10" s="2">
        <v>8</v>
      </c>
      <c r="BH10" s="2" t="s">
        <v>123</v>
      </c>
      <c r="BI10" s="2">
        <f t="shared" ref="BI10:BI12" si="5">BF10*BG10</f>
        <v>2160</v>
      </c>
      <c r="BJ10" s="2"/>
      <c r="BL10" s="31"/>
      <c r="BM10" s="1" t="s">
        <v>216</v>
      </c>
      <c r="BN10" s="1" t="s">
        <v>217</v>
      </c>
      <c r="BO10" s="1">
        <v>98.4</v>
      </c>
      <c r="BP10" s="1">
        <v>15</v>
      </c>
      <c r="BQ10" s="1" t="s">
        <v>218</v>
      </c>
      <c r="BR10" s="1">
        <f>BO10*BP10</f>
        <v>1476</v>
      </c>
      <c r="BS10" s="1"/>
      <c r="BU10" s="31" t="s">
        <v>664</v>
      </c>
      <c r="BV10" s="2" t="s">
        <v>665</v>
      </c>
      <c r="BW10" s="2" t="s">
        <v>271</v>
      </c>
      <c r="BX10" s="2">
        <v>25</v>
      </c>
      <c r="BY10" s="2">
        <v>7</v>
      </c>
      <c r="BZ10" s="2" t="s">
        <v>53</v>
      </c>
      <c r="CA10" s="2">
        <f>BX10*BY10</f>
        <v>175</v>
      </c>
      <c r="CB10" s="2"/>
      <c r="CD10" s="31"/>
      <c r="CE10" s="32" t="s">
        <v>161</v>
      </c>
      <c r="CF10" s="33"/>
      <c r="CG10" s="34"/>
      <c r="CH10" s="4"/>
      <c r="CI10" s="4"/>
      <c r="CJ10" s="14">
        <f>SUM(CJ3:CJ9)</f>
        <v>5014</v>
      </c>
      <c r="CK10" s="1"/>
    </row>
    <row r="11" spans="1:89" x14ac:dyDescent="0.25">
      <c r="A11" s="31"/>
      <c r="B11" s="1"/>
      <c r="C11" s="1"/>
      <c r="D11" s="1"/>
      <c r="E11" s="1"/>
      <c r="F11" s="1"/>
      <c r="G11" s="1"/>
      <c r="H11" s="1"/>
      <c r="J11" s="31"/>
      <c r="K11" s="1" t="s">
        <v>168</v>
      </c>
      <c r="L11" s="1"/>
      <c r="M11" s="1">
        <v>30.6</v>
      </c>
      <c r="N11" s="4">
        <v>8</v>
      </c>
      <c r="O11" s="1" t="s">
        <v>67</v>
      </c>
      <c r="P11" s="3">
        <f>M11*N11</f>
        <v>244.8</v>
      </c>
      <c r="Q11" s="1"/>
      <c r="S11" s="31"/>
      <c r="T11" s="2" t="s">
        <v>622</v>
      </c>
      <c r="U11" s="2" t="s">
        <v>23</v>
      </c>
      <c r="V11" s="2">
        <v>145</v>
      </c>
      <c r="W11" s="2">
        <v>10</v>
      </c>
      <c r="X11" s="2" t="s">
        <v>9</v>
      </c>
      <c r="Y11" s="2">
        <f>V11*W11</f>
        <v>1450</v>
      </c>
      <c r="Z11" s="2"/>
      <c r="AB11" s="31" t="s">
        <v>78</v>
      </c>
      <c r="AC11" s="1" t="s">
        <v>79</v>
      </c>
      <c r="AD11" s="1" t="s">
        <v>80</v>
      </c>
      <c r="AE11" s="1">
        <v>34.200000000000003</v>
      </c>
      <c r="AF11" s="1">
        <v>30</v>
      </c>
      <c r="AG11" s="1" t="s">
        <v>24</v>
      </c>
      <c r="AH11" s="1">
        <f>AE11*AF11</f>
        <v>1026</v>
      </c>
      <c r="AI11" s="1"/>
      <c r="AK11" s="31" t="s">
        <v>93</v>
      </c>
      <c r="AL11" s="1" t="s">
        <v>94</v>
      </c>
      <c r="AM11" s="1" t="s">
        <v>95</v>
      </c>
      <c r="AN11" s="1">
        <v>77.400000000000006</v>
      </c>
      <c r="AO11" s="1">
        <v>15</v>
      </c>
      <c r="AP11" s="1" t="s">
        <v>24</v>
      </c>
      <c r="AQ11" s="1">
        <f>AN11*AO11</f>
        <v>1161</v>
      </c>
      <c r="AR11" s="1"/>
      <c r="AU11" s="1" t="s">
        <v>62</v>
      </c>
      <c r="AV11" s="1"/>
      <c r="AW11" s="1">
        <v>10</v>
      </c>
      <c r="AX11" s="1">
        <v>25</v>
      </c>
      <c r="AY11" s="1" t="s">
        <v>63</v>
      </c>
      <c r="AZ11" s="1">
        <f>AW11*AX11</f>
        <v>250</v>
      </c>
      <c r="BA11" s="28"/>
      <c r="BC11" s="31"/>
      <c r="BD11" s="2" t="s">
        <v>496</v>
      </c>
      <c r="BE11" s="2"/>
      <c r="BF11" s="2">
        <v>120</v>
      </c>
      <c r="BG11" s="2">
        <v>7</v>
      </c>
      <c r="BH11" s="2" t="s">
        <v>123</v>
      </c>
      <c r="BI11" s="2">
        <f t="shared" si="5"/>
        <v>840</v>
      </c>
      <c r="BJ11" s="2"/>
      <c r="BL11" s="31"/>
      <c r="BM11" s="1"/>
      <c r="BN11" s="1"/>
      <c r="BO11" s="1"/>
      <c r="BP11" s="1"/>
      <c r="BQ11" s="1"/>
      <c r="BR11" s="1"/>
      <c r="BS11" s="1"/>
      <c r="BU11" s="31"/>
      <c r="BV11" s="2" t="s">
        <v>666</v>
      </c>
      <c r="BW11" s="2" t="s">
        <v>37</v>
      </c>
      <c r="BX11" s="2">
        <v>43.32</v>
      </c>
      <c r="BY11" s="2">
        <v>15</v>
      </c>
      <c r="BZ11" s="2" t="s">
        <v>9</v>
      </c>
      <c r="CA11" s="2">
        <f t="shared" ref="CA11:CA12" si="6">BX11*BY11</f>
        <v>649.79999999999995</v>
      </c>
      <c r="CB11" s="2"/>
    </row>
    <row r="12" spans="1:89" x14ac:dyDescent="0.25">
      <c r="A12" s="31"/>
      <c r="B12" s="1"/>
      <c r="C12" s="1"/>
      <c r="D12" s="1"/>
      <c r="E12" s="1"/>
      <c r="F12" s="1"/>
      <c r="G12" s="1"/>
      <c r="H12" s="1"/>
      <c r="J12" s="31"/>
      <c r="K12" s="1" t="s">
        <v>169</v>
      </c>
      <c r="L12" s="1" t="s">
        <v>170</v>
      </c>
      <c r="M12" s="1">
        <v>99</v>
      </c>
      <c r="N12" s="1">
        <v>30</v>
      </c>
      <c r="O12" s="1" t="s">
        <v>67</v>
      </c>
      <c r="P12" s="1">
        <f t="shared" ref="P12:P13" si="7">M12*N12</f>
        <v>2970</v>
      </c>
      <c r="Q12" s="1"/>
      <c r="S12" s="31"/>
      <c r="T12" s="2"/>
      <c r="U12" s="2"/>
      <c r="V12" s="2"/>
      <c r="W12" s="2"/>
      <c r="X12" s="2"/>
      <c r="Y12" s="2"/>
      <c r="Z12" s="2"/>
      <c r="AB12" s="31"/>
      <c r="AC12" s="1" t="s">
        <v>81</v>
      </c>
      <c r="AD12" s="1" t="s">
        <v>82</v>
      </c>
      <c r="AE12" s="1">
        <v>79.599999999999994</v>
      </c>
      <c r="AF12" s="1">
        <v>15</v>
      </c>
      <c r="AG12" s="1" t="s">
        <v>83</v>
      </c>
      <c r="AH12" s="1">
        <f t="shared" ref="AH12:AH13" si="8">AE12*AF12</f>
        <v>1194</v>
      </c>
      <c r="AI12" s="1"/>
      <c r="AK12" s="31"/>
      <c r="AL12" s="1" t="s">
        <v>96</v>
      </c>
      <c r="AM12" s="1" t="s">
        <v>97</v>
      </c>
      <c r="AN12" s="1">
        <v>30.6</v>
      </c>
      <c r="AO12" s="1">
        <v>20</v>
      </c>
      <c r="AP12" s="1" t="s">
        <v>67</v>
      </c>
      <c r="AQ12" s="1">
        <f t="shared" ref="AQ12:AQ13" si="9">AN12*AO12</f>
        <v>612</v>
      </c>
      <c r="AR12" s="1"/>
      <c r="AU12" s="1" t="s">
        <v>64</v>
      </c>
      <c r="AV12" s="1"/>
      <c r="AW12" s="1">
        <v>14.26</v>
      </c>
      <c r="AX12" s="1">
        <v>25</v>
      </c>
      <c r="AY12" s="1" t="s">
        <v>65</v>
      </c>
      <c r="AZ12" s="1">
        <f>AW12*AX12</f>
        <v>356.5</v>
      </c>
      <c r="BA12" s="28"/>
      <c r="BC12" s="31"/>
      <c r="BD12" s="2" t="s">
        <v>608</v>
      </c>
      <c r="BE12" s="2"/>
      <c r="BF12" s="2">
        <v>80</v>
      </c>
      <c r="BG12" s="2">
        <v>1</v>
      </c>
      <c r="BH12" s="2" t="s">
        <v>53</v>
      </c>
      <c r="BI12" s="2">
        <f t="shared" si="5"/>
        <v>80</v>
      </c>
      <c r="BJ12" s="2"/>
      <c r="BL12" s="31"/>
      <c r="BM12" s="32"/>
      <c r="BN12" s="33"/>
      <c r="BO12" s="34"/>
      <c r="BP12" s="4"/>
      <c r="BQ12" s="4"/>
      <c r="BR12" s="14">
        <f>SUM(BR9:BR11)</f>
        <v>1651</v>
      </c>
      <c r="BS12" s="1"/>
      <c r="BU12" s="31"/>
      <c r="BV12" s="2" t="s">
        <v>667</v>
      </c>
      <c r="BW12" s="2" t="s">
        <v>156</v>
      </c>
      <c r="BX12" s="2">
        <v>48</v>
      </c>
      <c r="BY12" s="2">
        <v>10</v>
      </c>
      <c r="BZ12" s="2" t="s">
        <v>9</v>
      </c>
      <c r="CA12" s="2">
        <f t="shared" si="6"/>
        <v>480</v>
      </c>
      <c r="CB12" s="2"/>
      <c r="CD12" s="16" t="s">
        <v>162</v>
      </c>
      <c r="CE12" s="1" t="s">
        <v>41</v>
      </c>
      <c r="CF12" s="1" t="s">
        <v>13</v>
      </c>
      <c r="CG12" s="1" t="s">
        <v>42</v>
      </c>
      <c r="CH12" s="1" t="s">
        <v>29</v>
      </c>
      <c r="CI12" s="1"/>
      <c r="CJ12" s="1" t="s">
        <v>44</v>
      </c>
      <c r="CK12" s="1"/>
    </row>
    <row r="13" spans="1:89" x14ac:dyDescent="0.25">
      <c r="A13" s="31"/>
      <c r="B13" s="1"/>
      <c r="C13" s="1"/>
      <c r="D13" s="1"/>
      <c r="E13" s="4"/>
      <c r="F13" s="4"/>
      <c r="G13" s="4"/>
      <c r="H13" s="1"/>
      <c r="J13" s="31"/>
      <c r="K13" s="1" t="s">
        <v>171</v>
      </c>
      <c r="L13" s="1" t="s">
        <v>172</v>
      </c>
      <c r="M13" s="1">
        <v>168</v>
      </c>
      <c r="N13" s="4">
        <v>15</v>
      </c>
      <c r="O13" s="1" t="s">
        <v>173</v>
      </c>
      <c r="P13" s="1">
        <f t="shared" si="7"/>
        <v>2520</v>
      </c>
      <c r="Q13" s="1"/>
      <c r="S13" s="31"/>
      <c r="T13" s="2"/>
      <c r="U13" s="2"/>
      <c r="V13" s="2"/>
      <c r="W13" s="6"/>
      <c r="X13" s="6"/>
      <c r="Y13" s="6"/>
      <c r="Z13" s="2"/>
      <c r="AB13" s="31"/>
      <c r="AC13" s="1" t="s">
        <v>84</v>
      </c>
      <c r="AD13" s="1" t="s">
        <v>85</v>
      </c>
      <c r="AE13" s="1">
        <v>85</v>
      </c>
      <c r="AF13" s="1">
        <v>4</v>
      </c>
      <c r="AG13" s="1" t="s">
        <v>83</v>
      </c>
      <c r="AH13" s="1">
        <f t="shared" si="8"/>
        <v>340</v>
      </c>
      <c r="AI13" s="1"/>
      <c r="AK13" s="31"/>
      <c r="AL13" s="1" t="s">
        <v>98</v>
      </c>
      <c r="AM13" s="1" t="s">
        <v>99</v>
      </c>
      <c r="AN13" s="1">
        <v>30.6</v>
      </c>
      <c r="AO13" s="1">
        <v>20</v>
      </c>
      <c r="AP13" s="1" t="s">
        <v>24</v>
      </c>
      <c r="AQ13" s="1">
        <f t="shared" si="9"/>
        <v>612</v>
      </c>
      <c r="AR13" s="1"/>
      <c r="AU13" s="1" t="s">
        <v>66</v>
      </c>
      <c r="AV13" s="1"/>
      <c r="AW13" s="1">
        <v>21</v>
      </c>
      <c r="AX13" s="1">
        <v>8</v>
      </c>
      <c r="AY13" s="1" t="s">
        <v>67</v>
      </c>
      <c r="AZ13" s="1">
        <f>AW13*AX13</f>
        <v>168</v>
      </c>
      <c r="BA13" s="28"/>
      <c r="BC13" s="31"/>
      <c r="BD13" s="2"/>
      <c r="BE13" s="2"/>
      <c r="BF13" s="2"/>
      <c r="BG13" s="2"/>
      <c r="BH13" s="2"/>
      <c r="BI13" s="2"/>
      <c r="BJ13" s="2"/>
      <c r="BU13" s="31"/>
      <c r="BV13" s="32"/>
      <c r="BW13" s="33"/>
      <c r="BX13" s="34"/>
      <c r="BY13" s="6"/>
      <c r="BZ13" s="6"/>
      <c r="CA13" s="7">
        <f>SUM(CA10:CA12)</f>
        <v>1304.8</v>
      </c>
      <c r="CB13" s="2"/>
      <c r="CD13" s="31" t="s">
        <v>399</v>
      </c>
      <c r="CE13" s="1" t="s">
        <v>399</v>
      </c>
      <c r="CF13" s="1" t="s">
        <v>400</v>
      </c>
      <c r="CG13" s="1">
        <v>7</v>
      </c>
      <c r="CH13" s="1">
        <v>300</v>
      </c>
      <c r="CI13" s="1" t="s">
        <v>65</v>
      </c>
      <c r="CJ13" s="1">
        <f>CG13*CH13</f>
        <v>2100</v>
      </c>
      <c r="CK13" s="1"/>
    </row>
    <row r="14" spans="1:89" x14ac:dyDescent="0.25">
      <c r="A14" s="31"/>
      <c r="B14" s="32" t="s">
        <v>73</v>
      </c>
      <c r="C14" s="33"/>
      <c r="D14" s="34"/>
      <c r="E14" s="4"/>
      <c r="F14" s="4"/>
      <c r="G14" s="7">
        <f>SUM(G10:G13)</f>
        <v>6283.53</v>
      </c>
      <c r="H14" s="1"/>
      <c r="J14" s="31"/>
      <c r="K14" s="32" t="s">
        <v>27</v>
      </c>
      <c r="L14" s="33"/>
      <c r="M14" s="34"/>
      <c r="N14" s="4"/>
      <c r="O14" s="4"/>
      <c r="P14" s="14">
        <f>SUM(P10:P13)</f>
        <v>6134.8</v>
      </c>
      <c r="Q14" s="1"/>
      <c r="S14" s="31"/>
      <c r="T14" s="32" t="s">
        <v>10</v>
      </c>
      <c r="U14" s="33"/>
      <c r="V14" s="34"/>
      <c r="W14" s="6"/>
      <c r="X14" s="6"/>
      <c r="Y14" s="14">
        <f>SUM(Y10:Y13)</f>
        <v>11200</v>
      </c>
      <c r="Z14" s="2"/>
      <c r="AB14" s="31"/>
      <c r="AC14" s="1"/>
      <c r="AD14" s="1"/>
      <c r="AE14" s="1"/>
      <c r="AF14" s="1"/>
      <c r="AG14" s="1"/>
      <c r="AH14" s="1"/>
      <c r="AI14" s="1"/>
      <c r="AK14" s="31"/>
      <c r="AL14" s="1"/>
      <c r="AM14" s="1"/>
      <c r="AN14" s="1"/>
      <c r="AO14" s="4"/>
      <c r="AP14" s="4"/>
      <c r="AQ14" s="4"/>
      <c r="AR14" s="1"/>
      <c r="AU14" s="1" t="s">
        <v>68</v>
      </c>
      <c r="AV14" s="1"/>
      <c r="AW14" s="1">
        <v>1164</v>
      </c>
      <c r="AX14" s="1">
        <v>1</v>
      </c>
      <c r="AY14" s="1" t="s">
        <v>48</v>
      </c>
      <c r="AZ14" s="1">
        <f>AW14*AX14</f>
        <v>1164</v>
      </c>
      <c r="BA14" s="28"/>
      <c r="BC14" s="31"/>
      <c r="BD14" s="32" t="s">
        <v>10</v>
      </c>
      <c r="BE14" s="33"/>
      <c r="BF14" s="34"/>
      <c r="BG14" s="6"/>
      <c r="BH14" s="6"/>
      <c r="BI14" s="14">
        <f>SUM(BI9:BI13)</f>
        <v>7220</v>
      </c>
      <c r="BJ14" s="2"/>
      <c r="BL14" s="1" t="s">
        <v>101</v>
      </c>
      <c r="BM14" s="1" t="s">
        <v>12</v>
      </c>
      <c r="BN14" s="1" t="s">
        <v>77</v>
      </c>
      <c r="BO14" s="1" t="s">
        <v>164</v>
      </c>
      <c r="BP14" s="1" t="s">
        <v>111</v>
      </c>
      <c r="BQ14" s="1"/>
      <c r="BR14" s="1" t="s">
        <v>268</v>
      </c>
      <c r="BS14" s="1" t="s">
        <v>226</v>
      </c>
      <c r="CD14" s="31"/>
      <c r="CE14" s="1" t="s">
        <v>401</v>
      </c>
      <c r="CF14" s="1" t="s">
        <v>402</v>
      </c>
      <c r="CG14" s="1">
        <v>51</v>
      </c>
      <c r="CH14" s="1">
        <v>3</v>
      </c>
      <c r="CI14" s="1" t="s">
        <v>24</v>
      </c>
      <c r="CJ14" s="1">
        <f t="shared" ref="CJ14:CJ16" si="10">CG14*CH14</f>
        <v>153</v>
      </c>
      <c r="CK14" s="1"/>
    </row>
    <row r="15" spans="1:89" x14ac:dyDescent="0.25">
      <c r="AB15" s="31"/>
      <c r="AC15" s="1"/>
      <c r="AD15" s="1"/>
      <c r="AE15" s="1"/>
      <c r="AF15" s="1"/>
      <c r="AG15" s="1"/>
      <c r="AH15" s="1"/>
      <c r="AI15" s="1"/>
      <c r="AK15" s="31"/>
      <c r="AL15" s="32" t="s">
        <v>73</v>
      </c>
      <c r="AM15" s="33"/>
      <c r="AN15" s="34"/>
      <c r="AO15" s="4"/>
      <c r="AP15" s="4"/>
      <c r="AQ15" s="14">
        <f>SUM(AQ11:AQ14)</f>
        <v>2385</v>
      </c>
      <c r="AR15" s="1"/>
      <c r="AU15" s="1" t="s">
        <v>102</v>
      </c>
      <c r="AV15" s="1"/>
      <c r="AW15" s="1">
        <v>125</v>
      </c>
      <c r="AX15" s="1">
        <v>12</v>
      </c>
      <c r="AY15" s="1" t="s">
        <v>53</v>
      </c>
      <c r="AZ15" s="1">
        <f>AW15*AX15</f>
        <v>1500</v>
      </c>
      <c r="BA15" s="2"/>
      <c r="BL15" s="31" t="s">
        <v>269</v>
      </c>
      <c r="BM15" s="1" t="s">
        <v>270</v>
      </c>
      <c r="BN15" s="1" t="s">
        <v>271</v>
      </c>
      <c r="BO15" s="1">
        <v>21</v>
      </c>
      <c r="BP15" s="1">
        <v>5</v>
      </c>
      <c r="BQ15" s="1" t="s">
        <v>24</v>
      </c>
      <c r="BR15" s="1">
        <f>BO15*BP15</f>
        <v>105</v>
      </c>
      <c r="BS15" s="1"/>
      <c r="BU15" s="2" t="s">
        <v>101</v>
      </c>
      <c r="BV15" s="2" t="s">
        <v>0</v>
      </c>
      <c r="BW15" s="2" t="s">
        <v>1</v>
      </c>
      <c r="BX15" s="2" t="s">
        <v>2</v>
      </c>
      <c r="BY15" s="2" t="s">
        <v>3</v>
      </c>
      <c r="BZ15" s="2"/>
      <c r="CA15" s="2" t="s">
        <v>4</v>
      </c>
      <c r="CB15" s="2" t="s">
        <v>5</v>
      </c>
      <c r="CD15" s="31"/>
      <c r="CE15" s="1" t="s">
        <v>403</v>
      </c>
      <c r="CF15" s="1" t="s">
        <v>345</v>
      </c>
      <c r="CG15" s="1">
        <v>126</v>
      </c>
      <c r="CH15" s="1">
        <v>8</v>
      </c>
      <c r="CI15" s="1" t="s">
        <v>67</v>
      </c>
      <c r="CJ15" s="1">
        <f t="shared" si="10"/>
        <v>1008</v>
      </c>
      <c r="CK15" s="1"/>
    </row>
    <row r="16" spans="1:89" x14ac:dyDescent="0.25">
      <c r="A16" s="1" t="s">
        <v>328</v>
      </c>
      <c r="B16" s="1" t="s">
        <v>41</v>
      </c>
      <c r="C16" s="1" t="s">
        <v>329</v>
      </c>
      <c r="D16" s="1" t="s">
        <v>330</v>
      </c>
      <c r="E16" s="1" t="s">
        <v>29</v>
      </c>
      <c r="F16" s="1"/>
      <c r="G16" s="1" t="s">
        <v>187</v>
      </c>
      <c r="H16" s="1" t="s">
        <v>188</v>
      </c>
      <c r="J16" s="1" t="s">
        <v>163</v>
      </c>
      <c r="K16" s="1" t="s">
        <v>275</v>
      </c>
      <c r="L16" s="1" t="s">
        <v>77</v>
      </c>
      <c r="M16" s="1" t="s">
        <v>164</v>
      </c>
      <c r="N16" s="1" t="s">
        <v>276</v>
      </c>
      <c r="O16" s="1"/>
      <c r="P16" s="1" t="s">
        <v>30</v>
      </c>
      <c r="Q16" s="1" t="s">
        <v>226</v>
      </c>
      <c r="S16" s="57" t="s">
        <v>74</v>
      </c>
      <c r="T16" s="57" t="s">
        <v>0</v>
      </c>
      <c r="U16" s="57" t="s">
        <v>1</v>
      </c>
      <c r="V16" s="57" t="s">
        <v>2</v>
      </c>
      <c r="W16" s="57" t="s">
        <v>3</v>
      </c>
      <c r="X16" s="57"/>
      <c r="Y16" s="57" t="s">
        <v>4</v>
      </c>
      <c r="Z16" s="57" t="s">
        <v>5</v>
      </c>
      <c r="AB16" s="31"/>
      <c r="AC16" s="32" t="s">
        <v>86</v>
      </c>
      <c r="AD16" s="33"/>
      <c r="AE16" s="34"/>
      <c r="AF16" s="4"/>
      <c r="AG16" s="4"/>
      <c r="AH16" s="14">
        <f>SUM(AH11:AH15)</f>
        <v>2560</v>
      </c>
      <c r="AI16" s="1"/>
      <c r="AU16" s="1" t="s">
        <v>114</v>
      </c>
      <c r="AV16" s="1"/>
      <c r="AW16" s="1">
        <v>235</v>
      </c>
      <c r="AX16" s="1">
        <v>2</v>
      </c>
      <c r="AY16" s="1" t="s">
        <v>115</v>
      </c>
      <c r="AZ16" s="1">
        <f>AW16*AX16</f>
        <v>470</v>
      </c>
      <c r="BA16" s="2"/>
      <c r="BC16" s="2" t="s">
        <v>90</v>
      </c>
      <c r="BD16" s="2" t="s">
        <v>0</v>
      </c>
      <c r="BE16" s="2" t="s">
        <v>1</v>
      </c>
      <c r="BF16" s="2" t="s">
        <v>2</v>
      </c>
      <c r="BG16" s="2" t="s">
        <v>3</v>
      </c>
      <c r="BH16" s="2"/>
      <c r="BI16" s="2" t="s">
        <v>4</v>
      </c>
      <c r="BJ16" s="2" t="s">
        <v>5</v>
      </c>
      <c r="BL16" s="31"/>
      <c r="BM16" s="1" t="s">
        <v>272</v>
      </c>
      <c r="BN16" s="1" t="s">
        <v>273</v>
      </c>
      <c r="BO16" s="1">
        <v>27</v>
      </c>
      <c r="BP16" s="1">
        <v>11.7</v>
      </c>
      <c r="BQ16" s="1" t="s">
        <v>83</v>
      </c>
      <c r="BR16" s="1">
        <f>BO16*BP16</f>
        <v>315.89999999999998</v>
      </c>
      <c r="BS16" s="1"/>
      <c r="BU16" s="31" t="s">
        <v>357</v>
      </c>
      <c r="BV16" s="2" t="s">
        <v>711</v>
      </c>
      <c r="BW16" s="2"/>
      <c r="BX16" s="2"/>
      <c r="BY16" s="2"/>
      <c r="BZ16" s="2"/>
      <c r="CA16" s="2"/>
      <c r="CB16" s="2"/>
      <c r="CD16" s="31"/>
      <c r="CE16" s="1" t="s">
        <v>404</v>
      </c>
      <c r="CF16" s="1"/>
      <c r="CG16" s="1">
        <v>42</v>
      </c>
      <c r="CH16" s="1">
        <v>25</v>
      </c>
      <c r="CI16" s="1" t="s">
        <v>67</v>
      </c>
      <c r="CJ16" s="1">
        <f t="shared" si="10"/>
        <v>1050</v>
      </c>
      <c r="CK16" s="1"/>
    </row>
    <row r="17" spans="1:89" x14ac:dyDescent="0.25">
      <c r="A17" s="31" t="s">
        <v>331</v>
      </c>
      <c r="B17" s="1" t="s">
        <v>331</v>
      </c>
      <c r="C17" s="1" t="s">
        <v>332</v>
      </c>
      <c r="D17" s="1">
        <v>24</v>
      </c>
      <c r="E17" s="1">
        <v>270</v>
      </c>
      <c r="F17" s="1" t="s">
        <v>333</v>
      </c>
      <c r="G17" s="1">
        <f>D17*E17</f>
        <v>6480</v>
      </c>
      <c r="H17" s="1"/>
      <c r="J17" s="31" t="s">
        <v>277</v>
      </c>
      <c r="K17" s="1" t="s">
        <v>278</v>
      </c>
      <c r="L17" s="1" t="s">
        <v>279</v>
      </c>
      <c r="M17" s="1">
        <v>150</v>
      </c>
      <c r="N17" s="1">
        <v>50</v>
      </c>
      <c r="O17" s="1" t="s">
        <v>83</v>
      </c>
      <c r="P17" s="1">
        <f>M17*N17</f>
        <v>7500</v>
      </c>
      <c r="Q17" s="1"/>
      <c r="S17" s="31" t="s">
        <v>945</v>
      </c>
      <c r="T17" s="57" t="s">
        <v>698</v>
      </c>
      <c r="U17" s="57">
        <v>150</v>
      </c>
      <c r="V17" s="57">
        <v>55</v>
      </c>
      <c r="W17" s="57">
        <v>150</v>
      </c>
      <c r="X17" s="57" t="s">
        <v>333</v>
      </c>
      <c r="Y17" s="58">
        <f>V17*W17</f>
        <v>8250</v>
      </c>
      <c r="Z17" s="57"/>
      <c r="AK17" s="1" t="s">
        <v>203</v>
      </c>
      <c r="AL17" s="1" t="s">
        <v>41</v>
      </c>
      <c r="AM17" s="1" t="s">
        <v>13</v>
      </c>
      <c r="AN17" s="1" t="s">
        <v>177</v>
      </c>
      <c r="AO17" s="1" t="s">
        <v>178</v>
      </c>
      <c r="AP17" s="1"/>
      <c r="AQ17" s="1" t="s">
        <v>44</v>
      </c>
      <c r="AR17" s="1" t="s">
        <v>69</v>
      </c>
      <c r="AU17" s="1" t="s">
        <v>116</v>
      </c>
      <c r="AV17" s="1"/>
      <c r="AW17" s="1">
        <v>670</v>
      </c>
      <c r="AX17" s="1">
        <v>1</v>
      </c>
      <c r="AY17" s="1" t="s">
        <v>117</v>
      </c>
      <c r="AZ17" s="1">
        <f>AW17*AX17</f>
        <v>670</v>
      </c>
      <c r="BA17" s="2"/>
      <c r="BC17" s="31" t="s">
        <v>757</v>
      </c>
      <c r="BD17" s="2" t="s">
        <v>757</v>
      </c>
      <c r="BE17" s="2">
        <v>700</v>
      </c>
      <c r="BF17" s="2">
        <v>140</v>
      </c>
      <c r="BG17" s="2">
        <v>20</v>
      </c>
      <c r="BH17" s="2" t="s">
        <v>53</v>
      </c>
      <c r="BI17" s="2">
        <f>BF17*BG17</f>
        <v>2800</v>
      </c>
      <c r="BJ17" s="2"/>
      <c r="BL17" s="31"/>
      <c r="BM17" s="1"/>
      <c r="BN17" s="1"/>
      <c r="BO17" s="1"/>
      <c r="BP17" s="1"/>
      <c r="BQ17" s="1"/>
      <c r="BR17" s="17">
        <f>SUM(BR15:BR16)</f>
        <v>420.9</v>
      </c>
      <c r="BS17" s="1"/>
      <c r="BU17" s="31"/>
      <c r="BV17" s="2" t="s">
        <v>714</v>
      </c>
      <c r="BW17" s="2"/>
      <c r="BX17" s="2"/>
      <c r="BY17" s="2"/>
      <c r="BZ17" s="2"/>
      <c r="CA17" s="2"/>
      <c r="CB17" s="2"/>
      <c r="CD17" s="31"/>
      <c r="CE17" s="32" t="s">
        <v>27</v>
      </c>
      <c r="CF17" s="33"/>
      <c r="CG17" s="34"/>
      <c r="CH17" s="4"/>
      <c r="CI17" s="4"/>
      <c r="CJ17" s="14">
        <f>SUM(CJ13:CJ16)</f>
        <v>4311</v>
      </c>
      <c r="CK17" s="1"/>
    </row>
    <row r="18" spans="1:89" x14ac:dyDescent="0.25">
      <c r="A18" s="31"/>
      <c r="B18" s="1"/>
      <c r="C18" s="1"/>
      <c r="D18" s="1"/>
      <c r="E18" s="1"/>
      <c r="F18" s="1"/>
      <c r="G18" s="1"/>
      <c r="H18" s="1"/>
      <c r="J18" s="31"/>
      <c r="K18" s="1" t="s">
        <v>280</v>
      </c>
      <c r="L18" s="1" t="s">
        <v>281</v>
      </c>
      <c r="M18" s="1">
        <v>70</v>
      </c>
      <c r="N18" s="1">
        <v>5</v>
      </c>
      <c r="O18" s="1" t="s">
        <v>149</v>
      </c>
      <c r="P18" s="1">
        <f t="shared" ref="P18:P19" si="11">M18*N18</f>
        <v>350</v>
      </c>
      <c r="Q18" s="1"/>
      <c r="S18" s="31"/>
      <c r="T18" s="57" t="s">
        <v>804</v>
      </c>
      <c r="U18" s="57">
        <v>20</v>
      </c>
      <c r="V18" s="57">
        <v>90</v>
      </c>
      <c r="W18" s="57">
        <v>2.34</v>
      </c>
      <c r="X18" s="57" t="s">
        <v>9</v>
      </c>
      <c r="Y18" s="58">
        <f>V18*W18</f>
        <v>210.6</v>
      </c>
      <c r="Z18" s="57"/>
      <c r="AB18" s="1" t="s">
        <v>87</v>
      </c>
      <c r="AC18" s="1" t="s">
        <v>41</v>
      </c>
      <c r="AD18" s="1" t="s">
        <v>13</v>
      </c>
      <c r="AE18" s="1" t="s">
        <v>42</v>
      </c>
      <c r="AF18" s="1" t="s">
        <v>186</v>
      </c>
      <c r="AG18" s="1"/>
      <c r="AH18" s="1" t="s">
        <v>187</v>
      </c>
      <c r="AI18" s="1" t="s">
        <v>188</v>
      </c>
      <c r="AK18" s="31" t="s">
        <v>179</v>
      </c>
      <c r="AL18" s="1" t="s">
        <v>180</v>
      </c>
      <c r="AM18" s="1" t="s">
        <v>181</v>
      </c>
      <c r="AN18" s="1">
        <v>85.5</v>
      </c>
      <c r="AO18" s="1">
        <v>2</v>
      </c>
      <c r="AP18" s="1" t="s">
        <v>24</v>
      </c>
      <c r="AQ18" s="1">
        <f>AN18*AO18</f>
        <v>171</v>
      </c>
      <c r="AR18" s="1"/>
      <c r="AU18" s="1" t="s">
        <v>118</v>
      </c>
      <c r="AV18" s="1"/>
      <c r="AW18" s="1">
        <v>250</v>
      </c>
      <c r="AX18" s="1">
        <v>1</v>
      </c>
      <c r="AY18" s="1" t="s">
        <v>119</v>
      </c>
      <c r="AZ18" s="1">
        <f>AW18*AX18</f>
        <v>250</v>
      </c>
      <c r="BA18" s="2"/>
      <c r="BC18" s="31"/>
      <c r="BD18" s="2"/>
      <c r="BE18" s="2"/>
      <c r="BF18" s="2"/>
      <c r="BG18" s="2"/>
      <c r="BH18" s="2"/>
      <c r="BI18" s="2"/>
      <c r="BJ18" s="2"/>
      <c r="BL18" s="31"/>
      <c r="BM18" s="32"/>
      <c r="BN18" s="33"/>
      <c r="BO18" s="34"/>
      <c r="BP18" s="4"/>
      <c r="BQ18" s="4"/>
      <c r="BR18" s="4"/>
      <c r="BS18" s="1"/>
      <c r="BU18" s="31"/>
      <c r="BV18" s="2"/>
      <c r="BW18" s="2"/>
      <c r="BX18" s="2"/>
      <c r="BY18" s="2"/>
      <c r="BZ18" s="2"/>
      <c r="CA18" s="2"/>
      <c r="CB18" s="2"/>
    </row>
    <row r="19" spans="1:89" x14ac:dyDescent="0.25">
      <c r="A19" s="31"/>
      <c r="B19" s="1"/>
      <c r="C19" s="1"/>
      <c r="D19" s="1"/>
      <c r="E19" s="1"/>
      <c r="F19" s="1"/>
      <c r="G19" s="1"/>
      <c r="H19" s="1"/>
      <c r="J19" s="31"/>
      <c r="K19" s="1" t="s">
        <v>155</v>
      </c>
      <c r="L19" s="1" t="s">
        <v>156</v>
      </c>
      <c r="M19" s="1">
        <v>30.6</v>
      </c>
      <c r="N19" s="1">
        <v>10</v>
      </c>
      <c r="O19" s="1" t="s">
        <v>83</v>
      </c>
      <c r="P19" s="1">
        <f t="shared" si="11"/>
        <v>306</v>
      </c>
      <c r="Q19" s="1"/>
      <c r="S19" s="31"/>
      <c r="T19" s="57"/>
      <c r="U19" s="57"/>
      <c r="V19" s="57"/>
      <c r="W19" s="57"/>
      <c r="X19" s="57"/>
      <c r="Y19" s="57"/>
      <c r="Z19" s="57"/>
      <c r="AB19" s="31" t="s">
        <v>189</v>
      </c>
      <c r="AC19" s="1" t="s">
        <v>190</v>
      </c>
      <c r="AD19" s="1" t="s">
        <v>191</v>
      </c>
      <c r="AE19" s="1">
        <v>26.52</v>
      </c>
      <c r="AF19" s="1">
        <v>8</v>
      </c>
      <c r="AG19" s="1" t="s">
        <v>192</v>
      </c>
      <c r="AH19" s="1">
        <f>AE19*AF19</f>
        <v>212.16</v>
      </c>
      <c r="AI19" s="1"/>
      <c r="AK19" s="31"/>
      <c r="AL19" s="1" t="s">
        <v>182</v>
      </c>
      <c r="AM19" s="1" t="s">
        <v>183</v>
      </c>
      <c r="AN19" s="1">
        <v>67.5</v>
      </c>
      <c r="AO19" s="1">
        <v>1</v>
      </c>
      <c r="AP19" s="1" t="s">
        <v>24</v>
      </c>
      <c r="AQ19" s="1">
        <f t="shared" ref="AQ19:AQ20" si="12">AN19*AO19</f>
        <v>67.5</v>
      </c>
      <c r="AR19" s="1"/>
      <c r="AU19" s="1" t="s">
        <v>120</v>
      </c>
      <c r="AV19" s="1"/>
      <c r="AW19" s="1">
        <v>480</v>
      </c>
      <c r="AX19" s="1">
        <v>1</v>
      </c>
      <c r="AY19" s="1" t="s">
        <v>119</v>
      </c>
      <c r="AZ19" s="1">
        <f>AW19*AX19</f>
        <v>480</v>
      </c>
      <c r="BA19" s="2"/>
      <c r="BC19" s="31"/>
      <c r="BD19" s="2"/>
      <c r="BE19" s="2"/>
      <c r="BF19" s="2"/>
      <c r="BG19" s="2"/>
      <c r="BH19" s="2"/>
      <c r="BI19" s="2"/>
      <c r="BJ19" s="2"/>
      <c r="BU19" s="31"/>
      <c r="BV19" s="32"/>
      <c r="BW19" s="33"/>
      <c r="BX19" s="34"/>
      <c r="BY19" s="6"/>
      <c r="BZ19" s="6"/>
      <c r="CA19" s="7">
        <f>SUM(CA16:CA18)</f>
        <v>0</v>
      </c>
      <c r="CB19" s="2"/>
      <c r="CD19" s="16" t="s">
        <v>145</v>
      </c>
      <c r="CE19" s="2" t="s">
        <v>0</v>
      </c>
      <c r="CF19" s="2" t="s">
        <v>1</v>
      </c>
      <c r="CG19" s="2" t="s">
        <v>2</v>
      </c>
      <c r="CH19" s="2" t="s">
        <v>3</v>
      </c>
      <c r="CI19" s="2"/>
      <c r="CJ19" s="2" t="s">
        <v>4</v>
      </c>
      <c r="CK19" s="2"/>
    </row>
    <row r="20" spans="1:89" x14ac:dyDescent="0.25">
      <c r="A20" s="31"/>
      <c r="B20" s="1"/>
      <c r="C20" s="1"/>
      <c r="D20" s="1"/>
      <c r="E20" s="4"/>
      <c r="F20" s="4"/>
      <c r="G20" s="4"/>
      <c r="H20" s="1"/>
      <c r="J20" s="31"/>
      <c r="K20" s="1"/>
      <c r="L20" s="1"/>
      <c r="M20" s="1"/>
      <c r="N20" s="4"/>
      <c r="O20" s="1" t="s">
        <v>83</v>
      </c>
      <c r="P20" s="4"/>
      <c r="Q20" s="1"/>
      <c r="S20" s="31"/>
      <c r="T20" s="70"/>
      <c r="U20" s="57"/>
      <c r="V20" s="57"/>
      <c r="W20" s="59"/>
      <c r="X20" s="59"/>
      <c r="Y20" s="59"/>
      <c r="Z20" s="57"/>
      <c r="AB20" s="31"/>
      <c r="AC20" s="1" t="s">
        <v>193</v>
      </c>
      <c r="AD20" s="1" t="s">
        <v>194</v>
      </c>
      <c r="AE20" s="1">
        <v>50</v>
      </c>
      <c r="AF20" s="1">
        <v>30</v>
      </c>
      <c r="AG20" s="1" t="s">
        <v>192</v>
      </c>
      <c r="AH20" s="1">
        <f t="shared" ref="AH20:AH23" si="13">AE20*AF20</f>
        <v>1500</v>
      </c>
      <c r="AI20" s="1"/>
      <c r="AK20" s="31"/>
      <c r="AL20" s="1" t="s">
        <v>184</v>
      </c>
      <c r="AM20" s="1" t="s">
        <v>185</v>
      </c>
      <c r="AN20" s="1">
        <v>49.02</v>
      </c>
      <c r="AO20" s="1">
        <v>45</v>
      </c>
      <c r="AP20" s="1" t="s">
        <v>24</v>
      </c>
      <c r="AQ20" s="3">
        <f t="shared" si="12"/>
        <v>2205.9</v>
      </c>
      <c r="AR20" s="1"/>
      <c r="AU20" s="1" t="s">
        <v>121</v>
      </c>
      <c r="AV20" s="1"/>
      <c r="AW20" s="1">
        <v>78</v>
      </c>
      <c r="AX20" s="1">
        <v>5.34</v>
      </c>
      <c r="AY20" s="4" t="s">
        <v>24</v>
      </c>
      <c r="AZ20" s="1">
        <f>AW20*AX20</f>
        <v>416.52</v>
      </c>
      <c r="BA20" s="2"/>
      <c r="BC20" s="31"/>
      <c r="BD20" s="2"/>
      <c r="BE20" s="2"/>
      <c r="BF20" s="2"/>
      <c r="BG20" s="6"/>
      <c r="BH20" s="6"/>
      <c r="BI20" s="2"/>
      <c r="BJ20" s="2"/>
      <c r="BL20" s="1" t="s">
        <v>318</v>
      </c>
      <c r="BM20" s="1" t="s">
        <v>12</v>
      </c>
      <c r="BN20" s="1" t="s">
        <v>77</v>
      </c>
      <c r="BO20" s="1" t="s">
        <v>164</v>
      </c>
      <c r="BP20" s="1" t="s">
        <v>29</v>
      </c>
      <c r="BQ20" s="1"/>
      <c r="BR20" s="1" t="s">
        <v>30</v>
      </c>
      <c r="BS20" s="1" t="s">
        <v>226</v>
      </c>
      <c r="CD20" s="31" t="s">
        <v>618</v>
      </c>
      <c r="CE20" s="2" t="s">
        <v>619</v>
      </c>
      <c r="CF20" s="2" t="s">
        <v>143</v>
      </c>
      <c r="CG20" s="2">
        <v>420</v>
      </c>
      <c r="CH20" s="2">
        <v>1</v>
      </c>
      <c r="CI20" s="2" t="s">
        <v>55</v>
      </c>
      <c r="CJ20" s="2">
        <f>CG20*CH20</f>
        <v>420</v>
      </c>
      <c r="CK20" s="2"/>
    </row>
    <row r="21" spans="1:89" x14ac:dyDescent="0.25">
      <c r="A21" s="31"/>
      <c r="B21" s="32" t="s">
        <v>27</v>
      </c>
      <c r="C21" s="33"/>
      <c r="D21" s="34"/>
      <c r="E21" s="4"/>
      <c r="F21" s="4"/>
      <c r="G21" s="14">
        <f>SUM(G17:G20)</f>
        <v>6480</v>
      </c>
      <c r="H21" s="1"/>
      <c r="J21" s="31"/>
      <c r="K21" s="32" t="s">
        <v>86</v>
      </c>
      <c r="L21" s="33"/>
      <c r="M21" s="34"/>
      <c r="N21" s="4"/>
      <c r="O21" s="4"/>
      <c r="P21" s="14">
        <f>SUM(P17:P20)</f>
        <v>8156</v>
      </c>
      <c r="Q21" s="1"/>
      <c r="S21" s="31"/>
      <c r="T21" s="32" t="s">
        <v>10</v>
      </c>
      <c r="U21" s="33"/>
      <c r="V21" s="34"/>
      <c r="W21" s="59"/>
      <c r="X21" s="59"/>
      <c r="Y21" s="65">
        <f>SUM(Y17:Y20)</f>
        <v>8460.6</v>
      </c>
      <c r="Z21" s="57"/>
      <c r="AB21" s="31"/>
      <c r="AC21" s="1" t="s">
        <v>195</v>
      </c>
      <c r="AD21" s="1" t="s">
        <v>196</v>
      </c>
      <c r="AE21" s="1">
        <v>85</v>
      </c>
      <c r="AF21" s="1">
        <v>4</v>
      </c>
      <c r="AG21" s="1" t="s">
        <v>192</v>
      </c>
      <c r="AH21" s="1">
        <f t="shared" si="13"/>
        <v>340</v>
      </c>
      <c r="AI21" s="1"/>
      <c r="AK21" s="31"/>
      <c r="AL21" s="1"/>
      <c r="AM21" s="1"/>
      <c r="AN21" s="1"/>
      <c r="AO21" s="1"/>
      <c r="AP21" s="1"/>
      <c r="AQ21" s="1"/>
      <c r="AR21" s="1"/>
      <c r="AU21" s="1" t="s">
        <v>122</v>
      </c>
      <c r="AV21" s="1"/>
      <c r="AW21" s="1">
        <v>37</v>
      </c>
      <c r="AX21" s="1">
        <v>20</v>
      </c>
      <c r="AY21" s="4" t="s">
        <v>123</v>
      </c>
      <c r="AZ21" s="1">
        <f>AW21*AX21</f>
        <v>740</v>
      </c>
      <c r="BA21" s="2"/>
      <c r="BC21" s="31"/>
      <c r="BD21" s="32" t="s">
        <v>10</v>
      </c>
      <c r="BE21" s="33"/>
      <c r="BF21" s="34"/>
      <c r="BG21" s="6"/>
      <c r="BH21" s="6"/>
      <c r="BI21" s="14">
        <f>SUM(BI17:BI20)</f>
        <v>2800</v>
      </c>
      <c r="BJ21" s="2"/>
      <c r="BL21" s="31" t="s">
        <v>319</v>
      </c>
      <c r="BM21" s="1" t="s">
        <v>320</v>
      </c>
      <c r="BN21" s="1" t="s">
        <v>321</v>
      </c>
      <c r="BO21" s="1">
        <v>175</v>
      </c>
      <c r="BP21" s="1">
        <v>1</v>
      </c>
      <c r="BQ21" s="1" t="s">
        <v>221</v>
      </c>
      <c r="BR21" s="1">
        <f>BO21*BP21</f>
        <v>175</v>
      </c>
      <c r="BS21" s="1"/>
      <c r="BU21" s="2" t="s">
        <v>101</v>
      </c>
      <c r="BV21" s="2" t="s">
        <v>0</v>
      </c>
      <c r="BW21" s="2" t="s">
        <v>1</v>
      </c>
      <c r="BX21" s="2" t="s">
        <v>2</v>
      </c>
      <c r="BY21" s="2" t="s">
        <v>3</v>
      </c>
      <c r="BZ21" s="2"/>
      <c r="CA21" s="2" t="s">
        <v>4</v>
      </c>
      <c r="CB21" s="2" t="s">
        <v>5</v>
      </c>
      <c r="CD21" s="31"/>
      <c r="CE21" s="2" t="s">
        <v>94</v>
      </c>
      <c r="CF21" s="2" t="s">
        <v>156</v>
      </c>
      <c r="CG21" s="2">
        <v>58.5</v>
      </c>
      <c r="CH21" s="2">
        <v>10</v>
      </c>
      <c r="CI21" s="2" t="s">
        <v>9</v>
      </c>
      <c r="CJ21" s="2">
        <f t="shared" ref="CJ21:CJ24" si="14">CG21*CH21</f>
        <v>585</v>
      </c>
      <c r="CK21" s="2"/>
    </row>
    <row r="22" spans="1:89" x14ac:dyDescent="0.25">
      <c r="AB22" s="31"/>
      <c r="AC22" s="1" t="s">
        <v>197</v>
      </c>
      <c r="AD22" s="1" t="s">
        <v>198</v>
      </c>
      <c r="AE22" s="1">
        <v>14.4</v>
      </c>
      <c r="AF22" s="4">
        <v>2</v>
      </c>
      <c r="AG22" s="1" t="s">
        <v>192</v>
      </c>
      <c r="AH22" s="1">
        <f t="shared" si="13"/>
        <v>28.8</v>
      </c>
      <c r="AI22" s="1"/>
      <c r="AK22" s="31"/>
      <c r="AL22" s="1"/>
      <c r="AM22" s="1"/>
      <c r="AN22" s="1"/>
      <c r="AO22" s="1"/>
      <c r="AP22" s="1"/>
      <c r="AQ22" s="1"/>
      <c r="AR22" s="1"/>
      <c r="AU22" s="1" t="s">
        <v>124</v>
      </c>
      <c r="AV22" s="1"/>
      <c r="AW22" s="1">
        <v>60</v>
      </c>
      <c r="AX22" s="1">
        <v>1</v>
      </c>
      <c r="AY22" s="4" t="s">
        <v>53</v>
      </c>
      <c r="AZ22" s="1">
        <f>AW22*AX22</f>
        <v>60</v>
      </c>
      <c r="BA22" s="2"/>
      <c r="BL22" s="31"/>
      <c r="BM22" s="1" t="s">
        <v>322</v>
      </c>
      <c r="BN22" s="1" t="s">
        <v>323</v>
      </c>
      <c r="BO22" s="1">
        <v>150</v>
      </c>
      <c r="BP22" s="1">
        <v>3</v>
      </c>
      <c r="BQ22" s="1" t="s">
        <v>324</v>
      </c>
      <c r="BR22" s="1">
        <f>BO22*BP22</f>
        <v>450</v>
      </c>
      <c r="BS22" s="1"/>
      <c r="BU22" s="31" t="s">
        <v>61</v>
      </c>
      <c r="BV22" s="2" t="s">
        <v>712</v>
      </c>
      <c r="BW22" s="2"/>
      <c r="BX22" s="2"/>
      <c r="BY22" s="2"/>
      <c r="BZ22" s="2"/>
      <c r="CA22" s="2"/>
      <c r="CB22" s="2"/>
      <c r="CD22" s="31"/>
      <c r="CE22" s="2" t="s">
        <v>58</v>
      </c>
      <c r="CF22" s="2" t="s">
        <v>80</v>
      </c>
      <c r="CG22" s="2">
        <v>93</v>
      </c>
      <c r="CH22" s="2">
        <v>30</v>
      </c>
      <c r="CI22" s="2" t="s">
        <v>9</v>
      </c>
      <c r="CJ22" s="2">
        <f t="shared" si="14"/>
        <v>2790</v>
      </c>
      <c r="CK22" s="2"/>
    </row>
    <row r="23" spans="1:89" x14ac:dyDescent="0.25">
      <c r="A23" s="1" t="s">
        <v>163</v>
      </c>
      <c r="B23" s="1" t="s">
        <v>12</v>
      </c>
      <c r="C23" s="1" t="s">
        <v>13</v>
      </c>
      <c r="D23" s="1" t="s">
        <v>410</v>
      </c>
      <c r="E23" s="1" t="s">
        <v>29</v>
      </c>
      <c r="F23" s="1"/>
      <c r="G23" s="1" t="s">
        <v>44</v>
      </c>
      <c r="H23" s="1" t="s">
        <v>69</v>
      </c>
      <c r="J23" s="1" t="s">
        <v>103</v>
      </c>
      <c r="K23" s="1" t="s">
        <v>41</v>
      </c>
      <c r="L23" s="1" t="s">
        <v>13</v>
      </c>
      <c r="M23" s="1" t="s">
        <v>42</v>
      </c>
      <c r="N23" s="1" t="s">
        <v>29</v>
      </c>
      <c r="O23" s="1"/>
      <c r="P23" s="1" t="s">
        <v>358</v>
      </c>
      <c r="Q23" s="1" t="s">
        <v>69</v>
      </c>
      <c r="S23" s="2" t="s">
        <v>74</v>
      </c>
      <c r="T23" s="2" t="s">
        <v>0</v>
      </c>
      <c r="U23" s="2" t="s">
        <v>1</v>
      </c>
      <c r="V23" s="2" t="s">
        <v>2</v>
      </c>
      <c r="W23" s="2" t="s">
        <v>3</v>
      </c>
      <c r="X23" s="2"/>
      <c r="Y23" s="2" t="s">
        <v>4</v>
      </c>
      <c r="Z23" s="2" t="s">
        <v>5</v>
      </c>
      <c r="AB23" s="31"/>
      <c r="AC23" s="1" t="s">
        <v>199</v>
      </c>
      <c r="AD23" s="1" t="s">
        <v>200</v>
      </c>
      <c r="AE23" s="1">
        <v>30.6</v>
      </c>
      <c r="AF23" s="4">
        <v>7</v>
      </c>
      <c r="AG23" s="1" t="s">
        <v>24</v>
      </c>
      <c r="AH23" s="1">
        <f t="shared" si="13"/>
        <v>214.20000000000002</v>
      </c>
      <c r="AI23" s="1"/>
      <c r="AK23" s="31"/>
      <c r="AL23" s="32" t="s">
        <v>73</v>
      </c>
      <c r="AM23" s="33"/>
      <c r="AN23" s="34"/>
      <c r="AO23" s="4"/>
      <c r="AP23" s="4"/>
      <c r="AQ23" s="7">
        <f>SUM(AQ18:AQ22)</f>
        <v>2444.4</v>
      </c>
      <c r="AR23" s="1"/>
      <c r="AU23" s="1" t="s">
        <v>125</v>
      </c>
      <c r="AV23" s="1"/>
      <c r="AW23" s="1">
        <v>75</v>
      </c>
      <c r="AX23" s="1">
        <v>1</v>
      </c>
      <c r="AY23" s="4" t="s">
        <v>126</v>
      </c>
      <c r="AZ23" s="1">
        <f>AW23*AX23</f>
        <v>75</v>
      </c>
      <c r="BA23" s="2"/>
      <c r="BL23" s="31"/>
      <c r="BM23" s="1"/>
      <c r="BN23" s="1"/>
      <c r="BO23" s="1"/>
      <c r="BP23" s="1"/>
      <c r="BQ23" s="1"/>
      <c r="BR23" s="1"/>
      <c r="BS23" s="1"/>
      <c r="BU23" s="31"/>
      <c r="BV23" s="2" t="s">
        <v>713</v>
      </c>
      <c r="BW23" s="2"/>
      <c r="BX23" s="2"/>
      <c r="BY23" s="2"/>
      <c r="BZ23" s="2"/>
      <c r="CA23" s="2"/>
      <c r="CB23" s="2"/>
      <c r="CD23" s="31"/>
      <c r="CE23" s="2" t="s">
        <v>25</v>
      </c>
      <c r="CF23" s="2" t="s">
        <v>156</v>
      </c>
      <c r="CG23" s="2">
        <v>30.6</v>
      </c>
      <c r="CH23" s="2">
        <v>10</v>
      </c>
      <c r="CI23" s="2" t="s">
        <v>9</v>
      </c>
      <c r="CJ23" s="2">
        <f t="shared" si="14"/>
        <v>306</v>
      </c>
      <c r="CK23" s="2"/>
    </row>
    <row r="24" spans="1:89" x14ac:dyDescent="0.25">
      <c r="A24" s="31" t="s">
        <v>425</v>
      </c>
      <c r="B24" s="1" t="s">
        <v>426</v>
      </c>
      <c r="C24" s="1" t="s">
        <v>427</v>
      </c>
      <c r="D24" s="1">
        <v>66</v>
      </c>
      <c r="E24" s="1">
        <v>60.87</v>
      </c>
      <c r="F24" s="1" t="s">
        <v>24</v>
      </c>
      <c r="G24" s="3">
        <f>D24*E24</f>
        <v>4017.4199999999996</v>
      </c>
      <c r="H24" s="1"/>
      <c r="J24" s="31" t="s">
        <v>359</v>
      </c>
      <c r="K24" s="1" t="s">
        <v>360</v>
      </c>
      <c r="L24" s="1" t="s">
        <v>361</v>
      </c>
      <c r="M24" s="1">
        <v>168</v>
      </c>
      <c r="N24" s="18">
        <v>52.34</v>
      </c>
      <c r="O24" s="1" t="s">
        <v>24</v>
      </c>
      <c r="P24" s="18">
        <f>M24*N24</f>
        <v>8793.1200000000008</v>
      </c>
      <c r="Q24" s="1"/>
      <c r="S24" s="47" t="s">
        <v>726</v>
      </c>
      <c r="T24" s="2" t="s">
        <v>724</v>
      </c>
      <c r="U24" s="2" t="s">
        <v>377</v>
      </c>
      <c r="V24" s="2">
        <v>120</v>
      </c>
      <c r="W24" s="2">
        <v>70</v>
      </c>
      <c r="X24" s="2" t="s">
        <v>50</v>
      </c>
      <c r="Y24" s="3">
        <f>V24*W24</f>
        <v>8400</v>
      </c>
      <c r="Z24" s="2"/>
      <c r="AB24" s="31"/>
      <c r="AC24" s="32" t="s">
        <v>201</v>
      </c>
      <c r="AD24" s="33"/>
      <c r="AE24" s="34"/>
      <c r="AF24" s="4"/>
      <c r="AG24" s="4"/>
      <c r="AH24" s="7">
        <f>SUM(AH19:AH23)</f>
        <v>2295.16</v>
      </c>
      <c r="AI24" s="1"/>
      <c r="AU24" s="1" t="s">
        <v>127</v>
      </c>
      <c r="AV24" s="1"/>
      <c r="AW24" s="1">
        <v>339</v>
      </c>
      <c r="AX24" s="1">
        <v>2</v>
      </c>
      <c r="AY24" s="4" t="s">
        <v>119</v>
      </c>
      <c r="AZ24" s="1">
        <f>AW24*AX24</f>
        <v>678</v>
      </c>
      <c r="BA24" s="2"/>
      <c r="BC24" s="2" t="s">
        <v>90</v>
      </c>
      <c r="BD24" s="2" t="s">
        <v>0</v>
      </c>
      <c r="BE24" s="2" t="s">
        <v>1</v>
      </c>
      <c r="BF24" s="2" t="s">
        <v>2</v>
      </c>
      <c r="BG24" s="2" t="s">
        <v>3</v>
      </c>
      <c r="BH24" s="2"/>
      <c r="BI24" s="2" t="s">
        <v>4</v>
      </c>
      <c r="BJ24" s="2" t="s">
        <v>5</v>
      </c>
      <c r="BL24" s="31"/>
      <c r="BM24" s="31"/>
      <c r="BN24" s="31"/>
      <c r="BO24" s="31"/>
      <c r="BP24" s="1"/>
      <c r="BQ24" s="1"/>
      <c r="BR24" s="17">
        <f>SUM(BR21:BR23)</f>
        <v>625</v>
      </c>
      <c r="BS24" s="1"/>
      <c r="BU24" s="31"/>
      <c r="BV24" s="2"/>
      <c r="BW24" s="2"/>
      <c r="BX24" s="2"/>
      <c r="BY24" s="2"/>
      <c r="BZ24" s="2"/>
      <c r="CA24" s="2"/>
      <c r="CB24" s="2"/>
      <c r="CD24" s="31"/>
      <c r="CE24" s="2" t="s">
        <v>620</v>
      </c>
      <c r="CF24" s="2"/>
      <c r="CG24" s="2">
        <v>45</v>
      </c>
      <c r="CH24" s="6">
        <v>10</v>
      </c>
      <c r="CI24" s="6" t="s">
        <v>53</v>
      </c>
      <c r="CJ24" s="2">
        <f t="shared" si="14"/>
        <v>450</v>
      </c>
      <c r="CK24" s="2"/>
    </row>
    <row r="25" spans="1:89" x14ac:dyDescent="0.25">
      <c r="A25" s="31"/>
      <c r="B25" s="1"/>
      <c r="C25" s="1"/>
      <c r="D25" s="1"/>
      <c r="E25" s="1"/>
      <c r="F25" s="1"/>
      <c r="G25" s="1"/>
      <c r="H25" s="1"/>
      <c r="J25" s="31"/>
      <c r="K25" s="1"/>
      <c r="L25" s="1"/>
      <c r="M25" s="1"/>
      <c r="N25" s="1"/>
      <c r="O25" s="1"/>
      <c r="P25" s="1"/>
      <c r="Q25" s="1"/>
      <c r="S25" s="47"/>
      <c r="T25" s="2" t="s">
        <v>725</v>
      </c>
      <c r="U25" s="2" t="s">
        <v>281</v>
      </c>
      <c r="V25" s="2">
        <v>85</v>
      </c>
      <c r="W25" s="2">
        <v>4</v>
      </c>
      <c r="X25" s="2" t="s">
        <v>53</v>
      </c>
      <c r="Y25" s="3">
        <f>V25*W25</f>
        <v>340</v>
      </c>
      <c r="Z25" s="2"/>
      <c r="AK25" s="1" t="s">
        <v>258</v>
      </c>
      <c r="AL25" s="1" t="s">
        <v>41</v>
      </c>
      <c r="AM25" s="1" t="s">
        <v>13</v>
      </c>
      <c r="AN25" s="1" t="s">
        <v>42</v>
      </c>
      <c r="AO25" s="1" t="s">
        <v>29</v>
      </c>
      <c r="AP25" s="1"/>
      <c r="AQ25" s="1" t="s">
        <v>44</v>
      </c>
      <c r="AR25" s="1" t="s">
        <v>69</v>
      </c>
      <c r="AU25" s="1" t="s">
        <v>128</v>
      </c>
      <c r="AV25" s="1"/>
      <c r="AW25" s="1">
        <v>291</v>
      </c>
      <c r="AX25" s="1">
        <v>2</v>
      </c>
      <c r="AY25" s="4" t="s">
        <v>129</v>
      </c>
      <c r="AZ25" s="1">
        <f>AW25*AX25</f>
        <v>582</v>
      </c>
      <c r="BA25" s="2"/>
      <c r="BC25" s="31" t="s">
        <v>792</v>
      </c>
      <c r="BD25" s="6" t="s">
        <v>607</v>
      </c>
      <c r="BE25" s="2">
        <v>2</v>
      </c>
      <c r="BF25" s="2">
        <v>270</v>
      </c>
      <c r="BG25" s="2">
        <v>2</v>
      </c>
      <c r="BH25" s="2" t="s">
        <v>123</v>
      </c>
      <c r="BI25" s="2">
        <f>BF25*BG25</f>
        <v>540</v>
      </c>
      <c r="BJ25" s="2"/>
      <c r="BL25" s="10"/>
      <c r="BM25" s="10"/>
      <c r="BN25" s="10"/>
      <c r="BO25" s="10"/>
      <c r="BP25" s="10"/>
      <c r="BQ25" s="10"/>
      <c r="BR25" s="21"/>
      <c r="BS25" s="10"/>
      <c r="BU25" s="31"/>
      <c r="BV25" s="32"/>
      <c r="BW25" s="33"/>
      <c r="BX25" s="34"/>
      <c r="BY25" s="6"/>
      <c r="BZ25" s="6"/>
      <c r="CA25" s="7"/>
      <c r="CB25" s="2"/>
      <c r="CD25" s="31"/>
      <c r="CE25" s="32" t="s">
        <v>10</v>
      </c>
      <c r="CF25" s="33"/>
      <c r="CG25" s="34"/>
      <c r="CH25" s="6"/>
      <c r="CI25" s="6"/>
      <c r="CJ25" s="14">
        <f>SUM(CJ20:CJ24)</f>
        <v>4551</v>
      </c>
      <c r="CK25" s="2"/>
    </row>
    <row r="26" spans="1:89" x14ac:dyDescent="0.25">
      <c r="A26" s="31"/>
      <c r="B26" s="1"/>
      <c r="C26" s="1"/>
      <c r="D26" s="1"/>
      <c r="E26" s="1"/>
      <c r="F26" s="1"/>
      <c r="G26" s="1"/>
      <c r="H26" s="1"/>
      <c r="J26" s="31"/>
      <c r="K26" s="1"/>
      <c r="L26" s="1"/>
      <c r="M26" s="1"/>
      <c r="N26" s="1"/>
      <c r="O26" s="1"/>
      <c r="P26" s="1"/>
      <c r="Q26" s="1"/>
      <c r="S26" s="47"/>
      <c r="T26" s="2"/>
      <c r="U26" s="2"/>
      <c r="V26" s="2"/>
      <c r="W26" s="2"/>
      <c r="X26" s="2"/>
      <c r="Y26" s="2"/>
      <c r="Z26" s="2"/>
      <c r="AB26" s="1" t="s">
        <v>238</v>
      </c>
      <c r="AC26" s="1" t="s">
        <v>239</v>
      </c>
      <c r="AD26" s="1" t="s">
        <v>240</v>
      </c>
      <c r="AE26" s="1" t="s">
        <v>42</v>
      </c>
      <c r="AF26" s="1" t="s">
        <v>241</v>
      </c>
      <c r="AG26" s="1"/>
      <c r="AH26" s="1" t="s">
        <v>242</v>
      </c>
      <c r="AI26" s="1" t="s">
        <v>243</v>
      </c>
      <c r="AK26" s="31" t="s">
        <v>259</v>
      </c>
      <c r="AL26" s="1" t="s">
        <v>260</v>
      </c>
      <c r="AM26" s="1" t="s">
        <v>261</v>
      </c>
      <c r="AN26" s="1">
        <v>93</v>
      </c>
      <c r="AO26" s="1">
        <v>10</v>
      </c>
      <c r="AP26" s="1" t="s">
        <v>24</v>
      </c>
      <c r="AQ26" s="1">
        <f>AN26*AO26</f>
        <v>930</v>
      </c>
      <c r="AR26" s="1"/>
      <c r="AU26" s="1" t="s">
        <v>130</v>
      </c>
      <c r="AV26" s="1"/>
      <c r="AW26" s="1">
        <v>225</v>
      </c>
      <c r="AX26" s="1">
        <v>1</v>
      </c>
      <c r="AY26" s="1" t="s">
        <v>117</v>
      </c>
      <c r="AZ26" s="1">
        <f>AW26*AX26</f>
        <v>225</v>
      </c>
      <c r="BA26" s="2"/>
      <c r="BC26" s="31"/>
      <c r="BD26" s="6" t="s">
        <v>563</v>
      </c>
      <c r="BE26" s="2">
        <v>10</v>
      </c>
      <c r="BF26" s="2">
        <v>120</v>
      </c>
      <c r="BG26" s="2">
        <v>10</v>
      </c>
      <c r="BH26" s="2" t="s">
        <v>123</v>
      </c>
      <c r="BI26" s="2">
        <f t="shared" ref="BI26:BI30" si="15">BF26*BG26</f>
        <v>1200</v>
      </c>
      <c r="BJ26" s="2"/>
      <c r="BL26" s="1" t="s">
        <v>318</v>
      </c>
      <c r="BM26" s="1" t="s">
        <v>12</v>
      </c>
      <c r="BN26" s="1" t="s">
        <v>77</v>
      </c>
      <c r="BO26" s="1" t="s">
        <v>164</v>
      </c>
      <c r="BP26" s="1" t="s">
        <v>29</v>
      </c>
      <c r="BQ26" s="1"/>
      <c r="BR26" s="1" t="s">
        <v>30</v>
      </c>
      <c r="BS26" s="1" t="s">
        <v>226</v>
      </c>
    </row>
    <row r="27" spans="1:89" x14ac:dyDescent="0.25">
      <c r="A27" s="31"/>
      <c r="B27" s="1"/>
      <c r="C27" s="1"/>
      <c r="D27" s="1"/>
      <c r="E27" s="4"/>
      <c r="F27" s="4"/>
      <c r="G27" s="4"/>
      <c r="H27" s="1"/>
      <c r="J27" s="31"/>
      <c r="K27" s="1"/>
      <c r="L27" s="1"/>
      <c r="M27" s="1"/>
      <c r="N27" s="4"/>
      <c r="O27" s="4"/>
      <c r="P27" s="4"/>
      <c r="Q27" s="1"/>
      <c r="S27" s="47"/>
      <c r="T27" s="2"/>
      <c r="U27" s="2"/>
      <c r="V27" s="2"/>
      <c r="W27" s="6"/>
      <c r="X27" s="6"/>
      <c r="Y27" s="6"/>
      <c r="Z27" s="2"/>
      <c r="AB27" s="31" t="s">
        <v>244</v>
      </c>
      <c r="AC27" s="1" t="s">
        <v>245</v>
      </c>
      <c r="AD27" s="1" t="s">
        <v>246</v>
      </c>
      <c r="AE27" s="1">
        <v>60</v>
      </c>
      <c r="AF27" s="1">
        <v>22.17</v>
      </c>
      <c r="AG27" s="1" t="s">
        <v>24</v>
      </c>
      <c r="AH27" s="1">
        <f>AE27*AF27</f>
        <v>1330.2</v>
      </c>
      <c r="AI27" s="1"/>
      <c r="AK27" s="31"/>
      <c r="AL27" s="1" t="s">
        <v>262</v>
      </c>
      <c r="AM27" s="1" t="s">
        <v>263</v>
      </c>
      <c r="AN27" s="1">
        <v>93</v>
      </c>
      <c r="AO27" s="1">
        <v>10</v>
      </c>
      <c r="AP27" s="1" t="s">
        <v>24</v>
      </c>
      <c r="AQ27" s="1">
        <f t="shared" ref="AQ27:AQ29" si="16">AN27*AO27</f>
        <v>930</v>
      </c>
      <c r="AR27" s="1"/>
      <c r="AU27" s="1" t="s">
        <v>204</v>
      </c>
      <c r="AV27" s="1"/>
      <c r="AW27" s="1">
        <v>55</v>
      </c>
      <c r="AX27" s="1">
        <v>20</v>
      </c>
      <c r="AY27" s="1" t="s">
        <v>205</v>
      </c>
      <c r="AZ27" s="1">
        <f>AW27*AX27</f>
        <v>1100</v>
      </c>
      <c r="BA27" s="28"/>
      <c r="BC27" s="31"/>
      <c r="BD27" s="6" t="s">
        <v>793</v>
      </c>
      <c r="BE27" s="2">
        <v>5</v>
      </c>
      <c r="BF27" s="2">
        <v>100</v>
      </c>
      <c r="BG27" s="2">
        <v>5</v>
      </c>
      <c r="BH27" s="2" t="s">
        <v>46</v>
      </c>
      <c r="BI27" s="2">
        <f t="shared" si="15"/>
        <v>500</v>
      </c>
      <c r="BJ27" s="2"/>
      <c r="BL27" s="31" t="s">
        <v>396</v>
      </c>
      <c r="BM27" s="1" t="s">
        <v>397</v>
      </c>
      <c r="BN27" s="1" t="s">
        <v>271</v>
      </c>
      <c r="BO27" s="1">
        <v>215</v>
      </c>
      <c r="BP27" s="1">
        <v>6</v>
      </c>
      <c r="BQ27" s="1" t="s">
        <v>53</v>
      </c>
      <c r="BR27" s="1">
        <f>BO27*BP27</f>
        <v>1290</v>
      </c>
      <c r="BS27" s="1"/>
      <c r="BU27" s="2" t="s">
        <v>101</v>
      </c>
      <c r="BV27" s="2" t="s">
        <v>0</v>
      </c>
      <c r="BW27" s="2" t="s">
        <v>1</v>
      </c>
      <c r="BX27" s="2" t="s">
        <v>2</v>
      </c>
      <c r="BY27" s="2" t="s">
        <v>3</v>
      </c>
      <c r="BZ27" s="2"/>
      <c r="CA27" s="2" t="s">
        <v>4</v>
      </c>
      <c r="CB27" s="2" t="s">
        <v>5</v>
      </c>
      <c r="CD27" s="16" t="s">
        <v>145</v>
      </c>
      <c r="CE27" s="2" t="s">
        <v>0</v>
      </c>
      <c r="CF27" s="2" t="s">
        <v>1</v>
      </c>
      <c r="CG27" s="2" t="s">
        <v>2</v>
      </c>
      <c r="CH27" s="2" t="s">
        <v>3</v>
      </c>
      <c r="CI27" s="2"/>
      <c r="CJ27" s="2" t="s">
        <v>4</v>
      </c>
      <c r="CK27" s="2"/>
    </row>
    <row r="28" spans="1:89" x14ac:dyDescent="0.25">
      <c r="A28" s="31"/>
      <c r="B28" s="32" t="s">
        <v>86</v>
      </c>
      <c r="C28" s="33"/>
      <c r="D28" s="34"/>
      <c r="E28" s="4"/>
      <c r="F28" s="4"/>
      <c r="G28" s="7">
        <f>SUM(G24:G27)</f>
        <v>4017.4199999999996</v>
      </c>
      <c r="H28" s="1"/>
      <c r="J28" s="31"/>
      <c r="K28" s="32" t="s">
        <v>362</v>
      </c>
      <c r="L28" s="33"/>
      <c r="M28" s="34"/>
      <c r="N28" s="4"/>
      <c r="O28" s="4"/>
      <c r="P28" s="7">
        <f>SUM(P24:P27)</f>
        <v>8793.1200000000008</v>
      </c>
      <c r="Q28" s="1"/>
      <c r="S28" s="47"/>
      <c r="T28" s="32" t="s">
        <v>10</v>
      </c>
      <c r="U28" s="33"/>
      <c r="V28" s="34"/>
      <c r="W28" s="6"/>
      <c r="X28" s="6"/>
      <c r="Y28" s="7">
        <f>SUM(Y24:Y27)</f>
        <v>8740</v>
      </c>
      <c r="Z28" s="2"/>
      <c r="AB28" s="31"/>
      <c r="AC28" s="1" t="s">
        <v>247</v>
      </c>
      <c r="AD28" s="1" t="s">
        <v>248</v>
      </c>
      <c r="AE28" s="1">
        <v>42</v>
      </c>
      <c r="AF28" s="1">
        <v>10</v>
      </c>
      <c r="AG28" s="1" t="s">
        <v>249</v>
      </c>
      <c r="AH28" s="1">
        <f t="shared" ref="AH28:AH32" si="17">AE28*AF28</f>
        <v>420</v>
      </c>
      <c r="AI28" s="1"/>
      <c r="AK28" s="31"/>
      <c r="AL28" s="1" t="s">
        <v>264</v>
      </c>
      <c r="AM28" s="1" t="s">
        <v>265</v>
      </c>
      <c r="AN28" s="1">
        <v>45</v>
      </c>
      <c r="AO28" s="1">
        <v>4</v>
      </c>
      <c r="AP28" s="1" t="s">
        <v>24</v>
      </c>
      <c r="AQ28" s="1">
        <f t="shared" si="16"/>
        <v>180</v>
      </c>
      <c r="AR28" s="1"/>
      <c r="AU28" s="1" t="s">
        <v>206</v>
      </c>
      <c r="AV28" s="1"/>
      <c r="AW28" s="1">
        <v>29.38</v>
      </c>
      <c r="AX28" s="1">
        <v>100</v>
      </c>
      <c r="AY28" s="1" t="s">
        <v>24</v>
      </c>
      <c r="AZ28" s="1">
        <f>AW28*AX28</f>
        <v>2938</v>
      </c>
      <c r="BA28" s="28"/>
      <c r="BC28" s="31"/>
      <c r="BD28" s="6" t="s">
        <v>794</v>
      </c>
      <c r="BE28" s="2">
        <v>3</v>
      </c>
      <c r="BF28" s="2">
        <v>80</v>
      </c>
      <c r="BG28" s="2">
        <v>3</v>
      </c>
      <c r="BH28" s="2" t="s">
        <v>53</v>
      </c>
      <c r="BI28" s="2">
        <f t="shared" si="15"/>
        <v>240</v>
      </c>
      <c r="BJ28" s="2"/>
      <c r="BL28" s="31"/>
      <c r="BM28" s="1" t="s">
        <v>398</v>
      </c>
      <c r="BN28" s="1" t="s">
        <v>97</v>
      </c>
      <c r="BO28" s="1">
        <v>60</v>
      </c>
      <c r="BP28" s="1">
        <v>20</v>
      </c>
      <c r="BQ28" s="1" t="s">
        <v>24</v>
      </c>
      <c r="BR28" s="1">
        <f>BO28*BP28</f>
        <v>1200</v>
      </c>
      <c r="BS28" s="1"/>
      <c r="BU28" s="31" t="s">
        <v>715</v>
      </c>
      <c r="BV28" s="2" t="s">
        <v>716</v>
      </c>
      <c r="BW28" s="2"/>
      <c r="BX28" s="2"/>
      <c r="BY28" s="2"/>
      <c r="BZ28" s="2"/>
      <c r="CA28" s="2"/>
      <c r="CB28" s="2"/>
      <c r="CD28" s="31" t="s">
        <v>647</v>
      </c>
      <c r="CE28" s="2" t="s">
        <v>648</v>
      </c>
      <c r="CF28" s="2"/>
      <c r="CG28" s="2">
        <v>120</v>
      </c>
      <c r="CH28" s="2">
        <v>3</v>
      </c>
      <c r="CI28" s="2" t="s">
        <v>53</v>
      </c>
      <c r="CJ28" s="2">
        <f>CG28*CH28</f>
        <v>360</v>
      </c>
      <c r="CK28" s="2"/>
    </row>
    <row r="29" spans="1:89" x14ac:dyDescent="0.25">
      <c r="AB29" s="31"/>
      <c r="AC29" s="1" t="s">
        <v>250</v>
      </c>
      <c r="AD29" s="1" t="s">
        <v>251</v>
      </c>
      <c r="AE29" s="1">
        <v>9.9</v>
      </c>
      <c r="AF29" s="1">
        <v>10</v>
      </c>
      <c r="AG29" s="1" t="s">
        <v>24</v>
      </c>
      <c r="AH29" s="1">
        <f t="shared" si="17"/>
        <v>99</v>
      </c>
      <c r="AI29" s="1"/>
      <c r="AK29" s="31"/>
      <c r="AL29" s="1" t="s">
        <v>266</v>
      </c>
      <c r="AM29" s="1" t="s">
        <v>267</v>
      </c>
      <c r="AN29" s="1">
        <v>18.239999999999998</v>
      </c>
      <c r="AO29" s="4">
        <v>2</v>
      </c>
      <c r="AP29" s="1" t="s">
        <v>24</v>
      </c>
      <c r="AQ29" s="1">
        <f t="shared" si="16"/>
        <v>36.479999999999997</v>
      </c>
      <c r="AR29" s="1"/>
      <c r="AU29" s="1" t="s">
        <v>207</v>
      </c>
      <c r="AV29" s="1"/>
      <c r="AW29" s="1">
        <v>1188</v>
      </c>
      <c r="AX29" s="1">
        <v>2</v>
      </c>
      <c r="AY29" s="1" t="s">
        <v>55</v>
      </c>
      <c r="AZ29" s="1">
        <f>AW29*AX29</f>
        <v>2376</v>
      </c>
      <c r="BA29" s="28"/>
      <c r="BC29" s="31"/>
      <c r="BD29" s="6" t="s">
        <v>605</v>
      </c>
      <c r="BE29" s="2">
        <v>2</v>
      </c>
      <c r="BF29" s="2">
        <v>1380</v>
      </c>
      <c r="BG29" s="2">
        <v>3</v>
      </c>
      <c r="BH29" s="2" t="s">
        <v>48</v>
      </c>
      <c r="BI29" s="2">
        <f>BF29*BG29</f>
        <v>4140</v>
      </c>
      <c r="BJ29" s="2"/>
      <c r="BL29" s="31"/>
      <c r="BM29" s="1"/>
      <c r="BN29" s="1"/>
      <c r="BO29" s="1"/>
      <c r="BP29" s="1"/>
      <c r="BQ29" s="1"/>
      <c r="BR29" s="1"/>
      <c r="BS29" s="1"/>
      <c r="BU29" s="31"/>
      <c r="BV29" s="2"/>
      <c r="BW29" s="2"/>
      <c r="BX29" s="2"/>
      <c r="BY29" s="2"/>
      <c r="BZ29" s="2"/>
      <c r="CA29" s="2"/>
      <c r="CB29" s="2"/>
      <c r="CD29" s="31"/>
      <c r="CE29" s="2" t="s">
        <v>539</v>
      </c>
      <c r="CF29" s="2"/>
      <c r="CG29" s="2">
        <v>185</v>
      </c>
      <c r="CH29" s="2">
        <v>2</v>
      </c>
      <c r="CI29" s="2" t="s">
        <v>53</v>
      </c>
      <c r="CJ29" s="2">
        <f t="shared" ref="CJ29:CJ30" si="18">CG29*CH29</f>
        <v>370</v>
      </c>
      <c r="CK29" s="2"/>
    </row>
    <row r="30" spans="1:89" x14ac:dyDescent="0.25">
      <c r="A30" s="1" t="s">
        <v>103</v>
      </c>
      <c r="B30" s="1" t="s">
        <v>41</v>
      </c>
      <c r="C30" s="1" t="s">
        <v>13</v>
      </c>
      <c r="D30" s="1" t="s">
        <v>42</v>
      </c>
      <c r="E30" s="1" t="s">
        <v>29</v>
      </c>
      <c r="F30" s="1"/>
      <c r="G30" s="1" t="s">
        <v>44</v>
      </c>
      <c r="H30" s="1" t="s">
        <v>69</v>
      </c>
      <c r="J30" s="1" t="s">
        <v>103</v>
      </c>
      <c r="K30" s="1" t="s">
        <v>12</v>
      </c>
      <c r="L30" s="1" t="s">
        <v>77</v>
      </c>
      <c r="M30" s="1" t="s">
        <v>164</v>
      </c>
      <c r="N30" s="1" t="s">
        <v>111</v>
      </c>
      <c r="O30" s="1"/>
      <c r="P30" s="1" t="s">
        <v>30</v>
      </c>
      <c r="Q30" s="1" t="s">
        <v>226</v>
      </c>
      <c r="AB30" s="31"/>
      <c r="AC30" s="1" t="s">
        <v>252</v>
      </c>
      <c r="AD30" s="1" t="s">
        <v>253</v>
      </c>
      <c r="AE30" s="1">
        <v>215</v>
      </c>
      <c r="AF30" s="1">
        <v>1</v>
      </c>
      <c r="AG30" s="1" t="s">
        <v>55</v>
      </c>
      <c r="AH30" s="1">
        <f t="shared" si="17"/>
        <v>215</v>
      </c>
      <c r="AI30" s="1"/>
      <c r="AK30" s="31"/>
      <c r="AL30" s="32" t="s">
        <v>27</v>
      </c>
      <c r="AM30" s="33"/>
      <c r="AN30" s="34"/>
      <c r="AO30" s="4"/>
      <c r="AP30" s="4"/>
      <c r="AQ30" s="14">
        <f>SUM(AQ26:AQ29)</f>
        <v>2076.48</v>
      </c>
      <c r="AR30" s="1"/>
      <c r="AU30" s="1" t="s">
        <v>220</v>
      </c>
      <c r="AV30" s="1"/>
      <c r="AW30" s="1">
        <v>750</v>
      </c>
      <c r="AX30" s="1">
        <v>1</v>
      </c>
      <c r="AY30" s="1" t="s">
        <v>221</v>
      </c>
      <c r="AZ30" s="1">
        <f>AW30*AX30</f>
        <v>750</v>
      </c>
      <c r="BA30" s="28"/>
      <c r="BC30" s="31"/>
      <c r="BD30" s="6" t="s">
        <v>795</v>
      </c>
      <c r="BE30" s="2">
        <v>1</v>
      </c>
      <c r="BF30" s="2">
        <v>226</v>
      </c>
      <c r="BG30" s="6">
        <v>1</v>
      </c>
      <c r="BH30" s="6" t="s">
        <v>46</v>
      </c>
      <c r="BI30" s="2">
        <f t="shared" si="15"/>
        <v>226</v>
      </c>
      <c r="BJ30" s="2"/>
      <c r="BL30" s="31"/>
      <c r="BM30" s="31"/>
      <c r="BN30" s="31"/>
      <c r="BO30" s="31"/>
      <c r="BP30" s="1"/>
      <c r="BQ30" s="1"/>
      <c r="BR30" s="17">
        <f>SUM(BR27:BR29)</f>
        <v>2490</v>
      </c>
      <c r="BS30" s="1"/>
      <c r="BU30" s="31"/>
      <c r="BV30" s="2"/>
      <c r="BW30" s="2"/>
      <c r="BX30" s="2"/>
      <c r="BY30" s="2"/>
      <c r="BZ30" s="2"/>
      <c r="CA30" s="2"/>
      <c r="CB30" s="2"/>
      <c r="CD30" s="31"/>
      <c r="CE30" s="2" t="s">
        <v>102</v>
      </c>
      <c r="CF30" s="2"/>
      <c r="CG30" s="2">
        <v>220</v>
      </c>
      <c r="CH30" s="2">
        <v>65</v>
      </c>
      <c r="CI30" s="2" t="s">
        <v>53</v>
      </c>
      <c r="CJ30" s="2">
        <f t="shared" si="18"/>
        <v>14300</v>
      </c>
      <c r="CK30" s="2" t="s">
        <v>649</v>
      </c>
    </row>
    <row r="31" spans="1:89" x14ac:dyDescent="0.25">
      <c r="A31" s="31" t="s">
        <v>546</v>
      </c>
      <c r="B31" s="1" t="s">
        <v>547</v>
      </c>
      <c r="C31" s="1" t="s">
        <v>548</v>
      </c>
      <c r="D31" s="1">
        <v>75</v>
      </c>
      <c r="E31" s="1">
        <v>70</v>
      </c>
      <c r="F31" s="1" t="s">
        <v>24</v>
      </c>
      <c r="G31" s="1">
        <f>D31*E31</f>
        <v>5250</v>
      </c>
      <c r="H31" s="1"/>
      <c r="J31" s="31" t="s">
        <v>405</v>
      </c>
      <c r="K31" s="1" t="s">
        <v>406</v>
      </c>
      <c r="L31" s="1" t="s">
        <v>20</v>
      </c>
      <c r="M31" s="1">
        <v>99</v>
      </c>
      <c r="N31" s="1">
        <v>25</v>
      </c>
      <c r="O31" s="1" t="s">
        <v>24</v>
      </c>
      <c r="P31" s="1">
        <f>M31*N31</f>
        <v>2475</v>
      </c>
      <c r="Q31" s="1"/>
      <c r="AB31" s="31"/>
      <c r="AC31" s="1" t="s">
        <v>254</v>
      </c>
      <c r="AD31" s="1" t="s">
        <v>251</v>
      </c>
      <c r="AE31" s="1">
        <v>48</v>
      </c>
      <c r="AF31" s="1">
        <v>10</v>
      </c>
      <c r="AG31" s="1" t="s">
        <v>24</v>
      </c>
      <c r="AH31" s="1">
        <f t="shared" si="17"/>
        <v>480</v>
      </c>
      <c r="AI31" s="1"/>
      <c r="AU31" s="1" t="s">
        <v>150</v>
      </c>
      <c r="AV31" s="1"/>
      <c r="AW31" s="1">
        <v>19.8</v>
      </c>
      <c r="AX31" s="1">
        <v>8</v>
      </c>
      <c r="AY31" s="1" t="s">
        <v>24</v>
      </c>
      <c r="AZ31" s="1">
        <f>AW31*AX31</f>
        <v>158.4</v>
      </c>
      <c r="BA31" s="28"/>
      <c r="BC31" s="31"/>
      <c r="BD31" s="32" t="s">
        <v>10</v>
      </c>
      <c r="BE31" s="33"/>
      <c r="BF31" s="34"/>
      <c r="BG31" s="6"/>
      <c r="BH31" s="6"/>
      <c r="BI31" s="14">
        <f>SUM(BI25:BI30)</f>
        <v>6846</v>
      </c>
      <c r="BJ31" s="2"/>
      <c r="BU31" s="31"/>
      <c r="BV31" s="32"/>
      <c r="BW31" s="33"/>
      <c r="BX31" s="34"/>
      <c r="BY31" s="6"/>
      <c r="BZ31" s="6"/>
      <c r="CA31" s="7"/>
      <c r="CB31" s="2"/>
      <c r="CD31" s="31"/>
      <c r="CE31" s="2"/>
      <c r="CF31" s="2"/>
      <c r="CG31" s="2"/>
      <c r="CH31" s="2"/>
      <c r="CI31" s="2"/>
      <c r="CJ31" s="2"/>
      <c r="CK31" s="2"/>
    </row>
    <row r="32" spans="1:89" x14ac:dyDescent="0.25">
      <c r="A32" s="31"/>
      <c r="B32" s="1" t="s">
        <v>155</v>
      </c>
      <c r="C32" s="1" t="s">
        <v>156</v>
      </c>
      <c r="D32" s="1">
        <v>30.6</v>
      </c>
      <c r="E32" s="1">
        <v>10</v>
      </c>
      <c r="F32" s="1" t="s">
        <v>83</v>
      </c>
      <c r="G32" s="1">
        <f>D32*E32</f>
        <v>306</v>
      </c>
      <c r="H32" s="1"/>
      <c r="J32" s="31"/>
      <c r="K32" s="1" t="s">
        <v>407</v>
      </c>
      <c r="L32" s="1" t="s">
        <v>160</v>
      </c>
      <c r="M32" s="1">
        <v>168</v>
      </c>
      <c r="N32" s="1">
        <v>20</v>
      </c>
      <c r="O32" s="1" t="s">
        <v>83</v>
      </c>
      <c r="P32" s="1">
        <f t="shared" ref="P32:P34" si="19">M32*N32</f>
        <v>3360</v>
      </c>
      <c r="Q32" s="1"/>
      <c r="AB32" s="31"/>
      <c r="AC32" s="1" t="s">
        <v>255</v>
      </c>
      <c r="AD32" s="1" t="s">
        <v>256</v>
      </c>
      <c r="AE32" s="1">
        <v>105</v>
      </c>
      <c r="AF32" s="1">
        <v>8</v>
      </c>
      <c r="AG32" s="1" t="s">
        <v>257</v>
      </c>
      <c r="AH32" s="1">
        <f t="shared" si="17"/>
        <v>840</v>
      </c>
      <c r="AI32" s="1"/>
      <c r="AK32" s="1" t="s">
        <v>289</v>
      </c>
      <c r="AL32" s="1" t="s">
        <v>41</v>
      </c>
      <c r="AM32" s="1" t="s">
        <v>13</v>
      </c>
      <c r="AN32" s="1" t="s">
        <v>282</v>
      </c>
      <c r="AO32" s="1" t="s">
        <v>29</v>
      </c>
      <c r="AP32" s="1"/>
      <c r="AQ32" s="1" t="s">
        <v>44</v>
      </c>
      <c r="AR32" s="1" t="s">
        <v>283</v>
      </c>
      <c r="AU32" s="1" t="s">
        <v>222</v>
      </c>
      <c r="AV32" s="1"/>
      <c r="AW32" s="1">
        <v>99</v>
      </c>
      <c r="AX32" s="1">
        <v>3</v>
      </c>
      <c r="AY32" s="1" t="s">
        <v>223</v>
      </c>
      <c r="AZ32" s="1">
        <f>AW32*AX32</f>
        <v>297</v>
      </c>
      <c r="BA32" s="28"/>
      <c r="BL32" s="1" t="s">
        <v>318</v>
      </c>
      <c r="BM32" s="1" t="s">
        <v>12</v>
      </c>
      <c r="BN32" s="1" t="s">
        <v>77</v>
      </c>
      <c r="BO32" s="1" t="s">
        <v>164</v>
      </c>
      <c r="BP32" s="1" t="s">
        <v>111</v>
      </c>
      <c r="BQ32" s="1"/>
      <c r="BR32" s="1" t="s">
        <v>30</v>
      </c>
      <c r="BS32" s="1" t="s">
        <v>69</v>
      </c>
      <c r="CD32" s="31"/>
      <c r="CE32" s="32" t="s">
        <v>10</v>
      </c>
      <c r="CF32" s="33"/>
      <c r="CG32" s="34"/>
      <c r="CH32" s="6"/>
      <c r="CI32" s="6"/>
      <c r="CJ32" s="14">
        <f>SUM(CJ28:CJ31)</f>
        <v>15030</v>
      </c>
      <c r="CK32" s="2"/>
    </row>
    <row r="33" spans="1:89" x14ac:dyDescent="0.25">
      <c r="A33" s="31"/>
      <c r="B33" s="1"/>
      <c r="C33" s="1"/>
      <c r="D33" s="1"/>
      <c r="E33" s="1"/>
      <c r="F33" s="1"/>
      <c r="G33" s="1"/>
      <c r="H33" s="1"/>
      <c r="J33" s="31"/>
      <c r="K33" s="1" t="s">
        <v>408</v>
      </c>
      <c r="L33" s="1" t="s">
        <v>409</v>
      </c>
      <c r="M33" s="1">
        <v>85.5</v>
      </c>
      <c r="N33" s="1">
        <v>0.5</v>
      </c>
      <c r="O33" s="1" t="s">
        <v>83</v>
      </c>
      <c r="P33" s="1">
        <f t="shared" si="19"/>
        <v>42.75</v>
      </c>
      <c r="Q33" s="1"/>
      <c r="AB33" s="31"/>
      <c r="AC33" s="32" t="s">
        <v>27</v>
      </c>
      <c r="AD33" s="33"/>
      <c r="AE33" s="34"/>
      <c r="AF33" s="4"/>
      <c r="AG33" s="4"/>
      <c r="AH33" s="14">
        <f>SUM(AH27:AH32)</f>
        <v>3384.2</v>
      </c>
      <c r="AI33" s="1"/>
      <c r="AK33" s="31" t="s">
        <v>284</v>
      </c>
      <c r="AL33" s="2" t="s">
        <v>285</v>
      </c>
      <c r="AM33" s="2">
        <v>60</v>
      </c>
      <c r="AN33" s="2">
        <v>11</v>
      </c>
      <c r="AO33" s="23"/>
      <c r="AP33" s="2" t="s">
        <v>9</v>
      </c>
      <c r="AQ33" s="2">
        <f>AN33*AO33</f>
        <v>0</v>
      </c>
      <c r="AR33" s="1"/>
      <c r="AU33" s="1" t="s">
        <v>274</v>
      </c>
      <c r="AV33" s="1"/>
      <c r="AW33" s="1">
        <v>4.5</v>
      </c>
      <c r="AX33" s="1">
        <v>50</v>
      </c>
      <c r="AY33" s="1" t="s">
        <v>65</v>
      </c>
      <c r="AZ33" s="1">
        <f>AW33*AX33</f>
        <v>225</v>
      </c>
      <c r="BA33" s="2"/>
      <c r="BL33" s="31" t="s">
        <v>421</v>
      </c>
      <c r="BM33" s="1" t="s">
        <v>250</v>
      </c>
      <c r="BN33" s="1" t="s">
        <v>172</v>
      </c>
      <c r="BO33" s="1">
        <v>7.2</v>
      </c>
      <c r="BP33" s="1">
        <v>15</v>
      </c>
      <c r="BQ33" s="1" t="s">
        <v>83</v>
      </c>
      <c r="BR33" s="1">
        <f>BO33*BP33</f>
        <v>108</v>
      </c>
      <c r="BS33" s="1"/>
      <c r="BU33" s="2" t="s">
        <v>101</v>
      </c>
      <c r="BV33" s="2" t="s">
        <v>0</v>
      </c>
      <c r="BW33" s="2" t="s">
        <v>1</v>
      </c>
      <c r="BX33" s="2" t="s">
        <v>2</v>
      </c>
      <c r="BY33" s="2" t="s">
        <v>3</v>
      </c>
      <c r="BZ33" s="2"/>
      <c r="CA33" s="2" t="s">
        <v>4</v>
      </c>
      <c r="CB33" s="2" t="s">
        <v>5</v>
      </c>
    </row>
    <row r="34" spans="1:89" x14ac:dyDescent="0.25">
      <c r="A34" s="31"/>
      <c r="B34" s="1"/>
      <c r="C34" s="1"/>
      <c r="D34" s="1"/>
      <c r="E34" s="4"/>
      <c r="F34" s="4"/>
      <c r="G34" s="4"/>
      <c r="H34" s="1"/>
      <c r="J34" s="31"/>
      <c r="K34" s="1"/>
      <c r="L34" s="1"/>
      <c r="M34" s="1"/>
      <c r="N34" s="4"/>
      <c r="O34" s="4"/>
      <c r="P34" s="1">
        <f t="shared" si="19"/>
        <v>0</v>
      </c>
      <c r="Q34" s="1"/>
      <c r="AK34" s="31"/>
      <c r="AL34" s="2" t="s">
        <v>286</v>
      </c>
      <c r="AM34" s="2">
        <v>40</v>
      </c>
      <c r="AN34" s="2">
        <v>46.8</v>
      </c>
      <c r="AO34" s="23"/>
      <c r="AP34" s="2" t="s">
        <v>9</v>
      </c>
      <c r="AQ34" s="2">
        <f t="shared" ref="AQ34:AQ36" si="20">AN34*AO34</f>
        <v>0</v>
      </c>
      <c r="AR34" s="1"/>
      <c r="AU34" s="1" t="s">
        <v>300</v>
      </c>
      <c r="AV34" s="1"/>
      <c r="AW34" s="1">
        <v>150</v>
      </c>
      <c r="AX34" s="1">
        <v>2</v>
      </c>
      <c r="AY34" s="1" t="s">
        <v>83</v>
      </c>
      <c r="AZ34" s="1">
        <f>AW34*AX34</f>
        <v>300</v>
      </c>
      <c r="BA34" s="2" t="s">
        <v>395</v>
      </c>
      <c r="BL34" s="31"/>
      <c r="BM34" s="1" t="s">
        <v>422</v>
      </c>
      <c r="BN34" s="1" t="s">
        <v>423</v>
      </c>
      <c r="BO34" s="1">
        <v>98.4</v>
      </c>
      <c r="BP34" s="1">
        <v>10</v>
      </c>
      <c r="BQ34" s="1" t="s">
        <v>67</v>
      </c>
      <c r="BR34" s="1">
        <f>BO34*BP34</f>
        <v>984</v>
      </c>
      <c r="BS34" s="1"/>
      <c r="BU34" s="31" t="s">
        <v>816</v>
      </c>
      <c r="BV34" s="2" t="s">
        <v>817</v>
      </c>
      <c r="BW34" s="2"/>
      <c r="BX34" s="2"/>
      <c r="BY34" s="2"/>
      <c r="BZ34" s="2"/>
      <c r="CA34" s="2"/>
      <c r="CB34" s="2"/>
      <c r="CD34" s="16" t="s">
        <v>145</v>
      </c>
      <c r="CE34" s="2" t="s">
        <v>0</v>
      </c>
      <c r="CF34" s="2" t="s">
        <v>1</v>
      </c>
      <c r="CG34" s="2" t="s">
        <v>2</v>
      </c>
      <c r="CH34" s="2" t="s">
        <v>3</v>
      </c>
      <c r="CI34" s="2"/>
      <c r="CJ34" s="2" t="s">
        <v>4</v>
      </c>
      <c r="CK34" s="2"/>
    </row>
    <row r="35" spans="1:89" x14ac:dyDescent="0.25">
      <c r="A35" s="31"/>
      <c r="B35" s="32" t="s">
        <v>549</v>
      </c>
      <c r="C35" s="33"/>
      <c r="D35" s="34"/>
      <c r="E35" s="4"/>
      <c r="F35" s="4"/>
      <c r="G35" s="14">
        <f>SUM(G31:G34)</f>
        <v>5556</v>
      </c>
      <c r="H35" s="1"/>
      <c r="J35" s="31"/>
      <c r="K35" s="32" t="s">
        <v>86</v>
      </c>
      <c r="L35" s="33"/>
      <c r="M35" s="34"/>
      <c r="N35" s="4"/>
      <c r="O35" s="4"/>
      <c r="P35" s="14">
        <f>SUM(P31:P34)</f>
        <v>5877.75</v>
      </c>
      <c r="Q35" s="1"/>
      <c r="AB35" s="1" t="s">
        <v>11</v>
      </c>
      <c r="AC35" s="1" t="s">
        <v>290</v>
      </c>
      <c r="AD35" s="1" t="s">
        <v>291</v>
      </c>
      <c r="AE35" s="1" t="s">
        <v>42</v>
      </c>
      <c r="AF35" s="1" t="s">
        <v>29</v>
      </c>
      <c r="AG35" s="1"/>
      <c r="AH35" s="1" t="s">
        <v>292</v>
      </c>
      <c r="AI35" s="1" t="s">
        <v>69</v>
      </c>
      <c r="AK35" s="31"/>
      <c r="AL35" s="2" t="s">
        <v>287</v>
      </c>
      <c r="AM35" s="2">
        <v>3</v>
      </c>
      <c r="AN35" s="2">
        <v>150</v>
      </c>
      <c r="AO35" s="2">
        <v>3</v>
      </c>
      <c r="AP35" s="2" t="s">
        <v>708</v>
      </c>
      <c r="AQ35" s="2">
        <f t="shared" si="20"/>
        <v>450</v>
      </c>
      <c r="AR35" s="1"/>
      <c r="AU35" s="1" t="s">
        <v>301</v>
      </c>
      <c r="AV35" s="1"/>
      <c r="AW35" s="1">
        <v>291</v>
      </c>
      <c r="AX35" s="1">
        <v>2</v>
      </c>
      <c r="AY35" s="1" t="s">
        <v>129</v>
      </c>
      <c r="AZ35" s="1">
        <f>AW35*AX35</f>
        <v>582</v>
      </c>
      <c r="BA35" s="2"/>
      <c r="BL35" s="31"/>
      <c r="BM35" s="1"/>
      <c r="BN35" s="1"/>
      <c r="BO35" s="1"/>
      <c r="BP35" s="1"/>
      <c r="BQ35" s="1"/>
      <c r="BR35" s="1"/>
      <c r="BS35" s="1"/>
      <c r="BU35" s="31"/>
      <c r="BV35" s="2" t="s">
        <v>818</v>
      </c>
      <c r="BW35" s="2"/>
      <c r="BX35" s="2"/>
      <c r="BY35" s="2"/>
      <c r="BZ35" s="2"/>
      <c r="CA35" s="2"/>
      <c r="CB35" s="2"/>
      <c r="CD35" s="31" t="s">
        <v>678</v>
      </c>
      <c r="CE35" s="2" t="s">
        <v>679</v>
      </c>
      <c r="CF35" s="2" t="s">
        <v>151</v>
      </c>
      <c r="CG35" s="2">
        <v>30</v>
      </c>
      <c r="CH35" s="2">
        <v>60</v>
      </c>
      <c r="CI35" s="2" t="s">
        <v>9</v>
      </c>
      <c r="CJ35" s="2">
        <f>CG35*CH35</f>
        <v>1800</v>
      </c>
      <c r="CK35" s="2"/>
    </row>
    <row r="36" spans="1:89" x14ac:dyDescent="0.25">
      <c r="AB36" s="31" t="s">
        <v>293</v>
      </c>
      <c r="AC36" s="1" t="s">
        <v>294</v>
      </c>
      <c r="AD36" s="1" t="s">
        <v>295</v>
      </c>
      <c r="AE36" s="1">
        <v>48</v>
      </c>
      <c r="AF36" s="1">
        <v>25</v>
      </c>
      <c r="AG36" s="1" t="s">
        <v>173</v>
      </c>
      <c r="AH36" s="1">
        <f>AE36*AF36</f>
        <v>1200</v>
      </c>
      <c r="AI36" s="1"/>
      <c r="AK36" s="31"/>
      <c r="AL36" s="2" t="s">
        <v>710</v>
      </c>
      <c r="AM36" s="2">
        <v>2</v>
      </c>
      <c r="AN36" s="2">
        <v>78.599999999999994</v>
      </c>
      <c r="AO36" s="2">
        <v>10</v>
      </c>
      <c r="AP36" s="2" t="s">
        <v>9</v>
      </c>
      <c r="AQ36" s="2">
        <f t="shared" si="20"/>
        <v>786</v>
      </c>
      <c r="AR36" s="1"/>
      <c r="AU36" s="1" t="s">
        <v>302</v>
      </c>
      <c r="AV36" s="1"/>
      <c r="AW36" s="1">
        <v>225</v>
      </c>
      <c r="AX36" s="1">
        <v>1</v>
      </c>
      <c r="AY36" s="1" t="s">
        <v>117</v>
      </c>
      <c r="AZ36" s="1">
        <f>AW36*AX36</f>
        <v>225</v>
      </c>
      <c r="BA36" s="2"/>
      <c r="BL36" s="31"/>
      <c r="BM36" s="32"/>
      <c r="BN36" s="33"/>
      <c r="BO36" s="34"/>
      <c r="BP36" s="4"/>
      <c r="BQ36" s="4"/>
      <c r="BR36" s="14">
        <f>SUM(BR33:BR35)</f>
        <v>1092</v>
      </c>
      <c r="BS36" s="1"/>
      <c r="BU36" s="31"/>
      <c r="BV36" s="2"/>
      <c r="BW36" s="2"/>
      <c r="BX36" s="2"/>
      <c r="BY36" s="2"/>
      <c r="BZ36" s="2"/>
      <c r="CA36" s="2"/>
      <c r="CB36" s="2"/>
      <c r="CD36" s="31"/>
      <c r="CE36" s="2" t="s">
        <v>632</v>
      </c>
      <c r="CF36" s="2" t="s">
        <v>271</v>
      </c>
      <c r="CG36" s="2">
        <v>103.5</v>
      </c>
      <c r="CH36" s="2">
        <v>5</v>
      </c>
      <c r="CI36" s="2" t="s">
        <v>9</v>
      </c>
      <c r="CJ36" s="2">
        <f t="shared" ref="CJ36:CJ41" si="21">CG36*CH36</f>
        <v>517.5</v>
      </c>
      <c r="CK36" s="2"/>
    </row>
    <row r="37" spans="1:89" x14ac:dyDescent="0.25">
      <c r="A37" s="2" t="s">
        <v>74</v>
      </c>
      <c r="B37" s="2" t="s">
        <v>0</v>
      </c>
      <c r="C37" s="2" t="s">
        <v>1</v>
      </c>
      <c r="D37" s="2" t="s">
        <v>2</v>
      </c>
      <c r="E37" s="2" t="s">
        <v>3</v>
      </c>
      <c r="F37" s="2"/>
      <c r="G37" s="2" t="s">
        <v>4</v>
      </c>
      <c r="H37" s="2" t="s">
        <v>5</v>
      </c>
      <c r="J37" s="1" t="s">
        <v>445</v>
      </c>
      <c r="K37" s="1" t="s">
        <v>41</v>
      </c>
      <c r="L37" s="1" t="s">
        <v>13</v>
      </c>
      <c r="M37" s="1" t="s">
        <v>42</v>
      </c>
      <c r="N37" s="1" t="s">
        <v>446</v>
      </c>
      <c r="O37" s="1"/>
      <c r="P37" s="1" t="s">
        <v>447</v>
      </c>
      <c r="Q37" s="1" t="s">
        <v>69</v>
      </c>
      <c r="AB37" s="31"/>
      <c r="AC37" s="1" t="s">
        <v>296</v>
      </c>
      <c r="AD37" s="1" t="s">
        <v>297</v>
      </c>
      <c r="AE37" s="1">
        <v>111</v>
      </c>
      <c r="AF37" s="1">
        <v>10</v>
      </c>
      <c r="AG37" s="1" t="s">
        <v>298</v>
      </c>
      <c r="AH37" s="1">
        <f t="shared" ref="AH37:AH38" si="22">AE37*AF37</f>
        <v>1110</v>
      </c>
      <c r="AI37" s="1"/>
      <c r="AK37" s="31"/>
      <c r="AL37" s="1"/>
      <c r="AM37" s="1"/>
      <c r="AN37" s="1"/>
      <c r="AO37" s="1"/>
      <c r="AP37" s="1"/>
      <c r="AQ37" s="1"/>
      <c r="AR37" s="1"/>
      <c r="AU37" s="1" t="s">
        <v>303</v>
      </c>
      <c r="AV37" s="1"/>
      <c r="AW37" s="1">
        <v>219</v>
      </c>
      <c r="AX37" s="1">
        <v>1</v>
      </c>
      <c r="AY37" s="1" t="s">
        <v>117</v>
      </c>
      <c r="AZ37" s="1">
        <f>AW37*AX37</f>
        <v>219</v>
      </c>
      <c r="BA37" s="2"/>
      <c r="BU37" s="31"/>
      <c r="BV37" s="32"/>
      <c r="BW37" s="33"/>
      <c r="BX37" s="34"/>
      <c r="BY37" s="6"/>
      <c r="BZ37" s="6"/>
      <c r="CA37" s="7"/>
      <c r="CB37" s="2"/>
      <c r="CD37" s="31"/>
      <c r="CE37" s="2" t="s">
        <v>58</v>
      </c>
      <c r="CF37" s="2" t="s">
        <v>37</v>
      </c>
      <c r="CG37" s="2">
        <v>93</v>
      </c>
      <c r="CH37" s="2">
        <v>15</v>
      </c>
      <c r="CI37" s="2" t="s">
        <v>9</v>
      </c>
      <c r="CJ37" s="2">
        <f t="shared" si="21"/>
        <v>1395</v>
      </c>
      <c r="CK37" s="2"/>
    </row>
    <row r="38" spans="1:89" x14ac:dyDescent="0.25">
      <c r="A38" s="31" t="s">
        <v>601</v>
      </c>
      <c r="B38" s="2" t="s">
        <v>602</v>
      </c>
      <c r="C38" s="2" t="s">
        <v>603</v>
      </c>
      <c r="D38" s="2">
        <v>78</v>
      </c>
      <c r="E38" s="2">
        <v>58.87</v>
      </c>
      <c r="F38" s="2" t="s">
        <v>9</v>
      </c>
      <c r="G38" s="3">
        <f>D38*E38</f>
        <v>4591.8599999999997</v>
      </c>
      <c r="H38" s="2"/>
      <c r="J38" s="31" t="s">
        <v>448</v>
      </c>
      <c r="K38" s="1" t="s">
        <v>449</v>
      </c>
      <c r="L38" s="1" t="s">
        <v>450</v>
      </c>
      <c r="M38" s="1">
        <v>99</v>
      </c>
      <c r="N38" s="1">
        <v>25</v>
      </c>
      <c r="O38" s="1" t="s">
        <v>24</v>
      </c>
      <c r="P38" s="1">
        <f>M38*N38</f>
        <v>2475</v>
      </c>
      <c r="Q38" s="1"/>
      <c r="AB38" s="31"/>
      <c r="AC38" s="1" t="s">
        <v>299</v>
      </c>
      <c r="AD38" s="1" t="s">
        <v>248</v>
      </c>
      <c r="AE38" s="1">
        <v>93</v>
      </c>
      <c r="AF38" s="1">
        <v>10</v>
      </c>
      <c r="AG38" s="1" t="s">
        <v>298</v>
      </c>
      <c r="AH38" s="1">
        <f t="shared" si="22"/>
        <v>930</v>
      </c>
      <c r="AI38" s="1"/>
      <c r="AK38" s="31"/>
      <c r="AL38" s="32" t="s">
        <v>27</v>
      </c>
      <c r="AM38" s="33"/>
      <c r="AN38" s="34"/>
      <c r="AO38" s="4"/>
      <c r="AP38" s="4"/>
      <c r="AQ38" s="14">
        <f>SUM(AQ33:AQ37)</f>
        <v>1236</v>
      </c>
      <c r="AR38" s="1"/>
      <c r="AU38" s="1" t="s">
        <v>304</v>
      </c>
      <c r="AV38" s="1"/>
      <c r="AW38" s="1">
        <v>181</v>
      </c>
      <c r="AX38" s="1">
        <v>1</v>
      </c>
      <c r="AY38" s="4" t="s">
        <v>55</v>
      </c>
      <c r="AZ38" s="1">
        <f>AW38*AX38</f>
        <v>181</v>
      </c>
      <c r="BA38" s="2"/>
      <c r="BL38" s="1" t="s">
        <v>318</v>
      </c>
      <c r="BM38" s="1" t="s">
        <v>12</v>
      </c>
      <c r="BN38" s="1" t="s">
        <v>77</v>
      </c>
      <c r="BO38" s="1" t="s">
        <v>164</v>
      </c>
      <c r="BP38" s="1" t="s">
        <v>29</v>
      </c>
      <c r="BQ38" s="1"/>
      <c r="BR38" s="1" t="s">
        <v>30</v>
      </c>
      <c r="BS38" s="1" t="s">
        <v>226</v>
      </c>
      <c r="CD38" s="31"/>
      <c r="CE38" s="9" t="s">
        <v>630</v>
      </c>
      <c r="CF38" s="2" t="s">
        <v>191</v>
      </c>
      <c r="CG38" s="2">
        <v>11.7</v>
      </c>
      <c r="CH38" s="2">
        <v>8</v>
      </c>
      <c r="CI38" s="2" t="s">
        <v>9</v>
      </c>
      <c r="CJ38" s="2">
        <f t="shared" si="21"/>
        <v>93.6</v>
      </c>
      <c r="CK38" s="2"/>
    </row>
    <row r="39" spans="1:89" x14ac:dyDescent="0.25">
      <c r="A39" s="31"/>
      <c r="B39" s="2"/>
      <c r="C39" s="2"/>
      <c r="D39" s="2"/>
      <c r="E39" s="2"/>
      <c r="F39" s="2"/>
      <c r="G39" s="2"/>
      <c r="H39" s="2"/>
      <c r="J39" s="31"/>
      <c r="K39" s="1" t="s">
        <v>356</v>
      </c>
      <c r="L39" s="1" t="s">
        <v>451</v>
      </c>
      <c r="M39" s="1">
        <v>168</v>
      </c>
      <c r="N39" s="1">
        <v>15</v>
      </c>
      <c r="O39" s="1" t="s">
        <v>452</v>
      </c>
      <c r="P39" s="1">
        <f t="shared" ref="P39:P41" si="23">M39*N39</f>
        <v>2520</v>
      </c>
      <c r="Q39" s="1"/>
      <c r="AB39" s="31"/>
      <c r="AC39" s="1"/>
      <c r="AD39" s="1"/>
      <c r="AE39" s="1"/>
      <c r="AF39" s="4"/>
      <c r="AG39" s="4"/>
      <c r="AH39" s="4"/>
      <c r="AI39" s="1"/>
      <c r="AU39" s="1" t="s">
        <v>305</v>
      </c>
      <c r="AV39" s="1"/>
      <c r="AW39" s="1">
        <v>9.5</v>
      </c>
      <c r="AX39" s="1">
        <v>40</v>
      </c>
      <c r="AY39" s="4" t="s">
        <v>306</v>
      </c>
      <c r="AZ39" s="1">
        <f>AW39*AX39</f>
        <v>380</v>
      </c>
      <c r="BA39" s="2"/>
      <c r="BL39" s="31" t="s">
        <v>441</v>
      </c>
      <c r="BM39" s="1" t="s">
        <v>442</v>
      </c>
      <c r="BN39" s="1" t="s">
        <v>409</v>
      </c>
      <c r="BO39" s="1">
        <v>150</v>
      </c>
      <c r="BP39" s="1">
        <v>1</v>
      </c>
      <c r="BQ39" s="1" t="s">
        <v>53</v>
      </c>
      <c r="BR39" s="1">
        <f>BO39*BP39</f>
        <v>150</v>
      </c>
      <c r="BS39" s="1"/>
      <c r="CD39" s="31"/>
      <c r="CE39" s="2" t="s">
        <v>640</v>
      </c>
      <c r="CF39" s="2" t="s">
        <v>271</v>
      </c>
      <c r="CG39" s="2">
        <v>35.700000000000003</v>
      </c>
      <c r="CH39" s="2">
        <v>5</v>
      </c>
      <c r="CI39" s="2" t="s">
        <v>9</v>
      </c>
      <c r="CJ39" s="2">
        <f t="shared" si="21"/>
        <v>178.5</v>
      </c>
      <c r="CK39" s="2"/>
    </row>
    <row r="40" spans="1:89" x14ac:dyDescent="0.25">
      <c r="A40" s="31"/>
      <c r="B40" s="2"/>
      <c r="C40" s="2"/>
      <c r="D40" s="2"/>
      <c r="E40" s="2"/>
      <c r="F40" s="2"/>
      <c r="G40" s="2"/>
      <c r="H40" s="2"/>
      <c r="J40" s="31"/>
      <c r="K40" s="1" t="s">
        <v>453</v>
      </c>
      <c r="L40" s="1" t="s">
        <v>248</v>
      </c>
      <c r="M40" s="1">
        <v>30.6</v>
      </c>
      <c r="N40" s="1">
        <v>10</v>
      </c>
      <c r="O40" s="1" t="s">
        <v>24</v>
      </c>
      <c r="P40" s="1">
        <f t="shared" si="23"/>
        <v>306</v>
      </c>
      <c r="Q40" s="1"/>
      <c r="AB40" s="31"/>
      <c r="AC40" s="32" t="s">
        <v>27</v>
      </c>
      <c r="AD40" s="33"/>
      <c r="AE40" s="34"/>
      <c r="AF40" s="4"/>
      <c r="AG40" s="4"/>
      <c r="AH40" s="14">
        <f>SUM(AH36:AH39)</f>
        <v>3240</v>
      </c>
      <c r="AI40" s="1"/>
      <c r="AK40" s="1" t="s">
        <v>341</v>
      </c>
      <c r="AL40" s="1" t="s">
        <v>12</v>
      </c>
      <c r="AM40" s="1" t="s">
        <v>77</v>
      </c>
      <c r="AN40" s="1" t="s">
        <v>164</v>
      </c>
      <c r="AO40" s="1" t="s">
        <v>111</v>
      </c>
      <c r="AP40" s="1"/>
      <c r="AQ40" s="1" t="s">
        <v>30</v>
      </c>
      <c r="AR40" s="1" t="s">
        <v>226</v>
      </c>
      <c r="AU40" s="1" t="s">
        <v>307</v>
      </c>
      <c r="AV40" s="1"/>
      <c r="AW40" s="1">
        <v>60</v>
      </c>
      <c r="AX40" s="1">
        <v>1</v>
      </c>
      <c r="AY40" s="4" t="s">
        <v>308</v>
      </c>
      <c r="AZ40" s="1">
        <f>AW40*AX40</f>
        <v>60</v>
      </c>
      <c r="BA40" s="2"/>
      <c r="BL40" s="31"/>
      <c r="BM40" s="1" t="s">
        <v>412</v>
      </c>
      <c r="BN40" s="1"/>
      <c r="BO40" s="1">
        <v>50</v>
      </c>
      <c r="BP40" s="1">
        <v>10</v>
      </c>
      <c r="BQ40" s="1" t="s">
        <v>443</v>
      </c>
      <c r="BR40" s="1">
        <f>BO40*BP40</f>
        <v>500</v>
      </c>
      <c r="BS40" s="1" t="s">
        <v>444</v>
      </c>
      <c r="BU40" s="2" t="s">
        <v>101</v>
      </c>
      <c r="BV40" s="2" t="s">
        <v>0</v>
      </c>
      <c r="BW40" s="2" t="s">
        <v>1</v>
      </c>
      <c r="BX40" s="2" t="s">
        <v>2</v>
      </c>
      <c r="BY40" s="2" t="s">
        <v>3</v>
      </c>
      <c r="BZ40" s="2"/>
      <c r="CA40" s="2" t="s">
        <v>4</v>
      </c>
      <c r="CB40" s="2" t="s">
        <v>5</v>
      </c>
      <c r="CD40" s="31"/>
      <c r="CE40" s="13" t="s">
        <v>680</v>
      </c>
      <c r="CF40" s="2" t="s">
        <v>435</v>
      </c>
      <c r="CG40" s="2">
        <v>75</v>
      </c>
      <c r="CH40" s="2">
        <v>1</v>
      </c>
      <c r="CI40" s="2" t="s">
        <v>53</v>
      </c>
      <c r="CJ40" s="2">
        <f t="shared" si="21"/>
        <v>75</v>
      </c>
      <c r="CK40" s="2"/>
    </row>
    <row r="41" spans="1:89" x14ac:dyDescent="0.25">
      <c r="A41" s="31"/>
      <c r="B41" s="2"/>
      <c r="C41" s="2"/>
      <c r="D41" s="2"/>
      <c r="E41" s="6"/>
      <c r="F41" s="6"/>
      <c r="G41" s="6"/>
      <c r="H41" s="2"/>
      <c r="J41" s="31"/>
      <c r="K41" s="1" t="s">
        <v>454</v>
      </c>
      <c r="L41" s="1" t="s">
        <v>183</v>
      </c>
      <c r="M41" s="1">
        <v>79.8</v>
      </c>
      <c r="N41" s="4">
        <v>1</v>
      </c>
      <c r="O41" s="4" t="s">
        <v>24</v>
      </c>
      <c r="P41" s="1">
        <f t="shared" si="23"/>
        <v>79.8</v>
      </c>
      <c r="Q41" s="1"/>
      <c r="AK41" s="31" t="s">
        <v>342</v>
      </c>
      <c r="AL41" s="1" t="s">
        <v>343</v>
      </c>
      <c r="AM41" s="1" t="s">
        <v>80</v>
      </c>
      <c r="AN41" s="1">
        <v>48</v>
      </c>
      <c r="AO41" s="1">
        <v>30</v>
      </c>
      <c r="AP41" s="1" t="s">
        <v>24</v>
      </c>
      <c r="AQ41" s="1">
        <f>AN41*AO41</f>
        <v>1440</v>
      </c>
      <c r="AR41" s="1"/>
      <c r="AU41" s="1" t="s">
        <v>309</v>
      </c>
      <c r="AV41" s="1"/>
      <c r="AW41" s="1">
        <v>240</v>
      </c>
      <c r="AX41" s="1">
        <v>1</v>
      </c>
      <c r="AY41" s="4" t="s">
        <v>310</v>
      </c>
      <c r="AZ41" s="1">
        <f>AW41*AX41</f>
        <v>240</v>
      </c>
      <c r="BA41" s="2"/>
      <c r="BL41" s="31"/>
      <c r="BM41" s="1"/>
      <c r="BN41" s="1"/>
      <c r="BO41" s="1"/>
      <c r="BP41" s="1"/>
      <c r="BQ41" s="1"/>
      <c r="BR41" s="1"/>
      <c r="BS41" s="1"/>
      <c r="BU41" s="31" t="s">
        <v>802</v>
      </c>
      <c r="BV41" s="2" t="s">
        <v>803</v>
      </c>
      <c r="BW41" s="2">
        <v>20</v>
      </c>
      <c r="BX41" s="2">
        <v>90</v>
      </c>
      <c r="BY41" s="2">
        <v>2</v>
      </c>
      <c r="BZ41" s="51" t="s">
        <v>55</v>
      </c>
      <c r="CA41" s="2">
        <f>BX41*BY41</f>
        <v>180</v>
      </c>
      <c r="CB41" s="2"/>
      <c r="CD41" s="31"/>
      <c r="CE41" s="2" t="s">
        <v>590</v>
      </c>
      <c r="CF41" s="2" t="s">
        <v>409</v>
      </c>
      <c r="CG41" s="2">
        <v>660</v>
      </c>
      <c r="CH41" s="2">
        <v>0.5</v>
      </c>
      <c r="CI41" s="2" t="s">
        <v>9</v>
      </c>
      <c r="CJ41" s="2">
        <f t="shared" si="21"/>
        <v>330</v>
      </c>
      <c r="CK41" s="2"/>
    </row>
    <row r="42" spans="1:89" x14ac:dyDescent="0.25">
      <c r="A42" s="31"/>
      <c r="B42" s="32" t="s">
        <v>10</v>
      </c>
      <c r="C42" s="33"/>
      <c r="D42" s="34"/>
      <c r="E42" s="6"/>
      <c r="F42" s="6"/>
      <c r="G42" s="7">
        <f>SUM(G38:G41)</f>
        <v>4591.8599999999997</v>
      </c>
      <c r="H42" s="2"/>
      <c r="J42" s="31"/>
      <c r="K42" s="32" t="s">
        <v>73</v>
      </c>
      <c r="L42" s="33"/>
      <c r="M42" s="34"/>
      <c r="N42" s="4"/>
      <c r="O42" s="4"/>
      <c r="P42" s="7">
        <f>SUM(P38:P41)</f>
        <v>5380.8</v>
      </c>
      <c r="Q42" s="1"/>
      <c r="AB42" s="1" t="s">
        <v>76</v>
      </c>
      <c r="AC42" s="1" t="s">
        <v>334</v>
      </c>
      <c r="AD42" s="1" t="s">
        <v>13</v>
      </c>
      <c r="AE42" s="1" t="s">
        <v>164</v>
      </c>
      <c r="AF42" s="1" t="s">
        <v>335</v>
      </c>
      <c r="AG42" s="1"/>
      <c r="AH42" s="1" t="s">
        <v>30</v>
      </c>
      <c r="AI42" s="1" t="s">
        <v>226</v>
      </c>
      <c r="AK42" s="31"/>
      <c r="AL42" s="1" t="s">
        <v>344</v>
      </c>
      <c r="AM42" s="1" t="s">
        <v>345</v>
      </c>
      <c r="AN42" s="1">
        <v>180</v>
      </c>
      <c r="AO42" s="1">
        <v>8</v>
      </c>
      <c r="AP42" s="1" t="s">
        <v>346</v>
      </c>
      <c r="AQ42" s="1">
        <f t="shared" ref="AQ42:AQ44" si="24">AN42*AO42</f>
        <v>1440</v>
      </c>
      <c r="AR42" s="1"/>
      <c r="AU42" s="1" t="s">
        <v>311</v>
      </c>
      <c r="AV42" s="1"/>
      <c r="AW42" s="1">
        <v>130</v>
      </c>
      <c r="AX42" s="1">
        <v>1</v>
      </c>
      <c r="AY42" s="4" t="s">
        <v>149</v>
      </c>
      <c r="AZ42" s="1">
        <f>AW42*AX42</f>
        <v>130</v>
      </c>
      <c r="BA42" s="2"/>
      <c r="BL42" s="31"/>
      <c r="BM42" s="32"/>
      <c r="BN42" s="33"/>
      <c r="BO42" s="34"/>
      <c r="BP42" s="4"/>
      <c r="BQ42" s="4"/>
      <c r="BR42" s="14">
        <f>SUM(BR39:BR41)</f>
        <v>650</v>
      </c>
      <c r="BS42" s="1"/>
      <c r="BU42" s="31"/>
      <c r="BV42" s="2" t="s">
        <v>766</v>
      </c>
      <c r="BW42" s="2">
        <v>3</v>
      </c>
      <c r="BX42" s="2">
        <v>225</v>
      </c>
      <c r="BY42" s="2">
        <v>3</v>
      </c>
      <c r="BZ42" s="2" t="s">
        <v>123</v>
      </c>
      <c r="CA42" s="2">
        <f t="shared" ref="CA42:CA43" si="25">BX42*BY42</f>
        <v>675</v>
      </c>
      <c r="CB42" s="2"/>
      <c r="CD42" s="31"/>
      <c r="CE42" s="32" t="s">
        <v>10</v>
      </c>
      <c r="CF42" s="33"/>
      <c r="CG42" s="34"/>
      <c r="CH42" s="6"/>
      <c r="CI42" s="6"/>
      <c r="CJ42" s="7">
        <f>SUM(CJ35:CJ41)</f>
        <v>4389.6000000000004</v>
      </c>
      <c r="CK42" s="2"/>
    </row>
    <row r="43" spans="1:89" x14ac:dyDescent="0.25">
      <c r="AB43" s="31" t="s">
        <v>336</v>
      </c>
      <c r="AC43" s="1" t="s">
        <v>337</v>
      </c>
      <c r="AD43" s="1" t="s">
        <v>20</v>
      </c>
      <c r="AE43" s="1">
        <v>43.8</v>
      </c>
      <c r="AF43" s="1">
        <v>25</v>
      </c>
      <c r="AG43" s="1" t="s">
        <v>83</v>
      </c>
      <c r="AH43" s="1">
        <f>AE43*AF43</f>
        <v>1095</v>
      </c>
      <c r="AI43" s="1"/>
      <c r="AK43" s="31"/>
      <c r="AL43" s="1" t="s">
        <v>347</v>
      </c>
      <c r="AM43" s="1" t="s">
        <v>348</v>
      </c>
      <c r="AN43" s="1">
        <v>45</v>
      </c>
      <c r="AO43" s="1">
        <v>4</v>
      </c>
      <c r="AP43" s="1" t="s">
        <v>24</v>
      </c>
      <c r="AQ43" s="1">
        <f t="shared" si="24"/>
        <v>180</v>
      </c>
      <c r="AR43" s="1"/>
      <c r="AU43" s="1" t="s">
        <v>274</v>
      </c>
      <c r="AV43" s="1"/>
      <c r="AW43" s="1">
        <v>4.5</v>
      </c>
      <c r="AX43" s="1">
        <v>50</v>
      </c>
      <c r="AY43" s="4" t="s">
        <v>65</v>
      </c>
      <c r="AZ43" s="1">
        <f>AW43*AX43</f>
        <v>225</v>
      </c>
      <c r="BA43" s="2"/>
      <c r="BU43" s="31"/>
      <c r="BV43" s="2" t="s">
        <v>804</v>
      </c>
      <c r="BW43" s="2">
        <v>10</v>
      </c>
      <c r="BX43" s="2">
        <v>117</v>
      </c>
      <c r="BY43" s="2">
        <v>2.17</v>
      </c>
      <c r="BZ43" s="2" t="s">
        <v>9</v>
      </c>
      <c r="CA43" s="2">
        <f t="shared" si="25"/>
        <v>253.89</v>
      </c>
      <c r="CB43" s="2"/>
    </row>
    <row r="44" spans="1:89" x14ac:dyDescent="0.25">
      <c r="A44" s="2" t="s">
        <v>74</v>
      </c>
      <c r="B44" s="2" t="s">
        <v>0</v>
      </c>
      <c r="C44" s="2" t="s">
        <v>1</v>
      </c>
      <c r="D44" s="2" t="s">
        <v>2</v>
      </c>
      <c r="E44" s="2" t="s">
        <v>3</v>
      </c>
      <c r="F44" s="2"/>
      <c r="G44" s="2" t="s">
        <v>4</v>
      </c>
      <c r="H44" s="2" t="s">
        <v>5</v>
      </c>
      <c r="J44" s="1" t="s">
        <v>163</v>
      </c>
      <c r="K44" s="1" t="s">
        <v>12</v>
      </c>
      <c r="L44" s="1" t="s">
        <v>77</v>
      </c>
      <c r="M44" s="1" t="s">
        <v>164</v>
      </c>
      <c r="N44" s="1" t="s">
        <v>111</v>
      </c>
      <c r="O44" s="1"/>
      <c r="P44" s="1" t="s">
        <v>30</v>
      </c>
      <c r="Q44" s="1" t="s">
        <v>226</v>
      </c>
      <c r="AB44" s="31"/>
      <c r="AC44" s="1" t="s">
        <v>338</v>
      </c>
      <c r="AD44" s="1" t="s">
        <v>339</v>
      </c>
      <c r="AE44" s="1">
        <v>99</v>
      </c>
      <c r="AF44" s="1">
        <v>20</v>
      </c>
      <c r="AG44" s="1" t="s">
        <v>83</v>
      </c>
      <c r="AH44" s="1">
        <f t="shared" ref="AH44:AH45" si="26">AE44*AF44</f>
        <v>1980</v>
      </c>
      <c r="AI44" s="1"/>
      <c r="AK44" s="31"/>
      <c r="AL44" s="1" t="s">
        <v>349</v>
      </c>
      <c r="AM44" s="1" t="s">
        <v>350</v>
      </c>
      <c r="AN44" s="1">
        <v>8</v>
      </c>
      <c r="AO44" s="4">
        <v>108</v>
      </c>
      <c r="AP44" s="1" t="s">
        <v>24</v>
      </c>
      <c r="AQ44" s="1">
        <f t="shared" si="24"/>
        <v>864</v>
      </c>
      <c r="AR44" s="1"/>
      <c r="AU44" s="1" t="s">
        <v>312</v>
      </c>
      <c r="AV44" s="1"/>
      <c r="AW44" s="1">
        <v>480</v>
      </c>
      <c r="AX44" s="1">
        <v>2</v>
      </c>
      <c r="AY44" s="4" t="s">
        <v>117</v>
      </c>
      <c r="AZ44" s="1">
        <f>AW44*AX44</f>
        <v>960</v>
      </c>
      <c r="BA44" s="2"/>
      <c r="BL44" s="1" t="s">
        <v>101</v>
      </c>
      <c r="BM44" s="1" t="s">
        <v>12</v>
      </c>
      <c r="BN44" s="1" t="s">
        <v>77</v>
      </c>
      <c r="BO44" s="1" t="s">
        <v>164</v>
      </c>
      <c r="BP44" s="1" t="s">
        <v>111</v>
      </c>
      <c r="BQ44" s="1"/>
      <c r="BR44" s="1" t="s">
        <v>30</v>
      </c>
      <c r="BS44" s="1" t="s">
        <v>226</v>
      </c>
      <c r="BU44" s="31"/>
      <c r="BV44" s="32"/>
      <c r="BW44" s="33"/>
      <c r="BX44" s="34"/>
      <c r="BY44" s="6"/>
      <c r="BZ44" s="6"/>
      <c r="CA44" s="7">
        <f>SUM(CA41:CA43)</f>
        <v>1108.8899999999999</v>
      </c>
      <c r="CB44" s="2"/>
      <c r="CD44" s="16" t="s">
        <v>145</v>
      </c>
      <c r="CE44" s="2" t="s">
        <v>0</v>
      </c>
      <c r="CF44" s="2" t="s">
        <v>1</v>
      </c>
      <c r="CG44" s="2" t="s">
        <v>2</v>
      </c>
      <c r="CH44" s="2" t="s">
        <v>3</v>
      </c>
      <c r="CI44" s="2"/>
      <c r="CJ44" s="2" t="s">
        <v>4</v>
      </c>
      <c r="CK44" s="2"/>
    </row>
    <row r="45" spans="1:89" x14ac:dyDescent="0.25">
      <c r="A45" s="31" t="s">
        <v>670</v>
      </c>
      <c r="B45" s="2" t="s">
        <v>547</v>
      </c>
      <c r="C45" s="2" t="s">
        <v>548</v>
      </c>
      <c r="D45" s="2">
        <v>75</v>
      </c>
      <c r="E45" s="2">
        <v>70</v>
      </c>
      <c r="F45" s="2" t="s">
        <v>9</v>
      </c>
      <c r="G45" s="2">
        <f>D45*E45</f>
        <v>5250</v>
      </c>
      <c r="H45" s="2"/>
      <c r="J45" s="31" t="s">
        <v>573</v>
      </c>
      <c r="K45" s="1" t="s">
        <v>573</v>
      </c>
      <c r="L45" s="1" t="s">
        <v>228</v>
      </c>
      <c r="M45" s="1">
        <v>1250</v>
      </c>
      <c r="N45" s="1">
        <v>4</v>
      </c>
      <c r="O45" s="1" t="s">
        <v>221</v>
      </c>
      <c r="P45" s="1">
        <f>M45*N45</f>
        <v>5000</v>
      </c>
      <c r="Q45" s="1"/>
      <c r="AB45" s="31"/>
      <c r="AC45" s="1" t="s">
        <v>340</v>
      </c>
      <c r="AD45" s="1" t="s">
        <v>267</v>
      </c>
      <c r="AE45" s="1">
        <v>15.3</v>
      </c>
      <c r="AF45" s="1">
        <v>2</v>
      </c>
      <c r="AG45" s="1" t="s">
        <v>83</v>
      </c>
      <c r="AH45" s="1">
        <f t="shared" si="26"/>
        <v>30.6</v>
      </c>
      <c r="AI45" s="1"/>
      <c r="AK45" s="31"/>
      <c r="AL45" s="32" t="s">
        <v>73</v>
      </c>
      <c r="AM45" s="33"/>
      <c r="AN45" s="34"/>
      <c r="AO45" s="4"/>
      <c r="AP45" s="4"/>
      <c r="AQ45" s="14">
        <f>SUM(AQ41:AQ44)</f>
        <v>3924</v>
      </c>
      <c r="AR45" s="1"/>
      <c r="AU45" s="1" t="s">
        <v>313</v>
      </c>
      <c r="AV45" s="1"/>
      <c r="AW45" s="1">
        <v>480</v>
      </c>
      <c r="AX45" s="1">
        <v>2</v>
      </c>
      <c r="AY45" s="4" t="s">
        <v>117</v>
      </c>
      <c r="AZ45" s="1">
        <f>AW45*AX45</f>
        <v>960</v>
      </c>
      <c r="BA45" s="2"/>
      <c r="BL45" s="31" t="s">
        <v>489</v>
      </c>
      <c r="BM45" s="1" t="s">
        <v>490</v>
      </c>
      <c r="BN45" s="1" t="s">
        <v>172</v>
      </c>
      <c r="BO45" s="1">
        <v>27</v>
      </c>
      <c r="BP45" s="1">
        <v>15</v>
      </c>
      <c r="BQ45" s="1" t="s">
        <v>83</v>
      </c>
      <c r="BR45" s="1">
        <f>BO45*BP45</f>
        <v>405</v>
      </c>
      <c r="BS45" s="1"/>
      <c r="CD45" s="31" t="s">
        <v>701</v>
      </c>
      <c r="CE45" s="2" t="s">
        <v>25</v>
      </c>
      <c r="CF45" s="2" t="s">
        <v>156</v>
      </c>
      <c r="CG45" s="2">
        <v>30.6</v>
      </c>
      <c r="CH45" s="2">
        <v>10</v>
      </c>
      <c r="CI45" s="2" t="s">
        <v>9</v>
      </c>
      <c r="CJ45" s="2">
        <f>CG45*CH45</f>
        <v>306</v>
      </c>
      <c r="CK45" s="2"/>
    </row>
    <row r="46" spans="1:89" x14ac:dyDescent="0.25">
      <c r="A46" s="31"/>
      <c r="B46" s="2" t="s">
        <v>671</v>
      </c>
      <c r="C46" s="2" t="s">
        <v>183</v>
      </c>
      <c r="D46" s="2">
        <v>51</v>
      </c>
      <c r="E46" s="2">
        <v>1</v>
      </c>
      <c r="F46" s="2" t="s">
        <v>9</v>
      </c>
      <c r="G46" s="2">
        <f t="shared" ref="G46:G47" si="27">D46*E46</f>
        <v>51</v>
      </c>
      <c r="H46" s="2"/>
      <c r="J46" s="31"/>
      <c r="K46" s="1"/>
      <c r="L46" s="1"/>
      <c r="M46" s="1"/>
      <c r="N46" s="1"/>
      <c r="O46" s="1"/>
      <c r="P46" s="1"/>
      <c r="Q46" s="1"/>
      <c r="AB46" s="31"/>
      <c r="AC46" s="1"/>
      <c r="AD46" s="1"/>
      <c r="AE46" s="1"/>
      <c r="AF46" s="1"/>
      <c r="AG46" s="1"/>
      <c r="AH46" s="1"/>
      <c r="AI46" s="1"/>
      <c r="AU46" s="1" t="s">
        <v>314</v>
      </c>
      <c r="AV46" s="1"/>
      <c r="AW46" s="1">
        <v>225</v>
      </c>
      <c r="AX46" s="1">
        <v>3</v>
      </c>
      <c r="AY46" s="4" t="s">
        <v>315</v>
      </c>
      <c r="AZ46" s="1">
        <f>AW46*AX46</f>
        <v>675</v>
      </c>
      <c r="BA46" s="2"/>
      <c r="BL46" s="31"/>
      <c r="BM46" s="1" t="s">
        <v>278</v>
      </c>
      <c r="BN46" s="1" t="s">
        <v>172</v>
      </c>
      <c r="BO46" s="1">
        <v>150</v>
      </c>
      <c r="BP46" s="1">
        <v>15</v>
      </c>
      <c r="BQ46" s="1" t="s">
        <v>83</v>
      </c>
      <c r="BR46" s="1">
        <f>BO46*BP46</f>
        <v>2250</v>
      </c>
      <c r="BS46" s="1"/>
      <c r="BU46" s="2" t="s">
        <v>101</v>
      </c>
      <c r="BV46" s="2" t="s">
        <v>0</v>
      </c>
      <c r="BW46" s="2" t="s">
        <v>1</v>
      </c>
      <c r="BX46" s="2" t="s">
        <v>2</v>
      </c>
      <c r="BY46" s="2" t="s">
        <v>3</v>
      </c>
      <c r="BZ46" s="2"/>
      <c r="CA46" s="2" t="s">
        <v>4</v>
      </c>
      <c r="CB46" s="2" t="s">
        <v>5</v>
      </c>
      <c r="CD46" s="31"/>
      <c r="CE46" s="2" t="s">
        <v>440</v>
      </c>
      <c r="CF46" s="2" t="s">
        <v>80</v>
      </c>
      <c r="CG46" s="2">
        <v>99</v>
      </c>
      <c r="CH46" s="2">
        <v>30</v>
      </c>
      <c r="CI46" s="2" t="s">
        <v>9</v>
      </c>
      <c r="CJ46" s="2">
        <f t="shared" ref="CJ46:CJ48" si="28">CG46*CH46</f>
        <v>2970</v>
      </c>
      <c r="CK46" s="2"/>
    </row>
    <row r="47" spans="1:89" x14ac:dyDescent="0.25">
      <c r="A47" s="31"/>
      <c r="B47" s="2" t="s">
        <v>25</v>
      </c>
      <c r="C47" s="2" t="s">
        <v>156</v>
      </c>
      <c r="D47" s="2">
        <v>30.6</v>
      </c>
      <c r="E47" s="2">
        <v>10</v>
      </c>
      <c r="F47" s="2" t="s">
        <v>9</v>
      </c>
      <c r="G47" s="2">
        <f t="shared" si="27"/>
        <v>306</v>
      </c>
      <c r="H47" s="2"/>
      <c r="J47" s="31"/>
      <c r="K47" s="1"/>
      <c r="L47" s="1"/>
      <c r="M47" s="1"/>
      <c r="N47" s="1"/>
      <c r="O47" s="1"/>
      <c r="P47" s="1"/>
      <c r="Q47" s="1"/>
      <c r="AB47" s="31"/>
      <c r="AC47" s="1"/>
      <c r="AD47" s="1"/>
      <c r="AE47" s="1"/>
      <c r="AF47" s="1"/>
      <c r="AG47" s="1"/>
      <c r="AH47" s="1"/>
      <c r="AI47" s="1"/>
      <c r="AK47" s="1" t="s">
        <v>341</v>
      </c>
      <c r="AL47" s="1" t="s">
        <v>12</v>
      </c>
      <c r="AM47" s="1" t="s">
        <v>77</v>
      </c>
      <c r="AN47" s="1" t="s">
        <v>164</v>
      </c>
      <c r="AO47" s="1" t="s">
        <v>29</v>
      </c>
      <c r="AP47" s="1"/>
      <c r="AQ47" s="1" t="s">
        <v>30</v>
      </c>
      <c r="AR47" s="1" t="s">
        <v>188</v>
      </c>
      <c r="AU47" s="1" t="s">
        <v>316</v>
      </c>
      <c r="AV47" s="1"/>
      <c r="AW47" s="1">
        <v>77.400000000000006</v>
      </c>
      <c r="AX47" s="1">
        <v>3</v>
      </c>
      <c r="AY47" s="4" t="s">
        <v>83</v>
      </c>
      <c r="AZ47" s="4">
        <f>AW47*AX47</f>
        <v>232.20000000000002</v>
      </c>
      <c r="BA47" s="2" t="s">
        <v>394</v>
      </c>
      <c r="BL47" s="31"/>
      <c r="BM47" s="1"/>
      <c r="BN47" s="1"/>
      <c r="BO47" s="1"/>
      <c r="BP47" s="1"/>
      <c r="BQ47" s="1"/>
      <c r="BR47" s="1"/>
      <c r="BS47" s="1"/>
      <c r="BU47" s="31" t="s">
        <v>814</v>
      </c>
      <c r="BV47" s="2" t="s">
        <v>711</v>
      </c>
      <c r="BW47" s="2"/>
      <c r="BX47" s="2"/>
      <c r="BY47" s="2"/>
      <c r="CA47" s="2"/>
      <c r="CB47" s="2" t="s">
        <v>600</v>
      </c>
      <c r="CD47" s="31"/>
      <c r="CE47" s="2" t="s">
        <v>264</v>
      </c>
      <c r="CF47" s="2" t="s">
        <v>271</v>
      </c>
      <c r="CG47" s="2">
        <v>45</v>
      </c>
      <c r="CH47" s="2">
        <v>5</v>
      </c>
      <c r="CI47" s="2" t="s">
        <v>9</v>
      </c>
      <c r="CJ47" s="2">
        <f t="shared" si="28"/>
        <v>225</v>
      </c>
      <c r="CK47" s="2"/>
    </row>
    <row r="48" spans="1:89" x14ac:dyDescent="0.25">
      <c r="A48" s="31"/>
      <c r="B48" s="2"/>
      <c r="C48" s="2"/>
      <c r="D48" s="2"/>
      <c r="E48" s="6"/>
      <c r="F48" s="6"/>
      <c r="G48" s="6"/>
      <c r="H48" s="2"/>
      <c r="J48" s="31"/>
      <c r="K48" s="1"/>
      <c r="L48" s="1"/>
      <c r="M48" s="1"/>
      <c r="N48" s="4"/>
      <c r="O48" s="4"/>
      <c r="P48" s="4"/>
      <c r="Q48" s="1"/>
      <c r="AB48" s="31"/>
      <c r="AC48" s="32" t="s">
        <v>86</v>
      </c>
      <c r="AD48" s="33"/>
      <c r="AE48" s="34"/>
      <c r="AF48" s="4"/>
      <c r="AG48" s="4"/>
      <c r="AH48" s="7">
        <f>SUM(AH43:AH47)</f>
        <v>3105.6</v>
      </c>
      <c r="AI48" s="1"/>
      <c r="AK48" s="31" t="s">
        <v>375</v>
      </c>
      <c r="AL48" s="1" t="s">
        <v>376</v>
      </c>
      <c r="AM48" s="1" t="s">
        <v>377</v>
      </c>
      <c r="AN48" s="1">
        <v>52.8</v>
      </c>
      <c r="AO48" s="18">
        <v>29</v>
      </c>
      <c r="AP48" s="1" t="s">
        <v>192</v>
      </c>
      <c r="AQ48" s="20">
        <f>AN48*AO48</f>
        <v>1531.1999999999998</v>
      </c>
      <c r="AR48" s="1"/>
      <c r="AU48" s="1" t="s">
        <v>317</v>
      </c>
      <c r="AV48" s="1"/>
      <c r="AW48" s="1">
        <v>1188</v>
      </c>
      <c r="AX48" s="1">
        <v>1</v>
      </c>
      <c r="AY48" s="1" t="s">
        <v>117</v>
      </c>
      <c r="AZ48" s="4">
        <f>AW48*AX48</f>
        <v>1188</v>
      </c>
      <c r="BA48" s="2"/>
      <c r="BL48" s="31"/>
      <c r="BM48" s="32"/>
      <c r="BN48" s="33"/>
      <c r="BO48" s="34"/>
      <c r="BP48" s="4"/>
      <c r="BQ48" s="4"/>
      <c r="BR48" s="14">
        <f>SUM(BR45:BR47)</f>
        <v>2655</v>
      </c>
      <c r="BS48" s="1"/>
      <c r="BU48" s="31"/>
      <c r="BV48" s="2" t="s">
        <v>815</v>
      </c>
      <c r="BW48" s="2">
        <v>10</v>
      </c>
      <c r="BX48" s="2">
        <v>48</v>
      </c>
      <c r="BY48" s="2">
        <v>10</v>
      </c>
      <c r="BZ48" s="2" t="s">
        <v>708</v>
      </c>
      <c r="CA48" s="2">
        <f>BX48*BY48</f>
        <v>480</v>
      </c>
      <c r="CB48" s="2"/>
      <c r="CD48" s="31"/>
      <c r="CE48" s="2" t="s">
        <v>702</v>
      </c>
      <c r="CF48" s="2" t="s">
        <v>143</v>
      </c>
      <c r="CG48" s="2">
        <v>613</v>
      </c>
      <c r="CH48" s="2">
        <v>1</v>
      </c>
      <c r="CI48" s="2" t="s">
        <v>144</v>
      </c>
      <c r="CJ48" s="2">
        <f t="shared" si="28"/>
        <v>613</v>
      </c>
      <c r="CK48" s="2"/>
    </row>
    <row r="49" spans="1:89" x14ac:dyDescent="0.25">
      <c r="A49" s="31"/>
      <c r="B49" s="32" t="s">
        <v>10</v>
      </c>
      <c r="C49" s="33"/>
      <c r="D49" s="34"/>
      <c r="E49" s="6"/>
      <c r="F49" s="6"/>
      <c r="G49" s="14">
        <f>SUM(G45:G48)</f>
        <v>5607</v>
      </c>
      <c r="H49" s="2"/>
      <c r="J49" s="31"/>
      <c r="K49" s="32" t="s">
        <v>73</v>
      </c>
      <c r="L49" s="33"/>
      <c r="M49" s="34"/>
      <c r="N49" s="4"/>
      <c r="O49" s="4"/>
      <c r="P49" s="14">
        <f>SUM(P45:P48)</f>
        <v>5000</v>
      </c>
      <c r="Q49" s="1"/>
      <c r="AK49" s="31"/>
      <c r="AL49" s="1"/>
      <c r="AM49" s="1"/>
      <c r="AN49" s="1"/>
      <c r="AO49" s="1"/>
      <c r="AP49" s="1"/>
      <c r="AQ49" s="1"/>
      <c r="AR49" s="1"/>
      <c r="AU49" s="1" t="s">
        <v>325</v>
      </c>
      <c r="AV49" s="1"/>
      <c r="AW49" s="1">
        <v>12</v>
      </c>
      <c r="AX49" s="1">
        <v>10</v>
      </c>
      <c r="AY49" s="1" t="s">
        <v>326</v>
      </c>
      <c r="AZ49" s="1">
        <f>AW49*AX49</f>
        <v>120</v>
      </c>
      <c r="BA49" s="2"/>
      <c r="BU49" s="31"/>
      <c r="BV49" s="2"/>
      <c r="BW49" s="2"/>
      <c r="BX49" s="2"/>
      <c r="BY49" s="2"/>
      <c r="BZ49" s="2"/>
      <c r="CA49" s="2"/>
      <c r="CB49" s="2"/>
      <c r="CD49" s="31"/>
      <c r="CE49" s="32" t="s">
        <v>10</v>
      </c>
      <c r="CF49" s="33"/>
      <c r="CG49" s="34"/>
      <c r="CH49" s="6"/>
      <c r="CI49" s="6"/>
      <c r="CJ49" s="14">
        <f>SUM(CJ45:CJ48)</f>
        <v>4114</v>
      </c>
      <c r="CK49" s="2"/>
    </row>
    <row r="50" spans="1:89" x14ac:dyDescent="0.25">
      <c r="AB50" s="1" t="s">
        <v>363</v>
      </c>
      <c r="AC50" s="1" t="s">
        <v>364</v>
      </c>
      <c r="AD50" s="1" t="s">
        <v>365</v>
      </c>
      <c r="AE50" s="1" t="s">
        <v>366</v>
      </c>
      <c r="AF50" s="1" t="s">
        <v>367</v>
      </c>
      <c r="AG50" s="1"/>
      <c r="AH50" s="1" t="s">
        <v>368</v>
      </c>
      <c r="AI50" s="1" t="s">
        <v>369</v>
      </c>
      <c r="AK50" s="31"/>
      <c r="AL50" s="1"/>
      <c r="AM50" s="1"/>
      <c r="AN50" s="1"/>
      <c r="AO50" s="1"/>
      <c r="AP50" s="1"/>
      <c r="AQ50" s="1"/>
      <c r="AR50" s="1"/>
      <c r="AU50" s="1" t="s">
        <v>58</v>
      </c>
      <c r="AV50" s="1"/>
      <c r="AW50" s="1">
        <v>93</v>
      </c>
      <c r="AX50" s="1">
        <v>3</v>
      </c>
      <c r="AY50" s="1" t="s">
        <v>83</v>
      </c>
      <c r="AZ50" s="1">
        <f>AW50*AX50</f>
        <v>279</v>
      </c>
      <c r="BA50" s="2"/>
      <c r="BL50" s="1" t="s">
        <v>101</v>
      </c>
      <c r="BM50" s="1" t="s">
        <v>567</v>
      </c>
      <c r="BN50" s="1" t="s">
        <v>13</v>
      </c>
      <c r="BO50" s="1" t="s">
        <v>42</v>
      </c>
      <c r="BP50" s="1" t="s">
        <v>29</v>
      </c>
      <c r="BQ50" s="1"/>
      <c r="BR50" s="1" t="s">
        <v>44</v>
      </c>
      <c r="BS50" s="1" t="s">
        <v>69</v>
      </c>
      <c r="BU50" s="31"/>
      <c r="BV50" s="32"/>
      <c r="BW50" s="33"/>
      <c r="BX50" s="34"/>
      <c r="BY50" s="6"/>
      <c r="BZ50" s="6"/>
      <c r="CA50" s="14">
        <f>SUM(CA47:CA49)</f>
        <v>480</v>
      </c>
      <c r="CB50" s="2"/>
    </row>
    <row r="51" spans="1:89" x14ac:dyDescent="0.25">
      <c r="A51" s="2" t="s">
        <v>74</v>
      </c>
      <c r="B51" s="2" t="s">
        <v>0</v>
      </c>
      <c r="C51" s="2" t="s">
        <v>1</v>
      </c>
      <c r="D51" s="2" t="s">
        <v>2</v>
      </c>
      <c r="E51" s="2" t="s">
        <v>3</v>
      </c>
      <c r="F51" s="2"/>
      <c r="G51" s="2" t="s">
        <v>4</v>
      </c>
      <c r="H51" s="2" t="s">
        <v>5</v>
      </c>
      <c r="J51" s="2" t="s">
        <v>74</v>
      </c>
      <c r="K51" s="2" t="s">
        <v>0</v>
      </c>
      <c r="L51" s="2" t="s">
        <v>1</v>
      </c>
      <c r="M51" s="2" t="s">
        <v>2</v>
      </c>
      <c r="N51" s="2" t="s">
        <v>3</v>
      </c>
      <c r="O51" s="2"/>
      <c r="P51" s="2" t="s">
        <v>4</v>
      </c>
      <c r="Q51" s="2" t="s">
        <v>5</v>
      </c>
      <c r="AB51" s="31" t="s">
        <v>370</v>
      </c>
      <c r="AC51" s="1" t="s">
        <v>371</v>
      </c>
      <c r="AD51" s="1" t="s">
        <v>372</v>
      </c>
      <c r="AE51" s="1">
        <v>11.5</v>
      </c>
      <c r="AF51" s="1">
        <v>600</v>
      </c>
      <c r="AG51" s="1" t="s">
        <v>373</v>
      </c>
      <c r="AH51" s="1">
        <f>AE51*AF51</f>
        <v>6900</v>
      </c>
      <c r="AI51" s="1"/>
      <c r="AK51" s="31"/>
      <c r="AL51" s="1"/>
      <c r="AM51" s="1"/>
      <c r="AN51" s="1"/>
      <c r="AO51" s="4"/>
      <c r="AP51" s="4"/>
      <c r="AQ51" s="4"/>
      <c r="AR51" s="1"/>
      <c r="AU51" s="1" t="s">
        <v>327</v>
      </c>
      <c r="AV51" s="1"/>
      <c r="AW51" s="1">
        <v>1250</v>
      </c>
      <c r="AX51" s="1">
        <v>1</v>
      </c>
      <c r="AY51" s="1" t="s">
        <v>221</v>
      </c>
      <c r="AZ51" s="1">
        <f>AW51*AX51</f>
        <v>1250</v>
      </c>
      <c r="BA51" s="2"/>
      <c r="BL51" s="31" t="s">
        <v>568</v>
      </c>
      <c r="BM51" s="1" t="s">
        <v>569</v>
      </c>
      <c r="BN51" s="1" t="s">
        <v>97</v>
      </c>
      <c r="BO51" s="1">
        <v>21.42</v>
      </c>
      <c r="BP51" s="1">
        <v>20</v>
      </c>
      <c r="BQ51" s="1" t="s">
        <v>24</v>
      </c>
      <c r="BR51" s="3">
        <f>BO51*BP51</f>
        <v>428.40000000000003</v>
      </c>
      <c r="BS51" s="1"/>
      <c r="CD51" s="16" t="s">
        <v>145</v>
      </c>
      <c r="CE51" s="2" t="s">
        <v>0</v>
      </c>
      <c r="CF51" s="2" t="s">
        <v>1</v>
      </c>
      <c r="CG51" s="2" t="s">
        <v>2</v>
      </c>
      <c r="CH51" s="2" t="s">
        <v>3</v>
      </c>
      <c r="CI51" s="2"/>
      <c r="CJ51" s="2" t="s">
        <v>4</v>
      </c>
      <c r="CK51" s="2"/>
    </row>
    <row r="52" spans="1:89" x14ac:dyDescent="0.25">
      <c r="A52" s="31" t="s">
        <v>681</v>
      </c>
      <c r="B52" s="2" t="s">
        <v>7</v>
      </c>
      <c r="C52" s="2" t="s">
        <v>8</v>
      </c>
      <c r="D52" s="2">
        <v>66</v>
      </c>
      <c r="E52" s="2">
        <v>66.45</v>
      </c>
      <c r="F52" s="2" t="s">
        <v>9</v>
      </c>
      <c r="G52" s="3">
        <f>D52*E52</f>
        <v>4385.7</v>
      </c>
      <c r="H52" s="2"/>
      <c r="J52" s="31" t="s">
        <v>585</v>
      </c>
      <c r="K52" s="2" t="s">
        <v>586</v>
      </c>
      <c r="L52" s="2" t="s">
        <v>548</v>
      </c>
      <c r="M52" s="2">
        <v>87</v>
      </c>
      <c r="N52" s="2">
        <v>70</v>
      </c>
      <c r="O52" s="2" t="s">
        <v>9</v>
      </c>
      <c r="P52" s="3">
        <f>M52*N52</f>
        <v>6090</v>
      </c>
      <c r="Q52" s="2"/>
      <c r="AB52" s="31"/>
      <c r="AC52" s="1"/>
      <c r="AD52" s="1"/>
      <c r="AE52" s="1"/>
      <c r="AF52" s="1"/>
      <c r="AG52" s="1"/>
      <c r="AH52" s="1"/>
      <c r="AI52" s="1"/>
      <c r="AK52" s="31"/>
      <c r="AL52" s="32" t="s">
        <v>86</v>
      </c>
      <c r="AM52" s="33"/>
      <c r="AN52" s="34"/>
      <c r="AO52" s="4"/>
      <c r="AP52" s="4"/>
      <c r="AQ52" s="7">
        <f>SUM(AQ48:AQ51)</f>
        <v>1531.1999999999998</v>
      </c>
      <c r="AR52" s="1"/>
      <c r="AU52" s="1" t="s">
        <v>351</v>
      </c>
      <c r="AV52" s="1"/>
      <c r="AW52" s="1">
        <v>193.8</v>
      </c>
      <c r="AX52" s="1">
        <v>1.5</v>
      </c>
      <c r="AY52" s="1" t="s">
        <v>24</v>
      </c>
      <c r="AZ52" s="3">
        <f>AW52*AX52</f>
        <v>290.70000000000005</v>
      </c>
      <c r="BA52" s="2" t="s">
        <v>392</v>
      </c>
      <c r="BL52" s="31"/>
      <c r="BM52" s="1" t="s">
        <v>570</v>
      </c>
      <c r="BN52" s="1" t="s">
        <v>571</v>
      </c>
      <c r="BO52" s="1">
        <v>63</v>
      </c>
      <c r="BP52" s="1">
        <v>5</v>
      </c>
      <c r="BQ52" s="1" t="s">
        <v>572</v>
      </c>
      <c r="BR52" s="3">
        <f>BO52*BP52</f>
        <v>315</v>
      </c>
      <c r="BS52" s="1"/>
      <c r="BU52" s="2" t="s">
        <v>101</v>
      </c>
      <c r="BV52" s="2" t="s">
        <v>0</v>
      </c>
      <c r="BW52" s="2" t="s">
        <v>1</v>
      </c>
      <c r="BX52" s="2" t="s">
        <v>2</v>
      </c>
      <c r="BY52" s="2" t="s">
        <v>3</v>
      </c>
      <c r="BZ52" s="2"/>
      <c r="CA52" s="2" t="s">
        <v>4</v>
      </c>
      <c r="CB52" s="2" t="s">
        <v>5</v>
      </c>
      <c r="CD52" s="31" t="s">
        <v>731</v>
      </c>
      <c r="CE52" s="2" t="s">
        <v>607</v>
      </c>
      <c r="CF52" s="2" t="s">
        <v>732</v>
      </c>
      <c r="CG52" s="2">
        <v>270</v>
      </c>
      <c r="CH52" s="2">
        <v>6</v>
      </c>
      <c r="CI52" s="2" t="s">
        <v>123</v>
      </c>
      <c r="CJ52" s="2">
        <f>CG52*CH52</f>
        <v>1620</v>
      </c>
      <c r="CK52" s="2"/>
    </row>
    <row r="53" spans="1:89" x14ac:dyDescent="0.25">
      <c r="A53" s="31"/>
      <c r="B53" s="2" t="s">
        <v>682</v>
      </c>
      <c r="C53" s="2" t="s">
        <v>281</v>
      </c>
      <c r="D53" s="2">
        <v>93</v>
      </c>
      <c r="E53" s="2">
        <v>5</v>
      </c>
      <c r="F53" s="2" t="s">
        <v>53</v>
      </c>
      <c r="G53" s="3">
        <f>D53*E53</f>
        <v>465</v>
      </c>
      <c r="H53" s="2"/>
      <c r="J53" s="31"/>
      <c r="K53" s="2" t="s">
        <v>250</v>
      </c>
      <c r="L53" s="2" t="s">
        <v>191</v>
      </c>
      <c r="M53" s="2">
        <v>7.2</v>
      </c>
      <c r="N53" s="2">
        <v>8</v>
      </c>
      <c r="O53" s="2" t="s">
        <v>9</v>
      </c>
      <c r="P53" s="3">
        <f>M53*N53</f>
        <v>57.6</v>
      </c>
      <c r="Q53" s="2"/>
      <c r="AB53" s="31"/>
      <c r="AC53" s="1"/>
      <c r="AD53" s="1"/>
      <c r="AE53" s="1"/>
      <c r="AF53" s="1"/>
      <c r="AG53" s="1"/>
      <c r="AH53" s="1"/>
      <c r="AI53" s="1"/>
      <c r="AU53" s="1" t="s">
        <v>352</v>
      </c>
      <c r="AV53" s="1"/>
      <c r="AW53" s="1">
        <v>99</v>
      </c>
      <c r="AX53" s="1">
        <v>4</v>
      </c>
      <c r="AY53" s="1" t="s">
        <v>24</v>
      </c>
      <c r="AZ53" s="3">
        <f>AW53*AX53</f>
        <v>396</v>
      </c>
      <c r="BA53" s="2"/>
      <c r="BL53" s="31"/>
      <c r="BM53" s="1"/>
      <c r="BN53" s="1"/>
      <c r="BO53" s="1"/>
      <c r="BP53" s="1"/>
      <c r="BQ53" s="1"/>
      <c r="BR53" s="1"/>
      <c r="BS53" s="1"/>
      <c r="BU53" s="31" t="s">
        <v>822</v>
      </c>
      <c r="BV53" s="2" t="s">
        <v>823</v>
      </c>
      <c r="BW53" s="2">
        <v>20</v>
      </c>
      <c r="BX53" s="2">
        <v>88</v>
      </c>
      <c r="BY53" s="2">
        <v>20</v>
      </c>
      <c r="BZ53" s="2" t="s">
        <v>708</v>
      </c>
      <c r="CA53" s="2">
        <f>BX53*BY53</f>
        <v>1760</v>
      </c>
      <c r="CB53" s="2"/>
      <c r="CD53" s="31"/>
      <c r="CE53" s="2" t="s">
        <v>563</v>
      </c>
      <c r="CF53" s="2" t="s">
        <v>732</v>
      </c>
      <c r="CG53" s="2">
        <v>120</v>
      </c>
      <c r="CH53" s="2">
        <v>6</v>
      </c>
      <c r="CI53" s="2" t="s">
        <v>123</v>
      </c>
      <c r="CJ53" s="2">
        <f t="shared" ref="CJ53:CJ55" si="29">CG53*CH53</f>
        <v>720</v>
      </c>
      <c r="CK53" s="2"/>
    </row>
    <row r="54" spans="1:89" x14ac:dyDescent="0.25">
      <c r="A54" s="31"/>
      <c r="B54" s="2"/>
      <c r="C54" s="2"/>
      <c r="D54" s="2"/>
      <c r="E54" s="2"/>
      <c r="F54" s="2"/>
      <c r="G54" s="2"/>
      <c r="H54" s="2"/>
      <c r="J54" s="31"/>
      <c r="K54" s="2"/>
      <c r="L54" s="2"/>
      <c r="M54" s="2"/>
      <c r="N54" s="2"/>
      <c r="O54" s="2"/>
      <c r="P54" s="2"/>
      <c r="Q54" s="2"/>
      <c r="AB54" s="31"/>
      <c r="AC54" s="1"/>
      <c r="AD54" s="1"/>
      <c r="AE54" s="1"/>
      <c r="AF54" s="1"/>
      <c r="AG54" s="1"/>
      <c r="AH54" s="1"/>
      <c r="AI54" s="1"/>
      <c r="AK54" s="1" t="s">
        <v>416</v>
      </c>
      <c r="AL54" s="1" t="s">
        <v>12</v>
      </c>
      <c r="AM54" s="1" t="s">
        <v>77</v>
      </c>
      <c r="AN54" s="1" t="s">
        <v>410</v>
      </c>
      <c r="AO54" s="1" t="s">
        <v>111</v>
      </c>
      <c r="AP54" s="1"/>
      <c r="AQ54" s="1" t="s">
        <v>30</v>
      </c>
      <c r="AR54" s="1" t="s">
        <v>226</v>
      </c>
      <c r="AU54" s="1" t="s">
        <v>58</v>
      </c>
      <c r="AV54" s="1"/>
      <c r="AW54" s="1">
        <v>93</v>
      </c>
      <c r="AX54" s="1">
        <v>40</v>
      </c>
      <c r="AY54" s="1" t="s">
        <v>24</v>
      </c>
      <c r="AZ54" s="3">
        <f>AW54*AX54</f>
        <v>3720</v>
      </c>
      <c r="BA54" s="2"/>
      <c r="BL54" s="31"/>
      <c r="BM54" s="32"/>
      <c r="BN54" s="33"/>
      <c r="BO54" s="34"/>
      <c r="BP54" s="4"/>
      <c r="BQ54" s="4"/>
      <c r="BR54" s="7">
        <f>SUM(BR51:BR53)</f>
        <v>743.40000000000009</v>
      </c>
      <c r="BS54" s="1"/>
      <c r="BU54" s="31"/>
      <c r="BV54" s="2"/>
      <c r="BW54" s="2"/>
      <c r="BX54" s="2"/>
      <c r="BY54" s="2"/>
      <c r="BZ54" s="2"/>
      <c r="CA54" s="2"/>
      <c r="CB54" s="2"/>
      <c r="CD54" s="31"/>
      <c r="CE54" s="2" t="s">
        <v>733</v>
      </c>
      <c r="CF54" s="2" t="s">
        <v>20</v>
      </c>
      <c r="CG54" s="2">
        <v>168</v>
      </c>
      <c r="CH54" s="2">
        <v>25</v>
      </c>
      <c r="CI54" s="2" t="s">
        <v>9</v>
      </c>
      <c r="CJ54" s="2">
        <f t="shared" si="29"/>
        <v>4200</v>
      </c>
      <c r="CK54" s="2"/>
    </row>
    <row r="55" spans="1:89" x14ac:dyDescent="0.25">
      <c r="A55" s="31"/>
      <c r="B55" s="2"/>
      <c r="C55" s="2"/>
      <c r="D55" s="2"/>
      <c r="E55" s="6"/>
      <c r="F55" s="6"/>
      <c r="G55" s="6"/>
      <c r="H55" s="2"/>
      <c r="J55" s="31"/>
      <c r="K55" s="2"/>
      <c r="L55" s="2"/>
      <c r="M55" s="2"/>
      <c r="N55" s="6"/>
      <c r="O55" s="6"/>
      <c r="P55" s="6"/>
      <c r="Q55" s="2"/>
      <c r="AB55" s="31"/>
      <c r="AC55" s="1"/>
      <c r="AD55" s="1"/>
      <c r="AE55" s="1"/>
      <c r="AF55" s="1"/>
      <c r="AG55" s="1"/>
      <c r="AH55" s="1"/>
      <c r="AI55" s="1"/>
      <c r="AK55" s="31" t="s">
        <v>411</v>
      </c>
      <c r="AL55" s="1" t="s">
        <v>412</v>
      </c>
      <c r="AM55" s="1" t="s">
        <v>413</v>
      </c>
      <c r="AN55" s="1">
        <v>38.4</v>
      </c>
      <c r="AO55" s="1">
        <v>20</v>
      </c>
      <c r="AP55" s="1" t="s">
        <v>83</v>
      </c>
      <c r="AQ55" s="1">
        <f>AN55*AO55</f>
        <v>768</v>
      </c>
      <c r="AR55" s="1" t="s">
        <v>392</v>
      </c>
      <c r="AU55" s="1" t="s">
        <v>353</v>
      </c>
      <c r="AV55" s="1"/>
      <c r="AW55" s="1">
        <v>85.5</v>
      </c>
      <c r="AX55" s="1">
        <v>1</v>
      </c>
      <c r="AY55" s="1" t="s">
        <v>354</v>
      </c>
      <c r="AZ55" s="3">
        <f>AW55*AX55</f>
        <v>85.5</v>
      </c>
      <c r="BA55" s="2" t="s">
        <v>393</v>
      </c>
      <c r="BU55" s="31"/>
      <c r="BV55" s="2"/>
      <c r="BW55" s="2"/>
      <c r="BX55" s="2"/>
      <c r="BY55" s="2"/>
      <c r="BZ55" s="2"/>
      <c r="CA55" s="2"/>
      <c r="CB55" s="2"/>
      <c r="CD55" s="31"/>
      <c r="CE55" s="2" t="s">
        <v>558</v>
      </c>
      <c r="CF55" s="2" t="s">
        <v>138</v>
      </c>
      <c r="CG55" s="2">
        <v>100</v>
      </c>
      <c r="CH55" s="2">
        <v>6</v>
      </c>
      <c r="CI55" s="2" t="s">
        <v>53</v>
      </c>
      <c r="CJ55" s="2">
        <f t="shared" si="29"/>
        <v>600</v>
      </c>
      <c r="CK55" s="2"/>
    </row>
    <row r="56" spans="1:89" x14ac:dyDescent="0.25">
      <c r="A56" s="31"/>
      <c r="B56" s="32" t="s">
        <v>10</v>
      </c>
      <c r="C56" s="33"/>
      <c r="D56" s="34"/>
      <c r="E56" s="6"/>
      <c r="F56" s="6"/>
      <c r="G56" s="7">
        <f>SUM(G52:G55)</f>
        <v>4850.7</v>
      </c>
      <c r="H56" s="2"/>
      <c r="J56" s="31"/>
      <c r="K56" s="32" t="s">
        <v>10</v>
      </c>
      <c r="L56" s="33"/>
      <c r="M56" s="34"/>
      <c r="N56" s="6"/>
      <c r="O56" s="6"/>
      <c r="P56" s="7">
        <f>SUM(P52:P55)</f>
        <v>6147.6</v>
      </c>
      <c r="Q56" s="2"/>
      <c r="AB56" s="31"/>
      <c r="AC56" s="32" t="s">
        <v>374</v>
      </c>
      <c r="AD56" s="33"/>
      <c r="AE56" s="34"/>
      <c r="AF56" s="4"/>
      <c r="AG56" s="4"/>
      <c r="AH56" s="14">
        <f>SUM(AH51:AH55)</f>
        <v>6900</v>
      </c>
      <c r="AI56" s="1"/>
      <c r="AK56" s="31"/>
      <c r="AL56" s="1" t="s">
        <v>414</v>
      </c>
      <c r="AM56" s="1" t="s">
        <v>413</v>
      </c>
      <c r="AN56" s="1">
        <v>75</v>
      </c>
      <c r="AO56" s="1">
        <v>15</v>
      </c>
      <c r="AP56" s="1" t="s">
        <v>53</v>
      </c>
      <c r="AQ56" s="1">
        <f>AN56*AO56</f>
        <v>1125</v>
      </c>
      <c r="AR56" s="1"/>
      <c r="AU56" s="1" t="s">
        <v>355</v>
      </c>
      <c r="AV56" s="1"/>
      <c r="AW56" s="1">
        <v>37</v>
      </c>
      <c r="AX56" s="1">
        <v>20</v>
      </c>
      <c r="AY56" s="4" t="s">
        <v>123</v>
      </c>
      <c r="AZ56" s="3">
        <f>AW56*AX56</f>
        <v>740</v>
      </c>
      <c r="BA56" s="2"/>
      <c r="BL56" s="2" t="s">
        <v>101</v>
      </c>
      <c r="BM56" s="2" t="s">
        <v>0</v>
      </c>
      <c r="BN56" s="2" t="s">
        <v>1</v>
      </c>
      <c r="BO56" s="2" t="s">
        <v>2</v>
      </c>
      <c r="BP56" s="2" t="s">
        <v>3</v>
      </c>
      <c r="BQ56" s="2"/>
      <c r="BR56" s="2" t="s">
        <v>4</v>
      </c>
      <c r="BS56" s="2" t="s">
        <v>5</v>
      </c>
      <c r="BU56" s="31"/>
      <c r="BV56" s="32"/>
      <c r="BW56" s="33"/>
      <c r="BX56" s="34"/>
      <c r="BY56" s="6"/>
      <c r="BZ56" s="6"/>
      <c r="CA56" s="14">
        <f>SUM(CA53:CA55)</f>
        <v>1760</v>
      </c>
      <c r="CB56" s="2"/>
      <c r="CD56" s="31"/>
      <c r="CE56" s="32" t="s">
        <v>10</v>
      </c>
      <c r="CF56" s="33"/>
      <c r="CG56" s="34"/>
      <c r="CH56" s="6"/>
      <c r="CI56" s="6"/>
      <c r="CJ56" s="14">
        <f>SUM(CJ52:CJ55)</f>
        <v>7140</v>
      </c>
      <c r="CK56" s="2"/>
    </row>
    <row r="57" spans="1:89" x14ac:dyDescent="0.25">
      <c r="AK57" s="31"/>
      <c r="AL57" s="1"/>
      <c r="AM57" s="1"/>
      <c r="AN57" s="1"/>
      <c r="AO57" s="1"/>
      <c r="AP57" s="1"/>
      <c r="AQ57" s="1"/>
      <c r="AR57" s="1"/>
      <c r="AU57" s="1" t="s">
        <v>356</v>
      </c>
      <c r="AV57" s="1"/>
      <c r="AW57" s="1">
        <v>168</v>
      </c>
      <c r="AX57" s="1">
        <v>3</v>
      </c>
      <c r="AY57" s="1" t="s">
        <v>354</v>
      </c>
      <c r="AZ57" s="19">
        <f>AW57*AX57</f>
        <v>504</v>
      </c>
      <c r="BA57" s="2"/>
      <c r="BL57" s="31" t="s">
        <v>593</v>
      </c>
      <c r="BM57" s="2" t="s">
        <v>594</v>
      </c>
      <c r="BN57" s="2" t="s">
        <v>183</v>
      </c>
      <c r="BO57" s="2">
        <v>637.79999999999995</v>
      </c>
      <c r="BP57" s="2">
        <v>1</v>
      </c>
      <c r="BQ57" s="2" t="s">
        <v>9</v>
      </c>
      <c r="BR57" s="2">
        <f>BO57*BP57</f>
        <v>637.79999999999995</v>
      </c>
      <c r="BS57" s="2"/>
    </row>
    <row r="58" spans="1:89" x14ac:dyDescent="0.25">
      <c r="A58" s="2" t="s">
        <v>74</v>
      </c>
      <c r="B58" s="2" t="s">
        <v>0</v>
      </c>
      <c r="C58" s="2" t="s">
        <v>1</v>
      </c>
      <c r="D58" s="2" t="s">
        <v>2</v>
      </c>
      <c r="E58" s="2" t="s">
        <v>3</v>
      </c>
      <c r="F58" s="2"/>
      <c r="G58" s="2" t="s">
        <v>4</v>
      </c>
      <c r="H58" s="2" t="s">
        <v>5</v>
      </c>
      <c r="J58" s="2" t="s">
        <v>74</v>
      </c>
      <c r="K58" s="2" t="s">
        <v>0</v>
      </c>
      <c r="L58" s="2" t="s">
        <v>1</v>
      </c>
      <c r="M58" s="2" t="s">
        <v>2</v>
      </c>
      <c r="N58" s="2" t="s">
        <v>3</v>
      </c>
      <c r="O58" s="2"/>
      <c r="P58" s="2" t="s">
        <v>4</v>
      </c>
      <c r="Q58" s="2" t="s">
        <v>5</v>
      </c>
      <c r="AB58" s="1" t="s">
        <v>420</v>
      </c>
      <c r="AC58" s="1" t="s">
        <v>41</v>
      </c>
      <c r="AD58" s="1" t="s">
        <v>77</v>
      </c>
      <c r="AE58" s="1" t="s">
        <v>42</v>
      </c>
      <c r="AF58" s="1" t="s">
        <v>29</v>
      </c>
      <c r="AG58" s="1"/>
      <c r="AH58" s="1" t="s">
        <v>30</v>
      </c>
      <c r="AI58" s="1" t="s">
        <v>69</v>
      </c>
      <c r="AK58" s="31"/>
      <c r="AL58" s="1"/>
      <c r="AM58" s="1"/>
      <c r="AN58" s="1"/>
      <c r="AO58" s="1"/>
      <c r="AP58" s="1"/>
      <c r="AQ58" s="1"/>
      <c r="AR58" s="1"/>
      <c r="AU58" s="1" t="s">
        <v>378</v>
      </c>
      <c r="AV58" s="1"/>
      <c r="AW58" s="1">
        <v>51</v>
      </c>
      <c r="AX58" s="1">
        <v>3</v>
      </c>
      <c r="AY58" s="1" t="s">
        <v>24</v>
      </c>
      <c r="AZ58" s="1">
        <f>AW58*AX58</f>
        <v>153</v>
      </c>
      <c r="BA58" s="2" t="s">
        <v>394</v>
      </c>
      <c r="BL58" s="31"/>
      <c r="BM58" s="2" t="s">
        <v>440</v>
      </c>
      <c r="BN58" s="2" t="s">
        <v>37</v>
      </c>
      <c r="BO58" s="2">
        <v>99</v>
      </c>
      <c r="BP58" s="2">
        <v>15</v>
      </c>
      <c r="BQ58" s="2" t="s">
        <v>9</v>
      </c>
      <c r="BR58" s="2">
        <f t="shared" ref="BR58:BR59" si="30">BO58*BP58</f>
        <v>1485</v>
      </c>
      <c r="BS58" s="2"/>
      <c r="BU58" s="2" t="s">
        <v>101</v>
      </c>
      <c r="BV58" s="2" t="s">
        <v>0</v>
      </c>
      <c r="BW58" s="2" t="s">
        <v>1</v>
      </c>
      <c r="BX58" s="2" t="s">
        <v>2</v>
      </c>
      <c r="BY58" s="2" t="s">
        <v>3</v>
      </c>
      <c r="BZ58" s="2"/>
      <c r="CA58" s="2" t="s">
        <v>4</v>
      </c>
      <c r="CB58" s="2" t="s">
        <v>5</v>
      </c>
      <c r="CD58" s="16" t="s">
        <v>145</v>
      </c>
      <c r="CE58" s="2" t="s">
        <v>0</v>
      </c>
      <c r="CF58" s="2" t="s">
        <v>1</v>
      </c>
      <c r="CG58" s="2" t="s">
        <v>2</v>
      </c>
      <c r="CH58" s="2" t="s">
        <v>3</v>
      </c>
      <c r="CI58" s="2"/>
      <c r="CJ58" s="2" t="s">
        <v>4</v>
      </c>
      <c r="CK58" s="2"/>
    </row>
    <row r="59" spans="1:89" x14ac:dyDescent="0.25">
      <c r="A59" s="31" t="s">
        <v>694</v>
      </c>
      <c r="B59" s="2" t="s">
        <v>547</v>
      </c>
      <c r="C59" s="2" t="s">
        <v>151</v>
      </c>
      <c r="D59" s="2">
        <v>75</v>
      </c>
      <c r="E59" s="2">
        <v>60</v>
      </c>
      <c r="F59" s="2" t="s">
        <v>9</v>
      </c>
      <c r="G59" s="3">
        <f>D59*E59</f>
        <v>4500</v>
      </c>
      <c r="H59" s="2"/>
      <c r="J59" s="31" t="s">
        <v>595</v>
      </c>
      <c r="K59" s="2" t="s">
        <v>595</v>
      </c>
      <c r="L59" s="2" t="s">
        <v>596</v>
      </c>
      <c r="M59" s="2">
        <v>1350</v>
      </c>
      <c r="N59" s="2">
        <v>4</v>
      </c>
      <c r="O59" s="2" t="s">
        <v>48</v>
      </c>
      <c r="P59" s="2">
        <f>M59*N59</f>
        <v>5400</v>
      </c>
      <c r="Q59" s="2"/>
      <c r="AB59" s="31" t="s">
        <v>417</v>
      </c>
      <c r="AC59" s="1" t="s">
        <v>322</v>
      </c>
      <c r="AD59" s="1" t="s">
        <v>418</v>
      </c>
      <c r="AE59" s="1">
        <v>150</v>
      </c>
      <c r="AF59" s="1">
        <v>6</v>
      </c>
      <c r="AG59" s="1" t="s">
        <v>324</v>
      </c>
      <c r="AH59" s="1">
        <f>AE59*AF59</f>
        <v>900</v>
      </c>
      <c r="AI59" s="1"/>
      <c r="AK59" s="31"/>
      <c r="AL59" s="1"/>
      <c r="AM59" s="1"/>
      <c r="AN59" s="1"/>
      <c r="AO59" s="1"/>
      <c r="AP59" s="1"/>
      <c r="AQ59" s="1"/>
      <c r="AR59" s="1"/>
      <c r="AU59" s="1" t="s">
        <v>379</v>
      </c>
      <c r="AV59" s="1"/>
      <c r="AW59" s="1">
        <v>150</v>
      </c>
      <c r="AX59" s="1">
        <v>15</v>
      </c>
      <c r="AY59" s="1" t="s">
        <v>24</v>
      </c>
      <c r="AZ59" s="1">
        <f>AW59*AX59</f>
        <v>2250</v>
      </c>
      <c r="BA59" s="2"/>
      <c r="BL59" s="31"/>
      <c r="BM59" s="2" t="s">
        <v>180</v>
      </c>
      <c r="BN59" s="2" t="s">
        <v>409</v>
      </c>
      <c r="BO59" s="2">
        <v>74.099999999999994</v>
      </c>
      <c r="BP59" s="2">
        <v>0.5</v>
      </c>
      <c r="BQ59" s="2" t="s">
        <v>9</v>
      </c>
      <c r="BR59" s="2">
        <f t="shared" si="30"/>
        <v>37.049999999999997</v>
      </c>
      <c r="BS59" s="2"/>
      <c r="BU59" s="31" t="s">
        <v>851</v>
      </c>
      <c r="BV59" s="2" t="s">
        <v>712</v>
      </c>
      <c r="BW59" s="2">
        <v>2</v>
      </c>
      <c r="BX59" s="2">
        <v>30</v>
      </c>
      <c r="BY59" s="2">
        <v>10</v>
      </c>
      <c r="BZ59" t="s">
        <v>9</v>
      </c>
      <c r="CA59" s="2">
        <f>BX59*BY59</f>
        <v>300</v>
      </c>
      <c r="CB59" s="2"/>
      <c r="CD59" s="36" t="s">
        <v>746</v>
      </c>
      <c r="CE59" s="2" t="s">
        <v>150</v>
      </c>
      <c r="CF59" s="2">
        <v>60</v>
      </c>
      <c r="CG59" s="2">
        <v>19.8</v>
      </c>
      <c r="CH59" s="2">
        <v>60</v>
      </c>
      <c r="CI59" s="2" t="s">
        <v>708</v>
      </c>
      <c r="CJ59" s="2">
        <f>CG59*CH59</f>
        <v>1188</v>
      </c>
      <c r="CK59" s="2"/>
    </row>
    <row r="60" spans="1:89" x14ac:dyDescent="0.25">
      <c r="A60" s="31"/>
      <c r="B60" s="2" t="s">
        <v>627</v>
      </c>
      <c r="C60" s="2" t="s">
        <v>628</v>
      </c>
      <c r="D60" s="2">
        <v>294</v>
      </c>
      <c r="E60" s="2">
        <v>2</v>
      </c>
      <c r="F60" s="2" t="s">
        <v>53</v>
      </c>
      <c r="G60" s="3">
        <f t="shared" ref="G60:G62" si="31">D60*E60</f>
        <v>588</v>
      </c>
      <c r="H60" s="2"/>
      <c r="J60" s="31"/>
      <c r="K60" s="2"/>
      <c r="L60" s="2"/>
      <c r="M60" s="2"/>
      <c r="N60" s="2"/>
      <c r="O60" s="2"/>
      <c r="P60" s="2"/>
      <c r="Q60" s="2"/>
      <c r="AB60" s="31"/>
      <c r="AC60" s="1" t="s">
        <v>58</v>
      </c>
      <c r="AD60" s="1" t="s">
        <v>419</v>
      </c>
      <c r="AE60" s="1">
        <v>93</v>
      </c>
      <c r="AF60" s="1">
        <v>15</v>
      </c>
      <c r="AG60" s="1" t="s">
        <v>83</v>
      </c>
      <c r="AH60" s="1">
        <f t="shared" ref="AH60:AH62" si="32">AE60*AF60</f>
        <v>1395</v>
      </c>
      <c r="AI60" s="1"/>
      <c r="AK60" s="31"/>
      <c r="AL60" s="32" t="s">
        <v>415</v>
      </c>
      <c r="AM60" s="33"/>
      <c r="AN60" s="34"/>
      <c r="AO60" s="4"/>
      <c r="AP60" s="4"/>
      <c r="AQ60" s="14">
        <f>SUM(AQ55:AQ59)</f>
        <v>1893</v>
      </c>
      <c r="AR60" s="1"/>
      <c r="AU60" s="1" t="s">
        <v>380</v>
      </c>
      <c r="AV60" s="1"/>
      <c r="AW60" s="1">
        <v>78</v>
      </c>
      <c r="AX60" s="1">
        <v>5.34</v>
      </c>
      <c r="AY60" s="1" t="s">
        <v>24</v>
      </c>
      <c r="AZ60" s="1">
        <f>AW60*AX60</f>
        <v>416.52</v>
      </c>
      <c r="BA60" s="2"/>
      <c r="BL60" s="31"/>
      <c r="BM60" s="32"/>
      <c r="BN60" s="33"/>
      <c r="BO60" s="34"/>
      <c r="BP60" s="6"/>
      <c r="BQ60" s="6"/>
      <c r="BR60" s="7">
        <f>SUM(BR57:BR59)</f>
        <v>2159.8500000000004</v>
      </c>
      <c r="BS60" s="2"/>
      <c r="BU60" s="31"/>
      <c r="BV60" s="2" t="s">
        <v>852</v>
      </c>
      <c r="BW60" s="2">
        <v>2</v>
      </c>
      <c r="BX60" s="2">
        <v>220</v>
      </c>
      <c r="BY60" s="2">
        <v>2</v>
      </c>
      <c r="BZ60" s="2" t="s">
        <v>53</v>
      </c>
      <c r="CA60" s="2">
        <f t="shared" ref="CA60:CA61" si="33">BX60*BY60</f>
        <v>440</v>
      </c>
      <c r="CB60" s="2"/>
      <c r="CD60" s="37"/>
      <c r="CE60" s="2" t="s">
        <v>222</v>
      </c>
      <c r="CF60" s="2">
        <v>20</v>
      </c>
      <c r="CG60" s="2">
        <v>99</v>
      </c>
      <c r="CH60" s="2">
        <v>20</v>
      </c>
      <c r="CI60" s="2" t="s">
        <v>708</v>
      </c>
      <c r="CJ60" s="2">
        <f t="shared" ref="CJ60:CJ63" si="34">CG60*CH60</f>
        <v>1980</v>
      </c>
      <c r="CK60" s="2"/>
    </row>
    <row r="61" spans="1:89" x14ac:dyDescent="0.25">
      <c r="A61" s="31"/>
      <c r="B61" s="2" t="s">
        <v>695</v>
      </c>
      <c r="C61" s="2" t="s">
        <v>423</v>
      </c>
      <c r="D61" s="2">
        <v>120</v>
      </c>
      <c r="E61" s="2">
        <v>2</v>
      </c>
      <c r="F61" s="2" t="s">
        <v>50</v>
      </c>
      <c r="G61" s="3">
        <f t="shared" si="31"/>
        <v>240</v>
      </c>
      <c r="H61" s="2"/>
      <c r="J61" s="31"/>
      <c r="K61" s="2"/>
      <c r="L61" s="2"/>
      <c r="M61" s="2"/>
      <c r="N61" s="2"/>
      <c r="O61" s="2"/>
      <c r="P61" s="2"/>
      <c r="Q61" s="2"/>
      <c r="AB61" s="31"/>
      <c r="AC61" s="1" t="s">
        <v>168</v>
      </c>
      <c r="AD61" s="1" t="s">
        <v>156</v>
      </c>
      <c r="AE61" s="1">
        <v>30.6</v>
      </c>
      <c r="AF61" s="1">
        <v>10</v>
      </c>
      <c r="AG61" s="1" t="s">
        <v>83</v>
      </c>
      <c r="AH61" s="1">
        <f t="shared" si="32"/>
        <v>306</v>
      </c>
      <c r="AI61" s="1"/>
      <c r="AU61" s="1" t="s">
        <v>381</v>
      </c>
      <c r="AV61" s="1"/>
      <c r="AW61" s="1">
        <v>38.4</v>
      </c>
      <c r="AX61" s="1">
        <v>20</v>
      </c>
      <c r="AY61" s="1" t="s">
        <v>67</v>
      </c>
      <c r="AZ61" s="1">
        <f>AW61*AX61</f>
        <v>768</v>
      </c>
      <c r="BA61" s="2" t="s">
        <v>393</v>
      </c>
      <c r="BU61" s="31"/>
      <c r="BV61" s="2" t="s">
        <v>665</v>
      </c>
      <c r="BW61" s="2">
        <v>3</v>
      </c>
      <c r="BX61" s="2">
        <v>25</v>
      </c>
      <c r="BY61" s="2">
        <v>3</v>
      </c>
      <c r="BZ61" s="2" t="s">
        <v>53</v>
      </c>
      <c r="CA61" s="2">
        <f t="shared" si="33"/>
        <v>75</v>
      </c>
      <c r="CB61" s="2"/>
      <c r="CD61" s="37"/>
      <c r="CE61" s="2" t="s">
        <v>25</v>
      </c>
      <c r="CF61" s="2">
        <v>8</v>
      </c>
      <c r="CG61" s="2">
        <v>28.56</v>
      </c>
      <c r="CH61" s="2">
        <v>8</v>
      </c>
      <c r="CI61" s="2" t="s">
        <v>708</v>
      </c>
      <c r="CJ61" s="2">
        <f t="shared" si="34"/>
        <v>228.48</v>
      </c>
      <c r="CK61" s="2"/>
    </row>
    <row r="62" spans="1:89" x14ac:dyDescent="0.25">
      <c r="A62" s="31"/>
      <c r="B62" s="2" t="s">
        <v>626</v>
      </c>
      <c r="C62" s="2" t="s">
        <v>37</v>
      </c>
      <c r="D62" s="2">
        <v>30.6</v>
      </c>
      <c r="E62" s="6">
        <v>15</v>
      </c>
      <c r="F62" s="6" t="s">
        <v>9</v>
      </c>
      <c r="G62" s="3">
        <f t="shared" si="31"/>
        <v>459</v>
      </c>
      <c r="H62" s="2"/>
      <c r="J62" s="31"/>
      <c r="K62" s="2"/>
      <c r="L62" s="2"/>
      <c r="M62" s="2"/>
      <c r="N62" s="6"/>
      <c r="O62" s="6"/>
      <c r="P62" s="6"/>
      <c r="Q62" s="2"/>
      <c r="AB62" s="31"/>
      <c r="AC62" s="1"/>
      <c r="AD62" s="1"/>
      <c r="AE62" s="1"/>
      <c r="AF62" s="4"/>
      <c r="AG62" s="4"/>
      <c r="AH62" s="1">
        <f t="shared" si="32"/>
        <v>0</v>
      </c>
      <c r="AI62" s="1"/>
      <c r="AK62" s="1" t="s">
        <v>258</v>
      </c>
      <c r="AL62" s="1" t="s">
        <v>428</v>
      </c>
      <c r="AM62" s="1" t="s">
        <v>13</v>
      </c>
      <c r="AN62" s="1" t="s">
        <v>42</v>
      </c>
      <c r="AO62" s="1" t="s">
        <v>429</v>
      </c>
      <c r="AP62" s="1"/>
      <c r="AQ62" s="1" t="s">
        <v>430</v>
      </c>
      <c r="AR62" s="1" t="s">
        <v>431</v>
      </c>
      <c r="AU62" s="1" t="s">
        <v>382</v>
      </c>
      <c r="AV62" s="1"/>
      <c r="AW62" s="1">
        <v>844</v>
      </c>
      <c r="AX62" s="1">
        <v>1</v>
      </c>
      <c r="AY62" s="4" t="s">
        <v>383</v>
      </c>
      <c r="AZ62" s="4">
        <f>AW62*AX62</f>
        <v>844</v>
      </c>
      <c r="BA62" s="2"/>
      <c r="BL62" s="2" t="s">
        <v>101</v>
      </c>
      <c r="BM62" s="2" t="s">
        <v>0</v>
      </c>
      <c r="BN62" s="2" t="s">
        <v>1</v>
      </c>
      <c r="BO62" s="2" t="s">
        <v>2</v>
      </c>
      <c r="BP62" s="2" t="s">
        <v>3</v>
      </c>
      <c r="BQ62" s="2"/>
      <c r="BR62" s="2" t="s">
        <v>4</v>
      </c>
      <c r="BS62" s="2" t="s">
        <v>5</v>
      </c>
      <c r="BU62" s="31"/>
      <c r="BV62" s="32"/>
      <c r="BW62" s="33"/>
      <c r="BX62" s="34"/>
      <c r="BY62" s="6"/>
      <c r="BZ62" s="6"/>
      <c r="CA62" s="14">
        <f>SUM(CA59:CA61)</f>
        <v>815</v>
      </c>
      <c r="CB62" s="2"/>
      <c r="CD62" s="37"/>
      <c r="CE62" s="2" t="s">
        <v>264</v>
      </c>
      <c r="CF62" s="2">
        <v>5</v>
      </c>
      <c r="CG62" s="2">
        <v>45</v>
      </c>
      <c r="CH62" s="2">
        <v>5</v>
      </c>
      <c r="CI62" s="2" t="s">
        <v>708</v>
      </c>
      <c r="CJ62" s="2">
        <f t="shared" si="34"/>
        <v>225</v>
      </c>
      <c r="CK62" s="2"/>
    </row>
    <row r="63" spans="1:89" x14ac:dyDescent="0.25">
      <c r="A63" s="31"/>
      <c r="B63" s="32" t="s">
        <v>10</v>
      </c>
      <c r="C63" s="33"/>
      <c r="D63" s="34"/>
      <c r="E63" s="6"/>
      <c r="F63" s="6"/>
      <c r="G63" s="7">
        <f>SUM(G59:G62)</f>
        <v>5787</v>
      </c>
      <c r="H63" s="2"/>
      <c r="J63" s="31"/>
      <c r="K63" s="32" t="s">
        <v>10</v>
      </c>
      <c r="L63" s="33"/>
      <c r="M63" s="34"/>
      <c r="N63" s="6"/>
      <c r="O63" s="6"/>
      <c r="P63" s="14">
        <f>SUM(P59:P62)</f>
        <v>5400</v>
      </c>
      <c r="Q63" s="2"/>
      <c r="AB63" s="31"/>
      <c r="AC63" s="32" t="s">
        <v>27</v>
      </c>
      <c r="AD63" s="33"/>
      <c r="AE63" s="34"/>
      <c r="AF63" s="4"/>
      <c r="AG63" s="4"/>
      <c r="AH63" s="14">
        <f>SUM(AH59:AH62)</f>
        <v>2601</v>
      </c>
      <c r="AI63" s="1"/>
      <c r="AK63" s="31" t="s">
        <v>432</v>
      </c>
      <c r="AL63" s="1" t="s">
        <v>433</v>
      </c>
      <c r="AM63" s="1" t="s">
        <v>185</v>
      </c>
      <c r="AN63" s="1">
        <v>35.340000000000003</v>
      </c>
      <c r="AO63" s="1">
        <v>45</v>
      </c>
      <c r="AP63" s="1" t="s">
        <v>354</v>
      </c>
      <c r="AQ63" s="1">
        <f>AN63*AO63</f>
        <v>1590.3000000000002</v>
      </c>
      <c r="AR63" s="1"/>
      <c r="AU63" s="1" t="s">
        <v>384</v>
      </c>
      <c r="AV63" s="1"/>
      <c r="AW63" s="1">
        <v>235</v>
      </c>
      <c r="AX63" s="1">
        <v>1</v>
      </c>
      <c r="AY63" s="4" t="s">
        <v>129</v>
      </c>
      <c r="AZ63" s="4">
        <f>AW63*AX63</f>
        <v>235</v>
      </c>
      <c r="BA63" s="2"/>
      <c r="BL63" s="31" t="s">
        <v>100</v>
      </c>
      <c r="BM63" s="2" t="s">
        <v>599</v>
      </c>
      <c r="BN63" s="2" t="s">
        <v>409</v>
      </c>
      <c r="BO63" s="2">
        <v>265</v>
      </c>
      <c r="BP63" s="2">
        <v>0.5</v>
      </c>
      <c r="BQ63" s="2" t="s">
        <v>9</v>
      </c>
      <c r="BR63" s="2">
        <f>BO63*BP63</f>
        <v>132.5</v>
      </c>
      <c r="BS63" s="2"/>
      <c r="CD63" s="37"/>
      <c r="CE63" s="2" t="s">
        <v>266</v>
      </c>
      <c r="CF63" s="2">
        <v>3</v>
      </c>
      <c r="CG63" s="6">
        <v>13.68</v>
      </c>
      <c r="CH63" s="6">
        <v>3</v>
      </c>
      <c r="CI63" s="6" t="s">
        <v>9</v>
      </c>
      <c r="CJ63" s="2">
        <f t="shared" si="34"/>
        <v>41.04</v>
      </c>
      <c r="CK63" s="2"/>
    </row>
    <row r="64" spans="1:89" x14ac:dyDescent="0.25">
      <c r="AK64" s="31"/>
      <c r="AL64" s="1" t="s">
        <v>434</v>
      </c>
      <c r="AM64" s="1" t="s">
        <v>435</v>
      </c>
      <c r="AN64" s="1">
        <v>450</v>
      </c>
      <c r="AO64" s="1">
        <v>1</v>
      </c>
      <c r="AP64" s="1" t="s">
        <v>436</v>
      </c>
      <c r="AQ64" s="1">
        <f>AN64*AO64</f>
        <v>450</v>
      </c>
      <c r="AR64" s="1"/>
      <c r="AU64" s="1" t="s">
        <v>385</v>
      </c>
      <c r="AV64" s="1"/>
      <c r="AW64" s="1">
        <v>225</v>
      </c>
      <c r="AX64" s="1">
        <v>1</v>
      </c>
      <c r="AY64" s="4" t="s">
        <v>129</v>
      </c>
      <c r="AZ64" s="4">
        <f>AW64*AX64</f>
        <v>225</v>
      </c>
      <c r="BA64" s="2"/>
      <c r="BL64" s="31"/>
      <c r="BM64" s="2" t="s">
        <v>98</v>
      </c>
      <c r="BN64" s="2"/>
      <c r="BO64" s="2"/>
      <c r="BP64" s="2"/>
      <c r="BQ64" s="2" t="s">
        <v>9</v>
      </c>
      <c r="BR64" s="2"/>
      <c r="BS64" s="2" t="s">
        <v>600</v>
      </c>
      <c r="BU64" s="2" t="s">
        <v>101</v>
      </c>
      <c r="BV64" s="2" t="s">
        <v>0</v>
      </c>
      <c r="BW64" s="2" t="s">
        <v>1</v>
      </c>
      <c r="BX64" s="2" t="s">
        <v>2</v>
      </c>
      <c r="BY64" s="2" t="s">
        <v>3</v>
      </c>
      <c r="BZ64" s="2"/>
      <c r="CA64" s="2" t="s">
        <v>4</v>
      </c>
      <c r="CB64" s="2" t="s">
        <v>5</v>
      </c>
      <c r="CD64" s="38"/>
      <c r="CE64" s="32" t="s">
        <v>10</v>
      </c>
      <c r="CF64" s="33"/>
      <c r="CG64" s="34"/>
      <c r="CH64" s="6"/>
      <c r="CI64" s="6"/>
      <c r="CJ64" s="7">
        <f>SUM(CJ59:CJ63)</f>
        <v>3662.52</v>
      </c>
      <c r="CK64" s="2"/>
    </row>
    <row r="65" spans="1:89" x14ac:dyDescent="0.25">
      <c r="A65" s="2" t="s">
        <v>74</v>
      </c>
      <c r="B65" s="2" t="s">
        <v>0</v>
      </c>
      <c r="C65" s="2" t="s">
        <v>1</v>
      </c>
      <c r="D65" s="2" t="s">
        <v>2</v>
      </c>
      <c r="E65" s="2" t="s">
        <v>3</v>
      </c>
      <c r="F65" s="2"/>
      <c r="G65" s="2" t="s">
        <v>4</v>
      </c>
      <c r="H65" s="2" t="s">
        <v>5</v>
      </c>
      <c r="J65" s="2" t="s">
        <v>74</v>
      </c>
      <c r="K65" s="2" t="s">
        <v>0</v>
      </c>
      <c r="L65" s="2" t="s">
        <v>1</v>
      </c>
      <c r="M65" s="2" t="s">
        <v>2</v>
      </c>
      <c r="N65" s="2" t="s">
        <v>3</v>
      </c>
      <c r="O65" s="2"/>
      <c r="P65" s="2" t="s">
        <v>4</v>
      </c>
      <c r="Q65" s="2" t="s">
        <v>5</v>
      </c>
      <c r="AB65" s="1" t="s">
        <v>11</v>
      </c>
      <c r="AC65" s="1" t="s">
        <v>12</v>
      </c>
      <c r="AD65" s="1" t="s">
        <v>13</v>
      </c>
      <c r="AE65" s="1" t="s">
        <v>164</v>
      </c>
      <c r="AF65" s="1" t="s">
        <v>111</v>
      </c>
      <c r="AG65" s="1"/>
      <c r="AH65" s="1" t="s">
        <v>44</v>
      </c>
      <c r="AI65" s="1" t="s">
        <v>226</v>
      </c>
      <c r="AK65" s="31"/>
      <c r="AL65" s="1"/>
      <c r="AM65" s="1"/>
      <c r="AN65" s="1"/>
      <c r="AO65" s="1"/>
      <c r="AP65" s="1"/>
      <c r="AQ65" s="1"/>
      <c r="AR65" s="1"/>
      <c r="AU65" s="1" t="s">
        <v>386</v>
      </c>
      <c r="AV65" s="1"/>
      <c r="AW65" s="1">
        <v>138</v>
      </c>
      <c r="AX65" s="1">
        <v>2</v>
      </c>
      <c r="AY65" s="4" t="s">
        <v>149</v>
      </c>
      <c r="AZ65" s="4">
        <f>AW65*AX65</f>
        <v>276</v>
      </c>
      <c r="BA65" s="2"/>
      <c r="BL65" s="31"/>
      <c r="BM65" s="2"/>
      <c r="BN65" s="2"/>
      <c r="BO65" s="2"/>
      <c r="BP65" s="2"/>
      <c r="BQ65" s="2"/>
      <c r="BR65" s="2"/>
      <c r="BS65" s="2"/>
      <c r="BU65" s="31" t="s">
        <v>863</v>
      </c>
      <c r="BV65" s="2" t="s">
        <v>864</v>
      </c>
      <c r="BW65" s="2">
        <v>3</v>
      </c>
      <c r="BX65" s="2">
        <v>290</v>
      </c>
      <c r="BY65" s="2">
        <v>3</v>
      </c>
      <c r="BZ65" t="s">
        <v>55</v>
      </c>
      <c r="CA65" s="2">
        <f>BX65*BY65</f>
        <v>870</v>
      </c>
      <c r="CB65" s="2"/>
    </row>
    <row r="66" spans="1:89" x14ac:dyDescent="0.25">
      <c r="A66" s="31" t="s">
        <v>717</v>
      </c>
      <c r="B66" s="2" t="s">
        <v>547</v>
      </c>
      <c r="C66" s="2" t="s">
        <v>548</v>
      </c>
      <c r="D66" s="2">
        <v>75</v>
      </c>
      <c r="E66" s="2">
        <v>65</v>
      </c>
      <c r="F66" s="2" t="s">
        <v>9</v>
      </c>
      <c r="G66" s="3">
        <f>D66*E66</f>
        <v>4875</v>
      </c>
      <c r="H66" s="2"/>
      <c r="J66" s="31" t="s">
        <v>623</v>
      </c>
      <c r="K66" s="2" t="s">
        <v>71</v>
      </c>
      <c r="L66" s="2" t="s">
        <v>624</v>
      </c>
      <c r="M66" s="2">
        <v>150</v>
      </c>
      <c r="N66" s="2">
        <v>36.67</v>
      </c>
      <c r="O66" s="2" t="s">
        <v>9</v>
      </c>
      <c r="P66" s="3">
        <f>M66*N66</f>
        <v>5500.5</v>
      </c>
      <c r="Q66" s="2"/>
      <c r="AB66" s="31" t="s">
        <v>437</v>
      </c>
      <c r="AC66" s="1" t="s">
        <v>438</v>
      </c>
      <c r="AD66" s="1" t="s">
        <v>20</v>
      </c>
      <c r="AE66" s="1">
        <v>57</v>
      </c>
      <c r="AF66" s="1">
        <v>25</v>
      </c>
      <c r="AG66" s="1" t="s">
        <v>24</v>
      </c>
      <c r="AH66" s="1">
        <f>AE66*AF66</f>
        <v>1425</v>
      </c>
      <c r="AI66" s="1"/>
      <c r="AK66" s="31"/>
      <c r="AL66" s="1"/>
      <c r="AM66" s="1"/>
      <c r="AN66" s="1"/>
      <c r="AO66" s="1"/>
      <c r="AP66" s="1"/>
      <c r="AQ66" s="1"/>
      <c r="AR66" s="1"/>
      <c r="AU66" s="1" t="s">
        <v>387</v>
      </c>
      <c r="AV66" s="1"/>
      <c r="AW66" s="1">
        <v>100</v>
      </c>
      <c r="AX66" s="1">
        <v>2</v>
      </c>
      <c r="AY66" s="4" t="s">
        <v>149</v>
      </c>
      <c r="AZ66" s="4">
        <f>AW66*AX66</f>
        <v>200</v>
      </c>
      <c r="BA66" s="2"/>
      <c r="BL66" s="31"/>
      <c r="BM66" s="32"/>
      <c r="BN66" s="33"/>
      <c r="BO66" s="34"/>
      <c r="BP66" s="6"/>
      <c r="BQ66" s="6"/>
      <c r="BR66" s="7">
        <f>SUM(BR63:BR65)</f>
        <v>132.5</v>
      </c>
      <c r="BS66" s="2"/>
      <c r="BU66" s="31"/>
      <c r="BV66" s="2" t="s">
        <v>667</v>
      </c>
      <c r="BW66" s="2">
        <v>20</v>
      </c>
      <c r="BX66" s="2">
        <v>60</v>
      </c>
      <c r="BY66" s="2">
        <v>20</v>
      </c>
      <c r="BZ66" s="2" t="s">
        <v>9</v>
      </c>
      <c r="CA66" s="2">
        <f t="shared" ref="CA66:CA67" si="35">BX66*BY66</f>
        <v>1200</v>
      </c>
      <c r="CB66" s="2"/>
      <c r="CD66" s="16" t="s">
        <v>145</v>
      </c>
      <c r="CE66" s="2" t="s">
        <v>0</v>
      </c>
      <c r="CF66" s="2" t="s">
        <v>1</v>
      </c>
      <c r="CG66" s="2" t="s">
        <v>2</v>
      </c>
      <c r="CH66" s="2" t="s">
        <v>3</v>
      </c>
      <c r="CI66" s="2"/>
      <c r="CJ66" s="2" t="s">
        <v>4</v>
      </c>
      <c r="CK66" s="2"/>
    </row>
    <row r="67" spans="1:89" x14ac:dyDescent="0.25">
      <c r="A67" s="31"/>
      <c r="B67" s="2" t="s">
        <v>718</v>
      </c>
      <c r="C67" s="2" t="s">
        <v>482</v>
      </c>
      <c r="D67" s="2">
        <v>325</v>
      </c>
      <c r="E67" s="2">
        <v>2</v>
      </c>
      <c r="F67" s="2" t="s">
        <v>123</v>
      </c>
      <c r="G67" s="3">
        <f t="shared" ref="G67:G70" si="36">D67*E67</f>
        <v>650</v>
      </c>
      <c r="H67" s="2"/>
      <c r="J67" s="31"/>
      <c r="K67" s="2"/>
      <c r="L67" s="2"/>
      <c r="M67" s="2"/>
      <c r="N67" s="2"/>
      <c r="O67" s="2"/>
      <c r="P67" s="2"/>
      <c r="Q67" s="2"/>
      <c r="AB67" s="31"/>
      <c r="AC67" s="1" t="s">
        <v>408</v>
      </c>
      <c r="AD67" s="1" t="s">
        <v>439</v>
      </c>
      <c r="AE67" s="1">
        <v>85.5</v>
      </c>
      <c r="AF67" s="1">
        <v>1</v>
      </c>
      <c r="AG67" s="1" t="s">
        <v>83</v>
      </c>
      <c r="AH67" s="1">
        <f t="shared" ref="AH67:AH69" si="37">AE67*AF67</f>
        <v>85.5</v>
      </c>
      <c r="AI67" s="1"/>
      <c r="AK67" s="31"/>
      <c r="AL67" s="1"/>
      <c r="AM67" s="1"/>
      <c r="AN67" s="1"/>
      <c r="AO67" s="1"/>
      <c r="AP67" s="1"/>
      <c r="AQ67" s="1"/>
      <c r="AR67" s="1"/>
      <c r="AU67" s="1" t="s">
        <v>388</v>
      </c>
      <c r="AV67" s="1"/>
      <c r="AW67" s="1">
        <v>24</v>
      </c>
      <c r="AX67" s="1">
        <v>10</v>
      </c>
      <c r="AY67" s="4" t="s">
        <v>389</v>
      </c>
      <c r="AZ67" s="4">
        <f>AW67*AX67</f>
        <v>240</v>
      </c>
      <c r="BA67" s="2"/>
      <c r="BU67" s="31"/>
      <c r="BV67" s="2" t="s">
        <v>865</v>
      </c>
      <c r="BW67" s="2">
        <v>1</v>
      </c>
      <c r="BX67" s="2">
        <v>40.200000000000003</v>
      </c>
      <c r="BY67" s="2">
        <v>10</v>
      </c>
      <c r="BZ67" s="2" t="s">
        <v>63</v>
      </c>
      <c r="CA67" s="2">
        <f t="shared" si="35"/>
        <v>402</v>
      </c>
      <c r="CB67" s="2"/>
      <c r="CD67" s="36" t="s">
        <v>760</v>
      </c>
      <c r="CE67" s="2" t="s">
        <v>620</v>
      </c>
      <c r="CF67" s="2">
        <v>1</v>
      </c>
      <c r="CG67" s="2">
        <v>45</v>
      </c>
      <c r="CH67" s="2">
        <v>24</v>
      </c>
      <c r="CI67" s="2" t="s">
        <v>53</v>
      </c>
      <c r="CJ67" s="2">
        <f>CG67*CH67</f>
        <v>1080</v>
      </c>
      <c r="CK67" s="2"/>
    </row>
    <row r="68" spans="1:89" x14ac:dyDescent="0.25">
      <c r="A68" s="31"/>
      <c r="B68" s="2" t="s">
        <v>719</v>
      </c>
      <c r="C68" s="2" t="s">
        <v>423</v>
      </c>
      <c r="D68" s="2">
        <v>175</v>
      </c>
      <c r="E68" s="2">
        <v>2</v>
      </c>
      <c r="F68" s="2" t="s">
        <v>9</v>
      </c>
      <c r="G68" s="3">
        <f t="shared" si="36"/>
        <v>350</v>
      </c>
      <c r="H68" s="2"/>
      <c r="J68" s="31"/>
      <c r="K68" s="2"/>
      <c r="L68" s="2"/>
      <c r="M68" s="2"/>
      <c r="N68" s="2"/>
      <c r="O68" s="2"/>
      <c r="P68" s="2"/>
      <c r="Q68" s="2"/>
      <c r="AB68" s="31"/>
      <c r="AC68" s="1" t="s">
        <v>340</v>
      </c>
      <c r="AD68" s="1" t="s">
        <v>39</v>
      </c>
      <c r="AE68" s="1">
        <v>16.2</v>
      </c>
      <c r="AF68" s="1">
        <v>2</v>
      </c>
      <c r="AG68" s="1" t="s">
        <v>24</v>
      </c>
      <c r="AH68" s="1">
        <f t="shared" si="37"/>
        <v>32.4</v>
      </c>
      <c r="AI68" s="1"/>
      <c r="AK68" s="31"/>
      <c r="AL68" s="32" t="s">
        <v>73</v>
      </c>
      <c r="AM68" s="33"/>
      <c r="AN68" s="34"/>
      <c r="AO68" s="4"/>
      <c r="AP68" s="4"/>
      <c r="AQ68" s="7">
        <f>SUM(AQ63:AQ67)</f>
        <v>2040.3000000000002</v>
      </c>
      <c r="AR68" s="1"/>
      <c r="AU68" s="1" t="s">
        <v>390</v>
      </c>
      <c r="AV68" s="1"/>
      <c r="AW68" s="1">
        <v>250</v>
      </c>
      <c r="AX68" s="1">
        <v>1</v>
      </c>
      <c r="AY68" s="4" t="s">
        <v>129</v>
      </c>
      <c r="AZ68" s="4">
        <f>AW68*AX68</f>
        <v>250</v>
      </c>
      <c r="BA68" s="2"/>
      <c r="BL68" s="2" t="s">
        <v>101</v>
      </c>
      <c r="BM68" s="2" t="s">
        <v>0</v>
      </c>
      <c r="BN68" s="2" t="s">
        <v>1</v>
      </c>
      <c r="BO68" s="2" t="s">
        <v>2</v>
      </c>
      <c r="BP68" s="2" t="s">
        <v>3</v>
      </c>
      <c r="BQ68" s="2"/>
      <c r="BR68" s="2" t="s">
        <v>4</v>
      </c>
      <c r="BS68" s="2" t="s">
        <v>5</v>
      </c>
      <c r="BU68" s="31"/>
      <c r="BV68" s="32"/>
      <c r="BW68" s="33"/>
      <c r="BX68" s="34"/>
      <c r="BY68" s="6"/>
      <c r="BZ68" s="6"/>
      <c r="CA68" s="14">
        <f>SUM(CA65:CA67)</f>
        <v>2472</v>
      </c>
      <c r="CB68" s="2"/>
      <c r="CD68" s="37"/>
      <c r="CE68" s="2" t="s">
        <v>58</v>
      </c>
      <c r="CF68" s="2">
        <v>25</v>
      </c>
      <c r="CG68" s="2">
        <v>28.56</v>
      </c>
      <c r="CH68" s="2">
        <v>25</v>
      </c>
      <c r="CI68" s="2" t="s">
        <v>708</v>
      </c>
      <c r="CJ68" s="2">
        <f t="shared" ref="CJ68:CJ71" si="38">CG68*CH68</f>
        <v>714</v>
      </c>
      <c r="CK68" s="2"/>
    </row>
    <row r="69" spans="1:89" x14ac:dyDescent="0.25">
      <c r="A69" s="31"/>
      <c r="B69" s="2" t="s">
        <v>401</v>
      </c>
      <c r="C69" s="2" t="s">
        <v>409</v>
      </c>
      <c r="D69" s="2">
        <v>35.700000000000003</v>
      </c>
      <c r="E69" s="6">
        <v>0.5</v>
      </c>
      <c r="F69" s="2" t="s">
        <v>9</v>
      </c>
      <c r="G69" s="3">
        <f t="shared" si="36"/>
        <v>17.850000000000001</v>
      </c>
      <c r="H69" s="2"/>
      <c r="J69" s="31"/>
      <c r="K69" s="2"/>
      <c r="L69" s="2"/>
      <c r="M69" s="2"/>
      <c r="N69" s="6"/>
      <c r="O69" s="6"/>
      <c r="P69" s="6"/>
      <c r="Q69" s="2"/>
      <c r="AB69" s="31"/>
      <c r="AC69" s="1" t="s">
        <v>440</v>
      </c>
      <c r="AD69" s="1" t="s">
        <v>172</v>
      </c>
      <c r="AE69" s="1">
        <v>99</v>
      </c>
      <c r="AF69" s="4">
        <v>15</v>
      </c>
      <c r="AG69" s="1" t="s">
        <v>83</v>
      </c>
      <c r="AH69" s="1">
        <f t="shared" si="37"/>
        <v>1485</v>
      </c>
      <c r="AI69" s="1"/>
      <c r="AU69" s="1" t="s">
        <v>391</v>
      </c>
      <c r="AV69" s="1"/>
      <c r="AW69" s="1">
        <v>360</v>
      </c>
      <c r="AX69" s="1">
        <v>1</v>
      </c>
      <c r="AY69" s="4" t="s">
        <v>126</v>
      </c>
      <c r="AZ69" s="4">
        <f>AW69*AX69</f>
        <v>360</v>
      </c>
      <c r="BA69" s="2"/>
      <c r="BL69" s="31" t="s">
        <v>615</v>
      </c>
      <c r="BM69" s="2" t="s">
        <v>607</v>
      </c>
      <c r="BN69" s="2" t="s">
        <v>616</v>
      </c>
      <c r="BO69" s="2">
        <v>270</v>
      </c>
      <c r="BP69" s="2">
        <v>4</v>
      </c>
      <c r="BQ69" s="2" t="s">
        <v>123</v>
      </c>
      <c r="BR69" s="2">
        <f>BO69*BP69</f>
        <v>1080</v>
      </c>
      <c r="BS69" s="2"/>
      <c r="CD69" s="37"/>
      <c r="CE69" s="2" t="s">
        <v>137</v>
      </c>
      <c r="CF69" s="2">
        <v>8</v>
      </c>
      <c r="CG69" s="2">
        <v>75</v>
      </c>
      <c r="CH69" s="2">
        <v>8</v>
      </c>
      <c r="CI69" s="2" t="s">
        <v>53</v>
      </c>
      <c r="CJ69" s="2">
        <f t="shared" si="38"/>
        <v>600</v>
      </c>
      <c r="CK69" s="2"/>
    </row>
    <row r="70" spans="1:89" x14ac:dyDescent="0.25">
      <c r="A70" s="31"/>
      <c r="B70" s="2" t="s">
        <v>720</v>
      </c>
      <c r="C70" s="2" t="s">
        <v>721</v>
      </c>
      <c r="D70" s="2">
        <v>220</v>
      </c>
      <c r="E70" s="6">
        <v>3</v>
      </c>
      <c r="F70" s="6" t="s">
        <v>144</v>
      </c>
      <c r="G70" s="3">
        <f t="shared" si="36"/>
        <v>660</v>
      </c>
      <c r="H70" s="2"/>
      <c r="J70" s="31"/>
      <c r="K70" s="32" t="s">
        <v>10</v>
      </c>
      <c r="L70" s="33"/>
      <c r="M70" s="34"/>
      <c r="N70" s="6"/>
      <c r="O70" s="6"/>
      <c r="P70" s="7">
        <f>SUM(P66:P69)</f>
        <v>5500.5</v>
      </c>
      <c r="Q70" s="2"/>
      <c r="AB70" s="31"/>
      <c r="AC70" s="32" t="s">
        <v>73</v>
      </c>
      <c r="AD70" s="33"/>
      <c r="AE70" s="34"/>
      <c r="AF70" s="4"/>
      <c r="AG70" s="4"/>
      <c r="AH70" s="7">
        <f>SUM(AH66:AH69)</f>
        <v>3027.9</v>
      </c>
      <c r="AI70" s="1"/>
      <c r="AK70" s="1" t="s">
        <v>258</v>
      </c>
      <c r="AL70" s="1" t="s">
        <v>41</v>
      </c>
      <c r="AM70" s="1" t="s">
        <v>13</v>
      </c>
      <c r="AN70" s="1" t="s">
        <v>42</v>
      </c>
      <c r="AO70" s="1" t="s">
        <v>29</v>
      </c>
      <c r="AP70" s="1"/>
      <c r="AQ70" s="1" t="s">
        <v>44</v>
      </c>
      <c r="AR70" s="1" t="s">
        <v>69</v>
      </c>
      <c r="AU70" s="1" t="s">
        <v>424</v>
      </c>
      <c r="AV70" s="1"/>
      <c r="AW70" s="1">
        <v>45</v>
      </c>
      <c r="AX70" s="1">
        <v>1</v>
      </c>
      <c r="AY70" s="1" t="s">
        <v>24</v>
      </c>
      <c r="AZ70" s="3">
        <f>AW70*AX70</f>
        <v>45</v>
      </c>
      <c r="BA70" s="2"/>
      <c r="BL70" s="31"/>
      <c r="BM70" s="2" t="s">
        <v>558</v>
      </c>
      <c r="BN70" s="2" t="s">
        <v>99</v>
      </c>
      <c r="BO70" s="2">
        <v>100</v>
      </c>
      <c r="BP70" s="2">
        <v>12</v>
      </c>
      <c r="BQ70" s="2" t="s">
        <v>53</v>
      </c>
      <c r="BR70" s="2">
        <f t="shared" ref="BR70:BR72" si="39">BO70*BP70</f>
        <v>1200</v>
      </c>
      <c r="BS70" s="2"/>
      <c r="BU70" s="2" t="s">
        <v>101</v>
      </c>
      <c r="BV70" s="2" t="s">
        <v>0</v>
      </c>
      <c r="BW70" s="2" t="s">
        <v>1</v>
      </c>
      <c r="BX70" s="2" t="s">
        <v>2</v>
      </c>
      <c r="BY70" s="2" t="s">
        <v>3</v>
      </c>
      <c r="BZ70" s="2"/>
      <c r="CA70" s="2" t="s">
        <v>4</v>
      </c>
      <c r="CB70" s="2" t="s">
        <v>5</v>
      </c>
      <c r="CD70" s="37"/>
      <c r="CE70" s="2" t="s">
        <v>759</v>
      </c>
      <c r="CF70" s="2"/>
      <c r="CG70" s="2">
        <v>540</v>
      </c>
      <c r="CH70" s="2">
        <v>1</v>
      </c>
      <c r="CI70" s="2" t="s">
        <v>53</v>
      </c>
      <c r="CJ70" s="2">
        <f t="shared" si="38"/>
        <v>540</v>
      </c>
      <c r="CK70" s="2"/>
    </row>
    <row r="71" spans="1:89" x14ac:dyDescent="0.25">
      <c r="A71" s="31"/>
      <c r="B71" s="32" t="s">
        <v>10</v>
      </c>
      <c r="C71" s="33"/>
      <c r="D71" s="34"/>
      <c r="E71" s="6"/>
      <c r="F71" s="6"/>
      <c r="G71" s="7">
        <f>SUM(G66:G70)</f>
        <v>6552.85</v>
      </c>
      <c r="H71" s="2"/>
      <c r="AK71" s="31" t="s">
        <v>461</v>
      </c>
      <c r="AL71" s="1" t="s">
        <v>462</v>
      </c>
      <c r="AM71" s="1" t="s">
        <v>463</v>
      </c>
      <c r="AN71" s="1">
        <v>27.54</v>
      </c>
      <c r="AO71" s="1">
        <v>40</v>
      </c>
      <c r="AP71" s="1" t="s">
        <v>24</v>
      </c>
      <c r="AQ71" s="1">
        <f>AN71*AO71</f>
        <v>1101.5999999999999</v>
      </c>
      <c r="AR71" s="1"/>
      <c r="AU71" s="1" t="s">
        <v>474</v>
      </c>
      <c r="AV71" s="1"/>
      <c r="AW71" s="1">
        <v>66</v>
      </c>
      <c r="AX71" s="1">
        <v>7.73</v>
      </c>
      <c r="AY71" s="1" t="s">
        <v>354</v>
      </c>
      <c r="AZ71" s="3">
        <f>AW71*AX71</f>
        <v>510.18</v>
      </c>
      <c r="BA71" s="2"/>
      <c r="BL71" s="31"/>
      <c r="BM71" s="2" t="s">
        <v>617</v>
      </c>
      <c r="BN71" s="2" t="s">
        <v>435</v>
      </c>
      <c r="BO71" s="2">
        <v>176</v>
      </c>
      <c r="BP71" s="2">
        <v>1</v>
      </c>
      <c r="BQ71" s="2" t="s">
        <v>53</v>
      </c>
      <c r="BR71" s="2">
        <f t="shared" si="39"/>
        <v>176</v>
      </c>
      <c r="BS71" s="2"/>
      <c r="BU71" s="31" t="s">
        <v>872</v>
      </c>
      <c r="BV71" s="2" t="s">
        <v>873</v>
      </c>
      <c r="BW71" s="2">
        <v>15</v>
      </c>
      <c r="BX71" s="2">
        <v>36</v>
      </c>
      <c r="BY71" s="2">
        <v>15</v>
      </c>
      <c r="BZ71" s="2" t="s">
        <v>9</v>
      </c>
      <c r="CA71" s="2">
        <f>BX71*BY71</f>
        <v>540</v>
      </c>
      <c r="CB71" s="2"/>
      <c r="CD71" s="37"/>
      <c r="CE71" s="2" t="s">
        <v>25</v>
      </c>
      <c r="CF71" s="2">
        <v>15</v>
      </c>
      <c r="CG71" s="6">
        <v>28.56</v>
      </c>
      <c r="CH71" s="6">
        <v>15</v>
      </c>
      <c r="CI71" s="6" t="s">
        <v>9</v>
      </c>
      <c r="CJ71" s="2">
        <f t="shared" si="38"/>
        <v>428.4</v>
      </c>
      <c r="CK71" s="2"/>
    </row>
    <row r="72" spans="1:89" x14ac:dyDescent="0.25">
      <c r="J72" s="2" t="s">
        <v>74</v>
      </c>
      <c r="K72" s="2" t="s">
        <v>0</v>
      </c>
      <c r="L72" s="2" t="s">
        <v>1</v>
      </c>
      <c r="M72" s="2" t="s">
        <v>2</v>
      </c>
      <c r="N72" s="2" t="s">
        <v>3</v>
      </c>
      <c r="O72" s="2"/>
      <c r="P72" s="2" t="s">
        <v>4</v>
      </c>
      <c r="Q72" s="2" t="s">
        <v>5</v>
      </c>
      <c r="AB72" s="1" t="s">
        <v>455</v>
      </c>
      <c r="AC72" s="1" t="s">
        <v>428</v>
      </c>
      <c r="AD72" s="1" t="s">
        <v>13</v>
      </c>
      <c r="AE72" s="1" t="s">
        <v>410</v>
      </c>
      <c r="AF72" s="1" t="s">
        <v>29</v>
      </c>
      <c r="AG72" s="1"/>
      <c r="AH72" s="1" t="s">
        <v>430</v>
      </c>
      <c r="AI72" s="1" t="s">
        <v>431</v>
      </c>
      <c r="AK72" s="31"/>
      <c r="AL72" s="1" t="s">
        <v>464</v>
      </c>
      <c r="AM72" s="1" t="s">
        <v>465</v>
      </c>
      <c r="AN72" s="1">
        <v>105</v>
      </c>
      <c r="AO72" s="1">
        <v>8</v>
      </c>
      <c r="AP72" s="1" t="s">
        <v>126</v>
      </c>
      <c r="AQ72" s="1">
        <f t="shared" ref="AQ72:AQ73" si="40">AN72*AO72</f>
        <v>840</v>
      </c>
      <c r="AR72" s="1"/>
      <c r="AU72" s="1" t="s">
        <v>475</v>
      </c>
      <c r="AV72" s="1"/>
      <c r="AW72" s="1">
        <v>93</v>
      </c>
      <c r="AX72" s="1">
        <v>5</v>
      </c>
      <c r="AY72" s="1" t="s">
        <v>83</v>
      </c>
      <c r="AZ72" s="3">
        <f>AW72*AX72</f>
        <v>465</v>
      </c>
      <c r="BA72" s="2"/>
      <c r="BL72" s="31"/>
      <c r="BM72" s="2" t="s">
        <v>137</v>
      </c>
      <c r="BN72" s="2" t="s">
        <v>138</v>
      </c>
      <c r="BO72" s="2">
        <v>75</v>
      </c>
      <c r="BP72" s="2">
        <v>6</v>
      </c>
      <c r="BQ72" s="2" t="s">
        <v>53</v>
      </c>
      <c r="BR72" s="2">
        <f t="shared" si="39"/>
        <v>450</v>
      </c>
      <c r="BS72" s="2"/>
      <c r="BU72" s="31"/>
      <c r="BV72" s="2" t="s">
        <v>679</v>
      </c>
      <c r="BW72" s="2">
        <v>15</v>
      </c>
      <c r="BX72" s="2">
        <v>30</v>
      </c>
      <c r="BY72" s="2">
        <v>15</v>
      </c>
      <c r="BZ72" s="2" t="s">
        <v>9</v>
      </c>
      <c r="CA72" s="2">
        <f t="shared" ref="CA72:CA73" si="41">BX72*BY72</f>
        <v>450</v>
      </c>
      <c r="CB72" s="2"/>
      <c r="CD72" s="38"/>
      <c r="CE72" s="32" t="s">
        <v>10</v>
      </c>
      <c r="CF72" s="33"/>
      <c r="CG72" s="34"/>
      <c r="CH72" s="6"/>
      <c r="CI72" s="6"/>
      <c r="CJ72" s="7">
        <f>SUM(CJ67:CJ71)</f>
        <v>3362.4</v>
      </c>
      <c r="CK72" s="2"/>
    </row>
    <row r="73" spans="1:89" x14ac:dyDescent="0.25">
      <c r="A73" s="2" t="s">
        <v>74</v>
      </c>
      <c r="B73" s="2" t="s">
        <v>0</v>
      </c>
      <c r="C73" s="2" t="s">
        <v>1</v>
      </c>
      <c r="D73" s="2" t="s">
        <v>2</v>
      </c>
      <c r="E73" s="2" t="s">
        <v>3</v>
      </c>
      <c r="F73" s="2"/>
      <c r="G73" s="2" t="s">
        <v>4</v>
      </c>
      <c r="H73" s="2" t="s">
        <v>5</v>
      </c>
      <c r="J73" s="31" t="s">
        <v>634</v>
      </c>
      <c r="K73" s="2" t="s">
        <v>58</v>
      </c>
      <c r="L73" s="2" t="s">
        <v>635</v>
      </c>
      <c r="M73" s="2">
        <v>93</v>
      </c>
      <c r="N73" s="2">
        <v>35</v>
      </c>
      <c r="O73" s="2" t="s">
        <v>9</v>
      </c>
      <c r="P73" s="2">
        <f>M73*N73</f>
        <v>3255</v>
      </c>
      <c r="Q73" s="2"/>
      <c r="AB73" s="31" t="s">
        <v>456</v>
      </c>
      <c r="AC73" s="1" t="s">
        <v>457</v>
      </c>
      <c r="AD73" s="1" t="s">
        <v>458</v>
      </c>
      <c r="AE73" s="1">
        <v>60</v>
      </c>
      <c r="AF73" s="1">
        <v>20</v>
      </c>
      <c r="AG73" s="1" t="s">
        <v>354</v>
      </c>
      <c r="AH73" s="1">
        <f>AE73*AF73</f>
        <v>1200</v>
      </c>
      <c r="AI73" s="1"/>
      <c r="AK73" s="31"/>
      <c r="AL73" s="1" t="s">
        <v>466</v>
      </c>
      <c r="AM73" s="1" t="s">
        <v>467</v>
      </c>
      <c r="AN73" s="1">
        <v>85</v>
      </c>
      <c r="AO73" s="1">
        <v>3</v>
      </c>
      <c r="AP73" s="1" t="s">
        <v>67</v>
      </c>
      <c r="AQ73" s="1">
        <f t="shared" si="40"/>
        <v>255</v>
      </c>
      <c r="AR73" s="1"/>
      <c r="AU73" s="1" t="s">
        <v>476</v>
      </c>
      <c r="AV73" s="1"/>
      <c r="AW73" s="1">
        <v>10</v>
      </c>
      <c r="AX73" s="1">
        <v>25</v>
      </c>
      <c r="AY73" s="1" t="s">
        <v>326</v>
      </c>
      <c r="AZ73" s="3">
        <f>AW73*AX73</f>
        <v>250</v>
      </c>
      <c r="BA73" s="2"/>
      <c r="BL73" s="31"/>
      <c r="BM73" s="32"/>
      <c r="BN73" s="33"/>
      <c r="BO73" s="34"/>
      <c r="BP73" s="6"/>
      <c r="BQ73" s="6"/>
      <c r="BR73" s="14">
        <f>SUM(BR69:BR72)</f>
        <v>2906</v>
      </c>
      <c r="BS73" s="2"/>
      <c r="BU73" s="31"/>
      <c r="BV73" s="2" t="s">
        <v>665</v>
      </c>
      <c r="BW73" s="2">
        <v>3</v>
      </c>
      <c r="BX73" s="2">
        <v>25</v>
      </c>
      <c r="BY73" s="2">
        <v>5</v>
      </c>
      <c r="BZ73" s="2" t="s">
        <v>53</v>
      </c>
      <c r="CA73" s="2">
        <f t="shared" si="41"/>
        <v>125</v>
      </c>
      <c r="CB73" s="2"/>
    </row>
    <row r="74" spans="1:89" x14ac:dyDescent="0.25">
      <c r="A74" s="31" t="s">
        <v>740</v>
      </c>
      <c r="B74" s="2" t="s">
        <v>108</v>
      </c>
      <c r="C74" s="2" t="s">
        <v>741</v>
      </c>
      <c r="D74" s="2">
        <v>99</v>
      </c>
      <c r="E74" s="2">
        <v>68.319999999999993</v>
      </c>
      <c r="F74" s="2" t="s">
        <v>9</v>
      </c>
      <c r="G74" s="3">
        <f>D74*E74</f>
        <v>6763.6799999999994</v>
      </c>
      <c r="H74" s="2"/>
      <c r="J74" s="31"/>
      <c r="K74" s="2" t="s">
        <v>636</v>
      </c>
      <c r="L74" s="2" t="s">
        <v>191</v>
      </c>
      <c r="M74" s="2">
        <v>165</v>
      </c>
      <c r="N74" s="2">
        <v>8</v>
      </c>
      <c r="O74" s="2" t="s">
        <v>9</v>
      </c>
      <c r="P74" s="2">
        <f>M74*N74</f>
        <v>1320</v>
      </c>
      <c r="Q74" s="2"/>
      <c r="AB74" s="31"/>
      <c r="AC74" s="1" t="s">
        <v>459</v>
      </c>
      <c r="AD74" s="1" t="s">
        <v>460</v>
      </c>
      <c r="AE74" s="1">
        <v>108</v>
      </c>
      <c r="AF74" s="18">
        <v>20</v>
      </c>
      <c r="AG74" s="1" t="s">
        <v>24</v>
      </c>
      <c r="AH74" s="18">
        <f t="shared" ref="AH74:AH75" si="42">AE74*AF74</f>
        <v>2160</v>
      </c>
      <c r="AI74" s="1"/>
      <c r="AK74" s="31"/>
      <c r="AL74" s="1"/>
      <c r="AM74" s="1"/>
      <c r="AN74" s="1"/>
      <c r="AO74" s="4"/>
      <c r="AP74" s="4"/>
      <c r="AQ74" s="4"/>
      <c r="AR74" s="1"/>
      <c r="AU74" s="1" t="s">
        <v>477</v>
      </c>
      <c r="AV74" s="1"/>
      <c r="AW74" s="1">
        <v>69</v>
      </c>
      <c r="AX74" s="23"/>
      <c r="AY74" s="1" t="s">
        <v>67</v>
      </c>
      <c r="AZ74" s="24">
        <f>AW74*AX74</f>
        <v>0</v>
      </c>
      <c r="BA74" s="2"/>
      <c r="BU74" s="31"/>
      <c r="BV74" s="32"/>
      <c r="BW74" s="33"/>
      <c r="BX74" s="34"/>
      <c r="BY74" s="6"/>
      <c r="BZ74" s="6"/>
      <c r="CA74" s="14">
        <f>SUM(CA71:CA73)</f>
        <v>1115</v>
      </c>
      <c r="CB74" s="2"/>
      <c r="CD74" s="2" t="s">
        <v>74</v>
      </c>
      <c r="CE74" s="2" t="s">
        <v>0</v>
      </c>
      <c r="CF74" s="2" t="s">
        <v>1</v>
      </c>
      <c r="CG74" s="2" t="s">
        <v>2</v>
      </c>
      <c r="CH74" s="2" t="s">
        <v>3</v>
      </c>
      <c r="CI74" s="2"/>
      <c r="CJ74" s="2" t="s">
        <v>4</v>
      </c>
      <c r="CK74" s="2" t="s">
        <v>5</v>
      </c>
    </row>
    <row r="75" spans="1:89" x14ac:dyDescent="0.25">
      <c r="A75" s="31"/>
      <c r="B75" s="2"/>
      <c r="C75" s="2"/>
      <c r="D75" s="2"/>
      <c r="E75" s="2"/>
      <c r="F75" s="2"/>
      <c r="G75" s="2"/>
      <c r="H75" s="2"/>
      <c r="J75" s="31"/>
      <c r="K75" s="2"/>
      <c r="L75" s="2"/>
      <c r="M75" s="2"/>
      <c r="N75" s="2"/>
      <c r="O75" s="2"/>
      <c r="P75" s="2"/>
      <c r="Q75" s="2"/>
      <c r="AB75" s="31"/>
      <c r="AC75" s="1" t="s">
        <v>22</v>
      </c>
      <c r="AD75" s="1" t="s">
        <v>263</v>
      </c>
      <c r="AE75" s="1">
        <v>105</v>
      </c>
      <c r="AF75" s="1">
        <v>10</v>
      </c>
      <c r="AG75" s="1" t="s">
        <v>67</v>
      </c>
      <c r="AH75" s="1">
        <f t="shared" si="42"/>
        <v>1050</v>
      </c>
      <c r="AI75" s="1" t="s">
        <v>392</v>
      </c>
      <c r="AK75" s="31"/>
      <c r="AL75" s="32" t="s">
        <v>468</v>
      </c>
      <c r="AM75" s="33"/>
      <c r="AN75" s="34"/>
      <c r="AO75" s="4"/>
      <c r="AP75" s="4"/>
      <c r="AQ75" s="7">
        <f>SUM(AQ71:AQ74)</f>
        <v>2196.6</v>
      </c>
      <c r="AR75" s="1"/>
      <c r="AU75" s="1" t="s">
        <v>491</v>
      </c>
      <c r="AV75" s="1"/>
      <c r="AW75" s="1">
        <v>900</v>
      </c>
      <c r="AX75" s="1">
        <v>1</v>
      </c>
      <c r="AY75" s="1" t="s">
        <v>492</v>
      </c>
      <c r="AZ75" s="1">
        <f>AW75*AX75</f>
        <v>900</v>
      </c>
      <c r="BA75" s="2"/>
      <c r="BL75" s="2" t="s">
        <v>101</v>
      </c>
      <c r="BM75" s="2" t="s">
        <v>0</v>
      </c>
      <c r="BN75" s="2" t="s">
        <v>1</v>
      </c>
      <c r="BO75" s="2" t="s">
        <v>2</v>
      </c>
      <c r="BP75" s="2" t="s">
        <v>3</v>
      </c>
      <c r="BQ75" s="2"/>
      <c r="BR75" s="2" t="s">
        <v>4</v>
      </c>
      <c r="BS75" s="2" t="s">
        <v>5</v>
      </c>
      <c r="CD75" s="31" t="s">
        <v>769</v>
      </c>
      <c r="CE75" s="2" t="s">
        <v>325</v>
      </c>
      <c r="CF75" s="2">
        <v>130</v>
      </c>
      <c r="CG75" s="2">
        <v>12</v>
      </c>
      <c r="CH75" s="2">
        <v>130</v>
      </c>
      <c r="CI75" s="2" t="s">
        <v>770</v>
      </c>
      <c r="CJ75" s="3">
        <f>CG75*CH75</f>
        <v>1560</v>
      </c>
      <c r="CK75" s="2"/>
    </row>
    <row r="76" spans="1:89" x14ac:dyDescent="0.25">
      <c r="A76" s="31"/>
      <c r="B76" s="2"/>
      <c r="C76" s="2"/>
      <c r="D76" s="2"/>
      <c r="E76" s="2"/>
      <c r="F76" s="2"/>
      <c r="G76" s="2"/>
      <c r="H76" s="2"/>
      <c r="J76" s="31"/>
      <c r="K76" s="2"/>
      <c r="L76" s="2"/>
      <c r="M76" s="2"/>
      <c r="N76" s="6"/>
      <c r="O76" s="6"/>
      <c r="P76" s="6"/>
      <c r="Q76" s="2"/>
      <c r="AB76" s="31"/>
      <c r="AC76" s="1"/>
      <c r="AD76" s="1"/>
      <c r="AE76" s="1"/>
      <c r="AF76" s="1"/>
      <c r="AG76" s="1"/>
      <c r="AH76" s="1"/>
      <c r="AI76" s="1"/>
      <c r="AU76" s="1" t="s">
        <v>66</v>
      </c>
      <c r="AV76" s="1"/>
      <c r="AW76" s="1">
        <v>21</v>
      </c>
      <c r="AX76" s="1">
        <v>8</v>
      </c>
      <c r="AY76" s="1" t="s">
        <v>493</v>
      </c>
      <c r="AZ76" s="1">
        <f>AW76*AX76</f>
        <v>168</v>
      </c>
      <c r="BA76" s="2"/>
      <c r="BL76" s="31" t="s">
        <v>641</v>
      </c>
      <c r="BM76" s="2" t="s">
        <v>518</v>
      </c>
      <c r="BN76" s="2" t="s">
        <v>642</v>
      </c>
      <c r="BO76" s="2">
        <v>16</v>
      </c>
      <c r="BP76" s="2">
        <v>10</v>
      </c>
      <c r="BQ76" s="2" t="s">
        <v>50</v>
      </c>
      <c r="BR76" s="2">
        <f t="shared" ref="BR76:BR80" si="43">BO76*BP76</f>
        <v>160</v>
      </c>
      <c r="BS76" s="2"/>
      <c r="BU76" s="2" t="s">
        <v>101</v>
      </c>
      <c r="BV76" s="2" t="s">
        <v>0</v>
      </c>
      <c r="BW76" s="2" t="s">
        <v>1</v>
      </c>
      <c r="BX76" s="2" t="s">
        <v>2</v>
      </c>
      <c r="BY76" s="2" t="s">
        <v>3</v>
      </c>
      <c r="BZ76" s="2"/>
      <c r="CA76" s="2" t="s">
        <v>4</v>
      </c>
      <c r="CB76" s="2" t="s">
        <v>5</v>
      </c>
      <c r="CD76" s="31"/>
      <c r="CE76" s="2" t="s">
        <v>58</v>
      </c>
      <c r="CF76" s="2">
        <v>25</v>
      </c>
      <c r="CG76" s="2">
        <v>93</v>
      </c>
      <c r="CH76" s="2">
        <v>25</v>
      </c>
      <c r="CI76" s="2" t="s">
        <v>9</v>
      </c>
      <c r="CJ76" s="3">
        <f t="shared" ref="CJ76:CJ78" si="44">CG76*CH76</f>
        <v>2325</v>
      </c>
      <c r="CK76" s="2"/>
    </row>
    <row r="77" spans="1:89" x14ac:dyDescent="0.25">
      <c r="A77" s="31"/>
      <c r="B77" s="2"/>
      <c r="C77" s="2"/>
      <c r="D77" s="2"/>
      <c r="E77" s="6"/>
      <c r="F77" s="6"/>
      <c r="G77" s="6"/>
      <c r="H77" s="2"/>
      <c r="J77" s="31"/>
      <c r="K77" s="32" t="s">
        <v>10</v>
      </c>
      <c r="L77" s="33"/>
      <c r="M77" s="34"/>
      <c r="N77" s="6"/>
      <c r="O77" s="6"/>
      <c r="P77" s="14">
        <f>SUM(P73:P76)</f>
        <v>4575</v>
      </c>
      <c r="Q77" s="2"/>
      <c r="AB77" s="31"/>
      <c r="AC77" s="1"/>
      <c r="AD77" s="1"/>
      <c r="AE77" s="1"/>
      <c r="AF77" s="1"/>
      <c r="AG77" s="1"/>
      <c r="AH77" s="1"/>
      <c r="AI77" s="1"/>
      <c r="AK77" s="1" t="s">
        <v>484</v>
      </c>
      <c r="AL77" s="1" t="s">
        <v>12</v>
      </c>
      <c r="AM77" s="1" t="s">
        <v>13</v>
      </c>
      <c r="AN77" s="1" t="s">
        <v>164</v>
      </c>
      <c r="AO77" s="1" t="s">
        <v>111</v>
      </c>
      <c r="AP77" s="1"/>
      <c r="AQ77" s="1" t="s">
        <v>30</v>
      </c>
      <c r="AR77" s="1" t="s">
        <v>226</v>
      </c>
      <c r="AU77" s="1" t="s">
        <v>494</v>
      </c>
      <c r="AV77" s="1"/>
      <c r="AW77" s="1">
        <v>60</v>
      </c>
      <c r="AX77" s="1">
        <v>10</v>
      </c>
      <c r="AY77" s="1" t="s">
        <v>495</v>
      </c>
      <c r="AZ77" s="1">
        <f>AW77*AX77</f>
        <v>600</v>
      </c>
      <c r="BA77" s="2"/>
      <c r="BL77" s="31"/>
      <c r="BM77" s="2" t="s">
        <v>285</v>
      </c>
      <c r="BN77" s="2" t="s">
        <v>643</v>
      </c>
      <c r="BO77" s="2">
        <v>11</v>
      </c>
      <c r="BP77" s="2">
        <v>10</v>
      </c>
      <c r="BQ77" s="2" t="s">
        <v>63</v>
      </c>
      <c r="BR77" s="2">
        <f t="shared" si="43"/>
        <v>110</v>
      </c>
      <c r="BS77" s="2"/>
      <c r="BU77" s="31" t="s">
        <v>880</v>
      </c>
      <c r="BV77" s="2" t="s">
        <v>865</v>
      </c>
      <c r="BW77" s="2">
        <v>1</v>
      </c>
      <c r="BX77" s="2">
        <v>35.4</v>
      </c>
      <c r="BY77" s="2">
        <v>10</v>
      </c>
      <c r="BZ77" s="2" t="s">
        <v>9</v>
      </c>
      <c r="CA77" s="2">
        <f>BX77*BY77</f>
        <v>354</v>
      </c>
      <c r="CB77" s="2"/>
      <c r="CD77" s="31"/>
      <c r="CE77" s="2" t="s">
        <v>577</v>
      </c>
      <c r="CF77" s="2">
        <v>10</v>
      </c>
      <c r="CG77" s="2">
        <v>43.8</v>
      </c>
      <c r="CH77" s="2">
        <v>10</v>
      </c>
      <c r="CI77" s="2" t="s">
        <v>9</v>
      </c>
      <c r="CJ77" s="3">
        <f t="shared" si="44"/>
        <v>438</v>
      </c>
      <c r="CK77" s="2"/>
    </row>
    <row r="78" spans="1:89" x14ac:dyDescent="0.25">
      <c r="A78" s="31"/>
      <c r="B78" s="32" t="s">
        <v>10</v>
      </c>
      <c r="C78" s="33"/>
      <c r="D78" s="34"/>
      <c r="E78" s="6"/>
      <c r="F78" s="6"/>
      <c r="G78" s="7">
        <f>SUM(G74:G77)</f>
        <v>6763.6799999999994</v>
      </c>
      <c r="H78" s="2"/>
      <c r="AB78" s="31"/>
      <c r="AC78" s="32" t="s">
        <v>73</v>
      </c>
      <c r="AD78" s="33"/>
      <c r="AE78" s="34"/>
      <c r="AF78" s="4"/>
      <c r="AG78" s="4"/>
      <c r="AH78" s="14">
        <f>SUM(AH73:AH77)</f>
        <v>4410</v>
      </c>
      <c r="AI78" s="1"/>
      <c r="AK78" s="31" t="s">
        <v>478</v>
      </c>
      <c r="AL78" s="1" t="s">
        <v>479</v>
      </c>
      <c r="AM78" s="1" t="s">
        <v>480</v>
      </c>
      <c r="AN78" s="1">
        <v>150</v>
      </c>
      <c r="AO78" s="23"/>
      <c r="AP78" s="1" t="s">
        <v>173</v>
      </c>
      <c r="AQ78" s="1">
        <f>AN78*AO78</f>
        <v>0</v>
      </c>
      <c r="AR78" s="1"/>
      <c r="AU78" s="1" t="s">
        <v>496</v>
      </c>
      <c r="AV78" s="1"/>
      <c r="AW78" s="1">
        <v>120</v>
      </c>
      <c r="AX78" s="1">
        <v>25</v>
      </c>
      <c r="AY78" s="1" t="s">
        <v>497</v>
      </c>
      <c r="AZ78" s="1">
        <f>AW78*AX78</f>
        <v>3000</v>
      </c>
      <c r="BA78" s="2"/>
      <c r="BL78" s="31"/>
      <c r="BM78" s="2" t="s">
        <v>644</v>
      </c>
      <c r="BN78" s="2" t="s">
        <v>191</v>
      </c>
      <c r="BO78" s="2">
        <v>21.6</v>
      </c>
      <c r="BP78" s="2">
        <v>5</v>
      </c>
      <c r="BQ78" s="2" t="s">
        <v>9</v>
      </c>
      <c r="BR78" s="2">
        <f t="shared" si="43"/>
        <v>108</v>
      </c>
      <c r="BS78" s="2"/>
      <c r="BU78" s="31"/>
      <c r="BV78" s="2" t="s">
        <v>804</v>
      </c>
      <c r="BW78" s="2">
        <v>10</v>
      </c>
      <c r="BX78" s="2">
        <v>108.48</v>
      </c>
      <c r="BY78" s="2">
        <v>1.28</v>
      </c>
      <c r="BZ78" s="2" t="s">
        <v>9</v>
      </c>
      <c r="CA78" s="2">
        <f t="shared" ref="CA78:CA80" si="45">BX78*BY78</f>
        <v>138.8544</v>
      </c>
      <c r="CB78" s="2"/>
      <c r="CD78" s="31"/>
      <c r="CE78" s="2" t="s">
        <v>150</v>
      </c>
      <c r="CF78" s="2">
        <v>65</v>
      </c>
      <c r="CG78" s="2">
        <v>19.8</v>
      </c>
      <c r="CH78" s="6">
        <v>65</v>
      </c>
      <c r="CI78" s="6" t="s">
        <v>9</v>
      </c>
      <c r="CJ78" s="3">
        <f t="shared" si="44"/>
        <v>1287</v>
      </c>
      <c r="CK78" s="2"/>
    </row>
    <row r="79" spans="1:89" x14ac:dyDescent="0.25">
      <c r="J79" s="2" t="s">
        <v>74</v>
      </c>
      <c r="K79" s="2" t="s">
        <v>0</v>
      </c>
      <c r="L79" s="2" t="s">
        <v>1</v>
      </c>
      <c r="M79" s="2" t="s">
        <v>2</v>
      </c>
      <c r="N79" s="2" t="s">
        <v>3</v>
      </c>
      <c r="O79" s="2"/>
      <c r="P79" s="2" t="s">
        <v>4</v>
      </c>
      <c r="Q79" s="2" t="s">
        <v>5</v>
      </c>
      <c r="AK79" s="31"/>
      <c r="AL79" s="1" t="s">
        <v>481</v>
      </c>
      <c r="AM79" s="1" t="s">
        <v>482</v>
      </c>
      <c r="AN79" s="1">
        <v>110</v>
      </c>
      <c r="AO79" s="1">
        <v>2</v>
      </c>
      <c r="AP79" s="1" t="s">
        <v>483</v>
      </c>
      <c r="AQ79" s="1">
        <f t="shared" ref="AQ79:AQ80" si="46">AN79*AO79</f>
        <v>220</v>
      </c>
      <c r="AR79" s="1"/>
      <c r="AU79" s="1" t="s">
        <v>498</v>
      </c>
      <c r="AV79" s="1"/>
      <c r="AW79" s="1">
        <v>390</v>
      </c>
      <c r="AX79" s="1">
        <v>1</v>
      </c>
      <c r="AY79" s="1" t="s">
        <v>499</v>
      </c>
      <c r="AZ79" s="1">
        <f>AW79*AX79</f>
        <v>390</v>
      </c>
      <c r="BA79" s="2"/>
      <c r="BL79" s="31"/>
      <c r="BM79" s="2" t="s">
        <v>264</v>
      </c>
      <c r="BN79" s="2" t="s">
        <v>85</v>
      </c>
      <c r="BO79" s="2">
        <v>45</v>
      </c>
      <c r="BP79" s="2">
        <v>4</v>
      </c>
      <c r="BQ79" s="2" t="s">
        <v>9</v>
      </c>
      <c r="BR79" s="2">
        <f t="shared" si="43"/>
        <v>180</v>
      </c>
      <c r="BS79" s="2"/>
      <c r="BU79" s="31"/>
      <c r="BV79" s="2" t="s">
        <v>766</v>
      </c>
      <c r="BW79" s="2">
        <v>3</v>
      </c>
      <c r="BX79" s="2">
        <v>225</v>
      </c>
      <c r="BY79" s="2">
        <v>3</v>
      </c>
      <c r="BZ79" s="2" t="s">
        <v>123</v>
      </c>
      <c r="CA79" s="2">
        <f t="shared" si="45"/>
        <v>675</v>
      </c>
      <c r="CB79" s="2"/>
      <c r="CD79" s="31"/>
      <c r="CE79" s="32" t="s">
        <v>10</v>
      </c>
      <c r="CF79" s="33"/>
      <c r="CG79" s="34"/>
      <c r="CH79" s="6"/>
      <c r="CI79" s="6"/>
      <c r="CJ79" s="7">
        <f>SUM(CJ75:CJ78)</f>
        <v>5610</v>
      </c>
      <c r="CK79" s="2"/>
    </row>
    <row r="80" spans="1:89" x14ac:dyDescent="0.25">
      <c r="A80" s="2" t="s">
        <v>11</v>
      </c>
      <c r="B80" s="2" t="s">
        <v>0</v>
      </c>
      <c r="C80" s="2" t="s">
        <v>1</v>
      </c>
      <c r="D80" s="2" t="s">
        <v>2</v>
      </c>
      <c r="E80" s="2" t="s">
        <v>3</v>
      </c>
      <c r="F80" s="2"/>
      <c r="G80" s="2" t="s">
        <v>4</v>
      </c>
      <c r="H80" s="2" t="s">
        <v>5</v>
      </c>
      <c r="J80" s="31" t="s">
        <v>650</v>
      </c>
      <c r="K80" s="2" t="s">
        <v>351</v>
      </c>
      <c r="L80" s="2" t="s">
        <v>183</v>
      </c>
      <c r="M80" s="2"/>
      <c r="N80" s="2"/>
      <c r="O80" s="2"/>
      <c r="P80" s="2">
        <f>M80*N80</f>
        <v>0</v>
      </c>
      <c r="Q80" s="2"/>
      <c r="AB80" s="1" t="s">
        <v>11</v>
      </c>
      <c r="AC80" s="1" t="s">
        <v>12</v>
      </c>
      <c r="AD80" s="1" t="s">
        <v>13</v>
      </c>
      <c r="AE80" s="1" t="s">
        <v>42</v>
      </c>
      <c r="AF80" s="1" t="s">
        <v>29</v>
      </c>
      <c r="AG80" s="1"/>
      <c r="AH80" s="1" t="s">
        <v>30</v>
      </c>
      <c r="AI80" s="1" t="s">
        <v>226</v>
      </c>
      <c r="AK80" s="31"/>
      <c r="AL80" s="1" t="s">
        <v>155</v>
      </c>
      <c r="AM80" s="1" t="s">
        <v>26</v>
      </c>
      <c r="AN80" s="1">
        <v>30.6</v>
      </c>
      <c r="AO80" s="1">
        <v>6</v>
      </c>
      <c r="AP80" s="1" t="s">
        <v>67</v>
      </c>
      <c r="AQ80" s="1">
        <f t="shared" si="46"/>
        <v>183.60000000000002</v>
      </c>
      <c r="AR80" s="1"/>
      <c r="AU80" s="1" t="s">
        <v>500</v>
      </c>
      <c r="AV80" s="1"/>
      <c r="AW80" s="1">
        <v>80</v>
      </c>
      <c r="AX80" s="1">
        <v>1</v>
      </c>
      <c r="AY80" s="4" t="s">
        <v>53</v>
      </c>
      <c r="AZ80" s="1">
        <f>AW80*AX80</f>
        <v>80</v>
      </c>
      <c r="BA80" s="2"/>
      <c r="BL80" s="31"/>
      <c r="BM80" s="2" t="s">
        <v>266</v>
      </c>
      <c r="BN80" s="2" t="s">
        <v>288</v>
      </c>
      <c r="BO80" s="2">
        <v>21.66</v>
      </c>
      <c r="BP80" s="2">
        <v>3</v>
      </c>
      <c r="BQ80" s="2" t="s">
        <v>9</v>
      </c>
      <c r="BR80" s="2">
        <f t="shared" si="43"/>
        <v>64.98</v>
      </c>
      <c r="BS80" s="2"/>
      <c r="BU80" s="31"/>
      <c r="BV80" s="2" t="s">
        <v>817</v>
      </c>
      <c r="BW80" s="2">
        <v>10</v>
      </c>
      <c r="BX80" s="2">
        <v>75</v>
      </c>
      <c r="BY80" s="2">
        <v>10</v>
      </c>
      <c r="BZ80" s="2" t="s">
        <v>708</v>
      </c>
      <c r="CA80" s="2">
        <f t="shared" si="45"/>
        <v>750</v>
      </c>
      <c r="CB80" s="2"/>
    </row>
    <row r="81" spans="1:89" x14ac:dyDescent="0.25">
      <c r="A81" s="31" t="s">
        <v>773</v>
      </c>
      <c r="B81" s="2" t="s">
        <v>547</v>
      </c>
      <c r="C81" s="2">
        <v>65</v>
      </c>
      <c r="D81" s="2">
        <v>75</v>
      </c>
      <c r="E81" s="49">
        <v>65</v>
      </c>
      <c r="F81" s="2" t="s">
        <v>9</v>
      </c>
      <c r="G81" s="2">
        <f>D81*E81</f>
        <v>4875</v>
      </c>
      <c r="H81" s="2"/>
      <c r="J81" s="31"/>
      <c r="K81" s="2" t="s">
        <v>353</v>
      </c>
      <c r="L81" s="2" t="s">
        <v>183</v>
      </c>
      <c r="M81" s="2"/>
      <c r="N81" s="2"/>
      <c r="O81" s="2"/>
      <c r="P81" s="2">
        <f t="shared" ref="P81:P84" si="47">M81*N81</f>
        <v>0</v>
      </c>
      <c r="Q81" s="2"/>
      <c r="AB81" s="31" t="s">
        <v>485</v>
      </c>
      <c r="AC81" s="1" t="s">
        <v>486</v>
      </c>
      <c r="AD81" s="1" t="s">
        <v>487</v>
      </c>
      <c r="AE81" s="1">
        <v>75</v>
      </c>
      <c r="AF81" s="1">
        <v>15</v>
      </c>
      <c r="AG81" s="1" t="s">
        <v>149</v>
      </c>
      <c r="AH81" s="1">
        <f>AE81*AF81</f>
        <v>1125</v>
      </c>
      <c r="AI81" s="1"/>
      <c r="AK81" s="31"/>
      <c r="AL81" s="1"/>
      <c r="AM81" s="1"/>
      <c r="AN81" s="1"/>
      <c r="AO81" s="1"/>
      <c r="AP81" s="1"/>
      <c r="AQ81" s="1"/>
      <c r="AR81" s="1"/>
      <c r="AU81" s="1" t="s">
        <v>501</v>
      </c>
      <c r="AV81" s="1"/>
      <c r="AW81" s="1">
        <v>120</v>
      </c>
      <c r="AX81" s="1">
        <v>2</v>
      </c>
      <c r="AY81" s="4" t="s">
        <v>144</v>
      </c>
      <c r="AZ81" s="1">
        <f>AW81*AX81</f>
        <v>240</v>
      </c>
      <c r="BA81" s="2"/>
      <c r="BL81" s="31"/>
      <c r="BM81" s="2" t="s">
        <v>645</v>
      </c>
      <c r="BN81" s="2" t="s">
        <v>646</v>
      </c>
      <c r="BO81" s="2">
        <v>110</v>
      </c>
      <c r="BP81" s="2">
        <v>1</v>
      </c>
      <c r="BQ81" s="2" t="s">
        <v>50</v>
      </c>
      <c r="BR81" s="2">
        <f>BO81*BP81</f>
        <v>110</v>
      </c>
      <c r="BS81" s="2"/>
      <c r="BU81" s="31"/>
      <c r="BV81" s="2"/>
      <c r="BW81" s="2"/>
      <c r="BX81" s="2"/>
      <c r="BY81" s="2"/>
      <c r="BZ81" s="2"/>
      <c r="CA81" s="2"/>
      <c r="CB81" s="2"/>
      <c r="CD81" s="2" t="s">
        <v>74</v>
      </c>
      <c r="CE81" s="2" t="s">
        <v>0</v>
      </c>
      <c r="CF81" s="2" t="s">
        <v>1</v>
      </c>
      <c r="CG81" s="2" t="s">
        <v>2</v>
      </c>
      <c r="CH81" s="2" t="s">
        <v>3</v>
      </c>
      <c r="CI81" s="2"/>
      <c r="CJ81" s="2" t="s">
        <v>4</v>
      </c>
      <c r="CK81" s="2" t="s">
        <v>5</v>
      </c>
    </row>
    <row r="82" spans="1:89" x14ac:dyDescent="0.25">
      <c r="A82" s="31"/>
      <c r="B82" s="2" t="s">
        <v>25</v>
      </c>
      <c r="C82" s="2">
        <v>6</v>
      </c>
      <c r="D82" s="2">
        <v>28.56</v>
      </c>
      <c r="E82" s="2">
        <v>6</v>
      </c>
      <c r="F82" s="2" t="s">
        <v>9</v>
      </c>
      <c r="G82" s="3">
        <f t="shared" ref="G82:G84" si="48">D82*E82</f>
        <v>171.35999999999999</v>
      </c>
      <c r="H82" s="2"/>
      <c r="J82" s="31"/>
      <c r="K82" s="2" t="s">
        <v>171</v>
      </c>
      <c r="L82" s="2" t="s">
        <v>23</v>
      </c>
      <c r="M82" s="2">
        <v>168</v>
      </c>
      <c r="N82" s="2">
        <v>20</v>
      </c>
      <c r="O82" s="2" t="s">
        <v>9</v>
      </c>
      <c r="P82" s="2">
        <f t="shared" si="47"/>
        <v>3360</v>
      </c>
      <c r="Q82" s="2"/>
      <c r="AB82" s="31"/>
      <c r="AC82" s="1" t="s">
        <v>488</v>
      </c>
      <c r="AD82" s="1" t="s">
        <v>339</v>
      </c>
      <c r="AE82" s="1">
        <v>93</v>
      </c>
      <c r="AF82" s="1">
        <v>20</v>
      </c>
      <c r="AG82" s="1" t="s">
        <v>83</v>
      </c>
      <c r="AH82" s="1">
        <f>AE82*AF82</f>
        <v>1860</v>
      </c>
      <c r="AI82" s="1"/>
      <c r="AK82" s="31"/>
      <c r="AL82" s="1"/>
      <c r="AM82" s="1"/>
      <c r="AN82" s="1"/>
      <c r="AO82" s="1"/>
      <c r="AP82" s="1"/>
      <c r="AQ82" s="1"/>
      <c r="AR82" s="1"/>
      <c r="AU82" s="1" t="s">
        <v>502</v>
      </c>
      <c r="AV82" s="1"/>
      <c r="AW82" s="1">
        <v>170</v>
      </c>
      <c r="AX82" s="1">
        <v>2</v>
      </c>
      <c r="AY82" s="4" t="s">
        <v>50</v>
      </c>
      <c r="AZ82" s="1">
        <f>AW82*AX82</f>
        <v>340</v>
      </c>
      <c r="BA82" s="2"/>
      <c r="BL82" s="31"/>
      <c r="BM82" s="32"/>
      <c r="BN82" s="33"/>
      <c r="BO82" s="34"/>
      <c r="BP82" s="6"/>
      <c r="BQ82" s="6"/>
      <c r="BR82" s="14">
        <f>SUM(BR76:BR81)</f>
        <v>732.98</v>
      </c>
      <c r="BS82" s="2"/>
      <c r="BU82" s="31"/>
      <c r="BV82" s="32"/>
      <c r="BW82" s="33"/>
      <c r="BX82" s="34"/>
      <c r="BY82" s="6"/>
      <c r="BZ82" s="6"/>
      <c r="CA82" s="7">
        <f>SUM(CA77:CA81)</f>
        <v>1917.8543999999999</v>
      </c>
      <c r="CB82" s="2"/>
      <c r="CD82" s="31" t="s">
        <v>805</v>
      </c>
      <c r="CE82" s="2" t="s">
        <v>805</v>
      </c>
      <c r="CF82" s="2">
        <v>65</v>
      </c>
      <c r="CG82" s="2">
        <v>21</v>
      </c>
      <c r="CH82" s="2">
        <v>65</v>
      </c>
      <c r="CI82" s="2" t="s">
        <v>9</v>
      </c>
      <c r="CJ82" s="3">
        <f>CG82*CH82</f>
        <v>1365</v>
      </c>
      <c r="CK82" s="2"/>
    </row>
    <row r="83" spans="1:89" x14ac:dyDescent="0.25">
      <c r="A83" s="31"/>
      <c r="B83" s="2" t="s">
        <v>720</v>
      </c>
      <c r="C83" s="2">
        <v>4</v>
      </c>
      <c r="D83" s="2">
        <v>220</v>
      </c>
      <c r="E83" s="2">
        <v>4</v>
      </c>
      <c r="F83" s="2" t="s">
        <v>144</v>
      </c>
      <c r="G83" s="2">
        <f t="shared" si="48"/>
        <v>880</v>
      </c>
      <c r="H83" s="2"/>
      <c r="J83" s="31"/>
      <c r="K83" s="2" t="s">
        <v>180</v>
      </c>
      <c r="L83" s="2" t="s">
        <v>183</v>
      </c>
      <c r="M83" s="2">
        <v>74.099999999999994</v>
      </c>
      <c r="N83" s="2">
        <v>1</v>
      </c>
      <c r="O83" s="2" t="s">
        <v>9</v>
      </c>
      <c r="P83" s="2">
        <f t="shared" si="47"/>
        <v>74.099999999999994</v>
      </c>
      <c r="Q83" s="2"/>
      <c r="AB83" s="31"/>
      <c r="AC83" s="1"/>
      <c r="AD83" s="1"/>
      <c r="AE83" s="1"/>
      <c r="AF83" s="1"/>
      <c r="AG83" s="1"/>
      <c r="AH83" s="1"/>
      <c r="AI83" s="1"/>
      <c r="AK83" s="31"/>
      <c r="AL83" s="32" t="s">
        <v>86</v>
      </c>
      <c r="AM83" s="33"/>
      <c r="AN83" s="34"/>
      <c r="AO83" s="4"/>
      <c r="AP83" s="4"/>
      <c r="AQ83" s="14">
        <f>SUM(AQ78:AQ82)</f>
        <v>403.6</v>
      </c>
      <c r="AR83" s="1"/>
      <c r="AU83" s="1" t="s">
        <v>565</v>
      </c>
      <c r="AV83" s="1"/>
      <c r="AW83" s="1">
        <v>75</v>
      </c>
      <c r="AX83" s="1">
        <v>1</v>
      </c>
      <c r="AY83" s="1" t="s">
        <v>149</v>
      </c>
      <c r="AZ83" s="1">
        <f>AW83*AX83</f>
        <v>75</v>
      </c>
      <c r="BA83" s="2"/>
      <c r="CD83" s="31"/>
      <c r="CE83" s="2" t="s">
        <v>79</v>
      </c>
      <c r="CF83" s="2">
        <v>10</v>
      </c>
      <c r="CG83" s="2">
        <v>16.2</v>
      </c>
      <c r="CH83" s="2">
        <v>10</v>
      </c>
      <c r="CI83" s="2" t="s">
        <v>9</v>
      </c>
      <c r="CJ83" s="3">
        <f t="shared" ref="CJ83:CJ85" si="49">CG83*CH83</f>
        <v>162</v>
      </c>
      <c r="CK83" s="2"/>
    </row>
    <row r="84" spans="1:89" x14ac:dyDescent="0.25">
      <c r="A84" s="31"/>
      <c r="B84" s="2" t="s">
        <v>22</v>
      </c>
      <c r="C84" s="2">
        <v>8</v>
      </c>
      <c r="D84" s="2">
        <v>75</v>
      </c>
      <c r="E84" s="2">
        <v>8</v>
      </c>
      <c r="F84" s="2" t="s">
        <v>9</v>
      </c>
      <c r="G84" s="2">
        <f t="shared" si="48"/>
        <v>600</v>
      </c>
      <c r="H84" s="2"/>
      <c r="J84" s="31"/>
      <c r="K84" s="2" t="s">
        <v>36</v>
      </c>
      <c r="L84" s="2" t="s">
        <v>20</v>
      </c>
      <c r="M84" s="2">
        <v>99</v>
      </c>
      <c r="N84" s="6">
        <v>25</v>
      </c>
      <c r="O84" s="6" t="s">
        <v>9</v>
      </c>
      <c r="P84" s="2">
        <f t="shared" si="47"/>
        <v>2475</v>
      </c>
      <c r="Q84" s="2"/>
      <c r="AB84" s="31"/>
      <c r="AC84" s="1"/>
      <c r="AD84" s="1"/>
      <c r="AE84" s="1"/>
      <c r="AF84" s="4"/>
      <c r="AG84" s="4"/>
      <c r="AH84" s="4"/>
      <c r="AI84" s="1"/>
      <c r="AU84" s="1" t="s">
        <v>566</v>
      </c>
      <c r="AV84" s="1"/>
      <c r="AW84" s="1">
        <v>540</v>
      </c>
      <c r="AX84" s="1">
        <v>1</v>
      </c>
      <c r="AY84" s="1" t="s">
        <v>149</v>
      </c>
      <c r="AZ84" s="1">
        <f>AW84*AX84</f>
        <v>540</v>
      </c>
      <c r="BA84" s="2"/>
      <c r="BL84" s="2" t="s">
        <v>101</v>
      </c>
      <c r="BM84" s="2" t="s">
        <v>0</v>
      </c>
      <c r="BN84" s="2" t="s">
        <v>1</v>
      </c>
      <c r="BO84" s="2" t="s">
        <v>2</v>
      </c>
      <c r="BP84" s="2" t="s">
        <v>3</v>
      </c>
      <c r="BQ84" s="2"/>
      <c r="BR84" s="2" t="s">
        <v>4</v>
      </c>
      <c r="BS84" s="2" t="s">
        <v>5</v>
      </c>
      <c r="BU84" s="57" t="s">
        <v>101</v>
      </c>
      <c r="BV84" s="57" t="s">
        <v>0</v>
      </c>
      <c r="BW84" s="57" t="s">
        <v>1</v>
      </c>
      <c r="BX84" s="57" t="s">
        <v>2</v>
      </c>
      <c r="BY84" s="57" t="s">
        <v>3</v>
      </c>
      <c r="BZ84" s="57"/>
      <c r="CA84" s="57" t="s">
        <v>4</v>
      </c>
      <c r="CB84" s="57" t="s">
        <v>5</v>
      </c>
      <c r="CD84" s="31"/>
      <c r="CE84" s="2" t="s">
        <v>806</v>
      </c>
      <c r="CF84" s="2">
        <v>4</v>
      </c>
      <c r="CG84" s="2">
        <v>360</v>
      </c>
      <c r="CH84" s="2">
        <v>4</v>
      </c>
      <c r="CI84" s="2" t="s">
        <v>55</v>
      </c>
      <c r="CJ84" s="3">
        <f t="shared" si="49"/>
        <v>1440</v>
      </c>
      <c r="CK84" s="2"/>
    </row>
    <row r="85" spans="1:89" x14ac:dyDescent="0.25">
      <c r="A85" s="31"/>
      <c r="B85" s="2"/>
      <c r="C85" s="2"/>
      <c r="D85" s="2"/>
      <c r="E85" s="2"/>
      <c r="F85" s="2"/>
      <c r="G85" s="2"/>
      <c r="H85" s="2"/>
      <c r="J85" s="31"/>
      <c r="K85" s="32" t="s">
        <v>10</v>
      </c>
      <c r="L85" s="33"/>
      <c r="M85" s="34"/>
      <c r="N85" s="6"/>
      <c r="O85" s="6"/>
      <c r="P85" s="7">
        <f>SUM(P80:P84)</f>
        <v>5909.1</v>
      </c>
      <c r="Q85" s="2"/>
      <c r="AB85" s="31"/>
      <c r="AC85" s="32" t="s">
        <v>86</v>
      </c>
      <c r="AD85" s="33"/>
      <c r="AE85" s="34"/>
      <c r="AF85" s="4"/>
      <c r="AG85" s="4"/>
      <c r="AH85" s="14">
        <f>SUM(AH81:AH84)</f>
        <v>2985</v>
      </c>
      <c r="AI85" s="1"/>
      <c r="AK85" s="1" t="s">
        <v>484</v>
      </c>
      <c r="AL85" s="1" t="s">
        <v>41</v>
      </c>
      <c r="AM85" s="1" t="s">
        <v>77</v>
      </c>
      <c r="AN85" s="1" t="s">
        <v>164</v>
      </c>
      <c r="AO85" s="1" t="s">
        <v>29</v>
      </c>
      <c r="AP85" s="1"/>
      <c r="AQ85" s="1" t="s">
        <v>30</v>
      </c>
      <c r="AR85" s="1" t="s">
        <v>226</v>
      </c>
      <c r="AU85" s="2" t="s">
        <v>614</v>
      </c>
      <c r="AV85" s="2"/>
      <c r="AW85" s="2">
        <v>210</v>
      </c>
      <c r="AX85" s="2">
        <v>1</v>
      </c>
      <c r="AY85" s="2" t="s">
        <v>53</v>
      </c>
      <c r="AZ85" s="2">
        <f>AW85*AX85</f>
        <v>210</v>
      </c>
      <c r="BL85" s="31" t="s">
        <v>685</v>
      </c>
      <c r="BM85" s="2" t="s">
        <v>250</v>
      </c>
      <c r="BN85" s="2" t="s">
        <v>37</v>
      </c>
      <c r="BO85" s="2">
        <v>8.1</v>
      </c>
      <c r="BP85" s="2">
        <v>15</v>
      </c>
      <c r="BQ85" s="2" t="s">
        <v>9</v>
      </c>
      <c r="BR85" s="2">
        <f>BO85*BP85</f>
        <v>121.5</v>
      </c>
      <c r="BS85" s="2"/>
      <c r="BU85" s="31" t="s">
        <v>973</v>
      </c>
      <c r="BV85" s="57" t="s">
        <v>470</v>
      </c>
      <c r="BW85" s="57" t="s">
        <v>600</v>
      </c>
      <c r="BX85" s="57"/>
      <c r="BY85" s="57"/>
      <c r="BZ85" s="56"/>
      <c r="CA85" s="57"/>
      <c r="CB85" s="57" t="s">
        <v>600</v>
      </c>
      <c r="CD85" s="31"/>
      <c r="CE85" s="2" t="s">
        <v>351</v>
      </c>
      <c r="CF85" s="2">
        <v>3</v>
      </c>
      <c r="CG85" s="2">
        <v>91.2</v>
      </c>
      <c r="CH85" s="6">
        <v>3</v>
      </c>
      <c r="CI85" s="6" t="s">
        <v>708</v>
      </c>
      <c r="CJ85" s="3">
        <f t="shared" si="49"/>
        <v>273.60000000000002</v>
      </c>
      <c r="CK85" s="2"/>
    </row>
    <row r="86" spans="1:89" x14ac:dyDescent="0.25">
      <c r="A86" s="31"/>
      <c r="B86" s="32" t="s">
        <v>10</v>
      </c>
      <c r="C86" s="33"/>
      <c r="D86" s="34"/>
      <c r="E86" s="6"/>
      <c r="F86" s="6"/>
      <c r="G86" s="7">
        <f>SUM(G81:G85)</f>
        <v>6526.36</v>
      </c>
      <c r="H86" s="2"/>
      <c r="AK86" s="31" t="s">
        <v>550</v>
      </c>
      <c r="AL86" s="1" t="s">
        <v>551</v>
      </c>
      <c r="AM86" s="1" t="s">
        <v>552</v>
      </c>
      <c r="AN86" s="1">
        <v>60.18</v>
      </c>
      <c r="AO86" s="1">
        <v>50</v>
      </c>
      <c r="AP86" s="1" t="s">
        <v>83</v>
      </c>
      <c r="AQ86" s="3">
        <f>AN86*AO86</f>
        <v>3009</v>
      </c>
      <c r="AR86" s="1"/>
      <c r="AU86" s="2" t="s">
        <v>118</v>
      </c>
      <c r="AV86" s="2"/>
      <c r="AW86" s="2">
        <v>250</v>
      </c>
      <c r="AX86" s="2">
        <v>1</v>
      </c>
      <c r="AY86" s="6" t="s">
        <v>144</v>
      </c>
      <c r="AZ86" s="6">
        <f t="shared" ref="AZ86" si="50">AW86*AX86</f>
        <v>250</v>
      </c>
      <c r="BL86" s="31"/>
      <c r="BM86" s="2" t="s">
        <v>278</v>
      </c>
      <c r="BN86" s="2" t="s">
        <v>37</v>
      </c>
      <c r="BO86" s="2">
        <v>150</v>
      </c>
      <c r="BP86" s="2">
        <v>15</v>
      </c>
      <c r="BQ86" s="2" t="s">
        <v>9</v>
      </c>
      <c r="BR86" s="2">
        <f>BO86*BP86</f>
        <v>2250</v>
      </c>
      <c r="BS86" s="2"/>
      <c r="BU86" s="31"/>
      <c r="BV86" s="57" t="s">
        <v>713</v>
      </c>
      <c r="BW86" s="57">
        <v>4</v>
      </c>
      <c r="BX86" s="57">
        <v>60</v>
      </c>
      <c r="BY86" s="57">
        <v>4</v>
      </c>
      <c r="BZ86" s="57" t="s">
        <v>708</v>
      </c>
      <c r="CA86" s="57">
        <f>BX86*BY86</f>
        <v>240</v>
      </c>
      <c r="CB86" s="57"/>
      <c r="CD86" s="31"/>
      <c r="CE86" s="32" t="s">
        <v>10</v>
      </c>
      <c r="CF86" s="33"/>
      <c r="CG86" s="34"/>
      <c r="CH86" s="6"/>
      <c r="CI86" s="6"/>
      <c r="CJ86" s="7">
        <f>SUM(CJ82:CJ85)</f>
        <v>3240.6</v>
      </c>
      <c r="CK86" s="2"/>
    </row>
    <row r="87" spans="1:89" x14ac:dyDescent="0.25">
      <c r="J87" s="2" t="s">
        <v>74</v>
      </c>
      <c r="K87" s="2" t="s">
        <v>0</v>
      </c>
      <c r="L87" s="2" t="s">
        <v>1</v>
      </c>
      <c r="M87" s="2" t="s">
        <v>2</v>
      </c>
      <c r="N87" s="2" t="s">
        <v>3</v>
      </c>
      <c r="O87" s="2"/>
      <c r="P87" s="2" t="s">
        <v>4</v>
      </c>
      <c r="Q87" s="2" t="s">
        <v>5</v>
      </c>
      <c r="AB87" s="1" t="s">
        <v>87</v>
      </c>
      <c r="AC87" s="1" t="s">
        <v>12</v>
      </c>
      <c r="AD87" s="1" t="s">
        <v>77</v>
      </c>
      <c r="AE87" s="1" t="s">
        <v>42</v>
      </c>
      <c r="AF87" s="1" t="s">
        <v>111</v>
      </c>
      <c r="AG87" s="1"/>
      <c r="AH87" s="1" t="s">
        <v>30</v>
      </c>
      <c r="AI87" s="1" t="s">
        <v>508</v>
      </c>
      <c r="AK87" s="31"/>
      <c r="AL87" s="1" t="s">
        <v>553</v>
      </c>
      <c r="AM87" s="1" t="s">
        <v>554</v>
      </c>
      <c r="AN87" s="18">
        <v>20</v>
      </c>
      <c r="AO87" s="1">
        <v>25</v>
      </c>
      <c r="AP87" s="1" t="s">
        <v>373</v>
      </c>
      <c r="AQ87" s="3">
        <f t="shared" ref="AQ87:AQ89" si="51">AN87*AO87</f>
        <v>500</v>
      </c>
      <c r="AR87" s="1"/>
      <c r="AU87" s="2" t="s">
        <v>663</v>
      </c>
      <c r="AV87" s="2"/>
      <c r="AW87" s="2">
        <v>150</v>
      </c>
      <c r="AX87" s="2">
        <v>4</v>
      </c>
      <c r="AY87" s="2" t="s">
        <v>9</v>
      </c>
      <c r="AZ87" s="2">
        <f t="shared" ref="AZ87" si="52">AW87*AX87</f>
        <v>600</v>
      </c>
      <c r="BA87" s="2"/>
      <c r="BL87" s="31"/>
      <c r="BM87" s="2"/>
      <c r="BN87" s="2"/>
      <c r="BO87" s="2"/>
      <c r="BP87" s="2"/>
      <c r="BQ87" s="2"/>
      <c r="BR87" s="2"/>
      <c r="BS87" s="2"/>
      <c r="BU87" s="31"/>
      <c r="BV87" s="57" t="s">
        <v>667</v>
      </c>
      <c r="BW87" s="57">
        <v>4</v>
      </c>
      <c r="BX87" s="57">
        <v>60</v>
      </c>
      <c r="BY87" s="57">
        <v>4</v>
      </c>
      <c r="BZ87" s="57" t="s">
        <v>708</v>
      </c>
      <c r="CA87" s="57">
        <f>BX87*BY87</f>
        <v>240</v>
      </c>
      <c r="CB87" s="57"/>
    </row>
    <row r="88" spans="1:89" x14ac:dyDescent="0.25">
      <c r="A88" s="57" t="s">
        <v>74</v>
      </c>
      <c r="B88" s="57" t="s">
        <v>0</v>
      </c>
      <c r="C88" s="57" t="s">
        <v>1</v>
      </c>
      <c r="D88" s="57" t="s">
        <v>2</v>
      </c>
      <c r="E88" s="57" t="s">
        <v>3</v>
      </c>
      <c r="F88" s="57"/>
      <c r="G88" s="57" t="s">
        <v>4</v>
      </c>
      <c r="H88" s="57" t="s">
        <v>5</v>
      </c>
      <c r="J88" s="31" t="s">
        <v>656</v>
      </c>
      <c r="K88" s="2" t="s">
        <v>171</v>
      </c>
      <c r="L88" s="2" t="s">
        <v>37</v>
      </c>
      <c r="M88" s="2">
        <v>168</v>
      </c>
      <c r="N88" s="2">
        <v>15</v>
      </c>
      <c r="O88" s="2" t="s">
        <v>9</v>
      </c>
      <c r="P88" s="2">
        <f>M88*N88</f>
        <v>2520</v>
      </c>
      <c r="Q88" s="2"/>
      <c r="AB88" s="31" t="s">
        <v>509</v>
      </c>
      <c r="AC88" s="1" t="s">
        <v>262</v>
      </c>
      <c r="AD88" s="1"/>
      <c r="AE88" s="1">
        <v>93</v>
      </c>
      <c r="AF88" s="1">
        <v>40</v>
      </c>
      <c r="AG88" s="1" t="s">
        <v>83</v>
      </c>
      <c r="AH88" s="1">
        <f>AE88*AF88</f>
        <v>3720</v>
      </c>
      <c r="AI88" s="1"/>
      <c r="AK88" s="31"/>
      <c r="AL88" s="1" t="s">
        <v>555</v>
      </c>
      <c r="AM88" s="1" t="s">
        <v>556</v>
      </c>
      <c r="AN88" s="1">
        <v>85</v>
      </c>
      <c r="AO88" s="1">
        <v>4</v>
      </c>
      <c r="AP88" s="1" t="s">
        <v>83</v>
      </c>
      <c r="AQ88" s="3">
        <f t="shared" si="51"/>
        <v>340</v>
      </c>
      <c r="AR88" s="1"/>
      <c r="AU88" s="2" t="s">
        <v>668</v>
      </c>
      <c r="AV88" s="2"/>
      <c r="AW88" s="2">
        <v>294</v>
      </c>
      <c r="AX88" s="2">
        <v>1</v>
      </c>
      <c r="AY88" s="2" t="s">
        <v>50</v>
      </c>
      <c r="AZ88" s="2">
        <f>AW88*AX88</f>
        <v>294</v>
      </c>
      <c r="BL88" s="31"/>
      <c r="BM88" s="32"/>
      <c r="BN88" s="33"/>
      <c r="BO88" s="34"/>
      <c r="BP88" s="6"/>
      <c r="BQ88" s="6"/>
      <c r="BR88" s="7">
        <f>SUM(BR85:BR87)</f>
        <v>2371.5</v>
      </c>
      <c r="BS88" s="2"/>
      <c r="BU88" s="31"/>
      <c r="BV88" s="32"/>
      <c r="BW88" s="33"/>
      <c r="BX88" s="34"/>
      <c r="BY88" s="59"/>
      <c r="BZ88" s="59"/>
      <c r="CA88" s="66">
        <f>SUM(CA85:CA87)</f>
        <v>480</v>
      </c>
      <c r="CB88" s="57"/>
      <c r="CD88" s="2" t="s">
        <v>74</v>
      </c>
      <c r="CE88" s="2" t="s">
        <v>0</v>
      </c>
      <c r="CF88" s="2" t="s">
        <v>1</v>
      </c>
      <c r="CG88" s="2" t="s">
        <v>2</v>
      </c>
      <c r="CH88" s="2" t="s">
        <v>3</v>
      </c>
      <c r="CI88" s="2"/>
      <c r="CJ88" s="2" t="s">
        <v>4</v>
      </c>
      <c r="CK88" s="2" t="s">
        <v>5</v>
      </c>
    </row>
    <row r="89" spans="1:89" x14ac:dyDescent="0.25">
      <c r="A89" s="31" t="s">
        <v>941</v>
      </c>
      <c r="B89" s="57" t="s">
        <v>25</v>
      </c>
      <c r="C89" s="57">
        <v>10</v>
      </c>
      <c r="D89" s="57">
        <v>25.5</v>
      </c>
      <c r="E89" s="57">
        <v>10</v>
      </c>
      <c r="F89" s="57" t="s">
        <v>708</v>
      </c>
      <c r="G89" s="58">
        <f>D89*E89</f>
        <v>255</v>
      </c>
      <c r="H89" s="57"/>
      <c r="J89" s="31"/>
      <c r="K89" s="2" t="s">
        <v>36</v>
      </c>
      <c r="L89" s="2" t="s">
        <v>23</v>
      </c>
      <c r="M89" s="2">
        <v>99</v>
      </c>
      <c r="N89" s="2">
        <v>20</v>
      </c>
      <c r="O89" s="2" t="s">
        <v>9</v>
      </c>
      <c r="P89" s="2">
        <f t="shared" ref="P89:P90" si="53">M89*N89</f>
        <v>1980</v>
      </c>
      <c r="Q89" s="2"/>
      <c r="AB89" s="31"/>
      <c r="AC89" s="1"/>
      <c r="AD89" s="1"/>
      <c r="AE89" s="1"/>
      <c r="AF89" s="1"/>
      <c r="AG89" s="1"/>
      <c r="AH89" s="1"/>
      <c r="AI89" s="1"/>
      <c r="AK89" s="31"/>
      <c r="AL89" s="1" t="s">
        <v>340</v>
      </c>
      <c r="AM89" s="1" t="s">
        <v>39</v>
      </c>
      <c r="AN89" s="1">
        <v>15.3</v>
      </c>
      <c r="AO89" s="1">
        <v>2</v>
      </c>
      <c r="AP89" s="1" t="s">
        <v>83</v>
      </c>
      <c r="AQ89" s="3">
        <f t="shared" si="51"/>
        <v>30.6</v>
      </c>
      <c r="AR89" s="1"/>
      <c r="AU89" s="2" t="s">
        <v>669</v>
      </c>
      <c r="AV89" s="2" t="s">
        <v>288</v>
      </c>
      <c r="AW89" s="2">
        <v>168</v>
      </c>
      <c r="AX89" s="2">
        <v>3</v>
      </c>
      <c r="AY89" s="2" t="s">
        <v>9</v>
      </c>
      <c r="AZ89" s="2">
        <f>AW89*AX89</f>
        <v>504</v>
      </c>
      <c r="CD89" s="31" t="s">
        <v>819</v>
      </c>
      <c r="CE89" s="2" t="s">
        <v>150</v>
      </c>
      <c r="CF89" s="2">
        <v>70</v>
      </c>
      <c r="CG89" s="2">
        <v>19.8</v>
      </c>
      <c r="CH89" s="2">
        <v>70</v>
      </c>
      <c r="CI89" s="2" t="s">
        <v>708</v>
      </c>
      <c r="CJ89" s="3">
        <f>CG89*CH89</f>
        <v>1386</v>
      </c>
      <c r="CK89" s="2"/>
    </row>
    <row r="90" spans="1:89" x14ac:dyDescent="0.25">
      <c r="A90" s="31"/>
      <c r="B90" s="57" t="s">
        <v>612</v>
      </c>
      <c r="C90" s="57">
        <v>5</v>
      </c>
      <c r="D90" s="57">
        <v>64.8</v>
      </c>
      <c r="E90" s="57">
        <v>5</v>
      </c>
      <c r="F90" s="57" t="s">
        <v>708</v>
      </c>
      <c r="G90" s="58">
        <f t="shared" ref="G90:G92" si="54">D90*E90</f>
        <v>324</v>
      </c>
      <c r="H90" s="57"/>
      <c r="J90" s="31"/>
      <c r="K90" s="2" t="s">
        <v>657</v>
      </c>
      <c r="L90" s="2" t="s">
        <v>37</v>
      </c>
      <c r="M90" s="2">
        <v>87</v>
      </c>
      <c r="N90" s="2">
        <v>15</v>
      </c>
      <c r="O90" s="2" t="s">
        <v>9</v>
      </c>
      <c r="P90" s="2">
        <f t="shared" si="53"/>
        <v>1305</v>
      </c>
      <c r="Q90" s="2"/>
      <c r="AB90" s="31"/>
      <c r="AC90" s="1"/>
      <c r="AD90" s="1"/>
      <c r="AE90" s="1"/>
      <c r="AF90" s="1"/>
      <c r="AG90" s="1"/>
      <c r="AH90" s="1"/>
      <c r="AI90" s="1"/>
      <c r="AK90" s="31"/>
      <c r="AL90" s="1"/>
      <c r="AM90" s="1"/>
      <c r="AN90" s="1"/>
      <c r="AO90" s="1"/>
      <c r="AP90" s="1"/>
      <c r="AQ90" s="1"/>
      <c r="AR90" s="1"/>
      <c r="AU90" s="2" t="s">
        <v>686</v>
      </c>
      <c r="AV90" s="2"/>
      <c r="AW90" s="2">
        <v>125</v>
      </c>
      <c r="AX90" s="2">
        <v>5</v>
      </c>
      <c r="AY90" s="2" t="s">
        <v>9</v>
      </c>
      <c r="AZ90" s="2">
        <f>AW90*AX90</f>
        <v>625</v>
      </c>
      <c r="BL90" s="2" t="s">
        <v>101</v>
      </c>
      <c r="BM90" s="2" t="s">
        <v>0</v>
      </c>
      <c r="BN90" s="2" t="s">
        <v>1</v>
      </c>
      <c r="BO90" s="2" t="s">
        <v>2</v>
      </c>
      <c r="BP90" s="2" t="s">
        <v>3</v>
      </c>
      <c r="BQ90" s="2"/>
      <c r="BR90" s="2" t="s">
        <v>4</v>
      </c>
      <c r="BS90" s="2" t="s">
        <v>5</v>
      </c>
      <c r="BU90" s="57" t="s">
        <v>101</v>
      </c>
      <c r="BV90" s="69" t="s">
        <v>0</v>
      </c>
      <c r="BW90" s="69" t="s">
        <v>1</v>
      </c>
      <c r="BX90" s="69" t="s">
        <v>2</v>
      </c>
      <c r="BY90" s="57" t="s">
        <v>3</v>
      </c>
      <c r="BZ90" s="57"/>
      <c r="CA90" s="57" t="s">
        <v>4</v>
      </c>
      <c r="CB90" s="57" t="s">
        <v>5</v>
      </c>
      <c r="CD90" s="31"/>
      <c r="CE90" s="2" t="s">
        <v>36</v>
      </c>
      <c r="CF90" s="2">
        <v>25</v>
      </c>
      <c r="CG90" s="2">
        <v>99</v>
      </c>
      <c r="CH90" s="2">
        <v>25</v>
      </c>
      <c r="CI90" s="2" t="s">
        <v>708</v>
      </c>
      <c r="CJ90" s="3">
        <f t="shared" ref="CJ90:CJ93" si="55">CG90*CH90</f>
        <v>2475</v>
      </c>
      <c r="CK90" s="2"/>
    </row>
    <row r="91" spans="1:89" x14ac:dyDescent="0.25">
      <c r="A91" s="31"/>
      <c r="B91" s="57" t="s">
        <v>613</v>
      </c>
      <c r="C91" s="57">
        <v>5</v>
      </c>
      <c r="D91" s="57">
        <v>69.3</v>
      </c>
      <c r="E91" s="57">
        <v>5</v>
      </c>
      <c r="F91" s="57" t="s">
        <v>708</v>
      </c>
      <c r="G91" s="58">
        <f t="shared" si="54"/>
        <v>346.5</v>
      </c>
      <c r="H91" s="57"/>
      <c r="J91" s="31"/>
      <c r="K91" s="2"/>
      <c r="L91" s="2"/>
      <c r="M91" s="2"/>
      <c r="N91" s="6"/>
      <c r="O91" s="6"/>
      <c r="P91" s="6"/>
      <c r="Q91" s="2"/>
      <c r="AB91" s="31"/>
      <c r="AC91" s="1"/>
      <c r="AD91" s="1"/>
      <c r="AE91" s="1"/>
      <c r="AF91" s="4"/>
      <c r="AG91" s="4"/>
      <c r="AH91" s="4"/>
      <c r="AI91" s="1"/>
      <c r="AK91" s="31"/>
      <c r="AL91" s="32" t="s">
        <v>86</v>
      </c>
      <c r="AM91" s="33"/>
      <c r="AN91" s="34"/>
      <c r="AO91" s="4"/>
      <c r="AP91" s="4"/>
      <c r="AQ91" s="7">
        <f>SUM(AQ86:AQ90)</f>
        <v>3879.6</v>
      </c>
      <c r="AR91" s="1"/>
      <c r="AU91" s="2" t="s">
        <v>687</v>
      </c>
      <c r="AV91" s="2"/>
      <c r="AW91" s="2">
        <v>114</v>
      </c>
      <c r="AX91" s="2">
        <v>1</v>
      </c>
      <c r="AY91" s="2" t="s">
        <v>9</v>
      </c>
      <c r="AZ91" s="2">
        <f t="shared" ref="AZ91:AZ99" si="56">AW91*AX91</f>
        <v>114</v>
      </c>
      <c r="BL91" s="31" t="s">
        <v>693</v>
      </c>
      <c r="BM91" s="2" t="s">
        <v>569</v>
      </c>
      <c r="BN91" s="2" t="s">
        <v>23</v>
      </c>
      <c r="BO91" s="2">
        <v>13.26</v>
      </c>
      <c r="BP91" s="2">
        <v>20</v>
      </c>
      <c r="BQ91" s="2" t="s">
        <v>9</v>
      </c>
      <c r="BR91" s="2">
        <f>BO91*BP91</f>
        <v>265.2</v>
      </c>
      <c r="BS91" s="2"/>
      <c r="BU91" s="73" t="s">
        <v>992</v>
      </c>
      <c r="BV91" s="72" t="s">
        <v>993</v>
      </c>
      <c r="BW91" s="72">
        <v>10</v>
      </c>
      <c r="BX91" s="57">
        <v>373</v>
      </c>
      <c r="BY91" s="57">
        <v>10</v>
      </c>
      <c r="BZ91" s="57" t="s">
        <v>50</v>
      </c>
      <c r="CA91" s="57">
        <f>BX91*BY91</f>
        <v>3730</v>
      </c>
      <c r="CB91" s="57"/>
      <c r="CD91" s="31"/>
      <c r="CE91" s="2" t="s">
        <v>264</v>
      </c>
      <c r="CF91" s="2">
        <v>6</v>
      </c>
      <c r="CG91" s="2">
        <v>45</v>
      </c>
      <c r="CH91" s="2">
        <v>6</v>
      </c>
      <c r="CI91" s="2" t="s">
        <v>708</v>
      </c>
      <c r="CJ91" s="3">
        <f t="shared" si="55"/>
        <v>270</v>
      </c>
      <c r="CK91" s="2"/>
    </row>
    <row r="92" spans="1:89" x14ac:dyDescent="0.25">
      <c r="A92" s="31"/>
      <c r="B92" s="70" t="s">
        <v>942</v>
      </c>
      <c r="C92" s="57">
        <v>65</v>
      </c>
      <c r="D92" s="57">
        <v>168</v>
      </c>
      <c r="E92" s="59">
        <v>65</v>
      </c>
      <c r="F92" s="59" t="s">
        <v>708</v>
      </c>
      <c r="G92" s="58">
        <f t="shared" si="54"/>
        <v>10920</v>
      </c>
      <c r="H92" s="57"/>
      <c r="J92" s="31"/>
      <c r="K92" s="32" t="s">
        <v>10</v>
      </c>
      <c r="L92" s="33"/>
      <c r="M92" s="34"/>
      <c r="N92" s="6"/>
      <c r="O92" s="6"/>
      <c r="P92" s="14">
        <f>SUM(P88:P91)</f>
        <v>5805</v>
      </c>
      <c r="Q92" s="2"/>
      <c r="AB92" s="31"/>
      <c r="AC92" s="32" t="s">
        <v>86</v>
      </c>
      <c r="AD92" s="33"/>
      <c r="AE92" s="34"/>
      <c r="AF92" s="4"/>
      <c r="AG92" s="4"/>
      <c r="AH92" s="14">
        <f>SUM(AH88:AH91)</f>
        <v>3720</v>
      </c>
      <c r="AI92" s="1"/>
      <c r="AU92" s="2" t="s">
        <v>758</v>
      </c>
      <c r="AV92" s="2">
        <v>2</v>
      </c>
      <c r="AW92" s="2">
        <v>210</v>
      </c>
      <c r="AX92" s="2">
        <v>2</v>
      </c>
      <c r="AY92" s="2" t="s">
        <v>144</v>
      </c>
      <c r="AZ92" s="2">
        <f t="shared" si="56"/>
        <v>420</v>
      </c>
      <c r="BL92" s="31"/>
      <c r="BM92" s="2" t="s">
        <v>216</v>
      </c>
      <c r="BN92" s="2" t="s">
        <v>82</v>
      </c>
      <c r="BO92" s="2">
        <v>94.8</v>
      </c>
      <c r="BP92" s="2">
        <v>15</v>
      </c>
      <c r="BQ92" s="2" t="s">
        <v>9</v>
      </c>
      <c r="BR92" s="2">
        <f>BO92*BP92</f>
        <v>1422</v>
      </c>
      <c r="BS92" s="2"/>
      <c r="BU92" s="73"/>
      <c r="BV92" s="72" t="s">
        <v>994</v>
      </c>
      <c r="BW92" s="72">
        <v>1</v>
      </c>
      <c r="BX92" s="57"/>
      <c r="BY92" s="57"/>
      <c r="BZ92" s="57" t="s">
        <v>708</v>
      </c>
      <c r="CA92" s="57">
        <f>BX92*BY92</f>
        <v>0</v>
      </c>
      <c r="CB92" s="57" t="s">
        <v>600</v>
      </c>
      <c r="CD92" s="31"/>
      <c r="CE92" s="2" t="s">
        <v>266</v>
      </c>
      <c r="CF92" s="2">
        <v>5</v>
      </c>
      <c r="CG92" s="2">
        <v>12.54</v>
      </c>
      <c r="CH92" s="6">
        <v>5</v>
      </c>
      <c r="CI92" s="6" t="s">
        <v>708</v>
      </c>
      <c r="CJ92" s="3">
        <f t="shared" si="55"/>
        <v>62.699999999999996</v>
      </c>
      <c r="CK92" s="2"/>
    </row>
    <row r="93" spans="1:89" x14ac:dyDescent="0.25">
      <c r="A93" s="31"/>
      <c r="B93" s="32" t="s">
        <v>10</v>
      </c>
      <c r="C93" s="33"/>
      <c r="D93" s="34"/>
      <c r="E93" s="59"/>
      <c r="F93" s="59"/>
      <c r="G93" s="65">
        <f>SUM(G89:G92)</f>
        <v>11845.5</v>
      </c>
      <c r="H93" s="57"/>
      <c r="AK93" s="1" t="s">
        <v>258</v>
      </c>
      <c r="AL93" s="1" t="s">
        <v>578</v>
      </c>
      <c r="AM93" s="1" t="s">
        <v>77</v>
      </c>
      <c r="AN93" s="1" t="s">
        <v>579</v>
      </c>
      <c r="AO93" s="1" t="s">
        <v>29</v>
      </c>
      <c r="AP93" s="1"/>
      <c r="AQ93" s="1" t="s">
        <v>580</v>
      </c>
      <c r="AR93" s="1" t="s">
        <v>69</v>
      </c>
      <c r="AU93" s="2" t="s">
        <v>759</v>
      </c>
      <c r="AV93" s="2"/>
      <c r="AW93" s="2">
        <v>540</v>
      </c>
      <c r="AX93" s="2">
        <v>1</v>
      </c>
      <c r="AY93" s="2" t="s">
        <v>53</v>
      </c>
      <c r="AZ93" s="2">
        <f t="shared" si="56"/>
        <v>540</v>
      </c>
      <c r="BL93" s="31"/>
      <c r="BM93" s="2"/>
      <c r="BN93" s="2"/>
      <c r="BO93" s="2"/>
      <c r="BP93" s="2"/>
      <c r="BQ93" s="2"/>
      <c r="BR93" s="2"/>
      <c r="BS93" s="2"/>
      <c r="BU93" s="73"/>
      <c r="BV93" s="72" t="s">
        <v>995</v>
      </c>
      <c r="BW93" s="72">
        <v>20</v>
      </c>
      <c r="BX93" s="57">
        <v>56</v>
      </c>
      <c r="BY93" s="57">
        <v>20</v>
      </c>
      <c r="BZ93" s="57" t="s">
        <v>708</v>
      </c>
      <c r="CA93" s="57">
        <f>BX93*BY93</f>
        <v>1120</v>
      </c>
      <c r="CB93" s="57"/>
      <c r="CD93" s="31"/>
      <c r="CE93" s="2" t="s">
        <v>25</v>
      </c>
      <c r="CF93" s="2">
        <v>8</v>
      </c>
      <c r="CG93" s="2">
        <v>24.48</v>
      </c>
      <c r="CH93" s="6">
        <v>8</v>
      </c>
      <c r="CI93" s="6" t="s">
        <v>708</v>
      </c>
      <c r="CJ93" s="3">
        <f t="shared" si="55"/>
        <v>195.84</v>
      </c>
      <c r="CK93" s="2"/>
    </row>
    <row r="94" spans="1:89" x14ac:dyDescent="0.25">
      <c r="J94" s="2" t="s">
        <v>74</v>
      </c>
      <c r="K94" s="2" t="s">
        <v>0</v>
      </c>
      <c r="L94" s="2" t="s">
        <v>1</v>
      </c>
      <c r="M94" s="2" t="s">
        <v>2</v>
      </c>
      <c r="N94" s="2" t="s">
        <v>3</v>
      </c>
      <c r="O94" s="2"/>
      <c r="P94" s="2" t="s">
        <v>4</v>
      </c>
      <c r="Q94" s="2" t="s">
        <v>5</v>
      </c>
      <c r="AB94" s="1" t="s">
        <v>11</v>
      </c>
      <c r="AC94" s="1" t="s">
        <v>12</v>
      </c>
      <c r="AD94" s="1" t="s">
        <v>77</v>
      </c>
      <c r="AE94" s="1" t="s">
        <v>164</v>
      </c>
      <c r="AF94" s="1" t="s">
        <v>111</v>
      </c>
      <c r="AG94" s="1"/>
      <c r="AH94" s="1" t="s">
        <v>30</v>
      </c>
      <c r="AI94" s="1" t="s">
        <v>69</v>
      </c>
      <c r="AK94" s="31" t="s">
        <v>581</v>
      </c>
      <c r="AL94" s="1" t="s">
        <v>582</v>
      </c>
      <c r="AM94" s="1" t="s">
        <v>583</v>
      </c>
      <c r="AN94" s="1">
        <v>41.4</v>
      </c>
      <c r="AO94" s="1">
        <v>25</v>
      </c>
      <c r="AP94" s="1" t="s">
        <v>24</v>
      </c>
      <c r="AQ94" s="1">
        <f>AN94*AO94</f>
        <v>1035</v>
      </c>
      <c r="AR94" s="1"/>
      <c r="AU94" s="2" t="s">
        <v>645</v>
      </c>
      <c r="AV94" s="2"/>
      <c r="AW94" s="2">
        <v>110</v>
      </c>
      <c r="AX94" s="2">
        <v>1</v>
      </c>
      <c r="AY94" s="2" t="s">
        <v>50</v>
      </c>
      <c r="AZ94" s="2">
        <f t="shared" si="56"/>
        <v>110</v>
      </c>
      <c r="BL94" s="31"/>
      <c r="BM94" s="32"/>
      <c r="BN94" s="33"/>
      <c r="BO94" s="34"/>
      <c r="BP94" s="6"/>
      <c r="BQ94" s="6"/>
      <c r="BR94" s="7">
        <f>SUM(BR91:BR93)</f>
        <v>1687.2</v>
      </c>
      <c r="BS94" s="2"/>
      <c r="BU94" s="47"/>
      <c r="BV94" s="55"/>
      <c r="BW94" s="43"/>
      <c r="BX94" s="44"/>
      <c r="BY94" s="59"/>
      <c r="BZ94" s="59"/>
      <c r="CA94" s="66">
        <f>SUM(CA91:CA93)</f>
        <v>4850</v>
      </c>
      <c r="CB94" s="57"/>
      <c r="CD94" s="31"/>
      <c r="CE94" s="32" t="s">
        <v>10</v>
      </c>
      <c r="CF94" s="33"/>
      <c r="CG94" s="34"/>
      <c r="CH94" s="6"/>
      <c r="CI94" s="6"/>
      <c r="CJ94" s="7">
        <f>SUM(CJ89:CJ93)</f>
        <v>4389.54</v>
      </c>
      <c r="CK94" s="2"/>
    </row>
    <row r="95" spans="1:89" x14ac:dyDescent="0.25">
      <c r="A95" s="57" t="s">
        <v>74</v>
      </c>
      <c r="B95" s="57" t="s">
        <v>0</v>
      </c>
      <c r="C95" s="57" t="s">
        <v>1</v>
      </c>
      <c r="D95" s="57" t="s">
        <v>2</v>
      </c>
      <c r="E95" s="57" t="s">
        <v>3</v>
      </c>
      <c r="F95" s="57"/>
      <c r="G95" s="57" t="s">
        <v>4</v>
      </c>
      <c r="H95" s="57" t="s">
        <v>5</v>
      </c>
      <c r="J95" s="31" t="s">
        <v>688</v>
      </c>
      <c r="K95" s="2" t="s">
        <v>171</v>
      </c>
      <c r="L95" s="2" t="s">
        <v>23</v>
      </c>
      <c r="M95" s="2">
        <v>168</v>
      </c>
      <c r="N95" s="2">
        <v>20</v>
      </c>
      <c r="O95" s="2" t="s">
        <v>9</v>
      </c>
      <c r="P95" s="2">
        <f>M95*N95</f>
        <v>3360</v>
      </c>
      <c r="Q95" s="2"/>
      <c r="AB95" s="31" t="s">
        <v>557</v>
      </c>
      <c r="AC95" s="1" t="s">
        <v>558</v>
      </c>
      <c r="AD95" s="1" t="s">
        <v>559</v>
      </c>
      <c r="AE95" s="1">
        <v>100</v>
      </c>
      <c r="AF95" s="1">
        <v>12</v>
      </c>
      <c r="AG95" s="1" t="s">
        <v>149</v>
      </c>
      <c r="AH95" s="1">
        <f>AE95*AF95</f>
        <v>1200</v>
      </c>
      <c r="AI95" s="1"/>
      <c r="AK95" s="31"/>
      <c r="AL95" s="1" t="s">
        <v>584</v>
      </c>
      <c r="AM95" s="1" t="s">
        <v>263</v>
      </c>
      <c r="AN95" s="1">
        <v>48</v>
      </c>
      <c r="AO95" s="1">
        <v>10</v>
      </c>
      <c r="AP95" s="1" t="s">
        <v>67</v>
      </c>
      <c r="AQ95" s="1">
        <f t="shared" ref="AQ95:AQ97" si="57">AN95*AO95</f>
        <v>480</v>
      </c>
      <c r="AR95" s="1"/>
      <c r="AU95" s="2" t="s">
        <v>781</v>
      </c>
      <c r="AV95" s="2"/>
      <c r="AW95" s="2">
        <v>120</v>
      </c>
      <c r="AX95" s="2">
        <v>1</v>
      </c>
      <c r="AY95" s="2" t="s">
        <v>50</v>
      </c>
      <c r="AZ95" s="2">
        <f t="shared" si="56"/>
        <v>120</v>
      </c>
    </row>
    <row r="96" spans="1:89" x14ac:dyDescent="0.25">
      <c r="A96" s="31" t="s">
        <v>949</v>
      </c>
      <c r="B96" s="57" t="s">
        <v>950</v>
      </c>
      <c r="C96" s="57">
        <v>65</v>
      </c>
      <c r="D96" s="57">
        <v>168</v>
      </c>
      <c r="E96" s="57">
        <v>65</v>
      </c>
      <c r="F96" s="57" t="s">
        <v>708</v>
      </c>
      <c r="G96" s="58">
        <f>D96*E96</f>
        <v>10920</v>
      </c>
      <c r="H96" s="57"/>
      <c r="J96" s="31"/>
      <c r="K96" s="2" t="s">
        <v>36</v>
      </c>
      <c r="L96" s="2" t="s">
        <v>20</v>
      </c>
      <c r="M96" s="2">
        <v>99</v>
      </c>
      <c r="N96" s="2">
        <v>25</v>
      </c>
      <c r="O96" s="2" t="s">
        <v>9</v>
      </c>
      <c r="P96" s="2">
        <f t="shared" ref="P96:P100" si="58">M96*N96</f>
        <v>2475</v>
      </c>
      <c r="Q96" s="2"/>
      <c r="AB96" s="31"/>
      <c r="AC96" s="1" t="s">
        <v>560</v>
      </c>
      <c r="AD96" s="1" t="s">
        <v>561</v>
      </c>
      <c r="AE96" s="1">
        <v>96</v>
      </c>
      <c r="AF96" s="1">
        <v>5</v>
      </c>
      <c r="AG96" s="1" t="s">
        <v>83</v>
      </c>
      <c r="AH96" s="1">
        <f t="shared" ref="AH96:AH99" si="59">AE96*AF96</f>
        <v>480</v>
      </c>
      <c r="AI96" s="1"/>
      <c r="AK96" s="31"/>
      <c r="AL96" s="1" t="s">
        <v>264</v>
      </c>
      <c r="AM96" s="1" t="s">
        <v>265</v>
      </c>
      <c r="AN96" s="1">
        <v>45</v>
      </c>
      <c r="AO96" s="1">
        <v>4</v>
      </c>
      <c r="AP96" s="1" t="s">
        <v>67</v>
      </c>
      <c r="AQ96" s="1">
        <f t="shared" si="57"/>
        <v>180</v>
      </c>
      <c r="AR96" s="1"/>
      <c r="AU96" s="2" t="s">
        <v>854</v>
      </c>
      <c r="AV96" s="2"/>
      <c r="AW96" s="2">
        <v>200</v>
      </c>
      <c r="AX96" s="2">
        <v>1</v>
      </c>
      <c r="AY96" s="2" t="s">
        <v>53</v>
      </c>
      <c r="AZ96" s="2">
        <f t="shared" si="56"/>
        <v>200</v>
      </c>
      <c r="BL96" s="2" t="s">
        <v>101</v>
      </c>
      <c r="BM96" s="2" t="s">
        <v>0</v>
      </c>
      <c r="BN96" s="2" t="s">
        <v>1</v>
      </c>
      <c r="BO96" s="2" t="s">
        <v>2</v>
      </c>
      <c r="BP96" s="2" t="s">
        <v>3</v>
      </c>
      <c r="BQ96" s="2"/>
      <c r="BR96" s="2" t="s">
        <v>4</v>
      </c>
      <c r="BS96" s="2" t="s">
        <v>5</v>
      </c>
      <c r="CD96" s="2" t="s">
        <v>74</v>
      </c>
      <c r="CE96" s="2" t="s">
        <v>0</v>
      </c>
      <c r="CF96" s="2" t="s">
        <v>1</v>
      </c>
      <c r="CG96" s="2" t="s">
        <v>2</v>
      </c>
      <c r="CH96" s="2" t="s">
        <v>3</v>
      </c>
      <c r="CI96" s="2"/>
      <c r="CJ96" s="2" t="s">
        <v>4</v>
      </c>
      <c r="CK96" s="2" t="s">
        <v>5</v>
      </c>
    </row>
    <row r="97" spans="1:89" x14ac:dyDescent="0.25">
      <c r="A97" s="31"/>
      <c r="B97" s="57"/>
      <c r="C97" s="57"/>
      <c r="D97" s="57"/>
      <c r="E97" s="57"/>
      <c r="F97" s="57"/>
      <c r="G97" s="57"/>
      <c r="H97" s="57"/>
      <c r="J97" s="31"/>
      <c r="K97" s="2" t="s">
        <v>25</v>
      </c>
      <c r="L97" s="2" t="s">
        <v>26</v>
      </c>
      <c r="M97" s="2">
        <v>30.6</v>
      </c>
      <c r="N97" s="2">
        <v>6</v>
      </c>
      <c r="O97" s="2" t="s">
        <v>9</v>
      </c>
      <c r="P97" s="2">
        <f t="shared" si="58"/>
        <v>183.60000000000002</v>
      </c>
      <c r="Q97" s="2"/>
      <c r="AB97" s="31"/>
      <c r="AC97" s="1" t="s">
        <v>562</v>
      </c>
      <c r="AD97" s="1" t="s">
        <v>281</v>
      </c>
      <c r="AE97" s="1">
        <v>280</v>
      </c>
      <c r="AF97" s="1">
        <v>5</v>
      </c>
      <c r="AG97" s="1" t="s">
        <v>149</v>
      </c>
      <c r="AH97" s="1">
        <f t="shared" si="59"/>
        <v>1400</v>
      </c>
      <c r="AI97" s="1"/>
      <c r="AK97" s="31"/>
      <c r="AL97" s="1" t="s">
        <v>229</v>
      </c>
      <c r="AM97" s="1" t="s">
        <v>271</v>
      </c>
      <c r="AN97" s="1">
        <v>30.6</v>
      </c>
      <c r="AO97" s="4">
        <v>5</v>
      </c>
      <c r="AP97" s="4" t="s">
        <v>67</v>
      </c>
      <c r="AQ97" s="1">
        <f t="shared" si="57"/>
        <v>153</v>
      </c>
      <c r="AR97" s="1"/>
      <c r="AU97" s="2" t="s">
        <v>500</v>
      </c>
      <c r="AV97" s="2"/>
      <c r="AW97" s="6">
        <v>80</v>
      </c>
      <c r="AX97" s="6">
        <v>2</v>
      </c>
      <c r="AY97" s="6" t="s">
        <v>53</v>
      </c>
      <c r="AZ97" s="2">
        <f t="shared" si="56"/>
        <v>160</v>
      </c>
      <c r="BL97" s="31" t="s">
        <v>709</v>
      </c>
      <c r="BM97" s="2" t="s">
        <v>640</v>
      </c>
      <c r="BN97" s="2" t="s">
        <v>85</v>
      </c>
      <c r="BO97" s="2">
        <v>17.34</v>
      </c>
      <c r="BP97" s="2">
        <v>4</v>
      </c>
      <c r="BQ97" s="2" t="s">
        <v>9</v>
      </c>
      <c r="BR97" s="3">
        <f>BO97*BP97</f>
        <v>69.36</v>
      </c>
      <c r="BS97" s="2"/>
      <c r="CD97" s="31" t="s">
        <v>824</v>
      </c>
      <c r="CE97" s="2" t="s">
        <v>825</v>
      </c>
      <c r="CF97" s="2">
        <v>65</v>
      </c>
      <c r="CG97" s="2">
        <v>32.4</v>
      </c>
      <c r="CH97" s="2">
        <v>65</v>
      </c>
      <c r="CI97" s="2" t="s">
        <v>708</v>
      </c>
      <c r="CJ97" s="3">
        <f>CG97*CH97</f>
        <v>2106</v>
      </c>
      <c r="CK97" s="2"/>
    </row>
    <row r="98" spans="1:89" x14ac:dyDescent="0.25">
      <c r="A98" s="31"/>
      <c r="B98" s="57"/>
      <c r="C98" s="57"/>
      <c r="D98" s="57"/>
      <c r="E98" s="57"/>
      <c r="F98" s="57"/>
      <c r="G98" s="57"/>
      <c r="H98" s="57"/>
      <c r="J98" s="31"/>
      <c r="K98" s="2" t="s">
        <v>689</v>
      </c>
      <c r="L98" s="2" t="s">
        <v>435</v>
      </c>
      <c r="M98" s="2">
        <v>350</v>
      </c>
      <c r="N98" s="6">
        <v>1</v>
      </c>
      <c r="O98" s="6" t="s">
        <v>9</v>
      </c>
      <c r="P98" s="2">
        <f t="shared" si="58"/>
        <v>350</v>
      </c>
      <c r="Q98" s="2"/>
      <c r="AB98" s="31"/>
      <c r="AC98" s="1" t="s">
        <v>563</v>
      </c>
      <c r="AD98" s="1" t="s">
        <v>564</v>
      </c>
      <c r="AE98" s="1">
        <v>120</v>
      </c>
      <c r="AF98" s="4">
        <v>3</v>
      </c>
      <c r="AG98" s="4" t="s">
        <v>483</v>
      </c>
      <c r="AH98" s="1">
        <f t="shared" si="59"/>
        <v>360</v>
      </c>
      <c r="AI98" s="1"/>
      <c r="AK98" s="31"/>
      <c r="AL98" s="32" t="s">
        <v>27</v>
      </c>
      <c r="AM98" s="33"/>
      <c r="AN98" s="34"/>
      <c r="AO98" s="4"/>
      <c r="AP98" s="4"/>
      <c r="AQ98" s="14">
        <f>SUM(AQ94:AQ97)</f>
        <v>1848</v>
      </c>
      <c r="AR98" s="1"/>
      <c r="AU98" s="2" t="s">
        <v>855</v>
      </c>
      <c r="AV98" s="2"/>
      <c r="AW98" s="6">
        <v>175</v>
      </c>
      <c r="AX98" s="6">
        <v>2</v>
      </c>
      <c r="AY98" s="6" t="s">
        <v>9</v>
      </c>
      <c r="AZ98" s="2">
        <f t="shared" si="56"/>
        <v>350</v>
      </c>
      <c r="BL98" s="31"/>
      <c r="BM98" s="2" t="s">
        <v>710</v>
      </c>
      <c r="BN98" s="2" t="s">
        <v>82</v>
      </c>
      <c r="BO98" s="2">
        <v>72</v>
      </c>
      <c r="BP98" s="2">
        <v>15</v>
      </c>
      <c r="BQ98" s="2" t="s">
        <v>9</v>
      </c>
      <c r="BR98" s="3">
        <f>BO98*BP98</f>
        <v>1080</v>
      </c>
      <c r="BS98" s="2"/>
      <c r="CD98" s="31"/>
      <c r="CE98" s="2" t="s">
        <v>222</v>
      </c>
      <c r="CF98" s="2">
        <v>15</v>
      </c>
      <c r="CG98" s="2">
        <v>99</v>
      </c>
      <c r="CH98" s="2">
        <v>15</v>
      </c>
      <c r="CI98" s="2" t="s">
        <v>708</v>
      </c>
      <c r="CJ98" s="3">
        <f t="shared" ref="CJ98:CJ101" si="60">CG98*CH98</f>
        <v>1485</v>
      </c>
      <c r="CK98" s="2"/>
    </row>
    <row r="99" spans="1:89" x14ac:dyDescent="0.25">
      <c r="A99" s="31"/>
      <c r="B99" s="70"/>
      <c r="C99" s="57"/>
      <c r="D99" s="57"/>
      <c r="E99" s="59"/>
      <c r="F99" s="59"/>
      <c r="G99" s="59"/>
      <c r="H99" s="57"/>
      <c r="J99" s="31"/>
      <c r="K99" s="2" t="s">
        <v>54</v>
      </c>
      <c r="L99" s="2" t="s">
        <v>153</v>
      </c>
      <c r="M99" s="2">
        <v>219</v>
      </c>
      <c r="N99" s="6">
        <v>1</v>
      </c>
      <c r="O99" s="6" t="s">
        <v>55</v>
      </c>
      <c r="P99" s="2">
        <f t="shared" si="58"/>
        <v>219</v>
      </c>
      <c r="Q99" s="2"/>
      <c r="AB99" s="31"/>
      <c r="AC99" s="1" t="s">
        <v>412</v>
      </c>
      <c r="AD99" s="1" t="s">
        <v>487</v>
      </c>
      <c r="AE99" s="1">
        <v>38.4</v>
      </c>
      <c r="AF99" s="4">
        <v>20</v>
      </c>
      <c r="AG99" s="4" t="s">
        <v>83</v>
      </c>
      <c r="AH99" s="1">
        <f t="shared" si="59"/>
        <v>768</v>
      </c>
      <c r="AI99" s="1"/>
      <c r="AU99" s="2" t="s">
        <v>916</v>
      </c>
      <c r="AV99" s="2"/>
      <c r="AW99" s="2">
        <v>530</v>
      </c>
      <c r="AX99" s="2">
        <v>1</v>
      </c>
      <c r="AY99" s="2" t="s">
        <v>55</v>
      </c>
      <c r="AZ99" s="2">
        <f t="shared" si="56"/>
        <v>530</v>
      </c>
      <c r="BL99" s="31"/>
      <c r="BM99" s="2"/>
      <c r="BN99" s="2"/>
      <c r="BO99" s="2"/>
      <c r="BP99" s="2"/>
      <c r="BQ99" s="2"/>
      <c r="BR99" s="2"/>
      <c r="BS99" s="2"/>
      <c r="CD99" s="31"/>
      <c r="CE99" s="2" t="s">
        <v>266</v>
      </c>
      <c r="CF99" s="2">
        <v>3</v>
      </c>
      <c r="CG99" s="2">
        <v>11.4</v>
      </c>
      <c r="CH99" s="2">
        <v>3</v>
      </c>
      <c r="CI99" s="2" t="s">
        <v>708</v>
      </c>
      <c r="CJ99" s="3">
        <f t="shared" si="60"/>
        <v>34.200000000000003</v>
      </c>
      <c r="CK99" s="2"/>
    </row>
    <row r="100" spans="1:89" x14ac:dyDescent="0.25">
      <c r="A100" s="31"/>
      <c r="B100" s="32" t="s">
        <v>10</v>
      </c>
      <c r="C100" s="33"/>
      <c r="D100" s="34"/>
      <c r="E100" s="59"/>
      <c r="F100" s="59"/>
      <c r="G100" s="65">
        <f>SUM(G96:G99)</f>
        <v>10920</v>
      </c>
      <c r="H100" s="57"/>
      <c r="J100" s="31"/>
      <c r="K100" s="2" t="s">
        <v>690</v>
      </c>
      <c r="L100" s="2" t="s">
        <v>435</v>
      </c>
      <c r="M100" s="2">
        <v>262.8</v>
      </c>
      <c r="N100" s="6">
        <v>1</v>
      </c>
      <c r="O100" s="6" t="s">
        <v>9</v>
      </c>
      <c r="P100" s="2">
        <f t="shared" si="58"/>
        <v>262.8</v>
      </c>
      <c r="Q100" s="2"/>
      <c r="AB100" s="31"/>
      <c r="AC100" s="1"/>
      <c r="AD100" s="1"/>
      <c r="AE100" s="1"/>
      <c r="AF100" s="4"/>
      <c r="AG100" s="4"/>
      <c r="AH100" s="4"/>
      <c r="AI100" s="1"/>
      <c r="AK100" s="2" t="s">
        <v>11</v>
      </c>
      <c r="AL100" s="2" t="s">
        <v>0</v>
      </c>
      <c r="AM100" s="2" t="s">
        <v>1</v>
      </c>
      <c r="AN100" s="2" t="s">
        <v>2</v>
      </c>
      <c r="AO100" s="2" t="s">
        <v>3</v>
      </c>
      <c r="AP100" s="2"/>
      <c r="AQ100" s="2" t="s">
        <v>4</v>
      </c>
      <c r="AR100" s="2" t="s">
        <v>5</v>
      </c>
      <c r="BL100" s="31"/>
      <c r="BM100" s="32"/>
      <c r="BN100" s="33"/>
      <c r="BO100" s="34"/>
      <c r="BP100" s="6"/>
      <c r="BQ100" s="6"/>
      <c r="BR100" s="7">
        <f>SUM(BR97:BR99)</f>
        <v>1149.3599999999999</v>
      </c>
      <c r="BS100" s="2"/>
      <c r="CD100" s="31"/>
      <c r="CE100" s="2" t="s">
        <v>264</v>
      </c>
      <c r="CF100" s="2">
        <v>3</v>
      </c>
      <c r="CG100" s="2">
        <v>45</v>
      </c>
      <c r="CH100" s="6">
        <v>3</v>
      </c>
      <c r="CI100" s="6" t="s">
        <v>708</v>
      </c>
      <c r="CJ100" s="3">
        <f t="shared" si="60"/>
        <v>135</v>
      </c>
      <c r="CK100" s="2"/>
    </row>
    <row r="101" spans="1:89" x14ac:dyDescent="0.25">
      <c r="J101" s="31"/>
      <c r="K101" s="32" t="s">
        <v>10</v>
      </c>
      <c r="L101" s="33"/>
      <c r="M101" s="34"/>
      <c r="N101" s="6"/>
      <c r="O101" s="6"/>
      <c r="P101" s="7">
        <f>SUM(P95:P100)</f>
        <v>6850.4000000000005</v>
      </c>
      <c r="Q101" s="2"/>
      <c r="AB101" s="31"/>
      <c r="AC101" s="32" t="s">
        <v>86</v>
      </c>
      <c r="AD101" s="33"/>
      <c r="AE101" s="34"/>
      <c r="AF101" s="4"/>
      <c r="AG101" s="4"/>
      <c r="AH101" s="14">
        <f>SUM(AH95:AH100)</f>
        <v>4208</v>
      </c>
      <c r="AI101" s="1"/>
      <c r="AK101" s="31" t="s">
        <v>587</v>
      </c>
      <c r="AL101" s="2" t="s">
        <v>322</v>
      </c>
      <c r="AM101" s="2" t="s">
        <v>418</v>
      </c>
      <c r="AN101" s="2">
        <v>150</v>
      </c>
      <c r="AO101" s="2">
        <v>6</v>
      </c>
      <c r="AP101" s="2" t="s">
        <v>324</v>
      </c>
      <c r="AQ101" s="2">
        <f>AN101*AO101</f>
        <v>900</v>
      </c>
      <c r="AR101" s="2"/>
      <c r="CD101" s="31"/>
      <c r="CE101" s="2" t="s">
        <v>826</v>
      </c>
      <c r="CF101" s="2">
        <v>1</v>
      </c>
      <c r="CG101" s="2">
        <v>1125</v>
      </c>
      <c r="CH101" s="6">
        <v>1</v>
      </c>
      <c r="CI101" s="6" t="s">
        <v>708</v>
      </c>
      <c r="CJ101" s="3">
        <f t="shared" si="60"/>
        <v>1125</v>
      </c>
      <c r="CK101" s="2"/>
    </row>
    <row r="102" spans="1:89" x14ac:dyDescent="0.25">
      <c r="A102" s="57" t="s">
        <v>74</v>
      </c>
      <c r="B102" s="57" t="s">
        <v>0</v>
      </c>
      <c r="C102" s="57" t="s">
        <v>1</v>
      </c>
      <c r="D102" s="57" t="s">
        <v>2</v>
      </c>
      <c r="E102" s="57" t="s">
        <v>3</v>
      </c>
      <c r="F102" s="57"/>
      <c r="G102" s="57" t="s">
        <v>4</v>
      </c>
      <c r="H102" s="57" t="s">
        <v>5</v>
      </c>
      <c r="AK102" s="31"/>
      <c r="AL102" s="2" t="s">
        <v>351</v>
      </c>
      <c r="AM102" s="2" t="s">
        <v>183</v>
      </c>
      <c r="AN102" s="2">
        <v>193.8</v>
      </c>
      <c r="AO102" s="2">
        <v>1</v>
      </c>
      <c r="AP102" s="2" t="s">
        <v>9</v>
      </c>
      <c r="AQ102" s="2">
        <f>AN102*AO102</f>
        <v>193.8</v>
      </c>
      <c r="AR102" s="2"/>
      <c r="BL102" s="2" t="s">
        <v>101</v>
      </c>
      <c r="BM102" s="2" t="s">
        <v>0</v>
      </c>
      <c r="BN102" s="2" t="s">
        <v>1</v>
      </c>
      <c r="BO102" s="2" t="s">
        <v>2</v>
      </c>
      <c r="BP102" s="2" t="s">
        <v>3</v>
      </c>
      <c r="BQ102" s="2"/>
      <c r="BR102" s="2" t="s">
        <v>4</v>
      </c>
      <c r="BS102" s="2" t="s">
        <v>5</v>
      </c>
      <c r="CD102" s="31"/>
      <c r="CE102" s="2" t="s">
        <v>640</v>
      </c>
      <c r="CF102" s="2">
        <v>5</v>
      </c>
      <c r="CG102" s="2">
        <v>38.76</v>
      </c>
      <c r="CH102" s="6">
        <v>5</v>
      </c>
      <c r="CI102" s="6" t="s">
        <v>708</v>
      </c>
      <c r="CJ102" s="3">
        <f>CG102*CH102</f>
        <v>193.79999999999998</v>
      </c>
      <c r="CK102" s="2"/>
    </row>
    <row r="103" spans="1:89" x14ac:dyDescent="0.25">
      <c r="A103" s="31" t="s">
        <v>976</v>
      </c>
      <c r="B103" s="57" t="s">
        <v>108</v>
      </c>
      <c r="C103" s="57">
        <v>260</v>
      </c>
      <c r="D103" s="57">
        <v>99</v>
      </c>
      <c r="E103" s="57">
        <v>62.23</v>
      </c>
      <c r="F103" s="57" t="s">
        <v>9</v>
      </c>
      <c r="G103" s="58">
        <f>D103*E103</f>
        <v>6160.7699999999995</v>
      </c>
      <c r="H103" s="57"/>
      <c r="J103" s="2" t="s">
        <v>74</v>
      </c>
      <c r="K103" s="2" t="s">
        <v>0</v>
      </c>
      <c r="L103" s="2" t="s">
        <v>1</v>
      </c>
      <c r="M103" s="2" t="s">
        <v>2</v>
      </c>
      <c r="N103" s="2" t="s">
        <v>3</v>
      </c>
      <c r="O103" s="2"/>
      <c r="P103" s="2" t="s">
        <v>4</v>
      </c>
      <c r="Q103" s="2" t="s">
        <v>5</v>
      </c>
      <c r="AB103" s="1" t="s">
        <v>574</v>
      </c>
      <c r="AC103" s="1" t="s">
        <v>12</v>
      </c>
      <c r="AD103" s="1" t="s">
        <v>13</v>
      </c>
      <c r="AE103" s="1" t="s">
        <v>164</v>
      </c>
      <c r="AF103" s="1" t="s">
        <v>111</v>
      </c>
      <c r="AG103" s="1"/>
      <c r="AH103" s="1" t="s">
        <v>30</v>
      </c>
      <c r="AI103" s="1" t="s">
        <v>69</v>
      </c>
      <c r="AK103" s="31"/>
      <c r="AL103" s="2"/>
      <c r="AM103" s="2"/>
      <c r="AN103" s="2"/>
      <c r="AO103" s="2"/>
      <c r="AP103" s="2"/>
      <c r="AQ103" s="2"/>
      <c r="AR103" s="2"/>
      <c r="BL103" s="31" t="s">
        <v>729</v>
      </c>
      <c r="BM103" s="2" t="s">
        <v>730</v>
      </c>
      <c r="BN103" s="2" t="s">
        <v>23</v>
      </c>
      <c r="BO103" s="2">
        <v>30.78</v>
      </c>
      <c r="BP103" s="2">
        <v>20</v>
      </c>
      <c r="BQ103" s="2" t="s">
        <v>9</v>
      </c>
      <c r="BR103" s="3">
        <f>BO103*BP103</f>
        <v>615.6</v>
      </c>
      <c r="BS103" s="2"/>
      <c r="CD103" s="31"/>
      <c r="CE103" s="32" t="s">
        <v>10</v>
      </c>
      <c r="CF103" s="33"/>
      <c r="CG103" s="34"/>
      <c r="CH103" s="6"/>
      <c r="CI103" s="6"/>
      <c r="CJ103" s="7">
        <f>SUM(CJ97:CJ102)</f>
        <v>5079</v>
      </c>
      <c r="CK103" s="2"/>
    </row>
    <row r="104" spans="1:89" x14ac:dyDescent="0.25">
      <c r="A104" s="31"/>
      <c r="B104" s="57" t="s">
        <v>386</v>
      </c>
      <c r="C104" s="57">
        <v>1</v>
      </c>
      <c r="D104" s="57">
        <v>138</v>
      </c>
      <c r="E104" s="57">
        <v>1</v>
      </c>
      <c r="F104" s="57" t="s">
        <v>53</v>
      </c>
      <c r="G104" s="58">
        <f t="shared" ref="G104:G106" si="61">D104*E104</f>
        <v>138</v>
      </c>
      <c r="H104" s="57"/>
      <c r="J104" s="31" t="s">
        <v>703</v>
      </c>
      <c r="K104" s="2" t="s">
        <v>353</v>
      </c>
      <c r="L104" s="2" t="s">
        <v>39</v>
      </c>
      <c r="M104" s="2">
        <v>74.099999999999994</v>
      </c>
      <c r="N104" s="2">
        <v>2</v>
      </c>
      <c r="O104" s="2" t="s">
        <v>9</v>
      </c>
      <c r="P104" s="3">
        <f>M104*N104</f>
        <v>148.19999999999999</v>
      </c>
      <c r="Q104" s="2"/>
      <c r="AB104" s="31" t="s">
        <v>575</v>
      </c>
      <c r="AC104" s="1" t="s">
        <v>576</v>
      </c>
      <c r="AD104" s="1" t="s">
        <v>487</v>
      </c>
      <c r="AE104" s="1">
        <v>140</v>
      </c>
      <c r="AF104" s="1">
        <v>15</v>
      </c>
      <c r="AG104" s="1" t="s">
        <v>149</v>
      </c>
      <c r="AH104" s="1">
        <f>AE104*AF104</f>
        <v>2100</v>
      </c>
      <c r="AI104" s="1"/>
      <c r="AK104" s="31"/>
      <c r="AL104" s="2"/>
      <c r="AM104" s="2"/>
      <c r="AN104" s="2"/>
      <c r="AO104" s="2"/>
      <c r="AP104" s="2"/>
      <c r="AQ104" s="2"/>
      <c r="AR104" s="2"/>
      <c r="BL104" s="31"/>
      <c r="BM104" s="2" t="s">
        <v>617</v>
      </c>
      <c r="BN104" s="2" t="s">
        <v>435</v>
      </c>
      <c r="BO104" s="2">
        <v>176</v>
      </c>
      <c r="BP104" s="2">
        <v>1</v>
      </c>
      <c r="BQ104" s="2" t="s">
        <v>53</v>
      </c>
      <c r="BR104" s="3">
        <f t="shared" ref="BR104:BR105" si="62">BO104*BP104</f>
        <v>176</v>
      </c>
      <c r="BS104" s="2"/>
    </row>
    <row r="105" spans="1:89" x14ac:dyDescent="0.25">
      <c r="A105" s="31"/>
      <c r="B105" s="57" t="s">
        <v>977</v>
      </c>
      <c r="C105" s="57"/>
      <c r="D105" s="57">
        <v>630</v>
      </c>
      <c r="E105" s="57">
        <v>1</v>
      </c>
      <c r="F105" s="57" t="s">
        <v>55</v>
      </c>
      <c r="G105" s="58">
        <f t="shared" si="61"/>
        <v>630</v>
      </c>
      <c r="H105" s="57"/>
      <c r="J105" s="31"/>
      <c r="K105" s="2" t="s">
        <v>171</v>
      </c>
      <c r="L105" s="2" t="s">
        <v>23</v>
      </c>
      <c r="M105" s="2">
        <v>168</v>
      </c>
      <c r="N105" s="2">
        <v>20</v>
      </c>
      <c r="O105" s="2" t="s">
        <v>9</v>
      </c>
      <c r="P105" s="3">
        <f t="shared" ref="P105:P107" si="63">M105*N105</f>
        <v>3360</v>
      </c>
      <c r="Q105" s="2"/>
      <c r="AB105" s="31"/>
      <c r="AC105" s="1" t="s">
        <v>488</v>
      </c>
      <c r="AD105" s="1" t="s">
        <v>172</v>
      </c>
      <c r="AE105" s="1">
        <v>93</v>
      </c>
      <c r="AF105" s="1">
        <v>15</v>
      </c>
      <c r="AG105" s="1" t="s">
        <v>24</v>
      </c>
      <c r="AH105" s="1">
        <f t="shared" ref="AH105:AH107" si="64">AE105*AF105</f>
        <v>1395</v>
      </c>
      <c r="AI105" s="1"/>
      <c r="AK105" s="31"/>
      <c r="AL105" s="2"/>
      <c r="AM105" s="2"/>
      <c r="AN105" s="2"/>
      <c r="AO105" s="2"/>
      <c r="AP105" s="2"/>
      <c r="AQ105" s="2"/>
      <c r="AR105" s="2"/>
      <c r="BL105" s="31"/>
      <c r="BM105" s="2" t="s">
        <v>266</v>
      </c>
      <c r="BN105" s="2" t="s">
        <v>271</v>
      </c>
      <c r="BO105" s="2">
        <v>17.100000000000001</v>
      </c>
      <c r="BP105" s="2">
        <v>5</v>
      </c>
      <c r="BQ105" s="2" t="s">
        <v>9</v>
      </c>
      <c r="BR105" s="3">
        <f t="shared" si="62"/>
        <v>85.5</v>
      </c>
      <c r="BS105" s="2"/>
      <c r="CD105" s="2" t="s">
        <v>74</v>
      </c>
      <c r="CE105" s="2" t="s">
        <v>0</v>
      </c>
      <c r="CF105" s="2" t="s">
        <v>1</v>
      </c>
      <c r="CG105" s="2" t="s">
        <v>2</v>
      </c>
      <c r="CH105" s="2" t="s">
        <v>3</v>
      </c>
      <c r="CI105" s="2"/>
      <c r="CJ105" s="2" t="s">
        <v>4</v>
      </c>
      <c r="CK105" s="2" t="s">
        <v>5</v>
      </c>
    </row>
    <row r="106" spans="1:89" x14ac:dyDescent="0.25">
      <c r="A106" s="31"/>
      <c r="B106" s="57" t="s">
        <v>978</v>
      </c>
      <c r="C106" s="57"/>
      <c r="D106" s="57">
        <v>99</v>
      </c>
      <c r="E106" s="59">
        <v>1</v>
      </c>
      <c r="F106" s="59" t="s">
        <v>9</v>
      </c>
      <c r="G106" s="58">
        <f t="shared" si="61"/>
        <v>99</v>
      </c>
      <c r="H106" s="57"/>
      <c r="J106" s="31"/>
      <c r="K106" s="2" t="s">
        <v>36</v>
      </c>
      <c r="L106" s="2" t="s">
        <v>80</v>
      </c>
      <c r="M106" s="2">
        <v>99</v>
      </c>
      <c r="N106" s="2">
        <v>30</v>
      </c>
      <c r="O106" s="2" t="s">
        <v>9</v>
      </c>
      <c r="P106" s="3">
        <f t="shared" si="63"/>
        <v>2970</v>
      </c>
      <c r="Q106" s="2"/>
      <c r="AB106" s="31"/>
      <c r="AC106" s="1" t="s">
        <v>414</v>
      </c>
      <c r="AD106" s="1" t="s">
        <v>413</v>
      </c>
      <c r="AE106" s="1">
        <v>75</v>
      </c>
      <c r="AF106" s="1">
        <v>15</v>
      </c>
      <c r="AG106" s="1" t="s">
        <v>53</v>
      </c>
      <c r="AH106" s="1">
        <f t="shared" si="64"/>
        <v>1125</v>
      </c>
      <c r="AI106" s="1"/>
      <c r="AK106" s="31"/>
      <c r="AL106" s="32" t="s">
        <v>10</v>
      </c>
      <c r="AM106" s="33"/>
      <c r="AN106" s="34"/>
      <c r="AO106" s="6"/>
      <c r="AP106" s="6"/>
      <c r="AQ106" s="7">
        <f>SUM(AQ101:AQ105)</f>
        <v>1093.8</v>
      </c>
      <c r="AR106" s="2"/>
      <c r="BL106" s="31"/>
      <c r="BM106" s="32"/>
      <c r="BN106" s="33"/>
      <c r="BO106" s="34"/>
      <c r="BP106" s="6"/>
      <c r="BQ106" s="6"/>
      <c r="BR106" s="7">
        <f>SUM(BR103:BR105)</f>
        <v>877.1</v>
      </c>
      <c r="BS106" s="2"/>
      <c r="CD106" s="31" t="s">
        <v>877</v>
      </c>
      <c r="CE106" s="2" t="s">
        <v>620</v>
      </c>
      <c r="CF106" s="2">
        <v>1</v>
      </c>
      <c r="CG106" s="2">
        <v>45</v>
      </c>
      <c r="CH106" s="2">
        <v>29</v>
      </c>
      <c r="CI106" s="2" t="s">
        <v>53</v>
      </c>
      <c r="CJ106" s="3">
        <f>CG106*CH106</f>
        <v>1305</v>
      </c>
      <c r="CK106" s="2"/>
    </row>
    <row r="107" spans="1:89" x14ac:dyDescent="0.25">
      <c r="A107" s="31"/>
      <c r="B107" s="57"/>
      <c r="C107" s="57"/>
      <c r="D107" s="57"/>
      <c r="E107" s="59"/>
      <c r="F107" s="59"/>
      <c r="G107" s="59"/>
      <c r="H107" s="57"/>
      <c r="J107" s="31"/>
      <c r="K107" s="2" t="s">
        <v>180</v>
      </c>
      <c r="L107" s="2" t="s">
        <v>183</v>
      </c>
      <c r="M107" s="2">
        <v>74.099999999999994</v>
      </c>
      <c r="N107" s="6">
        <v>1</v>
      </c>
      <c r="O107" s="2" t="s">
        <v>9</v>
      </c>
      <c r="P107" s="3">
        <f t="shared" si="63"/>
        <v>74.099999999999994</v>
      </c>
      <c r="Q107" s="2"/>
      <c r="AB107" s="31"/>
      <c r="AC107" s="1" t="s">
        <v>577</v>
      </c>
      <c r="AD107" s="1" t="s">
        <v>271</v>
      </c>
      <c r="AE107" s="1">
        <v>43.8</v>
      </c>
      <c r="AF107" s="1">
        <v>5</v>
      </c>
      <c r="AG107" s="1" t="s">
        <v>83</v>
      </c>
      <c r="AH107" s="1">
        <f t="shared" si="64"/>
        <v>219</v>
      </c>
      <c r="AI107" s="1"/>
      <c r="CD107" s="31"/>
      <c r="CE107" s="2" t="s">
        <v>58</v>
      </c>
      <c r="CF107" s="2">
        <v>25</v>
      </c>
      <c r="CG107" s="2">
        <v>93</v>
      </c>
      <c r="CH107" s="2">
        <v>25</v>
      </c>
      <c r="CI107" s="2" t="s">
        <v>708</v>
      </c>
      <c r="CJ107" s="3">
        <f t="shared" ref="CJ107:CJ109" si="65">CG107*CH107</f>
        <v>2325</v>
      </c>
      <c r="CK107" s="2"/>
    </row>
    <row r="108" spans="1:89" x14ac:dyDescent="0.25">
      <c r="A108" s="31"/>
      <c r="B108" s="32" t="s">
        <v>10</v>
      </c>
      <c r="C108" s="33"/>
      <c r="D108" s="34"/>
      <c r="E108" s="59"/>
      <c r="F108" s="59"/>
      <c r="G108" s="65">
        <f>SUM(G103:G107)</f>
        <v>7027.7699999999995</v>
      </c>
      <c r="H108" s="57"/>
      <c r="J108" s="31"/>
      <c r="K108" s="32" t="s">
        <v>10</v>
      </c>
      <c r="L108" s="33"/>
      <c r="M108" s="34"/>
      <c r="N108" s="6"/>
      <c r="O108" s="6"/>
      <c r="P108" s="7">
        <f>SUM(P104:P107)</f>
        <v>6552.3</v>
      </c>
      <c r="Q108" s="2"/>
      <c r="AB108" s="31"/>
      <c r="AC108" s="1"/>
      <c r="AD108" s="1"/>
      <c r="AE108" s="1"/>
      <c r="AF108" s="1"/>
      <c r="AG108" s="1"/>
      <c r="AH108" s="1"/>
      <c r="AI108" s="1"/>
      <c r="AK108" s="2" t="s">
        <v>90</v>
      </c>
      <c r="AL108" s="2" t="s">
        <v>0</v>
      </c>
      <c r="AM108" s="2" t="s">
        <v>1</v>
      </c>
      <c r="AN108" s="2" t="s">
        <v>2</v>
      </c>
      <c r="AO108" s="2" t="s">
        <v>3</v>
      </c>
      <c r="AP108" s="2"/>
      <c r="AQ108" s="2" t="s">
        <v>4</v>
      </c>
      <c r="AR108" s="2" t="s">
        <v>5</v>
      </c>
      <c r="BL108" s="2" t="s">
        <v>101</v>
      </c>
      <c r="BM108" s="2" t="s">
        <v>0</v>
      </c>
      <c r="BN108" s="2" t="s">
        <v>1</v>
      </c>
      <c r="BO108" s="2" t="s">
        <v>2</v>
      </c>
      <c r="BP108" s="2" t="s">
        <v>3</v>
      </c>
      <c r="BQ108" s="2"/>
      <c r="BR108" s="2" t="s">
        <v>4</v>
      </c>
      <c r="BS108" s="2" t="s">
        <v>5</v>
      </c>
      <c r="CD108" s="31"/>
      <c r="CE108" s="2" t="s">
        <v>878</v>
      </c>
      <c r="CF108" s="2">
        <v>1</v>
      </c>
      <c r="CG108" s="2">
        <v>420</v>
      </c>
      <c r="CH108" s="2">
        <v>1</v>
      </c>
      <c r="CI108" s="2" t="s">
        <v>55</v>
      </c>
      <c r="CJ108" s="3">
        <f t="shared" si="65"/>
        <v>420</v>
      </c>
      <c r="CK108" s="2"/>
    </row>
    <row r="109" spans="1:89" x14ac:dyDescent="0.25">
      <c r="AB109" s="31"/>
      <c r="AC109" s="32" t="s">
        <v>73</v>
      </c>
      <c r="AD109" s="33"/>
      <c r="AE109" s="34"/>
      <c r="AF109" s="4"/>
      <c r="AG109" s="4"/>
      <c r="AH109" s="14">
        <f>SUM(AH104:AH108)</f>
        <v>4839</v>
      </c>
      <c r="AI109" s="1"/>
      <c r="AK109" s="31" t="s">
        <v>597</v>
      </c>
      <c r="AL109" s="2" t="s">
        <v>598</v>
      </c>
      <c r="AM109" s="2" t="s">
        <v>23</v>
      </c>
      <c r="AN109" s="2">
        <v>25</v>
      </c>
      <c r="AO109" s="2">
        <v>20</v>
      </c>
      <c r="AP109" s="2" t="s">
        <v>9</v>
      </c>
      <c r="AQ109" s="2">
        <f>AN109*AO109</f>
        <v>500</v>
      </c>
      <c r="AR109" s="2"/>
      <c r="BL109" s="31" t="s">
        <v>678</v>
      </c>
      <c r="BM109" s="2" t="s">
        <v>640</v>
      </c>
      <c r="BN109" s="2">
        <v>5</v>
      </c>
      <c r="BO109" s="2">
        <v>32.64</v>
      </c>
      <c r="BP109" s="2">
        <v>5</v>
      </c>
      <c r="BQ109" s="2" t="s">
        <v>9</v>
      </c>
      <c r="BR109" s="2">
        <f>BO109*BP109</f>
        <v>163.19999999999999</v>
      </c>
      <c r="BS109" s="2"/>
      <c r="CD109" s="31"/>
      <c r="CE109" s="2" t="s">
        <v>879</v>
      </c>
      <c r="CF109" s="2">
        <v>1</v>
      </c>
      <c r="CG109" s="2">
        <v>365</v>
      </c>
      <c r="CH109" s="6">
        <v>1</v>
      </c>
      <c r="CI109" s="6" t="s">
        <v>53</v>
      </c>
      <c r="CJ109" s="3">
        <f t="shared" si="65"/>
        <v>365</v>
      </c>
      <c r="CK109" s="2"/>
    </row>
    <row r="110" spans="1:89" x14ac:dyDescent="0.25">
      <c r="A110" s="57" t="s">
        <v>74</v>
      </c>
      <c r="B110" s="57" t="s">
        <v>0</v>
      </c>
      <c r="C110" s="57" t="s">
        <v>1</v>
      </c>
      <c r="D110" s="57" t="s">
        <v>2</v>
      </c>
      <c r="E110" s="57" t="s">
        <v>3</v>
      </c>
      <c r="F110" s="57"/>
      <c r="G110" s="57" t="s">
        <v>4</v>
      </c>
      <c r="H110" s="57" t="s">
        <v>5</v>
      </c>
      <c r="J110" s="2" t="s">
        <v>74</v>
      </c>
      <c r="K110" s="2" t="s">
        <v>0</v>
      </c>
      <c r="L110" s="2" t="s">
        <v>1</v>
      </c>
      <c r="M110" s="2" t="s">
        <v>2</v>
      </c>
      <c r="N110" s="2" t="s">
        <v>3</v>
      </c>
      <c r="O110" s="2"/>
      <c r="P110" s="2" t="s">
        <v>4</v>
      </c>
      <c r="Q110" s="2" t="s">
        <v>5</v>
      </c>
      <c r="AK110" s="31"/>
      <c r="AL110" s="2" t="s">
        <v>98</v>
      </c>
      <c r="AM110" s="2" t="s">
        <v>99</v>
      </c>
      <c r="AN110" s="2">
        <v>38.4</v>
      </c>
      <c r="AO110" s="2">
        <v>20</v>
      </c>
      <c r="AP110" s="2" t="s">
        <v>9</v>
      </c>
      <c r="AQ110" s="2">
        <f>AN110*AO110</f>
        <v>768</v>
      </c>
      <c r="AR110" s="2" t="s">
        <v>392</v>
      </c>
      <c r="BL110" s="31"/>
      <c r="BM110" s="2" t="s">
        <v>680</v>
      </c>
      <c r="BN110" s="2">
        <v>1</v>
      </c>
      <c r="BO110" s="2">
        <v>75</v>
      </c>
      <c r="BP110" s="2">
        <v>1</v>
      </c>
      <c r="BQ110" s="2" t="s">
        <v>53</v>
      </c>
      <c r="BR110" s="2">
        <f>BO110*BP110</f>
        <v>75</v>
      </c>
      <c r="BS110" s="2" t="s">
        <v>600</v>
      </c>
      <c r="CD110" s="31"/>
      <c r="CE110" s="2"/>
      <c r="CF110" s="2"/>
      <c r="CG110" s="2"/>
      <c r="CH110" s="6"/>
      <c r="CI110" s="6"/>
      <c r="CJ110" s="6"/>
      <c r="CK110" s="2"/>
    </row>
    <row r="111" spans="1:89" x14ac:dyDescent="0.25">
      <c r="A111" s="47" t="s">
        <v>1004</v>
      </c>
      <c r="B111" s="57" t="s">
        <v>1005</v>
      </c>
      <c r="C111" s="57">
        <v>55</v>
      </c>
      <c r="D111" s="57">
        <v>168</v>
      </c>
      <c r="E111" s="57">
        <v>55</v>
      </c>
      <c r="F111" s="57" t="s">
        <v>708</v>
      </c>
      <c r="G111" s="58">
        <f>D111*E111</f>
        <v>9240</v>
      </c>
      <c r="H111" s="57"/>
      <c r="J111" s="31" t="s">
        <v>723</v>
      </c>
      <c r="K111" s="2" t="s">
        <v>36</v>
      </c>
      <c r="L111" s="2" t="s">
        <v>80</v>
      </c>
      <c r="M111" s="2">
        <v>99</v>
      </c>
      <c r="N111" s="2">
        <v>30</v>
      </c>
      <c r="O111" s="2" t="s">
        <v>9</v>
      </c>
      <c r="P111" s="3">
        <f>M111*N111</f>
        <v>2970</v>
      </c>
      <c r="Q111" s="2"/>
      <c r="AB111" s="2" t="s">
        <v>90</v>
      </c>
      <c r="AC111" s="2" t="s">
        <v>0</v>
      </c>
      <c r="AD111" s="2" t="s">
        <v>1</v>
      </c>
      <c r="AE111" s="2" t="s">
        <v>2</v>
      </c>
      <c r="AF111" s="2" t="s">
        <v>3</v>
      </c>
      <c r="AG111" s="2"/>
      <c r="AH111" s="2" t="s">
        <v>4</v>
      </c>
      <c r="AI111" s="2" t="s">
        <v>5</v>
      </c>
      <c r="AK111" s="31"/>
      <c r="AL111" s="2"/>
      <c r="AM111" s="2"/>
      <c r="AN111" s="2"/>
      <c r="AO111" s="2"/>
      <c r="AP111" s="2"/>
      <c r="AQ111" s="2"/>
      <c r="AR111" s="2"/>
      <c r="BL111" s="31"/>
      <c r="BM111" s="2" t="s">
        <v>590</v>
      </c>
      <c r="BN111" s="2" t="s">
        <v>774</v>
      </c>
      <c r="BO111" s="2">
        <v>660</v>
      </c>
      <c r="BP111" s="2">
        <v>0.5</v>
      </c>
      <c r="BQ111" s="2" t="s">
        <v>9</v>
      </c>
      <c r="BR111" s="2">
        <f>BO111*BP111</f>
        <v>330</v>
      </c>
      <c r="BS111" s="2"/>
      <c r="CD111" s="31"/>
      <c r="CE111" s="32" t="s">
        <v>10</v>
      </c>
      <c r="CF111" s="33"/>
      <c r="CG111" s="34"/>
      <c r="CH111" s="6"/>
      <c r="CI111" s="6"/>
      <c r="CJ111" s="7">
        <f>SUM(CJ106:CJ110)</f>
        <v>4415</v>
      </c>
      <c r="CK111" s="2"/>
    </row>
    <row r="112" spans="1:89" x14ac:dyDescent="0.25">
      <c r="A112" s="31"/>
      <c r="B112" s="57"/>
      <c r="C112" s="57"/>
      <c r="D112" s="57"/>
      <c r="E112" s="57"/>
      <c r="F112" s="57"/>
      <c r="G112" s="57"/>
      <c r="H112" s="57"/>
      <c r="J112" s="31"/>
      <c r="K112" s="2" t="s">
        <v>171</v>
      </c>
      <c r="L112" s="2" t="s">
        <v>23</v>
      </c>
      <c r="M112" s="2">
        <v>168</v>
      </c>
      <c r="N112" s="2">
        <v>20</v>
      </c>
      <c r="O112" s="2" t="s">
        <v>9</v>
      </c>
      <c r="P112" s="3">
        <f t="shared" ref="P112:P113" si="66">M112*N112</f>
        <v>3360</v>
      </c>
      <c r="Q112" s="2"/>
      <c r="AB112" s="31" t="s">
        <v>588</v>
      </c>
      <c r="AC112" s="2" t="s">
        <v>589</v>
      </c>
      <c r="AD112" s="2" t="s">
        <v>34</v>
      </c>
      <c r="AE112" s="2">
        <v>18.36</v>
      </c>
      <c r="AF112" s="2">
        <v>50</v>
      </c>
      <c r="AG112" s="2" t="s">
        <v>9</v>
      </c>
      <c r="AH112" s="2">
        <f t="shared" ref="AH112:AH117" si="67">AE112*AF112</f>
        <v>918</v>
      </c>
      <c r="AI112" s="2"/>
      <c r="AK112" s="31"/>
      <c r="AL112" s="2"/>
      <c r="AM112" s="2"/>
      <c r="AN112" s="2"/>
      <c r="AO112" s="6"/>
      <c r="AP112" s="6"/>
      <c r="AQ112" s="6"/>
      <c r="AR112" s="2"/>
      <c r="BL112" s="31"/>
      <c r="BM112" s="32" t="s">
        <v>10</v>
      </c>
      <c r="BN112" s="33"/>
      <c r="BO112" s="34"/>
      <c r="BP112" s="6"/>
      <c r="BQ112" s="6"/>
      <c r="BR112" s="7">
        <f>SUM(BR109:BR111)</f>
        <v>568.20000000000005</v>
      </c>
      <c r="BS112" s="2"/>
    </row>
    <row r="113" spans="1:89" x14ac:dyDescent="0.25">
      <c r="A113" s="31"/>
      <c r="B113" s="57"/>
      <c r="C113" s="57"/>
      <c r="D113" s="57"/>
      <c r="E113" s="57"/>
      <c r="F113" s="57"/>
      <c r="G113" s="57"/>
      <c r="H113" s="57"/>
      <c r="J113" s="31"/>
      <c r="K113" s="2" t="s">
        <v>25</v>
      </c>
      <c r="L113" s="2" t="s">
        <v>191</v>
      </c>
      <c r="M113" s="2">
        <v>28.56</v>
      </c>
      <c r="N113" s="2">
        <v>8</v>
      </c>
      <c r="O113" s="2" t="s">
        <v>9</v>
      </c>
      <c r="P113" s="3">
        <f t="shared" si="66"/>
        <v>228.48</v>
      </c>
      <c r="Q113" s="2"/>
      <c r="AB113" s="31"/>
      <c r="AC113" s="2" t="s">
        <v>266</v>
      </c>
      <c r="AD113" s="2" t="s">
        <v>39</v>
      </c>
      <c r="AE113" s="2">
        <v>20.52</v>
      </c>
      <c r="AF113" s="2">
        <v>2</v>
      </c>
      <c r="AG113" s="2" t="s">
        <v>9</v>
      </c>
      <c r="AH113" s="2">
        <f t="shared" si="67"/>
        <v>41.04</v>
      </c>
      <c r="AI113" s="2"/>
      <c r="AK113" s="31"/>
      <c r="AL113" s="32" t="s">
        <v>10</v>
      </c>
      <c r="AM113" s="33"/>
      <c r="AN113" s="34"/>
      <c r="AO113" s="6"/>
      <c r="AP113" s="6"/>
      <c r="AQ113" s="14">
        <f>SUM(AQ109:AQ112)</f>
        <v>1268</v>
      </c>
      <c r="AR113" s="2"/>
      <c r="CD113" s="57" t="s">
        <v>101</v>
      </c>
      <c r="CE113" s="57" t="s">
        <v>0</v>
      </c>
      <c r="CF113" s="57" t="s">
        <v>1</v>
      </c>
      <c r="CG113" s="57" t="s">
        <v>2</v>
      </c>
      <c r="CH113" s="57" t="s">
        <v>3</v>
      </c>
      <c r="CI113" s="57"/>
      <c r="CJ113" s="57" t="s">
        <v>4</v>
      </c>
      <c r="CK113" s="57" t="s">
        <v>5</v>
      </c>
    </row>
    <row r="114" spans="1:89" x14ac:dyDescent="0.25">
      <c r="A114" s="31"/>
      <c r="B114" s="57"/>
      <c r="C114" s="57"/>
      <c r="D114" s="57"/>
      <c r="E114" s="59"/>
      <c r="F114" s="59"/>
      <c r="G114" s="59"/>
      <c r="H114" s="57"/>
      <c r="J114" s="31"/>
      <c r="K114" s="2"/>
      <c r="L114" s="2"/>
      <c r="M114" s="2"/>
      <c r="N114" s="6"/>
      <c r="O114" s="6"/>
      <c r="P114" s="6"/>
      <c r="Q114" s="2"/>
      <c r="AB114" s="31"/>
      <c r="AC114" s="2" t="s">
        <v>440</v>
      </c>
      <c r="AD114" s="2" t="s">
        <v>156</v>
      </c>
      <c r="AE114" s="2">
        <v>99</v>
      </c>
      <c r="AF114" s="2">
        <v>10</v>
      </c>
      <c r="AG114" s="2" t="s">
        <v>9</v>
      </c>
      <c r="AH114" s="2">
        <f t="shared" si="67"/>
        <v>990</v>
      </c>
      <c r="AI114" s="2"/>
      <c r="BL114" s="2" t="s">
        <v>101</v>
      </c>
      <c r="BM114" s="2" t="s">
        <v>0</v>
      </c>
      <c r="BN114" s="2" t="s">
        <v>1</v>
      </c>
      <c r="BO114" s="2" t="s">
        <v>2</v>
      </c>
      <c r="BP114" s="2" t="s">
        <v>3</v>
      </c>
      <c r="BQ114" s="2"/>
      <c r="BR114" s="2" t="s">
        <v>4</v>
      </c>
      <c r="BS114" s="2" t="s">
        <v>5</v>
      </c>
      <c r="CD114" s="31" t="s">
        <v>935</v>
      </c>
      <c r="CE114" s="57" t="s">
        <v>150</v>
      </c>
      <c r="CF114" s="57">
        <v>65</v>
      </c>
      <c r="CG114" s="57">
        <v>22.8</v>
      </c>
      <c r="CH114" s="57">
        <v>65</v>
      </c>
      <c r="CI114" s="57" t="s">
        <v>708</v>
      </c>
      <c r="CJ114" s="57">
        <f>CG114*CH114</f>
        <v>1482</v>
      </c>
      <c r="CK114" s="57"/>
    </row>
    <row r="115" spans="1:89" x14ac:dyDescent="0.25">
      <c r="A115" s="31"/>
      <c r="B115" s="32" t="s">
        <v>10</v>
      </c>
      <c r="C115" s="33"/>
      <c r="D115" s="34"/>
      <c r="E115" s="59"/>
      <c r="F115" s="59"/>
      <c r="G115" s="65">
        <f>SUM(G111:G114)</f>
        <v>9240</v>
      </c>
      <c r="H115" s="57"/>
      <c r="J115" s="31"/>
      <c r="K115" s="32" t="s">
        <v>10</v>
      </c>
      <c r="L115" s="33"/>
      <c r="M115" s="34"/>
      <c r="N115" s="6"/>
      <c r="O115" s="6"/>
      <c r="P115" s="7">
        <f>SUM(P111:P114)</f>
        <v>6558.48</v>
      </c>
      <c r="Q115" s="2"/>
      <c r="AB115" s="31"/>
      <c r="AC115" s="2" t="s">
        <v>590</v>
      </c>
      <c r="AD115" s="2" t="s">
        <v>409</v>
      </c>
      <c r="AE115" s="2">
        <v>660</v>
      </c>
      <c r="AF115" s="2">
        <v>0.5</v>
      </c>
      <c r="AG115" s="2" t="s">
        <v>9</v>
      </c>
      <c r="AH115" s="2">
        <f t="shared" si="67"/>
        <v>330</v>
      </c>
      <c r="AI115" s="2"/>
      <c r="AK115" s="2" t="s">
        <v>11</v>
      </c>
      <c r="AL115" s="2" t="s">
        <v>0</v>
      </c>
      <c r="AM115" s="2" t="s">
        <v>1</v>
      </c>
      <c r="AN115" s="2" t="s">
        <v>2</v>
      </c>
      <c r="AO115" s="2" t="s">
        <v>3</v>
      </c>
      <c r="AP115" s="2"/>
      <c r="AQ115" s="2" t="s">
        <v>4</v>
      </c>
      <c r="AR115" s="2" t="s">
        <v>5</v>
      </c>
      <c r="BL115" s="31" t="s">
        <v>788</v>
      </c>
      <c r="BM115" s="2" t="s">
        <v>25</v>
      </c>
      <c r="BN115" s="2">
        <v>15</v>
      </c>
      <c r="BO115" s="2">
        <v>25.5</v>
      </c>
      <c r="BP115" s="2">
        <v>15</v>
      </c>
      <c r="BQ115" s="2" t="s">
        <v>9</v>
      </c>
      <c r="BR115" s="2">
        <f>BO115*BP115</f>
        <v>382.5</v>
      </c>
      <c r="BS115" s="2"/>
      <c r="CD115" s="31"/>
      <c r="CE115" s="57" t="s">
        <v>936</v>
      </c>
      <c r="CF115" s="57">
        <v>20</v>
      </c>
      <c r="CG115" s="57">
        <v>32.64</v>
      </c>
      <c r="CH115" s="57">
        <v>20</v>
      </c>
      <c r="CI115" s="57" t="s">
        <v>708</v>
      </c>
      <c r="CJ115" s="57">
        <f t="shared" ref="CJ115:CJ119" si="68">CG115*CH115</f>
        <v>652.79999999999995</v>
      </c>
      <c r="CK115" s="57" t="s">
        <v>600</v>
      </c>
    </row>
    <row r="116" spans="1:89" x14ac:dyDescent="0.25">
      <c r="AB116" s="31"/>
      <c r="AC116" s="2" t="s">
        <v>591</v>
      </c>
      <c r="AD116" s="2" t="s">
        <v>409</v>
      </c>
      <c r="AE116" s="2">
        <v>309</v>
      </c>
      <c r="AF116" s="2">
        <v>0.5</v>
      </c>
      <c r="AG116" s="2" t="s">
        <v>9</v>
      </c>
      <c r="AH116" s="2">
        <f t="shared" si="67"/>
        <v>154.5</v>
      </c>
      <c r="AI116" s="2"/>
      <c r="AK116" s="31" t="s">
        <v>78</v>
      </c>
      <c r="AL116" s="2" t="s">
        <v>79</v>
      </c>
      <c r="AM116" s="2" t="s">
        <v>80</v>
      </c>
      <c r="AN116" s="2">
        <v>14.4</v>
      </c>
      <c r="AO116" s="2">
        <v>30</v>
      </c>
      <c r="AP116" s="2" t="s">
        <v>9</v>
      </c>
      <c r="AQ116" s="2">
        <f>AN116*AO116</f>
        <v>432</v>
      </c>
      <c r="AR116" s="2"/>
      <c r="BL116" s="31"/>
      <c r="BM116" s="2" t="s">
        <v>38</v>
      </c>
      <c r="BN116" s="2">
        <v>5</v>
      </c>
      <c r="BO116" s="2">
        <v>11.7</v>
      </c>
      <c r="BP116" s="2">
        <v>5</v>
      </c>
      <c r="BQ116" s="2" t="s">
        <v>708</v>
      </c>
      <c r="BR116" s="2">
        <f t="shared" ref="BR116:BR119" si="69">BO116*BP116</f>
        <v>58.5</v>
      </c>
      <c r="BS116" s="2"/>
      <c r="CD116" s="31"/>
      <c r="CE116" s="57" t="s">
        <v>644</v>
      </c>
      <c r="CF116" s="57">
        <v>8</v>
      </c>
      <c r="CG116" s="57">
        <v>75.239999999999995</v>
      </c>
      <c r="CH116" s="57">
        <v>8</v>
      </c>
      <c r="CI116" s="57" t="s">
        <v>708</v>
      </c>
      <c r="CJ116" s="57">
        <f t="shared" si="68"/>
        <v>601.91999999999996</v>
      </c>
      <c r="CK116" s="57"/>
    </row>
    <row r="117" spans="1:89" x14ac:dyDescent="0.25">
      <c r="J117" s="2" t="s">
        <v>74</v>
      </c>
      <c r="K117" s="2" t="s">
        <v>0</v>
      </c>
      <c r="L117" s="2" t="s">
        <v>1</v>
      </c>
      <c r="M117" s="2" t="s">
        <v>2</v>
      </c>
      <c r="N117" s="2" t="s">
        <v>3</v>
      </c>
      <c r="O117" s="2"/>
      <c r="P117" s="2" t="s">
        <v>4</v>
      </c>
      <c r="Q117" s="2" t="s">
        <v>5</v>
      </c>
      <c r="AB117" s="31"/>
      <c r="AC117" s="2" t="s">
        <v>592</v>
      </c>
      <c r="AD117" s="2" t="s">
        <v>271</v>
      </c>
      <c r="AE117" s="2">
        <v>150</v>
      </c>
      <c r="AF117" s="6">
        <v>5</v>
      </c>
      <c r="AG117" s="2" t="s">
        <v>9</v>
      </c>
      <c r="AH117" s="2">
        <f t="shared" si="67"/>
        <v>750</v>
      </c>
      <c r="AI117" s="2"/>
      <c r="AK117" s="31"/>
      <c r="AL117" s="2" t="s">
        <v>81</v>
      </c>
      <c r="AM117" s="2" t="s">
        <v>82</v>
      </c>
      <c r="AN117" s="2">
        <v>79.599999999999994</v>
      </c>
      <c r="AO117" s="2">
        <v>15</v>
      </c>
      <c r="AP117" s="2" t="s">
        <v>9</v>
      </c>
      <c r="AQ117" s="2">
        <f t="shared" ref="AQ117:AQ118" si="70">AN117*AO117</f>
        <v>1194</v>
      </c>
      <c r="AR117" s="2"/>
      <c r="BL117" s="31"/>
      <c r="BM117" s="2" t="s">
        <v>789</v>
      </c>
      <c r="BN117" s="2">
        <v>3</v>
      </c>
      <c r="BO117" s="2">
        <v>16.32</v>
      </c>
      <c r="BP117" s="2">
        <v>3</v>
      </c>
      <c r="BQ117" s="2" t="s">
        <v>708</v>
      </c>
      <c r="BR117" s="2">
        <f t="shared" si="69"/>
        <v>48.96</v>
      </c>
      <c r="BS117" s="2"/>
      <c r="CD117" s="31"/>
      <c r="CE117" s="57" t="s">
        <v>266</v>
      </c>
      <c r="CF117" s="57">
        <v>3</v>
      </c>
      <c r="CG117" s="57">
        <v>25.08</v>
      </c>
      <c r="CH117" s="57">
        <v>3</v>
      </c>
      <c r="CI117" s="57" t="s">
        <v>708</v>
      </c>
      <c r="CJ117" s="57">
        <f t="shared" si="68"/>
        <v>75.239999999999995</v>
      </c>
      <c r="CK117" s="57"/>
    </row>
    <row r="118" spans="1:89" x14ac:dyDescent="0.25">
      <c r="J118" s="31" t="s">
        <v>734</v>
      </c>
      <c r="K118" s="2" t="s">
        <v>735</v>
      </c>
      <c r="L118" s="2" t="s">
        <v>34</v>
      </c>
      <c r="M118" s="2">
        <v>150</v>
      </c>
      <c r="N118" s="2">
        <v>50</v>
      </c>
      <c r="O118" s="2" t="s">
        <v>9</v>
      </c>
      <c r="P118" s="3">
        <f>M118*N118</f>
        <v>7500</v>
      </c>
      <c r="Q118" s="2"/>
      <c r="AB118" s="31"/>
      <c r="AC118" s="28"/>
      <c r="AD118" s="28"/>
      <c r="AE118" s="28"/>
      <c r="AF118" s="28"/>
      <c r="AG118" s="28"/>
      <c r="AH118" s="28"/>
      <c r="AI118" s="2"/>
      <c r="AK118" s="31"/>
      <c r="AL118" s="2" t="s">
        <v>84</v>
      </c>
      <c r="AM118" s="2" t="s">
        <v>85</v>
      </c>
      <c r="AN118" s="2">
        <v>85</v>
      </c>
      <c r="AO118" s="2">
        <v>4</v>
      </c>
      <c r="AP118" s="2" t="s">
        <v>9</v>
      </c>
      <c r="AQ118" s="2">
        <f t="shared" si="70"/>
        <v>340</v>
      </c>
      <c r="AR118" s="2"/>
      <c r="BL118" s="31"/>
      <c r="BM118" s="2" t="s">
        <v>790</v>
      </c>
      <c r="BN118" s="2">
        <v>15</v>
      </c>
      <c r="BO118" s="2">
        <v>26.1</v>
      </c>
      <c r="BP118" s="2">
        <v>15</v>
      </c>
      <c r="BQ118" s="2" t="s">
        <v>708</v>
      </c>
      <c r="BR118" s="2">
        <f t="shared" si="69"/>
        <v>391.5</v>
      </c>
      <c r="BS118" s="2"/>
      <c r="CD118" s="31"/>
      <c r="CE118" s="57" t="s">
        <v>264</v>
      </c>
      <c r="CF118" s="57">
        <v>4</v>
      </c>
      <c r="CG118" s="57">
        <v>60</v>
      </c>
      <c r="CH118" s="57">
        <v>4</v>
      </c>
      <c r="CI118" s="57" t="s">
        <v>708</v>
      </c>
      <c r="CJ118" s="57">
        <f t="shared" si="68"/>
        <v>240</v>
      </c>
      <c r="CK118" s="57"/>
    </row>
    <row r="119" spans="1:89" x14ac:dyDescent="0.25">
      <c r="J119" s="31"/>
      <c r="K119" s="2" t="s">
        <v>736</v>
      </c>
      <c r="L119" s="2" t="s">
        <v>288</v>
      </c>
      <c r="M119" s="2">
        <v>40.799999999999997</v>
      </c>
      <c r="N119" s="2">
        <v>3</v>
      </c>
      <c r="O119" s="2" t="s">
        <v>9</v>
      </c>
      <c r="P119" s="3">
        <f t="shared" ref="P119:P121" si="71">M119*N119</f>
        <v>122.39999999999999</v>
      </c>
      <c r="Q119" s="2"/>
      <c r="AB119" s="31"/>
      <c r="AC119" s="32" t="s">
        <v>10</v>
      </c>
      <c r="AD119" s="33"/>
      <c r="AE119" s="34"/>
      <c r="AF119" s="6"/>
      <c r="AG119" s="6"/>
      <c r="AH119" s="7">
        <f>SUM(AH112:AH117)</f>
        <v>3183.54</v>
      </c>
      <c r="AI119" s="2"/>
      <c r="AK119" s="31"/>
      <c r="AL119" s="2"/>
      <c r="AM119" s="2"/>
      <c r="AN119" s="2"/>
      <c r="AO119" s="2"/>
      <c r="AP119" s="2"/>
      <c r="AQ119" s="2"/>
      <c r="AR119" s="2"/>
      <c r="BL119" s="31"/>
      <c r="BM119" s="2" t="s">
        <v>791</v>
      </c>
      <c r="BN119" s="2">
        <v>1</v>
      </c>
      <c r="BO119" s="2">
        <v>230</v>
      </c>
      <c r="BP119" s="2">
        <v>1</v>
      </c>
      <c r="BQ119" s="2" t="s">
        <v>53</v>
      </c>
      <c r="BR119" s="2">
        <f t="shared" si="69"/>
        <v>230</v>
      </c>
      <c r="BS119" s="2"/>
      <c r="CD119" s="31"/>
      <c r="CE119" s="57" t="s">
        <v>937</v>
      </c>
      <c r="CF119" s="57">
        <v>1</v>
      </c>
      <c r="CG119" s="57">
        <v>67</v>
      </c>
      <c r="CH119" s="57">
        <v>1</v>
      </c>
      <c r="CI119" s="57" t="s">
        <v>53</v>
      </c>
      <c r="CJ119" s="57">
        <f t="shared" si="68"/>
        <v>67</v>
      </c>
      <c r="CK119" s="57"/>
    </row>
    <row r="120" spans="1:89" x14ac:dyDescent="0.25">
      <c r="J120" s="31"/>
      <c r="K120" s="2" t="s">
        <v>351</v>
      </c>
      <c r="L120" s="2" t="s">
        <v>183</v>
      </c>
      <c r="M120" s="2">
        <v>228</v>
      </c>
      <c r="N120" s="2">
        <v>1</v>
      </c>
      <c r="O120" s="2" t="s">
        <v>9</v>
      </c>
      <c r="P120" s="3">
        <f t="shared" si="71"/>
        <v>228</v>
      </c>
      <c r="Q120" s="2"/>
      <c r="AK120" s="31"/>
      <c r="AL120" s="2"/>
      <c r="AM120" s="2"/>
      <c r="AN120" s="2"/>
      <c r="AO120" s="2"/>
      <c r="AP120" s="2"/>
      <c r="AQ120" s="2"/>
      <c r="AR120" s="2"/>
      <c r="BL120" s="31"/>
      <c r="BM120" s="32" t="s">
        <v>10</v>
      </c>
      <c r="BN120" s="33"/>
      <c r="BO120" s="34"/>
      <c r="BP120" s="6"/>
      <c r="BQ120" s="2"/>
      <c r="BR120" s="7">
        <f>SUM(BR115:BR119)</f>
        <v>1111.46</v>
      </c>
      <c r="BS120" s="2"/>
      <c r="CD120" s="31"/>
      <c r="CE120" s="32" t="s">
        <v>10</v>
      </c>
      <c r="CF120" s="33"/>
      <c r="CG120" s="34"/>
      <c r="CH120" s="59"/>
      <c r="CI120" s="59"/>
      <c r="CJ120" s="65">
        <f>SUM(CJ114:CJ119)</f>
        <v>3118.96</v>
      </c>
      <c r="CK120" s="57"/>
    </row>
    <row r="121" spans="1:89" x14ac:dyDescent="0.25">
      <c r="J121" s="31"/>
      <c r="K121" s="2" t="s">
        <v>353</v>
      </c>
      <c r="L121" s="2" t="s">
        <v>183</v>
      </c>
      <c r="M121" s="2">
        <v>74.099999999999994</v>
      </c>
      <c r="N121" s="6">
        <v>1</v>
      </c>
      <c r="O121" s="2" t="s">
        <v>9</v>
      </c>
      <c r="P121" s="3">
        <f t="shared" si="71"/>
        <v>74.099999999999994</v>
      </c>
      <c r="Q121" s="2"/>
      <c r="AB121" s="2" t="s">
        <v>90</v>
      </c>
      <c r="AC121" s="2" t="s">
        <v>0</v>
      </c>
      <c r="AD121" s="2" t="s">
        <v>1</v>
      </c>
      <c r="AE121" s="2" t="s">
        <v>2</v>
      </c>
      <c r="AF121" s="2" t="s">
        <v>3</v>
      </c>
      <c r="AG121" s="2"/>
      <c r="AH121" s="2" t="s">
        <v>4</v>
      </c>
      <c r="AI121" s="2" t="s">
        <v>5</v>
      </c>
      <c r="AK121" s="31"/>
      <c r="AL121" s="32" t="s">
        <v>10</v>
      </c>
      <c r="AM121" s="33"/>
      <c r="AN121" s="34"/>
      <c r="AO121" s="6"/>
      <c r="AP121" s="6"/>
      <c r="AQ121" s="14">
        <f>SUM(AQ116:AQ120)</f>
        <v>1966</v>
      </c>
      <c r="AR121" s="2"/>
    </row>
    <row r="122" spans="1:89" x14ac:dyDescent="0.25">
      <c r="J122" s="31"/>
      <c r="K122" s="2"/>
      <c r="L122" s="2"/>
      <c r="M122" s="2"/>
      <c r="N122" s="6"/>
      <c r="O122" s="6"/>
      <c r="P122" s="6"/>
      <c r="Q122" s="2"/>
      <c r="AB122" s="31" t="s">
        <v>629</v>
      </c>
      <c r="AC122" s="2" t="s">
        <v>630</v>
      </c>
      <c r="AD122" s="2" t="s">
        <v>80</v>
      </c>
      <c r="AE122" s="2">
        <v>11.7</v>
      </c>
      <c r="AF122" s="2">
        <v>30</v>
      </c>
      <c r="AG122" s="2" t="s">
        <v>9</v>
      </c>
      <c r="AH122" s="2">
        <f>AE122*AF122</f>
        <v>351</v>
      </c>
      <c r="AI122" s="2"/>
      <c r="BL122" s="2" t="s">
        <v>101</v>
      </c>
      <c r="BM122" s="2" t="s">
        <v>0</v>
      </c>
      <c r="BN122" s="2" t="s">
        <v>1</v>
      </c>
      <c r="BO122" s="2" t="s">
        <v>2</v>
      </c>
      <c r="BP122" s="2" t="s">
        <v>3</v>
      </c>
      <c r="BQ122" s="2"/>
      <c r="BR122" s="2" t="s">
        <v>4</v>
      </c>
      <c r="BS122" s="2" t="s">
        <v>5</v>
      </c>
      <c r="CD122" s="57" t="s">
        <v>74</v>
      </c>
      <c r="CE122" s="57" t="s">
        <v>0</v>
      </c>
      <c r="CF122" s="57" t="s">
        <v>1</v>
      </c>
      <c r="CG122" s="57" t="s">
        <v>2</v>
      </c>
      <c r="CH122" s="57" t="s">
        <v>3</v>
      </c>
      <c r="CI122" s="57"/>
      <c r="CJ122" s="57" t="s">
        <v>4</v>
      </c>
      <c r="CK122" s="57" t="s">
        <v>5</v>
      </c>
    </row>
    <row r="123" spans="1:89" x14ac:dyDescent="0.25">
      <c r="J123" s="31"/>
      <c r="K123" s="32" t="s">
        <v>10</v>
      </c>
      <c r="L123" s="33"/>
      <c r="M123" s="34"/>
      <c r="N123" s="6"/>
      <c r="O123" s="6"/>
      <c r="P123" s="7">
        <f>SUM(P118:P122)</f>
        <v>7924.5</v>
      </c>
      <c r="Q123" s="2"/>
      <c r="AB123" s="31"/>
      <c r="AC123" s="2" t="s">
        <v>440</v>
      </c>
      <c r="AD123" s="2" t="s">
        <v>37</v>
      </c>
      <c r="AE123" s="2">
        <v>99</v>
      </c>
      <c r="AF123" s="2">
        <v>15</v>
      </c>
      <c r="AG123" s="2" t="s">
        <v>9</v>
      </c>
      <c r="AH123" s="2">
        <f t="shared" ref="AH123:AH124" si="72">AE123*AF123</f>
        <v>1485</v>
      </c>
      <c r="AI123" s="2"/>
      <c r="AK123" s="2" t="s">
        <v>90</v>
      </c>
      <c r="AL123" s="2" t="s">
        <v>0</v>
      </c>
      <c r="AM123" s="2" t="s">
        <v>1</v>
      </c>
      <c r="AN123" s="2" t="s">
        <v>2</v>
      </c>
      <c r="AO123" s="2" t="s">
        <v>3</v>
      </c>
      <c r="AP123" s="2"/>
      <c r="AQ123" s="2" t="s">
        <v>4</v>
      </c>
      <c r="AR123" s="2" t="s">
        <v>5</v>
      </c>
      <c r="BL123" s="31" t="s">
        <v>788</v>
      </c>
      <c r="BM123" s="2" t="s">
        <v>25</v>
      </c>
      <c r="BN123" s="2">
        <v>15</v>
      </c>
      <c r="BO123" s="2">
        <v>25.5</v>
      </c>
      <c r="BP123" s="2">
        <v>15</v>
      </c>
      <c r="BQ123" s="2" t="s">
        <v>9</v>
      </c>
      <c r="BR123" s="2">
        <f>BO123*BP123</f>
        <v>382.5</v>
      </c>
      <c r="BS123" s="2"/>
      <c r="CD123" s="31" t="s">
        <v>971</v>
      </c>
      <c r="CE123" s="57" t="s">
        <v>837</v>
      </c>
      <c r="CF123" s="57">
        <v>20</v>
      </c>
      <c r="CG123" s="57">
        <v>240</v>
      </c>
      <c r="CH123" s="57">
        <v>20</v>
      </c>
      <c r="CI123" s="57" t="s">
        <v>708</v>
      </c>
      <c r="CJ123" s="58">
        <f>CG123*CH123</f>
        <v>4800</v>
      </c>
      <c r="CK123" s="57"/>
    </row>
    <row r="124" spans="1:89" x14ac:dyDescent="0.25">
      <c r="AB124" s="31"/>
      <c r="AC124" s="2" t="s">
        <v>264</v>
      </c>
      <c r="AD124" s="2" t="s">
        <v>85</v>
      </c>
      <c r="AE124" s="2">
        <v>45</v>
      </c>
      <c r="AF124" s="2">
        <v>4</v>
      </c>
      <c r="AG124" s="2" t="s">
        <v>9</v>
      </c>
      <c r="AH124" s="2">
        <f t="shared" si="72"/>
        <v>180</v>
      </c>
      <c r="AI124" s="2"/>
      <c r="AK124" s="31" t="s">
        <v>610</v>
      </c>
      <c r="AL124" s="2" t="s">
        <v>611</v>
      </c>
      <c r="AM124" s="2" t="s">
        <v>596</v>
      </c>
      <c r="AN124" s="2">
        <v>70</v>
      </c>
      <c r="AO124" s="2">
        <v>40</v>
      </c>
      <c r="AP124" s="2" t="s">
        <v>53</v>
      </c>
      <c r="AQ124" s="3">
        <f>AN124*AO124</f>
        <v>2800</v>
      </c>
      <c r="AR124" s="2"/>
      <c r="BL124" s="31"/>
      <c r="BM124" s="2" t="s">
        <v>38</v>
      </c>
      <c r="BN124" s="2">
        <v>5</v>
      </c>
      <c r="BO124" s="2">
        <v>11.7</v>
      </c>
      <c r="BP124" s="2">
        <v>5</v>
      </c>
      <c r="BQ124" s="2" t="s">
        <v>708</v>
      </c>
      <c r="BR124" s="2">
        <f t="shared" ref="BR124:BR127" si="73">BO124*BP124</f>
        <v>58.5</v>
      </c>
      <c r="BS124" s="2"/>
      <c r="CD124" s="31"/>
      <c r="CE124" s="57" t="s">
        <v>750</v>
      </c>
      <c r="CF124" s="57">
        <v>1</v>
      </c>
      <c r="CG124" s="57">
        <v>45.6</v>
      </c>
      <c r="CH124" s="57">
        <v>20</v>
      </c>
      <c r="CI124" s="57" t="s">
        <v>9</v>
      </c>
      <c r="CJ124" s="58">
        <f t="shared" ref="CJ124:CJ126" si="74">CG124*CH124</f>
        <v>912</v>
      </c>
      <c r="CK124" s="57"/>
    </row>
    <row r="125" spans="1:89" x14ac:dyDescent="0.25">
      <c r="J125" s="2" t="s">
        <v>74</v>
      </c>
      <c r="K125" s="2" t="s">
        <v>0</v>
      </c>
      <c r="L125" s="2" t="s">
        <v>1</v>
      </c>
      <c r="M125" s="2" t="s">
        <v>2</v>
      </c>
      <c r="N125" s="2" t="s">
        <v>3</v>
      </c>
      <c r="O125" s="2"/>
      <c r="P125" s="2" t="s">
        <v>4</v>
      </c>
      <c r="Q125" s="2" t="s">
        <v>5</v>
      </c>
      <c r="AB125" s="31"/>
      <c r="AC125" s="2"/>
      <c r="AD125" s="2"/>
      <c r="AE125" s="2"/>
      <c r="AF125" s="6"/>
      <c r="AG125" s="6"/>
      <c r="AH125" s="6"/>
      <c r="AI125" s="2"/>
      <c r="AK125" s="31"/>
      <c r="AL125" s="2" t="s">
        <v>612</v>
      </c>
      <c r="AM125" s="2" t="s">
        <v>271</v>
      </c>
      <c r="AN125" s="2">
        <v>58.5</v>
      </c>
      <c r="AO125" s="2">
        <v>5</v>
      </c>
      <c r="AP125" s="2" t="s">
        <v>9</v>
      </c>
      <c r="AQ125" s="3">
        <f t="shared" ref="AQ125:AQ127" si="75">AN125*AO125</f>
        <v>292.5</v>
      </c>
      <c r="AR125" s="2"/>
      <c r="BL125" s="31"/>
      <c r="BM125" s="2" t="s">
        <v>789</v>
      </c>
      <c r="BN125" s="2">
        <v>3</v>
      </c>
      <c r="BO125" s="2">
        <v>16.32</v>
      </c>
      <c r="BP125" s="2">
        <v>3</v>
      </c>
      <c r="BQ125" s="2" t="s">
        <v>708</v>
      </c>
      <c r="BR125" s="2">
        <f t="shared" si="73"/>
        <v>48.96</v>
      </c>
      <c r="BS125" s="2"/>
      <c r="CD125" s="31"/>
      <c r="CE125" s="57" t="s">
        <v>972</v>
      </c>
      <c r="CF125" s="57">
        <v>8</v>
      </c>
      <c r="CG125" s="57">
        <v>45</v>
      </c>
      <c r="CH125" s="57">
        <v>8</v>
      </c>
      <c r="CI125" s="57" t="s">
        <v>53</v>
      </c>
      <c r="CJ125" s="58">
        <f t="shared" si="74"/>
        <v>360</v>
      </c>
      <c r="CK125" s="57"/>
    </row>
    <row r="126" spans="1:89" x14ac:dyDescent="0.25">
      <c r="J126" s="31" t="s">
        <v>752</v>
      </c>
      <c r="K126" s="2" t="s">
        <v>71</v>
      </c>
      <c r="L126" s="2">
        <v>270</v>
      </c>
      <c r="M126" s="2">
        <v>150</v>
      </c>
      <c r="N126" s="18">
        <v>45</v>
      </c>
      <c r="O126" s="2" t="s">
        <v>9</v>
      </c>
      <c r="P126" s="3">
        <f>M126*N126</f>
        <v>6750</v>
      </c>
      <c r="Q126" s="2"/>
      <c r="AB126" s="31"/>
      <c r="AC126" s="32" t="s">
        <v>10</v>
      </c>
      <c r="AD126" s="33"/>
      <c r="AE126" s="34"/>
      <c r="AF126" s="6"/>
      <c r="AG126" s="6"/>
      <c r="AH126" s="14">
        <f>SUM(AH122:AH125)</f>
        <v>2016</v>
      </c>
      <c r="AI126" s="2"/>
      <c r="AK126" s="31"/>
      <c r="AL126" s="2" t="s">
        <v>613</v>
      </c>
      <c r="AM126" s="2" t="s">
        <v>271</v>
      </c>
      <c r="AN126" s="2">
        <v>58.5</v>
      </c>
      <c r="AO126" s="2">
        <v>5</v>
      </c>
      <c r="AP126" s="2" t="s">
        <v>9</v>
      </c>
      <c r="AQ126" s="3">
        <f t="shared" si="75"/>
        <v>292.5</v>
      </c>
      <c r="AR126" s="2"/>
      <c r="BL126" s="31"/>
      <c r="BM126" s="2" t="s">
        <v>790</v>
      </c>
      <c r="BN126" s="2">
        <v>15</v>
      </c>
      <c r="BO126" s="2">
        <v>26.1</v>
      </c>
      <c r="BP126" s="2">
        <v>15</v>
      </c>
      <c r="BQ126" s="2" t="s">
        <v>708</v>
      </c>
      <c r="BR126" s="2">
        <f t="shared" si="73"/>
        <v>391.5</v>
      </c>
      <c r="BS126" s="2"/>
      <c r="CD126" s="31"/>
      <c r="CE126" s="57" t="s">
        <v>137</v>
      </c>
      <c r="CF126" s="57">
        <v>1</v>
      </c>
      <c r="CG126" s="57">
        <v>84</v>
      </c>
      <c r="CH126" s="59">
        <v>15</v>
      </c>
      <c r="CI126" s="59" t="s">
        <v>53</v>
      </c>
      <c r="CJ126" s="58">
        <f t="shared" si="74"/>
        <v>1260</v>
      </c>
      <c r="CK126" s="57"/>
    </row>
    <row r="127" spans="1:89" x14ac:dyDescent="0.25">
      <c r="J127" s="31"/>
      <c r="K127" s="2" t="s">
        <v>753</v>
      </c>
      <c r="L127" s="2">
        <v>1</v>
      </c>
      <c r="M127" s="2">
        <v>256</v>
      </c>
      <c r="N127" s="2">
        <v>1</v>
      </c>
      <c r="O127" s="2" t="s">
        <v>55</v>
      </c>
      <c r="P127" s="2">
        <f>M127*N127</f>
        <v>256</v>
      </c>
      <c r="Q127" s="2"/>
      <c r="AK127" s="31"/>
      <c r="AL127" s="2" t="s">
        <v>84</v>
      </c>
      <c r="AM127" s="2" t="s">
        <v>85</v>
      </c>
      <c r="AN127" s="2">
        <v>85</v>
      </c>
      <c r="AO127" s="6">
        <v>4</v>
      </c>
      <c r="AP127" s="6" t="s">
        <v>9</v>
      </c>
      <c r="AQ127" s="3">
        <f t="shared" si="75"/>
        <v>340</v>
      </c>
      <c r="AR127" s="2"/>
      <c r="BL127" s="31"/>
      <c r="BM127" s="2" t="s">
        <v>791</v>
      </c>
      <c r="BN127" s="2">
        <v>1</v>
      </c>
      <c r="BO127" s="2">
        <v>230</v>
      </c>
      <c r="BP127" s="2">
        <v>1</v>
      </c>
      <c r="BQ127" s="2" t="s">
        <v>53</v>
      </c>
      <c r="BR127" s="2">
        <f t="shared" si="73"/>
        <v>230</v>
      </c>
      <c r="BS127" s="2"/>
      <c r="CD127" s="31"/>
      <c r="CE127" s="57"/>
      <c r="CF127" s="57"/>
      <c r="CG127" s="57"/>
      <c r="CH127" s="59"/>
      <c r="CI127" s="59"/>
      <c r="CJ127" s="59"/>
      <c r="CK127" s="57"/>
    </row>
    <row r="128" spans="1:89" x14ac:dyDescent="0.25">
      <c r="J128" s="31"/>
      <c r="K128" s="2"/>
      <c r="L128" s="2"/>
      <c r="M128" s="2"/>
      <c r="N128" s="2"/>
      <c r="O128" s="2"/>
      <c r="P128" s="2"/>
      <c r="Q128" s="2"/>
      <c r="AB128" s="2" t="s">
        <v>11</v>
      </c>
      <c r="AC128" s="2" t="s">
        <v>0</v>
      </c>
      <c r="AD128" s="2" t="s">
        <v>1</v>
      </c>
      <c r="AE128" s="2" t="s">
        <v>2</v>
      </c>
      <c r="AF128" s="2" t="s">
        <v>3</v>
      </c>
      <c r="AG128" s="2"/>
      <c r="AH128" s="2" t="s">
        <v>4</v>
      </c>
      <c r="AI128" s="2" t="s">
        <v>5</v>
      </c>
      <c r="AK128" s="31"/>
      <c r="AL128" s="32" t="s">
        <v>10</v>
      </c>
      <c r="AM128" s="33"/>
      <c r="AN128" s="34"/>
      <c r="AO128" s="6"/>
      <c r="AP128" s="6"/>
      <c r="AQ128" s="14">
        <f>SUM(AQ124:AQ127)</f>
        <v>3725</v>
      </c>
      <c r="AR128" s="2"/>
      <c r="BL128" s="31"/>
      <c r="BM128" s="32" t="s">
        <v>10</v>
      </c>
      <c r="BN128" s="33"/>
      <c r="BO128" s="34"/>
      <c r="BP128" s="6"/>
      <c r="BQ128" s="2"/>
      <c r="BR128" s="7">
        <f>SUM(BR123:BR127)</f>
        <v>1111.46</v>
      </c>
      <c r="BS128" s="2"/>
      <c r="CD128" s="31"/>
      <c r="CE128" s="57"/>
      <c r="CF128" s="57"/>
      <c r="CG128" s="57"/>
      <c r="CH128" s="59"/>
      <c r="CI128" s="59"/>
      <c r="CJ128" s="59"/>
      <c r="CK128" s="57"/>
    </row>
    <row r="129" spans="10:89" x14ac:dyDescent="0.25">
      <c r="J129" s="31"/>
      <c r="L129" s="2"/>
      <c r="M129" s="2"/>
      <c r="N129" s="6"/>
      <c r="O129" s="6"/>
      <c r="P129" s="6"/>
      <c r="Q129" s="2"/>
      <c r="AB129" s="31" t="s">
        <v>631</v>
      </c>
      <c r="AC129" s="2" t="s">
        <v>632</v>
      </c>
      <c r="AD129" s="2" t="s">
        <v>271</v>
      </c>
      <c r="AE129" s="2">
        <v>94.5</v>
      </c>
      <c r="AF129" s="2">
        <v>5</v>
      </c>
      <c r="AG129" s="2" t="s">
        <v>9</v>
      </c>
      <c r="AH129" s="2">
        <f>AE129*AF129</f>
        <v>472.5</v>
      </c>
      <c r="AI129" s="2"/>
      <c r="CD129" s="31"/>
      <c r="CE129" s="32" t="s">
        <v>10</v>
      </c>
      <c r="CF129" s="33"/>
      <c r="CG129" s="34"/>
      <c r="CH129" s="59"/>
      <c r="CI129" s="59"/>
      <c r="CJ129" s="65">
        <f>SUM(CJ123:CJ128)</f>
        <v>7332</v>
      </c>
      <c r="CK129" s="57"/>
    </row>
    <row r="130" spans="10:89" x14ac:dyDescent="0.25">
      <c r="J130" s="31"/>
      <c r="K130" s="32" t="s">
        <v>10</v>
      </c>
      <c r="L130" s="33"/>
      <c r="M130" s="34"/>
      <c r="N130" s="6"/>
      <c r="O130" s="6"/>
      <c r="P130" s="7">
        <f>SUM(P126:P129)</f>
        <v>7006</v>
      </c>
      <c r="Q130" s="2"/>
      <c r="AB130" s="31"/>
      <c r="AC130" s="2" t="s">
        <v>58</v>
      </c>
      <c r="AD130" s="2" t="s">
        <v>463</v>
      </c>
      <c r="AE130" s="2">
        <v>93</v>
      </c>
      <c r="AF130" s="2">
        <v>40</v>
      </c>
      <c r="AG130" s="2" t="s">
        <v>9</v>
      </c>
      <c r="AH130" s="2">
        <f t="shared" ref="AH130:AH131" si="76">AE130*AF130</f>
        <v>3720</v>
      </c>
      <c r="AI130" s="2"/>
      <c r="AK130" s="2" t="s">
        <v>11</v>
      </c>
      <c r="AL130" s="2" t="s">
        <v>0</v>
      </c>
      <c r="AM130" s="2" t="s">
        <v>1</v>
      </c>
      <c r="AN130" s="2" t="s">
        <v>2</v>
      </c>
      <c r="AO130" s="2" t="s">
        <v>3</v>
      </c>
      <c r="AP130" s="2"/>
      <c r="AQ130" s="2" t="s">
        <v>4</v>
      </c>
      <c r="AR130" s="2" t="s">
        <v>5</v>
      </c>
      <c r="BL130" s="2" t="s">
        <v>101</v>
      </c>
      <c r="BM130" s="2" t="s">
        <v>0</v>
      </c>
      <c r="BN130" s="2" t="s">
        <v>1</v>
      </c>
      <c r="BO130" s="2" t="s">
        <v>2</v>
      </c>
      <c r="BP130" s="2" t="s">
        <v>3</v>
      </c>
      <c r="BQ130" s="2"/>
      <c r="BR130" s="2" t="s">
        <v>4</v>
      </c>
      <c r="BS130" s="2" t="s">
        <v>5</v>
      </c>
    </row>
    <row r="131" spans="10:89" x14ac:dyDescent="0.25">
      <c r="AB131" s="31"/>
      <c r="AC131" s="2" t="s">
        <v>325</v>
      </c>
      <c r="AD131" s="2" t="s">
        <v>633</v>
      </c>
      <c r="AE131" s="2">
        <v>12</v>
      </c>
      <c r="AF131" s="2">
        <v>80</v>
      </c>
      <c r="AG131" s="2" t="s">
        <v>63</v>
      </c>
      <c r="AH131" s="2">
        <f t="shared" si="76"/>
        <v>960</v>
      </c>
      <c r="AI131" s="2"/>
      <c r="AK131" s="31" t="s">
        <v>625</v>
      </c>
      <c r="AL131" s="2" t="s">
        <v>626</v>
      </c>
      <c r="AM131" s="2" t="s">
        <v>20</v>
      </c>
      <c r="AN131" s="2">
        <v>37.74</v>
      </c>
      <c r="AO131" s="2">
        <v>25</v>
      </c>
      <c r="AP131" s="2" t="s">
        <v>9</v>
      </c>
      <c r="AQ131" s="3">
        <f>AN131*AO131</f>
        <v>943.5</v>
      </c>
      <c r="AR131" s="2"/>
      <c r="BL131" s="36" t="s">
        <v>809</v>
      </c>
      <c r="BM131" s="2" t="s">
        <v>270</v>
      </c>
      <c r="BN131" s="2">
        <v>8</v>
      </c>
      <c r="BO131" s="2">
        <v>21</v>
      </c>
      <c r="BP131" s="2">
        <v>8</v>
      </c>
      <c r="BQ131" s="2" t="s">
        <v>9</v>
      </c>
      <c r="BR131" s="2">
        <f>BO131*BP131</f>
        <v>168</v>
      </c>
      <c r="BS131" s="2"/>
      <c r="CD131" s="57" t="s">
        <v>74</v>
      </c>
      <c r="CE131" s="57" t="s">
        <v>0</v>
      </c>
      <c r="CF131" s="57" t="s">
        <v>1</v>
      </c>
      <c r="CG131" s="57" t="s">
        <v>2</v>
      </c>
      <c r="CH131" s="57" t="s">
        <v>3</v>
      </c>
      <c r="CI131" s="57"/>
      <c r="CJ131" s="57" t="s">
        <v>4</v>
      </c>
      <c r="CK131" s="57" t="s">
        <v>5</v>
      </c>
    </row>
    <row r="132" spans="10:89" x14ac:dyDescent="0.25">
      <c r="J132" s="2" t="s">
        <v>74</v>
      </c>
      <c r="K132" s="2" t="s">
        <v>0</v>
      </c>
      <c r="L132" s="2" t="s">
        <v>1</v>
      </c>
      <c r="M132" s="2" t="s">
        <v>2</v>
      </c>
      <c r="N132" s="2" t="s">
        <v>3</v>
      </c>
      <c r="O132" s="2"/>
      <c r="P132" s="2" t="s">
        <v>4</v>
      </c>
      <c r="Q132" s="2" t="s">
        <v>5</v>
      </c>
      <c r="AB132" s="31"/>
      <c r="AC132" s="2"/>
      <c r="AD132" s="2"/>
      <c r="AE132" s="2"/>
      <c r="AF132" s="2"/>
      <c r="AG132" s="2"/>
      <c r="AH132" s="2"/>
      <c r="AI132" s="2"/>
      <c r="AK132" s="31"/>
      <c r="AL132" s="2" t="s">
        <v>38</v>
      </c>
      <c r="AM132" s="2" t="s">
        <v>191</v>
      </c>
      <c r="AN132" s="2">
        <v>11.7</v>
      </c>
      <c r="AO132" s="2">
        <v>8</v>
      </c>
      <c r="AP132" s="2" t="s">
        <v>9</v>
      </c>
      <c r="AQ132" s="3">
        <f t="shared" ref="AQ132:AQ134" si="77">AN132*AO132</f>
        <v>93.6</v>
      </c>
      <c r="AR132" s="2"/>
      <c r="BL132" s="37"/>
      <c r="BM132" s="2" t="s">
        <v>222</v>
      </c>
      <c r="BN132" s="2">
        <v>15</v>
      </c>
      <c r="BO132" s="2">
        <v>99</v>
      </c>
      <c r="BP132" s="2">
        <v>15</v>
      </c>
      <c r="BQ132" s="2" t="s">
        <v>9</v>
      </c>
      <c r="BR132" s="2">
        <f>BO132*BP132</f>
        <v>1485</v>
      </c>
      <c r="BS132" s="2"/>
      <c r="CD132" s="31" t="s">
        <v>1006</v>
      </c>
      <c r="CE132" s="57" t="s">
        <v>150</v>
      </c>
      <c r="CF132" s="57">
        <v>60</v>
      </c>
      <c r="CG132" s="57">
        <v>22.8</v>
      </c>
      <c r="CH132" s="57">
        <v>50</v>
      </c>
      <c r="CI132" s="57" t="s">
        <v>708</v>
      </c>
      <c r="CJ132" s="58">
        <f>CG132*CH132</f>
        <v>1140</v>
      </c>
      <c r="CK132" s="57"/>
    </row>
    <row r="133" spans="10:89" x14ac:dyDescent="0.25">
      <c r="J133" s="31" t="s">
        <v>775</v>
      </c>
      <c r="K133" s="2" t="s">
        <v>776</v>
      </c>
      <c r="L133" s="2">
        <v>55</v>
      </c>
      <c r="M133" s="2">
        <v>126</v>
      </c>
      <c r="N133" s="2">
        <v>55</v>
      </c>
      <c r="O133" s="2" t="s">
        <v>9</v>
      </c>
      <c r="P133" s="3">
        <f>M133*N133</f>
        <v>6930</v>
      </c>
      <c r="Q133" s="2"/>
      <c r="AB133" s="31"/>
      <c r="AC133" s="2"/>
      <c r="AD133" s="2"/>
      <c r="AE133" s="2"/>
      <c r="AF133" s="2"/>
      <c r="AG133" s="2"/>
      <c r="AH133" s="2"/>
      <c r="AI133" s="2"/>
      <c r="AK133" s="31"/>
      <c r="AL133" s="2" t="s">
        <v>627</v>
      </c>
      <c r="AM133" s="2" t="s">
        <v>628</v>
      </c>
      <c r="AN133" s="2">
        <v>294</v>
      </c>
      <c r="AO133" s="2">
        <v>2</v>
      </c>
      <c r="AP133" s="2" t="s">
        <v>50</v>
      </c>
      <c r="AQ133" s="3">
        <f t="shared" si="77"/>
        <v>588</v>
      </c>
      <c r="AR133" s="2"/>
      <c r="BL133" s="37"/>
      <c r="BM133" s="2"/>
      <c r="BN133" s="2"/>
      <c r="BO133" s="2"/>
      <c r="BP133" s="2"/>
      <c r="BQ133" s="2"/>
      <c r="BR133" s="2"/>
      <c r="BS133" s="2"/>
      <c r="CD133" s="31"/>
      <c r="CE133" s="57" t="s">
        <v>1007</v>
      </c>
      <c r="CF133" s="57">
        <v>30</v>
      </c>
      <c r="CG133" s="57">
        <v>177</v>
      </c>
      <c r="CH133" s="57">
        <v>30</v>
      </c>
      <c r="CI133" s="57" t="s">
        <v>708</v>
      </c>
      <c r="CJ133" s="58">
        <f t="shared" ref="CJ133:CJ136" si="78">CG133*CH133</f>
        <v>5310</v>
      </c>
      <c r="CK133" s="57"/>
    </row>
    <row r="134" spans="10:89" x14ac:dyDescent="0.25">
      <c r="J134" s="31"/>
      <c r="K134" s="2" t="s">
        <v>25</v>
      </c>
      <c r="L134" s="2">
        <v>8</v>
      </c>
      <c r="M134" s="2">
        <v>25.5</v>
      </c>
      <c r="N134" s="2">
        <v>8</v>
      </c>
      <c r="O134" s="2" t="s">
        <v>9</v>
      </c>
      <c r="P134" s="3">
        <f t="shared" ref="P134:P136" si="79">M134*N134</f>
        <v>204</v>
      </c>
      <c r="Q134" s="2"/>
      <c r="AB134" s="31"/>
      <c r="AC134" s="32" t="s">
        <v>10</v>
      </c>
      <c r="AD134" s="33"/>
      <c r="AE134" s="34"/>
      <c r="AF134" s="6"/>
      <c r="AG134" s="6"/>
      <c r="AH134" s="7">
        <f>SUM(AH129:AH133)</f>
        <v>5152.5</v>
      </c>
      <c r="AI134" s="2"/>
      <c r="AK134" s="31"/>
      <c r="AL134" s="2" t="s">
        <v>25</v>
      </c>
      <c r="AM134" s="2" t="s">
        <v>37</v>
      </c>
      <c r="AN134" s="2">
        <v>30.6</v>
      </c>
      <c r="AO134" s="2">
        <v>15</v>
      </c>
      <c r="AP134" s="2" t="s">
        <v>9</v>
      </c>
      <c r="AQ134" s="3">
        <f t="shared" si="77"/>
        <v>459</v>
      </c>
      <c r="AR134" s="2"/>
      <c r="BL134" s="37"/>
      <c r="BM134" s="11"/>
      <c r="BN134" s="5"/>
      <c r="BO134" s="6"/>
      <c r="BP134" s="6"/>
      <c r="BQ134" s="6"/>
      <c r="BR134" s="6"/>
      <c r="BS134" s="2"/>
      <c r="CD134" s="31"/>
      <c r="CE134" s="57" t="s">
        <v>680</v>
      </c>
      <c r="CF134" s="57">
        <v>2</v>
      </c>
      <c r="CG134" s="57">
        <v>75</v>
      </c>
      <c r="CH134" s="57">
        <v>2</v>
      </c>
      <c r="CI134" s="57" t="s">
        <v>53</v>
      </c>
      <c r="CJ134" s="58">
        <f t="shared" si="78"/>
        <v>150</v>
      </c>
      <c r="CK134" s="57"/>
    </row>
    <row r="135" spans="10:89" x14ac:dyDescent="0.25">
      <c r="J135" s="31"/>
      <c r="K135" s="2" t="s">
        <v>612</v>
      </c>
      <c r="L135" s="2">
        <v>5</v>
      </c>
      <c r="M135" s="2">
        <v>68.400000000000006</v>
      </c>
      <c r="N135" s="2">
        <v>5</v>
      </c>
      <c r="O135" s="2" t="s">
        <v>9</v>
      </c>
      <c r="P135" s="3">
        <f t="shared" si="79"/>
        <v>342</v>
      </c>
      <c r="Q135" s="2"/>
      <c r="AK135" s="31"/>
      <c r="AL135" s="2"/>
      <c r="AM135" s="2"/>
      <c r="AN135" s="2"/>
      <c r="AO135" s="2"/>
      <c r="AP135" s="2"/>
      <c r="AQ135" s="2"/>
      <c r="AR135" s="2"/>
      <c r="BL135" s="38"/>
      <c r="BM135" s="32" t="s">
        <v>10</v>
      </c>
      <c r="BN135" s="33"/>
      <c r="BO135" s="34"/>
      <c r="BP135" s="6"/>
      <c r="BQ135" s="6"/>
      <c r="BR135" s="14">
        <f>SUM(BR131:BR133)</f>
        <v>1653</v>
      </c>
      <c r="BS135" s="2"/>
      <c r="CD135" s="31"/>
      <c r="CE135" s="57" t="s">
        <v>1008</v>
      </c>
      <c r="CF135" s="57">
        <v>2</v>
      </c>
      <c r="CG135" s="57">
        <v>53.4</v>
      </c>
      <c r="CH135" s="59">
        <v>10</v>
      </c>
      <c r="CI135" s="59" t="s">
        <v>9</v>
      </c>
      <c r="CJ135" s="58">
        <f t="shared" si="78"/>
        <v>534</v>
      </c>
      <c r="CK135" s="57"/>
    </row>
    <row r="136" spans="10:89" x14ac:dyDescent="0.25">
      <c r="J136" s="31"/>
      <c r="K136" s="2" t="s">
        <v>613</v>
      </c>
      <c r="L136" s="2">
        <v>5</v>
      </c>
      <c r="M136" s="2">
        <v>68.400000000000006</v>
      </c>
      <c r="N136" s="6">
        <v>5</v>
      </c>
      <c r="O136" s="6" t="s">
        <v>9</v>
      </c>
      <c r="P136" s="3">
        <f t="shared" si="79"/>
        <v>342</v>
      </c>
      <c r="Q136" s="2"/>
      <c r="AB136" s="2" t="s">
        <v>11</v>
      </c>
      <c r="AC136" s="2" t="s">
        <v>0</v>
      </c>
      <c r="AD136" s="2" t="s">
        <v>1</v>
      </c>
      <c r="AE136" s="2" t="s">
        <v>2</v>
      </c>
      <c r="AF136" s="2" t="s">
        <v>3</v>
      </c>
      <c r="AG136" s="2"/>
      <c r="AH136" s="2" t="s">
        <v>4</v>
      </c>
      <c r="AI136" s="2" t="s">
        <v>5</v>
      </c>
      <c r="AK136" s="31"/>
      <c r="AL136" s="32" t="s">
        <v>10</v>
      </c>
      <c r="AM136" s="33"/>
      <c r="AN136" s="34"/>
      <c r="AO136" s="6"/>
      <c r="AP136" s="6"/>
      <c r="AQ136" s="7">
        <f>SUM(AQ131:AQ135)</f>
        <v>2084.1</v>
      </c>
      <c r="AR136" s="2"/>
      <c r="CD136" s="31"/>
      <c r="CE136" s="57" t="s">
        <v>62</v>
      </c>
      <c r="CF136" s="57">
        <v>280</v>
      </c>
      <c r="CG136" s="57">
        <v>10</v>
      </c>
      <c r="CH136" s="59">
        <v>200</v>
      </c>
      <c r="CI136" s="59" t="s">
        <v>744</v>
      </c>
      <c r="CJ136" s="58">
        <f t="shared" si="78"/>
        <v>2000</v>
      </c>
      <c r="CK136" s="57"/>
    </row>
    <row r="137" spans="10:89" x14ac:dyDescent="0.25">
      <c r="J137" s="31"/>
      <c r="K137" s="2"/>
      <c r="L137" s="2"/>
      <c r="M137" s="2"/>
      <c r="N137" s="6"/>
      <c r="O137" s="6"/>
      <c r="P137" s="6"/>
      <c r="Q137" s="2"/>
      <c r="AB137" s="31" t="s">
        <v>654</v>
      </c>
      <c r="AC137" s="2" t="s">
        <v>264</v>
      </c>
      <c r="AD137" s="2" t="s">
        <v>37</v>
      </c>
      <c r="AE137" s="2">
        <v>45</v>
      </c>
      <c r="AF137" s="2">
        <v>15</v>
      </c>
      <c r="AG137" s="2" t="s">
        <v>9</v>
      </c>
      <c r="AH137" s="2">
        <f>AE137*AF137</f>
        <v>675</v>
      </c>
      <c r="AI137" s="2"/>
      <c r="BL137" s="2" t="s">
        <v>101</v>
      </c>
      <c r="BM137" s="2" t="s">
        <v>0</v>
      </c>
      <c r="BN137" s="2" t="s">
        <v>1</v>
      </c>
      <c r="BO137" s="2" t="s">
        <v>2</v>
      </c>
      <c r="BP137" s="2" t="s">
        <v>3</v>
      </c>
      <c r="BQ137" s="2"/>
      <c r="BR137" s="2" t="s">
        <v>4</v>
      </c>
      <c r="BS137" s="2" t="s">
        <v>5</v>
      </c>
      <c r="CD137" s="31"/>
      <c r="CE137" s="57"/>
      <c r="CF137" s="57"/>
      <c r="CG137" s="57"/>
      <c r="CH137" s="59"/>
      <c r="CI137" s="59"/>
      <c r="CJ137" s="59"/>
      <c r="CK137" s="57"/>
    </row>
    <row r="138" spans="10:89" x14ac:dyDescent="0.25">
      <c r="J138" s="31"/>
      <c r="K138" s="32" t="s">
        <v>10</v>
      </c>
      <c r="L138" s="33"/>
      <c r="M138" s="34"/>
      <c r="N138" s="6"/>
      <c r="O138" s="6"/>
      <c r="P138" s="7">
        <f>SUM(P133:P137)</f>
        <v>7818</v>
      </c>
      <c r="Q138" s="2"/>
      <c r="AB138" s="31"/>
      <c r="AC138" s="2" t="s">
        <v>440</v>
      </c>
      <c r="AD138" s="2" t="s">
        <v>23</v>
      </c>
      <c r="AE138" s="2">
        <v>99</v>
      </c>
      <c r="AF138" s="2">
        <v>20</v>
      </c>
      <c r="AG138" s="2" t="s">
        <v>9</v>
      </c>
      <c r="AH138" s="2">
        <f t="shared" ref="AH138:AH141" si="80">AE138*AF138</f>
        <v>1980</v>
      </c>
      <c r="AI138" s="2"/>
      <c r="AK138" s="2" t="s">
        <v>11</v>
      </c>
      <c r="AL138" s="2" t="s">
        <v>0</v>
      </c>
      <c r="AM138" s="2" t="s">
        <v>1</v>
      </c>
      <c r="AN138" s="2" t="s">
        <v>2</v>
      </c>
      <c r="AO138" s="2" t="s">
        <v>3</v>
      </c>
      <c r="AP138" s="2"/>
      <c r="AQ138" s="2" t="s">
        <v>4</v>
      </c>
      <c r="AR138" s="2" t="s">
        <v>5</v>
      </c>
      <c r="BL138" s="31" t="s">
        <v>811</v>
      </c>
      <c r="BM138" s="2" t="s">
        <v>569</v>
      </c>
      <c r="BN138" s="2">
        <v>20</v>
      </c>
      <c r="BO138" s="2">
        <v>13.77</v>
      </c>
      <c r="BP138" s="2">
        <v>20</v>
      </c>
      <c r="BQ138" s="2" t="s">
        <v>708</v>
      </c>
      <c r="BR138" s="3">
        <f>BO138*BP138</f>
        <v>275.39999999999998</v>
      </c>
      <c r="BS138" s="2"/>
      <c r="CD138" s="31"/>
      <c r="CE138" s="32" t="s">
        <v>10</v>
      </c>
      <c r="CF138" s="33"/>
      <c r="CG138" s="34"/>
      <c r="CH138" s="59"/>
      <c r="CI138" s="59"/>
      <c r="CJ138" s="65">
        <f>SUM(CJ132:CJ137)</f>
        <v>9134</v>
      </c>
      <c r="CK138" s="57"/>
    </row>
    <row r="139" spans="10:89" x14ac:dyDescent="0.25">
      <c r="AB139" s="31"/>
      <c r="AC139" s="2" t="s">
        <v>266</v>
      </c>
      <c r="AD139" s="2" t="s">
        <v>288</v>
      </c>
      <c r="AE139" s="2">
        <v>13.68</v>
      </c>
      <c r="AF139" s="2">
        <v>3</v>
      </c>
      <c r="AG139" s="2" t="s">
        <v>9</v>
      </c>
      <c r="AH139" s="2">
        <f t="shared" si="80"/>
        <v>41.04</v>
      </c>
      <c r="AI139" s="2"/>
      <c r="AK139" s="31" t="s">
        <v>637</v>
      </c>
      <c r="AL139" s="2" t="s">
        <v>638</v>
      </c>
      <c r="AM139" s="2" t="s">
        <v>23</v>
      </c>
      <c r="AN139" s="2">
        <v>51</v>
      </c>
      <c r="AO139" s="2">
        <v>20</v>
      </c>
      <c r="AP139" s="2" t="s">
        <v>9</v>
      </c>
      <c r="AQ139" s="2">
        <f>AN139*AO139</f>
        <v>1020</v>
      </c>
      <c r="AR139" s="2"/>
      <c r="BL139" s="31"/>
      <c r="BM139" s="2" t="s">
        <v>812</v>
      </c>
      <c r="BN139" s="2">
        <v>15</v>
      </c>
      <c r="BO139" s="2">
        <v>132</v>
      </c>
      <c r="BP139" s="2">
        <v>15</v>
      </c>
      <c r="BQ139" s="2" t="s">
        <v>708</v>
      </c>
      <c r="BR139" s="3">
        <f>BO139*BP139</f>
        <v>1980</v>
      </c>
      <c r="BS139" s="2"/>
    </row>
    <row r="140" spans="10:89" x14ac:dyDescent="0.25">
      <c r="AB140" s="31"/>
      <c r="AC140" s="2" t="s">
        <v>25</v>
      </c>
      <c r="AD140" s="2" t="s">
        <v>156</v>
      </c>
      <c r="AE140" s="2">
        <v>30.6</v>
      </c>
      <c r="AF140" s="2">
        <v>10</v>
      </c>
      <c r="AG140" s="2" t="s">
        <v>9</v>
      </c>
      <c r="AH140" s="2">
        <f t="shared" si="80"/>
        <v>306</v>
      </c>
      <c r="AI140" s="2"/>
      <c r="AK140" s="31"/>
      <c r="AL140" s="2" t="s">
        <v>639</v>
      </c>
      <c r="AM140" s="2" t="s">
        <v>37</v>
      </c>
      <c r="AN140" s="2">
        <v>87.6</v>
      </c>
      <c r="AO140" s="2">
        <v>15</v>
      </c>
      <c r="AP140" s="2" t="s">
        <v>9</v>
      </c>
      <c r="AQ140" s="2">
        <f t="shared" ref="AQ140:AQ144" si="81">AN140*AO140</f>
        <v>1314</v>
      </c>
      <c r="AR140" s="2"/>
      <c r="BL140" s="31"/>
      <c r="BM140" s="2"/>
      <c r="BN140" s="2"/>
      <c r="BO140" s="2"/>
      <c r="BP140" s="2"/>
      <c r="BQ140" s="2"/>
      <c r="BR140" s="2"/>
      <c r="BS140" s="2"/>
    </row>
    <row r="141" spans="10:89" x14ac:dyDescent="0.25">
      <c r="J141" s="2" t="s">
        <v>74</v>
      </c>
      <c r="K141" s="2" t="s">
        <v>0</v>
      </c>
      <c r="L141" s="2" t="s">
        <v>1</v>
      </c>
      <c r="M141" s="2" t="s">
        <v>2</v>
      </c>
      <c r="N141" s="2" t="s">
        <v>3</v>
      </c>
      <c r="O141" s="2"/>
      <c r="P141" s="2" t="s">
        <v>4</v>
      </c>
      <c r="Q141" s="2" t="s">
        <v>5</v>
      </c>
      <c r="AB141" s="31"/>
      <c r="AC141" s="2" t="s">
        <v>180</v>
      </c>
      <c r="AD141" s="2" t="s">
        <v>183</v>
      </c>
      <c r="AE141" s="2">
        <v>74.099999999999994</v>
      </c>
      <c r="AF141" s="2">
        <v>1</v>
      </c>
      <c r="AG141" s="2" t="s">
        <v>9</v>
      </c>
      <c r="AH141" s="2">
        <f t="shared" si="80"/>
        <v>74.099999999999994</v>
      </c>
      <c r="AI141" s="2"/>
      <c r="AK141" s="31"/>
      <c r="AL141" s="2" t="s">
        <v>38</v>
      </c>
      <c r="AM141" s="2" t="s">
        <v>39</v>
      </c>
      <c r="AN141" s="2">
        <v>17.100000000000001</v>
      </c>
      <c r="AO141" s="2">
        <v>2</v>
      </c>
      <c r="AP141" s="2" t="s">
        <v>9</v>
      </c>
      <c r="AQ141" s="2">
        <f t="shared" si="81"/>
        <v>34.200000000000003</v>
      </c>
      <c r="AR141" s="2"/>
      <c r="BL141" s="31"/>
      <c r="BM141" s="32"/>
      <c r="BN141" s="33"/>
      <c r="BO141" s="34"/>
      <c r="BP141" s="6"/>
      <c r="BQ141" s="6"/>
      <c r="BR141" s="7">
        <f>SUM(BR138:BR140)</f>
        <v>2255.4</v>
      </c>
      <c r="BS141" s="2"/>
    </row>
    <row r="142" spans="10:89" x14ac:dyDescent="0.25">
      <c r="J142" s="31" t="s">
        <v>799</v>
      </c>
      <c r="K142" s="2" t="s">
        <v>360</v>
      </c>
      <c r="L142" s="2">
        <v>45</v>
      </c>
      <c r="M142" s="2">
        <v>168</v>
      </c>
      <c r="N142" s="2">
        <v>45</v>
      </c>
      <c r="O142" s="2" t="s">
        <v>9</v>
      </c>
      <c r="P142" s="3">
        <f>M142*N142</f>
        <v>7560</v>
      </c>
      <c r="Q142" s="2"/>
      <c r="AB142" s="31"/>
      <c r="AC142" s="32" t="s">
        <v>10</v>
      </c>
      <c r="AD142" s="33"/>
      <c r="AE142" s="34"/>
      <c r="AF142" s="6"/>
      <c r="AG142" s="6"/>
      <c r="AH142" s="7">
        <f>SUM(AH137:AH141)</f>
        <v>3076.14</v>
      </c>
      <c r="AI142" s="2"/>
      <c r="AK142" s="31"/>
      <c r="AL142" s="2" t="s">
        <v>180</v>
      </c>
      <c r="AM142" s="2" t="s">
        <v>183</v>
      </c>
      <c r="AN142" s="2">
        <v>74.099999999999994</v>
      </c>
      <c r="AO142" s="2">
        <v>1</v>
      </c>
      <c r="AP142" s="2" t="s">
        <v>9</v>
      </c>
      <c r="AQ142" s="2">
        <f t="shared" si="81"/>
        <v>74.099999999999994</v>
      </c>
      <c r="AR142" s="2"/>
    </row>
    <row r="143" spans="10:89" x14ac:dyDescent="0.25">
      <c r="J143" s="31"/>
      <c r="K143" s="2"/>
      <c r="L143" s="2"/>
      <c r="M143" s="2"/>
      <c r="N143" s="2"/>
      <c r="O143" s="2"/>
      <c r="P143" s="2"/>
      <c r="Q143" s="2"/>
      <c r="AK143" s="31"/>
      <c r="AL143" s="2" t="s">
        <v>25</v>
      </c>
      <c r="AM143" s="2" t="s">
        <v>271</v>
      </c>
      <c r="AN143" s="2">
        <v>30.6</v>
      </c>
      <c r="AO143" s="2">
        <v>5</v>
      </c>
      <c r="AP143" s="2" t="s">
        <v>9</v>
      </c>
      <c r="AQ143" s="2">
        <f t="shared" si="81"/>
        <v>153</v>
      </c>
      <c r="AR143" s="2"/>
      <c r="BL143" s="2" t="s">
        <v>101</v>
      </c>
      <c r="BM143" s="2" t="s">
        <v>0</v>
      </c>
      <c r="BN143" s="2" t="s">
        <v>1</v>
      </c>
      <c r="BO143" s="2" t="s">
        <v>2</v>
      </c>
      <c r="BP143" s="2" t="s">
        <v>3</v>
      </c>
      <c r="BQ143" s="2"/>
      <c r="BR143" s="2" t="s">
        <v>4</v>
      </c>
      <c r="BS143" s="2" t="s">
        <v>5</v>
      </c>
    </row>
    <row r="144" spans="10:89" x14ac:dyDescent="0.25">
      <c r="J144" s="31"/>
      <c r="K144" s="2"/>
      <c r="L144" s="2"/>
      <c r="M144" s="2"/>
      <c r="N144" s="2"/>
      <c r="O144" s="2"/>
      <c r="P144" s="2"/>
      <c r="Q144" s="2"/>
      <c r="AB144" s="2" t="s">
        <v>11</v>
      </c>
      <c r="AC144" s="2" t="s">
        <v>0</v>
      </c>
      <c r="AD144" s="2" t="s">
        <v>1</v>
      </c>
      <c r="AE144" s="2" t="s">
        <v>2</v>
      </c>
      <c r="AF144" s="2" t="s">
        <v>3</v>
      </c>
      <c r="AG144" s="2"/>
      <c r="AH144" s="2" t="s">
        <v>4</v>
      </c>
      <c r="AI144" s="2" t="s">
        <v>5</v>
      </c>
      <c r="AK144" s="31"/>
      <c r="AL144" s="2" t="s">
        <v>640</v>
      </c>
      <c r="AM144" s="2" t="s">
        <v>271</v>
      </c>
      <c r="AN144" s="2">
        <v>31.62</v>
      </c>
      <c r="AO144" s="2">
        <v>5</v>
      </c>
      <c r="AP144" s="2" t="s">
        <v>9</v>
      </c>
      <c r="AQ144" s="2">
        <f t="shared" si="81"/>
        <v>158.1</v>
      </c>
      <c r="AR144" s="2"/>
      <c r="BL144" s="31" t="s">
        <v>820</v>
      </c>
      <c r="BM144" s="2" t="s">
        <v>272</v>
      </c>
      <c r="BN144" s="2">
        <v>20</v>
      </c>
      <c r="BO144" s="2">
        <v>27</v>
      </c>
      <c r="BP144" s="2">
        <v>20</v>
      </c>
      <c r="BQ144" s="2" t="s">
        <v>9</v>
      </c>
      <c r="BR144" s="2">
        <f>BO144*BP144</f>
        <v>540</v>
      </c>
      <c r="BS144" s="2"/>
    </row>
    <row r="145" spans="10:71" x14ac:dyDescent="0.25">
      <c r="J145" s="31"/>
      <c r="K145" s="2"/>
      <c r="L145" s="2"/>
      <c r="M145" s="2"/>
      <c r="N145" s="6"/>
      <c r="O145" s="6"/>
      <c r="P145" s="6"/>
      <c r="Q145" s="2"/>
      <c r="AB145" s="31" t="s">
        <v>658</v>
      </c>
      <c r="AC145" s="2" t="s">
        <v>636</v>
      </c>
      <c r="AD145" s="2" t="s">
        <v>191</v>
      </c>
      <c r="AE145" s="2">
        <v>165</v>
      </c>
      <c r="AF145" s="2">
        <v>8</v>
      </c>
      <c r="AG145" s="2" t="s">
        <v>9</v>
      </c>
      <c r="AH145" s="2">
        <f t="shared" ref="AH145:AH147" si="82">AE145*AF145</f>
        <v>1320</v>
      </c>
      <c r="AI145" s="2"/>
      <c r="AK145" s="31"/>
      <c r="AL145" s="32" t="s">
        <v>10</v>
      </c>
      <c r="AM145" s="33"/>
      <c r="AN145" s="34"/>
      <c r="AO145" s="6"/>
      <c r="AP145" s="6"/>
      <c r="AQ145" s="7">
        <f>SUM(AQ139:AQ144)</f>
        <v>2753.3999999999996</v>
      </c>
      <c r="AR145" s="2"/>
      <c r="BL145" s="31"/>
      <c r="BM145" s="2" t="s">
        <v>821</v>
      </c>
      <c r="BN145" s="2">
        <v>15</v>
      </c>
      <c r="BO145" s="2">
        <v>150</v>
      </c>
      <c r="BP145" s="2">
        <v>15</v>
      </c>
      <c r="BQ145" s="2" t="s">
        <v>708</v>
      </c>
      <c r="BR145" s="2">
        <f>BO145*BP145</f>
        <v>2250</v>
      </c>
      <c r="BS145" s="2"/>
    </row>
    <row r="146" spans="10:71" x14ac:dyDescent="0.25">
      <c r="J146" s="31"/>
      <c r="K146" s="2"/>
      <c r="L146" s="2"/>
      <c r="M146" s="2"/>
      <c r="N146" s="6"/>
      <c r="O146" s="6"/>
      <c r="P146" s="6"/>
      <c r="Q146" s="2"/>
      <c r="AB146" s="31"/>
      <c r="AC146" s="2" t="s">
        <v>659</v>
      </c>
      <c r="AD146" s="2"/>
      <c r="AE146" s="2">
        <v>165</v>
      </c>
      <c r="AF146" s="2">
        <v>10</v>
      </c>
      <c r="AG146" s="2" t="s">
        <v>9</v>
      </c>
      <c r="AH146" s="2">
        <f t="shared" si="82"/>
        <v>1650</v>
      </c>
      <c r="AI146" s="2"/>
      <c r="BL146" s="31"/>
      <c r="BM146" s="2"/>
      <c r="BN146" s="2"/>
      <c r="BO146" s="2"/>
      <c r="BP146" s="2"/>
      <c r="BQ146" s="2"/>
      <c r="BR146" s="2"/>
      <c r="BS146" s="2"/>
    </row>
    <row r="147" spans="10:71" x14ac:dyDescent="0.25">
      <c r="J147" s="31"/>
      <c r="K147" s="32" t="s">
        <v>10</v>
      </c>
      <c r="L147" s="33"/>
      <c r="M147" s="34"/>
      <c r="N147" s="6"/>
      <c r="O147" s="6"/>
      <c r="P147" s="7">
        <f>SUM(P142:P146)</f>
        <v>7560</v>
      </c>
      <c r="Q147" s="2"/>
      <c r="AB147" s="31"/>
      <c r="AC147" s="2" t="s">
        <v>98</v>
      </c>
      <c r="AD147" s="2"/>
      <c r="AE147" s="2">
        <v>38.4</v>
      </c>
      <c r="AF147" s="2">
        <v>40</v>
      </c>
      <c r="AG147" s="2" t="s">
        <v>9</v>
      </c>
      <c r="AH147" s="2">
        <f t="shared" si="82"/>
        <v>1536</v>
      </c>
      <c r="AI147" s="2" t="s">
        <v>392</v>
      </c>
      <c r="AK147" s="2" t="s">
        <v>11</v>
      </c>
      <c r="AL147" s="2" t="s">
        <v>0</v>
      </c>
      <c r="AM147" s="2" t="s">
        <v>1</v>
      </c>
      <c r="AN147" s="2" t="s">
        <v>2</v>
      </c>
      <c r="AO147" s="2" t="s">
        <v>3</v>
      </c>
      <c r="AP147" s="2"/>
      <c r="AQ147" s="2" t="s">
        <v>4</v>
      </c>
      <c r="AR147" s="2" t="s">
        <v>5</v>
      </c>
      <c r="BL147" s="31"/>
      <c r="BM147" s="32" t="s">
        <v>10</v>
      </c>
      <c r="BN147" s="33"/>
      <c r="BO147" s="34"/>
      <c r="BP147" s="6"/>
      <c r="BQ147" s="6"/>
      <c r="BR147" s="7">
        <f>SUM(BR144:BR146)</f>
        <v>2790</v>
      </c>
      <c r="BS147" s="2"/>
    </row>
    <row r="148" spans="10:71" x14ac:dyDescent="0.25">
      <c r="AB148" s="31"/>
      <c r="AC148" s="28"/>
      <c r="AD148" s="28"/>
      <c r="AE148" s="28"/>
      <c r="AF148" s="28"/>
      <c r="AG148" s="28"/>
      <c r="AH148" s="28"/>
      <c r="AI148" s="2"/>
      <c r="AK148" s="31" t="s">
        <v>651</v>
      </c>
      <c r="AL148" s="2" t="s">
        <v>247</v>
      </c>
      <c r="AM148" s="2" t="s">
        <v>37</v>
      </c>
      <c r="AN148" s="2">
        <v>42</v>
      </c>
      <c r="AO148" s="2">
        <v>15</v>
      </c>
      <c r="AP148" s="2" t="s">
        <v>9</v>
      </c>
      <c r="AQ148" s="2">
        <f>AN148*AO148</f>
        <v>630</v>
      </c>
      <c r="AR148" s="2"/>
    </row>
    <row r="149" spans="10:71" x14ac:dyDescent="0.25">
      <c r="J149" s="2" t="s">
        <v>74</v>
      </c>
      <c r="K149" s="2" t="s">
        <v>0</v>
      </c>
      <c r="L149" s="2" t="s">
        <v>1</v>
      </c>
      <c r="M149" s="2" t="s">
        <v>2</v>
      </c>
      <c r="N149" s="2" t="s">
        <v>3</v>
      </c>
      <c r="O149" s="2"/>
      <c r="P149" s="2" t="s">
        <v>4</v>
      </c>
      <c r="Q149" s="2" t="s">
        <v>5</v>
      </c>
      <c r="AB149" s="31"/>
      <c r="AC149" s="2"/>
      <c r="AD149" s="2"/>
      <c r="AE149" s="2"/>
      <c r="AF149" s="2"/>
      <c r="AG149" s="2"/>
      <c r="AH149" s="2"/>
      <c r="AI149" s="2"/>
      <c r="AK149" s="31"/>
      <c r="AL149" s="2" t="s">
        <v>254</v>
      </c>
      <c r="AM149" s="2" t="s">
        <v>23</v>
      </c>
      <c r="AN149" s="2">
        <v>48</v>
      </c>
      <c r="AO149" s="2">
        <v>20</v>
      </c>
      <c r="AP149" s="2" t="s">
        <v>9</v>
      </c>
      <c r="AQ149" s="2">
        <f>AN149*AO149</f>
        <v>960</v>
      </c>
      <c r="AR149" s="2"/>
      <c r="BL149" s="2" t="s">
        <v>101</v>
      </c>
      <c r="BM149" s="2" t="s">
        <v>0</v>
      </c>
      <c r="BN149" s="2" t="s">
        <v>1</v>
      </c>
      <c r="BO149" s="2" t="s">
        <v>2</v>
      </c>
      <c r="BP149" s="2" t="s">
        <v>3</v>
      </c>
      <c r="BQ149" s="2"/>
      <c r="BR149" s="2" t="s">
        <v>4</v>
      </c>
      <c r="BS149" s="2" t="s">
        <v>5</v>
      </c>
    </row>
    <row r="150" spans="10:71" x14ac:dyDescent="0.25">
      <c r="J150" s="31" t="s">
        <v>813</v>
      </c>
      <c r="K150" s="57" t="s">
        <v>1000</v>
      </c>
      <c r="L150" s="57">
        <v>60</v>
      </c>
      <c r="M150" s="57">
        <v>171</v>
      </c>
      <c r="N150" s="57">
        <v>60</v>
      </c>
      <c r="O150" s="57" t="s">
        <v>708</v>
      </c>
      <c r="P150" s="58">
        <f>M150*N150</f>
        <v>10260</v>
      </c>
      <c r="Q150" s="2"/>
      <c r="AB150" s="31"/>
      <c r="AC150" s="32" t="s">
        <v>10</v>
      </c>
      <c r="AD150" s="33"/>
      <c r="AE150" s="34"/>
      <c r="AF150" s="6"/>
      <c r="AG150" s="6"/>
      <c r="AH150" s="14">
        <f>SUM(AH145:AH149)</f>
        <v>4506</v>
      </c>
      <c r="AI150" s="2"/>
      <c r="AK150" s="31"/>
      <c r="AL150" s="2" t="s">
        <v>25</v>
      </c>
      <c r="AM150" s="2" t="s">
        <v>156</v>
      </c>
      <c r="AN150" s="2">
        <v>30.6</v>
      </c>
      <c r="AO150" s="2">
        <v>10</v>
      </c>
      <c r="AP150" s="2" t="s">
        <v>9</v>
      </c>
      <c r="AQ150" s="2">
        <f>AN150*AO150</f>
        <v>306</v>
      </c>
      <c r="AR150" s="2"/>
      <c r="BL150" s="31" t="s">
        <v>861</v>
      </c>
      <c r="BM150" s="2" t="s">
        <v>644</v>
      </c>
      <c r="BN150" s="2">
        <v>8</v>
      </c>
      <c r="BO150" s="2">
        <v>42.18</v>
      </c>
      <c r="BP150" s="2">
        <v>8</v>
      </c>
      <c r="BQ150" s="2" t="s">
        <v>708</v>
      </c>
      <c r="BR150" s="2">
        <f>BO150*BP150</f>
        <v>337.44</v>
      </c>
      <c r="BS150" s="2"/>
    </row>
    <row r="151" spans="10:71" x14ac:dyDescent="0.25">
      <c r="J151" s="31"/>
      <c r="K151" s="2"/>
      <c r="L151" s="2"/>
      <c r="M151" s="2"/>
      <c r="N151" s="2"/>
      <c r="O151" s="2"/>
      <c r="P151" s="2"/>
      <c r="Q151" s="2"/>
      <c r="AK151" s="31"/>
      <c r="AL151" s="2"/>
      <c r="AM151" s="2"/>
      <c r="AN151" s="2"/>
      <c r="AO151" s="2"/>
      <c r="AP151" s="2"/>
      <c r="AQ151" s="2"/>
      <c r="AR151" s="2"/>
      <c r="BL151" s="31"/>
      <c r="BM151" s="2" t="s">
        <v>266</v>
      </c>
      <c r="BN151" s="2">
        <v>3</v>
      </c>
      <c r="BO151" s="2">
        <v>15.96</v>
      </c>
      <c r="BP151" s="2">
        <v>3</v>
      </c>
      <c r="BQ151" s="2" t="s">
        <v>708</v>
      </c>
      <c r="BR151" s="2">
        <f t="shared" ref="BR151:BR154" si="83">BO151*BP151</f>
        <v>47.88</v>
      </c>
      <c r="BS151" s="2"/>
    </row>
    <row r="152" spans="10:71" x14ac:dyDescent="0.25">
      <c r="J152" s="31"/>
      <c r="K152" s="2"/>
      <c r="L152" s="2"/>
      <c r="M152" s="2"/>
      <c r="N152" s="2"/>
      <c r="O152" s="2"/>
      <c r="P152" s="2"/>
      <c r="Q152" s="2"/>
      <c r="AB152" s="2" t="s">
        <v>90</v>
      </c>
      <c r="AC152" s="2" t="s">
        <v>0</v>
      </c>
      <c r="AD152" s="2" t="s">
        <v>1</v>
      </c>
      <c r="AE152" s="2" t="s">
        <v>2</v>
      </c>
      <c r="AF152" s="2" t="s">
        <v>3</v>
      </c>
      <c r="AG152" s="2"/>
      <c r="AH152" s="2" t="s">
        <v>4</v>
      </c>
      <c r="AI152" s="2" t="s">
        <v>5</v>
      </c>
      <c r="AK152" s="31"/>
      <c r="AL152" s="2"/>
      <c r="AM152" s="2"/>
      <c r="AN152" s="2"/>
      <c r="AO152" s="2"/>
      <c r="AP152" s="2"/>
      <c r="AQ152" s="2"/>
      <c r="AR152" s="2"/>
      <c r="BL152" s="31"/>
      <c r="BM152" s="2" t="s">
        <v>264</v>
      </c>
      <c r="BN152" s="2">
        <v>3</v>
      </c>
      <c r="BO152" s="2">
        <v>45</v>
      </c>
      <c r="BP152" s="2">
        <v>3</v>
      </c>
      <c r="BQ152" s="2" t="s">
        <v>708</v>
      </c>
      <c r="BR152" s="2">
        <f t="shared" si="83"/>
        <v>135</v>
      </c>
      <c r="BS152" s="2"/>
    </row>
    <row r="153" spans="10:71" x14ac:dyDescent="0.25">
      <c r="J153" s="31"/>
      <c r="K153" s="13"/>
      <c r="L153" s="2"/>
      <c r="M153" s="2"/>
      <c r="N153" s="6"/>
      <c r="O153" s="6"/>
      <c r="P153" s="6"/>
      <c r="Q153" s="2"/>
      <c r="AB153" s="31" t="s">
        <v>660</v>
      </c>
      <c r="AC153" s="2" t="s">
        <v>661</v>
      </c>
      <c r="AD153" s="2" t="s">
        <v>662</v>
      </c>
      <c r="AE153" s="2">
        <v>82</v>
      </c>
      <c r="AF153" s="2">
        <v>24</v>
      </c>
      <c r="AG153" s="2" t="s">
        <v>53</v>
      </c>
      <c r="AH153" s="2">
        <f>AE153*AF153</f>
        <v>1968</v>
      </c>
      <c r="AI153" s="2"/>
      <c r="AK153" s="31"/>
      <c r="AL153" s="32" t="s">
        <v>10</v>
      </c>
      <c r="AM153" s="33"/>
      <c r="AN153" s="34"/>
      <c r="AO153" s="6"/>
      <c r="AP153" s="6"/>
      <c r="AQ153" s="14">
        <f>SUM(AQ148:AQ152)</f>
        <v>1896</v>
      </c>
      <c r="AR153" s="2"/>
      <c r="BL153" s="31"/>
      <c r="BM153" s="2" t="s">
        <v>862</v>
      </c>
      <c r="BN153" s="2">
        <v>20</v>
      </c>
      <c r="BO153" s="2">
        <v>125</v>
      </c>
      <c r="BP153" s="2">
        <v>20</v>
      </c>
      <c r="BQ153" s="2" t="s">
        <v>708</v>
      </c>
      <c r="BR153" s="2">
        <f t="shared" si="83"/>
        <v>2500</v>
      </c>
      <c r="BS153" s="2"/>
    </row>
    <row r="154" spans="10:71" x14ac:dyDescent="0.25">
      <c r="J154" s="31"/>
      <c r="K154" s="32" t="s">
        <v>10</v>
      </c>
      <c r="L154" s="33"/>
      <c r="M154" s="34"/>
      <c r="N154" s="6"/>
      <c r="O154" s="6"/>
      <c r="P154" s="7">
        <f>SUM(P150:P153)</f>
        <v>10260</v>
      </c>
      <c r="Q154" s="2"/>
      <c r="AB154" s="31"/>
      <c r="AC154" s="2" t="s">
        <v>22</v>
      </c>
      <c r="AD154" s="2" t="s">
        <v>156</v>
      </c>
      <c r="AE154" s="2">
        <v>105</v>
      </c>
      <c r="AF154" s="2">
        <v>10</v>
      </c>
      <c r="AG154" s="2" t="s">
        <v>9</v>
      </c>
      <c r="AH154" s="2">
        <f t="shared" ref="AH154:AH155" si="84">AE154*AF154</f>
        <v>1050</v>
      </c>
      <c r="AI154" s="2"/>
      <c r="BL154" s="31"/>
      <c r="BM154" s="2" t="s">
        <v>124</v>
      </c>
      <c r="BN154" s="2">
        <v>2</v>
      </c>
      <c r="BO154" s="2">
        <v>60</v>
      </c>
      <c r="BP154" s="2">
        <v>1</v>
      </c>
      <c r="BQ154" s="6" t="s">
        <v>53</v>
      </c>
      <c r="BR154" s="2">
        <f t="shared" si="83"/>
        <v>60</v>
      </c>
      <c r="BS154" s="2"/>
    </row>
    <row r="155" spans="10:71" x14ac:dyDescent="0.25">
      <c r="AB155" s="31"/>
      <c r="AC155" s="2" t="s">
        <v>264</v>
      </c>
      <c r="AD155" s="2" t="s">
        <v>85</v>
      </c>
      <c r="AE155" s="2">
        <v>45</v>
      </c>
      <c r="AF155" s="2">
        <v>4</v>
      </c>
      <c r="AG155" s="2" t="s">
        <v>9</v>
      </c>
      <c r="AH155" s="2">
        <f t="shared" si="84"/>
        <v>180</v>
      </c>
      <c r="AI155" s="2"/>
      <c r="AK155" s="2" t="s">
        <v>90</v>
      </c>
      <c r="AL155" s="2" t="s">
        <v>0</v>
      </c>
      <c r="AM155" s="2" t="s">
        <v>1</v>
      </c>
      <c r="AN155" s="2" t="s">
        <v>2</v>
      </c>
      <c r="AO155" s="2" t="s">
        <v>3</v>
      </c>
      <c r="AP155" s="2"/>
      <c r="AQ155" s="2" t="s">
        <v>4</v>
      </c>
      <c r="AR155" s="2" t="s">
        <v>5</v>
      </c>
      <c r="BL155" s="31"/>
      <c r="BM155" s="32"/>
      <c r="BN155" s="33"/>
      <c r="BO155" s="34"/>
      <c r="BP155" s="6"/>
      <c r="BQ155" s="6"/>
      <c r="BR155" s="7">
        <f>SUM(BR150:BR154)</f>
        <v>3080.3199999999997</v>
      </c>
      <c r="BS155" s="2"/>
    </row>
    <row r="156" spans="10:71" x14ac:dyDescent="0.25">
      <c r="J156" s="2" t="s">
        <v>74</v>
      </c>
      <c r="K156" s="2" t="s">
        <v>0</v>
      </c>
      <c r="L156" s="2" t="s">
        <v>1</v>
      </c>
      <c r="M156" s="2" t="s">
        <v>2</v>
      </c>
      <c r="N156" s="2" t="s">
        <v>3</v>
      </c>
      <c r="O156" s="2"/>
      <c r="P156" s="2" t="s">
        <v>4</v>
      </c>
      <c r="Q156" s="2" t="s">
        <v>5</v>
      </c>
      <c r="AB156" s="31"/>
      <c r="AC156" s="2"/>
      <c r="AD156" s="2"/>
      <c r="AE156" s="2"/>
      <c r="AF156" s="6"/>
      <c r="AG156" s="6"/>
      <c r="AH156" s="6"/>
      <c r="AI156" s="2"/>
      <c r="AK156" s="31" t="s">
        <v>652</v>
      </c>
      <c r="AL156" s="2" t="s">
        <v>653</v>
      </c>
      <c r="AM156" s="2" t="s">
        <v>20</v>
      </c>
      <c r="AN156" s="2">
        <v>31.92</v>
      </c>
      <c r="AO156" s="2">
        <v>25</v>
      </c>
      <c r="AP156" s="2" t="s">
        <v>9</v>
      </c>
      <c r="AQ156" s="2">
        <f>AN156*AO156</f>
        <v>798</v>
      </c>
      <c r="AR156" s="2"/>
    </row>
    <row r="157" spans="10:71" x14ac:dyDescent="0.25">
      <c r="J157" s="31" t="s">
        <v>856</v>
      </c>
      <c r="K157" s="2" t="s">
        <v>857</v>
      </c>
      <c r="L157" s="2"/>
      <c r="M157" s="2">
        <v>126</v>
      </c>
      <c r="N157" s="2">
        <v>60</v>
      </c>
      <c r="O157" s="2" t="s">
        <v>9</v>
      </c>
      <c r="P157" s="3">
        <f>M157*N157</f>
        <v>7560</v>
      </c>
      <c r="Q157" s="2"/>
      <c r="AB157" s="31"/>
      <c r="AC157" s="32" t="s">
        <v>10</v>
      </c>
      <c r="AD157" s="33"/>
      <c r="AE157" s="34"/>
      <c r="AF157" s="6"/>
      <c r="AG157" s="6"/>
      <c r="AH157" s="14">
        <f>SUM(AH153:AH156)</f>
        <v>3198</v>
      </c>
      <c r="AI157" s="2"/>
      <c r="AK157" s="31"/>
      <c r="AL157" s="2" t="s">
        <v>344</v>
      </c>
      <c r="AM157" s="2" t="s">
        <v>156</v>
      </c>
      <c r="AN157" s="2">
        <v>180</v>
      </c>
      <c r="AO157" s="2">
        <v>10</v>
      </c>
      <c r="AP157" s="2" t="s">
        <v>9</v>
      </c>
      <c r="AQ157" s="2">
        <f t="shared" ref="AQ157:AQ158" si="85">AN157*AO157</f>
        <v>1800</v>
      </c>
      <c r="AR157" s="2"/>
      <c r="BL157" s="2" t="s">
        <v>101</v>
      </c>
      <c r="BM157" s="2" t="s">
        <v>0</v>
      </c>
      <c r="BN157" s="2" t="s">
        <v>1</v>
      </c>
      <c r="BO157" s="2" t="s">
        <v>2</v>
      </c>
      <c r="BP157" s="2" t="s">
        <v>3</v>
      </c>
      <c r="BQ157" s="2"/>
      <c r="BR157" s="2" t="s">
        <v>4</v>
      </c>
      <c r="BS157" s="2" t="s">
        <v>5</v>
      </c>
    </row>
    <row r="158" spans="10:71" x14ac:dyDescent="0.25">
      <c r="J158" s="31"/>
      <c r="K158" s="2"/>
      <c r="L158" s="2"/>
      <c r="M158" s="2"/>
      <c r="N158" s="2"/>
      <c r="O158" s="2"/>
      <c r="P158" s="2"/>
      <c r="Q158" s="2"/>
      <c r="AK158" s="31"/>
      <c r="AL158" s="2" t="s">
        <v>264</v>
      </c>
      <c r="AM158" s="2"/>
      <c r="AN158" s="2">
        <v>45</v>
      </c>
      <c r="AO158" s="2">
        <v>4</v>
      </c>
      <c r="AP158" s="2" t="s">
        <v>9</v>
      </c>
      <c r="AQ158" s="2">
        <f t="shared" si="85"/>
        <v>180</v>
      </c>
      <c r="AR158" s="2"/>
      <c r="BL158" s="31" t="s">
        <v>870</v>
      </c>
      <c r="BM158" s="2" t="s">
        <v>250</v>
      </c>
      <c r="BN158" s="2">
        <v>15</v>
      </c>
      <c r="BO158" s="2">
        <v>10.8</v>
      </c>
      <c r="BP158" s="2">
        <v>15</v>
      </c>
      <c r="BQ158" s="2" t="s">
        <v>708</v>
      </c>
      <c r="BR158" s="2">
        <f>BO158*BP158</f>
        <v>162</v>
      </c>
      <c r="BS158" s="2"/>
    </row>
    <row r="159" spans="10:71" x14ac:dyDescent="0.25">
      <c r="J159" s="31"/>
      <c r="K159" s="2"/>
      <c r="L159" s="2"/>
      <c r="M159" s="2"/>
      <c r="N159" s="2"/>
      <c r="O159" s="2"/>
      <c r="P159" s="2"/>
      <c r="Q159" s="2"/>
      <c r="AB159" s="2" t="s">
        <v>90</v>
      </c>
      <c r="AC159" s="2" t="s">
        <v>0</v>
      </c>
      <c r="AD159" s="2" t="s">
        <v>1</v>
      </c>
      <c r="AE159" s="2" t="s">
        <v>2</v>
      </c>
      <c r="AF159" s="2" t="s">
        <v>3</v>
      </c>
      <c r="AG159" s="2"/>
      <c r="AH159" s="2" t="s">
        <v>4</v>
      </c>
      <c r="AI159" s="2" t="s">
        <v>5</v>
      </c>
      <c r="AK159" s="31"/>
      <c r="AL159" s="2"/>
      <c r="AM159" s="2"/>
      <c r="AN159" s="2"/>
      <c r="AO159" s="6"/>
      <c r="AP159" s="6"/>
      <c r="AQ159" s="6"/>
      <c r="AR159" s="2"/>
      <c r="BL159" s="31"/>
      <c r="BM159" s="2" t="s">
        <v>871</v>
      </c>
      <c r="BN159" s="2">
        <v>20</v>
      </c>
      <c r="BO159" s="2">
        <v>17.34</v>
      </c>
      <c r="BP159" s="2">
        <v>20</v>
      </c>
      <c r="BQ159" s="2" t="s">
        <v>708</v>
      </c>
      <c r="BR159" s="2">
        <f>BO159*BP159</f>
        <v>346.8</v>
      </c>
      <c r="BS159" s="2"/>
    </row>
    <row r="160" spans="10:71" x14ac:dyDescent="0.25">
      <c r="J160" s="31"/>
      <c r="K160" s="2"/>
      <c r="L160" s="2"/>
      <c r="M160" s="2"/>
      <c r="N160" s="6"/>
      <c r="O160" s="6"/>
      <c r="P160" s="6"/>
      <c r="Q160" s="2"/>
      <c r="AB160" s="31" t="s">
        <v>674</v>
      </c>
      <c r="AC160" s="2" t="s">
        <v>675</v>
      </c>
      <c r="AD160" s="2" t="s">
        <v>676</v>
      </c>
      <c r="AE160" s="2">
        <v>60</v>
      </c>
      <c r="AF160" s="2">
        <v>2.4500000000000002</v>
      </c>
      <c r="AG160" s="2" t="s">
        <v>9</v>
      </c>
      <c r="AH160" s="2">
        <f>AE160*AF160</f>
        <v>147</v>
      </c>
      <c r="AI160" s="2"/>
      <c r="AK160" s="31"/>
      <c r="AL160" s="32" t="s">
        <v>10</v>
      </c>
      <c r="AM160" s="33"/>
      <c r="AN160" s="34"/>
      <c r="AO160" s="6"/>
      <c r="AP160" s="6"/>
      <c r="AQ160" s="14">
        <f>SUM(AQ156:AQ159)</f>
        <v>2778</v>
      </c>
      <c r="AR160" s="2"/>
      <c r="BL160" s="31"/>
      <c r="BM160" s="2"/>
      <c r="BN160" s="2"/>
      <c r="BO160" s="2"/>
      <c r="BP160" s="2"/>
      <c r="BQ160" s="2"/>
      <c r="BR160" s="2"/>
      <c r="BS160" s="2"/>
    </row>
    <row r="161" spans="10:71" x14ac:dyDescent="0.25">
      <c r="J161" s="31"/>
      <c r="K161" s="2"/>
      <c r="L161" s="2"/>
      <c r="M161" s="2"/>
      <c r="N161" s="6"/>
      <c r="O161" s="6"/>
      <c r="P161" s="6"/>
      <c r="Q161" s="2"/>
      <c r="AB161" s="31"/>
      <c r="AC161" s="2" t="s">
        <v>677</v>
      </c>
      <c r="AD161" s="2" t="s">
        <v>635</v>
      </c>
      <c r="AE161" s="2">
        <v>96</v>
      </c>
      <c r="AF161" s="2">
        <v>35</v>
      </c>
      <c r="AG161" s="2" t="s">
        <v>9</v>
      </c>
      <c r="AH161" s="2">
        <f t="shared" ref="AH161" si="86">AE161*AF161</f>
        <v>3360</v>
      </c>
      <c r="AI161" s="2"/>
      <c r="BL161" s="31"/>
      <c r="BM161" s="32"/>
      <c r="BN161" s="33"/>
      <c r="BO161" s="34"/>
      <c r="BP161" s="6"/>
      <c r="BQ161" s="6"/>
      <c r="BR161" s="7">
        <f>SUM(BR158:BR160)</f>
        <v>508.8</v>
      </c>
      <c r="BS161" s="2"/>
    </row>
    <row r="162" spans="10:71" x14ac:dyDescent="0.25">
      <c r="J162" s="31"/>
      <c r="K162" s="32" t="s">
        <v>10</v>
      </c>
      <c r="L162" s="33"/>
      <c r="M162" s="34"/>
      <c r="N162" s="6"/>
      <c r="O162" s="6"/>
      <c r="P162" s="7">
        <f>SUM(P157:P161)</f>
        <v>7560</v>
      </c>
      <c r="Q162" s="2"/>
      <c r="AB162" s="31"/>
      <c r="AC162" s="9" t="s">
        <v>541</v>
      </c>
      <c r="AD162" s="2"/>
      <c r="AE162" s="2">
        <v>99</v>
      </c>
      <c r="AF162" s="2">
        <v>8</v>
      </c>
      <c r="AG162" s="2" t="s">
        <v>9</v>
      </c>
      <c r="AH162" s="2">
        <f>AE162*AF162</f>
        <v>792</v>
      </c>
      <c r="AI162" s="2"/>
      <c r="AK162" s="2" t="s">
        <v>90</v>
      </c>
      <c r="AL162" s="2" t="s">
        <v>0</v>
      </c>
      <c r="AM162" s="2" t="s">
        <v>1</v>
      </c>
      <c r="AN162" s="2" t="s">
        <v>2</v>
      </c>
      <c r="AO162" s="2" t="s">
        <v>3</v>
      </c>
      <c r="AP162" s="2"/>
      <c r="AQ162" s="2" t="s">
        <v>4</v>
      </c>
      <c r="AR162" s="2" t="s">
        <v>5</v>
      </c>
    </row>
    <row r="163" spans="10:71" x14ac:dyDescent="0.25">
      <c r="AB163" s="31"/>
      <c r="AC163" s="2"/>
      <c r="AD163" s="2"/>
      <c r="AE163" s="2"/>
      <c r="AF163" s="6"/>
      <c r="AG163" s="6"/>
      <c r="AH163" s="6"/>
      <c r="AI163" s="2"/>
      <c r="AK163" s="31" t="s">
        <v>655</v>
      </c>
      <c r="AL163" s="2" t="s">
        <v>182</v>
      </c>
      <c r="AM163" s="2" t="s">
        <v>183</v>
      </c>
      <c r="AN163" s="2">
        <v>58.5</v>
      </c>
      <c r="AO163" s="2">
        <v>1</v>
      </c>
      <c r="AP163" s="2" t="s">
        <v>9</v>
      </c>
      <c r="AQ163" s="2">
        <f>AN163*AO163</f>
        <v>58.5</v>
      </c>
      <c r="AR163" s="2"/>
      <c r="BL163" s="2" t="s">
        <v>101</v>
      </c>
      <c r="BM163" s="2" t="s">
        <v>0</v>
      </c>
      <c r="BN163" s="2" t="s">
        <v>1</v>
      </c>
      <c r="BO163" s="2" t="s">
        <v>2</v>
      </c>
      <c r="BP163" s="2" t="s">
        <v>3</v>
      </c>
      <c r="BQ163" s="2"/>
      <c r="BR163" s="2" t="s">
        <v>4</v>
      </c>
      <c r="BS163" s="2" t="s">
        <v>5</v>
      </c>
    </row>
    <row r="164" spans="10:71" x14ac:dyDescent="0.25">
      <c r="J164" s="2" t="s">
        <v>74</v>
      </c>
      <c r="K164" s="2" t="s">
        <v>0</v>
      </c>
      <c r="L164" s="2" t="s">
        <v>1</v>
      </c>
      <c r="M164" s="2" t="s">
        <v>2</v>
      </c>
      <c r="N164" s="2" t="s">
        <v>3</v>
      </c>
      <c r="O164" s="2"/>
      <c r="P164" s="2" t="s">
        <v>4</v>
      </c>
      <c r="Q164" s="2" t="s">
        <v>5</v>
      </c>
      <c r="AB164" s="31"/>
      <c r="AC164" s="32" t="s">
        <v>10</v>
      </c>
      <c r="AD164" s="33"/>
      <c r="AE164" s="34"/>
      <c r="AF164" s="6"/>
      <c r="AG164" s="6"/>
      <c r="AH164" s="14">
        <f>SUM(AH160:AH163)</f>
        <v>4299</v>
      </c>
      <c r="AI164" s="2"/>
      <c r="AK164" s="31"/>
      <c r="AL164" s="2" t="s">
        <v>457</v>
      </c>
      <c r="AM164" s="2" t="s">
        <v>20</v>
      </c>
      <c r="AN164" s="2">
        <v>60</v>
      </c>
      <c r="AO164" s="2">
        <v>25</v>
      </c>
      <c r="AP164" s="2" t="s">
        <v>9</v>
      </c>
      <c r="AQ164" s="2">
        <f t="shared" ref="AQ164:AQ167" si="87">AN164*AO164</f>
        <v>1500</v>
      </c>
      <c r="AR164" s="2"/>
      <c r="BL164" s="31" t="s">
        <v>888</v>
      </c>
      <c r="BM164" s="2" t="s">
        <v>889</v>
      </c>
      <c r="BN164" s="2">
        <v>20</v>
      </c>
      <c r="BO164" s="2">
        <v>31.62</v>
      </c>
      <c r="BP164" s="2">
        <v>20</v>
      </c>
      <c r="BQ164" s="2" t="s">
        <v>708</v>
      </c>
      <c r="BR164" s="2">
        <f>BO164*BP164</f>
        <v>632.4</v>
      </c>
      <c r="BS164" s="2"/>
    </row>
    <row r="165" spans="10:71" x14ac:dyDescent="0.25">
      <c r="J165" s="31" t="s">
        <v>890</v>
      </c>
      <c r="K165" s="2" t="s">
        <v>36</v>
      </c>
      <c r="L165" s="2">
        <v>30</v>
      </c>
      <c r="M165" s="2">
        <v>141</v>
      </c>
      <c r="N165" s="2">
        <v>30</v>
      </c>
      <c r="O165" s="2" t="s">
        <v>708</v>
      </c>
      <c r="P165" s="3">
        <f>M165*N165</f>
        <v>4230</v>
      </c>
      <c r="Q165" s="2"/>
      <c r="AK165" s="31"/>
      <c r="AL165" s="2" t="s">
        <v>84</v>
      </c>
      <c r="AM165" s="2" t="s">
        <v>85</v>
      </c>
      <c r="AN165" s="2">
        <v>85</v>
      </c>
      <c r="AO165" s="2">
        <v>4</v>
      </c>
      <c r="AP165" s="2" t="s">
        <v>9</v>
      </c>
      <c r="AQ165" s="2">
        <f t="shared" si="87"/>
        <v>340</v>
      </c>
      <c r="AR165" s="2"/>
      <c r="BL165" s="31"/>
      <c r="BM165" s="2" t="s">
        <v>821</v>
      </c>
      <c r="BN165" s="2">
        <v>15</v>
      </c>
      <c r="BO165" s="2">
        <v>141</v>
      </c>
      <c r="BP165" s="2">
        <v>15</v>
      </c>
      <c r="BQ165" s="2" t="s">
        <v>708</v>
      </c>
      <c r="BR165" s="2">
        <f>BO165*BP165</f>
        <v>2115</v>
      </c>
      <c r="BS165" s="2"/>
    </row>
    <row r="166" spans="10:71" x14ac:dyDescent="0.25">
      <c r="J166" s="31"/>
      <c r="K166" s="2" t="s">
        <v>171</v>
      </c>
      <c r="L166" s="2">
        <v>20</v>
      </c>
      <c r="M166" s="2">
        <v>177</v>
      </c>
      <c r="N166" s="2">
        <v>20</v>
      </c>
      <c r="O166" s="2" t="s">
        <v>708</v>
      </c>
      <c r="P166" s="3">
        <f t="shared" ref="P166:P168" si="88">M166*N166</f>
        <v>3540</v>
      </c>
      <c r="Q166" s="2"/>
      <c r="AB166" s="2" t="s">
        <v>11</v>
      </c>
      <c r="AC166" s="2" t="s">
        <v>0</v>
      </c>
      <c r="AD166" s="2" t="s">
        <v>1</v>
      </c>
      <c r="AE166" s="2" t="s">
        <v>2</v>
      </c>
      <c r="AF166" s="2" t="s">
        <v>3</v>
      </c>
      <c r="AG166" s="2"/>
      <c r="AH166" s="2" t="s">
        <v>4</v>
      </c>
      <c r="AI166" s="2" t="s">
        <v>5</v>
      </c>
      <c r="AK166" s="31"/>
      <c r="AL166" s="2" t="s">
        <v>22</v>
      </c>
      <c r="AM166" s="2" t="s">
        <v>191</v>
      </c>
      <c r="AN166" s="2">
        <v>105</v>
      </c>
      <c r="AO166" s="6">
        <v>8</v>
      </c>
      <c r="AP166" s="6" t="s">
        <v>9</v>
      </c>
      <c r="AQ166" s="2">
        <f t="shared" si="87"/>
        <v>840</v>
      </c>
      <c r="AR166" s="2"/>
      <c r="BL166" s="31"/>
      <c r="BM166" s="2"/>
      <c r="BN166" s="2"/>
      <c r="BO166" s="2"/>
      <c r="BP166" s="2"/>
      <c r="BQ166" s="2"/>
      <c r="BR166" s="2">
        <f>BO166*BP166</f>
        <v>0</v>
      </c>
      <c r="BS166" s="2" t="s">
        <v>600</v>
      </c>
    </row>
    <row r="167" spans="10:71" x14ac:dyDescent="0.25">
      <c r="J167" s="31"/>
      <c r="K167" s="2" t="s">
        <v>671</v>
      </c>
      <c r="L167" s="2">
        <v>1</v>
      </c>
      <c r="M167" s="2">
        <v>20.399999999999999</v>
      </c>
      <c r="N167" s="2">
        <v>1</v>
      </c>
      <c r="O167" s="2" t="s">
        <v>708</v>
      </c>
      <c r="P167" s="3">
        <f t="shared" si="88"/>
        <v>20.399999999999999</v>
      </c>
      <c r="Q167" s="2"/>
      <c r="AB167" s="31" t="s">
        <v>683</v>
      </c>
      <c r="AC167" s="2" t="s">
        <v>322</v>
      </c>
      <c r="AD167" s="2" t="s">
        <v>418</v>
      </c>
      <c r="AE167" s="2">
        <v>150</v>
      </c>
      <c r="AF167" s="2">
        <v>6</v>
      </c>
      <c r="AG167" s="2" t="s">
        <v>324</v>
      </c>
      <c r="AH167" s="2">
        <f>AE167*AF167</f>
        <v>900</v>
      </c>
      <c r="AI167" s="2"/>
      <c r="AK167" s="31"/>
      <c r="AL167" s="2" t="s">
        <v>38</v>
      </c>
      <c r="AM167" s="2" t="s">
        <v>39</v>
      </c>
      <c r="AN167" s="2">
        <v>10.8</v>
      </c>
      <c r="AO167" s="6">
        <v>2</v>
      </c>
      <c r="AP167" s="6" t="s">
        <v>9</v>
      </c>
      <c r="AQ167" s="2">
        <f t="shared" si="87"/>
        <v>21.6</v>
      </c>
      <c r="AR167" s="2"/>
      <c r="BL167" s="31"/>
      <c r="BM167" s="2"/>
      <c r="BN167" s="2"/>
      <c r="BO167" s="2"/>
      <c r="BP167" s="2"/>
      <c r="BQ167" s="2"/>
      <c r="BR167" s="2"/>
      <c r="BS167" s="2"/>
    </row>
    <row r="168" spans="10:71" x14ac:dyDescent="0.25">
      <c r="J168" s="31"/>
      <c r="K168" s="2" t="s">
        <v>25</v>
      </c>
      <c r="L168" s="2">
        <v>6</v>
      </c>
      <c r="M168" s="2">
        <v>22.44</v>
      </c>
      <c r="N168" s="6">
        <v>6</v>
      </c>
      <c r="O168" s="6" t="s">
        <v>708</v>
      </c>
      <c r="P168" s="3">
        <f t="shared" si="88"/>
        <v>134.64000000000001</v>
      </c>
      <c r="Q168" s="2"/>
      <c r="AB168" s="31"/>
      <c r="AC168" s="2" t="s">
        <v>58</v>
      </c>
      <c r="AD168" s="2" t="s">
        <v>37</v>
      </c>
      <c r="AE168" s="2">
        <v>93</v>
      </c>
      <c r="AF168" s="2">
        <v>15</v>
      </c>
      <c r="AG168" s="2" t="s">
        <v>9</v>
      </c>
      <c r="AH168" s="2">
        <f>AE168*AF168</f>
        <v>1395</v>
      </c>
      <c r="AI168" s="2"/>
      <c r="AK168" s="31"/>
      <c r="AL168" s="32" t="s">
        <v>10</v>
      </c>
      <c r="AM168" s="33"/>
      <c r="AN168" s="34"/>
      <c r="AO168" s="6"/>
      <c r="AP168" s="6"/>
      <c r="AQ168" s="14">
        <f>SUM(AQ163:AQ167)</f>
        <v>2760.1</v>
      </c>
      <c r="AR168" s="2"/>
      <c r="BL168" s="31"/>
      <c r="BM168" s="32" t="s">
        <v>10</v>
      </c>
      <c r="BN168" s="33"/>
      <c r="BO168" s="34"/>
      <c r="BP168" s="6"/>
      <c r="BQ168" s="6"/>
      <c r="BR168" s="7">
        <f>SUM(BR164:BR167)</f>
        <v>2747.4</v>
      </c>
      <c r="BS168" s="2"/>
    </row>
    <row r="169" spans="10:71" x14ac:dyDescent="0.25">
      <c r="J169" s="31"/>
      <c r="K169" s="32" t="s">
        <v>10</v>
      </c>
      <c r="L169" s="33"/>
      <c r="M169" s="34"/>
      <c r="N169" s="6"/>
      <c r="O169" s="6"/>
      <c r="P169" s="7">
        <f>SUM(P165:P168)</f>
        <v>7925.04</v>
      </c>
      <c r="Q169" s="2"/>
      <c r="AB169" s="31"/>
      <c r="AC169" s="2"/>
      <c r="AD169" s="2"/>
      <c r="AE169" s="2"/>
      <c r="AF169" s="2"/>
      <c r="AG169" s="2"/>
      <c r="AH169" s="2"/>
      <c r="AI169" s="2"/>
    </row>
    <row r="170" spans="10:71" x14ac:dyDescent="0.25">
      <c r="AB170" s="31"/>
      <c r="AC170" s="2"/>
      <c r="AD170" s="2"/>
      <c r="AE170" s="2"/>
      <c r="AF170" s="2"/>
      <c r="AG170" s="2"/>
      <c r="AH170" s="2"/>
      <c r="AI170" s="2"/>
      <c r="AK170" s="2" t="s">
        <v>90</v>
      </c>
      <c r="AL170" s="2" t="s">
        <v>0</v>
      </c>
      <c r="AM170" s="2" t="s">
        <v>1</v>
      </c>
      <c r="AN170" s="2" t="s">
        <v>2</v>
      </c>
      <c r="AO170" s="2" t="s">
        <v>3</v>
      </c>
      <c r="AP170" s="2"/>
      <c r="AQ170" s="2" t="s">
        <v>4</v>
      </c>
      <c r="AR170" s="2" t="s">
        <v>5</v>
      </c>
      <c r="BL170" s="2" t="s">
        <v>101</v>
      </c>
      <c r="BM170" s="2" t="s">
        <v>0</v>
      </c>
      <c r="BN170" s="2" t="s">
        <v>1</v>
      </c>
      <c r="BO170" s="2" t="s">
        <v>2</v>
      </c>
      <c r="BP170" s="2" t="s">
        <v>3</v>
      </c>
      <c r="BQ170" s="2"/>
      <c r="BR170" s="2" t="s">
        <v>4</v>
      </c>
      <c r="BS170" s="2" t="s">
        <v>5</v>
      </c>
    </row>
    <row r="171" spans="10:71" x14ac:dyDescent="0.25">
      <c r="J171" s="2" t="s">
        <v>74</v>
      </c>
      <c r="K171" s="2" t="s">
        <v>0</v>
      </c>
      <c r="L171" s="2" t="s">
        <v>1</v>
      </c>
      <c r="M171" s="2" t="s">
        <v>2</v>
      </c>
      <c r="N171" s="2" t="s">
        <v>3</v>
      </c>
      <c r="O171" s="2"/>
      <c r="P171" s="2" t="s">
        <v>4</v>
      </c>
      <c r="Q171" s="2" t="s">
        <v>5</v>
      </c>
      <c r="AB171" s="31"/>
      <c r="AC171" s="2"/>
      <c r="AD171" s="2"/>
      <c r="AE171" s="2"/>
      <c r="AF171" s="2"/>
      <c r="AG171" s="2"/>
      <c r="AH171" s="2"/>
      <c r="AI171" s="2"/>
      <c r="AK171" s="31" t="s">
        <v>672</v>
      </c>
      <c r="AL171" s="2" t="s">
        <v>33</v>
      </c>
      <c r="AM171" s="2" t="s">
        <v>34</v>
      </c>
      <c r="AN171" s="2">
        <v>37.74</v>
      </c>
      <c r="AO171" s="2">
        <v>50</v>
      </c>
      <c r="AP171" s="2" t="s">
        <v>9</v>
      </c>
      <c r="AQ171" s="2">
        <f>AN171*AO171</f>
        <v>1887</v>
      </c>
      <c r="AR171" s="2" t="s">
        <v>392</v>
      </c>
      <c r="BL171" s="31" t="s">
        <v>893</v>
      </c>
      <c r="BM171" s="2" t="s">
        <v>94</v>
      </c>
      <c r="BN171" s="2">
        <v>15</v>
      </c>
      <c r="BO171" s="2">
        <v>31.5</v>
      </c>
      <c r="BP171" s="2">
        <v>15</v>
      </c>
      <c r="BQ171" s="2" t="s">
        <v>9</v>
      </c>
      <c r="BR171" s="2">
        <f>BO171*BP171</f>
        <v>472.5</v>
      </c>
      <c r="BS171" s="2"/>
    </row>
    <row r="172" spans="10:71" x14ac:dyDescent="0.25">
      <c r="J172" s="31" t="s">
        <v>894</v>
      </c>
      <c r="K172" s="2" t="s">
        <v>830</v>
      </c>
      <c r="L172" s="2">
        <v>60</v>
      </c>
      <c r="M172" s="2">
        <v>144</v>
      </c>
      <c r="N172" s="2">
        <v>60</v>
      </c>
      <c r="O172" s="2" t="s">
        <v>9</v>
      </c>
      <c r="P172" s="3">
        <f>M172*N172</f>
        <v>8640</v>
      </c>
      <c r="Q172" s="2"/>
      <c r="AB172" s="31"/>
      <c r="AC172" s="32" t="s">
        <v>10</v>
      </c>
      <c r="AD172" s="33"/>
      <c r="AE172" s="34"/>
      <c r="AF172" s="6"/>
      <c r="AG172" s="6"/>
      <c r="AH172" s="14">
        <f>SUM(AH167:AH171)</f>
        <v>2295</v>
      </c>
      <c r="AI172" s="2"/>
      <c r="AK172" s="31"/>
      <c r="AL172" s="2" t="s">
        <v>266</v>
      </c>
      <c r="AM172" s="2" t="s">
        <v>288</v>
      </c>
      <c r="AN172" s="2">
        <v>14.82</v>
      </c>
      <c r="AO172" s="2">
        <v>3</v>
      </c>
      <c r="AP172" s="2" t="s">
        <v>9</v>
      </c>
      <c r="AQ172" s="2">
        <f t="shared" ref="AQ172:AQ173" si="89">AN172*AO172</f>
        <v>44.46</v>
      </c>
      <c r="AR172" s="2"/>
      <c r="BL172" s="31"/>
      <c r="BM172" s="2" t="s">
        <v>322</v>
      </c>
      <c r="BN172" s="2">
        <v>4</v>
      </c>
      <c r="BO172" s="2">
        <v>150</v>
      </c>
      <c r="BP172" s="2">
        <v>4</v>
      </c>
      <c r="BQ172" s="2" t="s">
        <v>324</v>
      </c>
      <c r="BR172" s="2">
        <f>BO172*BP172</f>
        <v>600</v>
      </c>
      <c r="BS172" s="2"/>
    </row>
    <row r="173" spans="10:71" x14ac:dyDescent="0.25">
      <c r="J173" s="31"/>
      <c r="K173" s="2" t="s">
        <v>832</v>
      </c>
      <c r="L173" s="2">
        <v>2</v>
      </c>
      <c r="M173" s="2">
        <v>210</v>
      </c>
      <c r="N173" s="2">
        <v>2</v>
      </c>
      <c r="O173" s="2" t="s">
        <v>144</v>
      </c>
      <c r="P173" s="3">
        <f t="shared" ref="P173:P175" si="90">M173*N173</f>
        <v>420</v>
      </c>
      <c r="Q173" s="2"/>
      <c r="AK173" s="31"/>
      <c r="AL173" s="2" t="s">
        <v>673</v>
      </c>
      <c r="AM173" s="2" t="s">
        <v>156</v>
      </c>
      <c r="AN173" s="2">
        <v>93</v>
      </c>
      <c r="AO173" s="2">
        <v>10</v>
      </c>
      <c r="AP173" s="2" t="s">
        <v>9</v>
      </c>
      <c r="AQ173" s="2">
        <f t="shared" si="89"/>
        <v>930</v>
      </c>
      <c r="AR173" s="2"/>
      <c r="BL173" s="31"/>
      <c r="BM173" s="2"/>
      <c r="BN173" s="2"/>
      <c r="BO173" s="2"/>
      <c r="BP173" s="2"/>
      <c r="BQ173" s="2"/>
      <c r="BR173" s="2"/>
      <c r="BS173" s="2"/>
    </row>
    <row r="174" spans="10:71" x14ac:dyDescent="0.25">
      <c r="J174" s="31"/>
      <c r="K174" s="2" t="s">
        <v>831</v>
      </c>
      <c r="L174" s="2">
        <v>2</v>
      </c>
      <c r="M174" s="2">
        <v>587</v>
      </c>
      <c r="N174" s="2">
        <v>2</v>
      </c>
      <c r="O174" s="2" t="s">
        <v>144</v>
      </c>
      <c r="P174" s="3">
        <f t="shared" si="90"/>
        <v>1174</v>
      </c>
      <c r="Q174" s="2"/>
      <c r="AB174" s="2" t="s">
        <v>11</v>
      </c>
      <c r="AC174" s="2" t="s">
        <v>0</v>
      </c>
      <c r="AD174" s="2" t="s">
        <v>1</v>
      </c>
      <c r="AE174" s="2" t="s">
        <v>2</v>
      </c>
      <c r="AF174" s="2" t="s">
        <v>3</v>
      </c>
      <c r="AG174" s="2"/>
      <c r="AH174" s="2" t="s">
        <v>4</v>
      </c>
      <c r="AI174" s="2" t="s">
        <v>5</v>
      </c>
      <c r="AK174" s="31"/>
      <c r="AL174" s="2"/>
      <c r="AM174" s="2"/>
      <c r="AN174" s="2"/>
      <c r="AO174" s="6"/>
      <c r="AP174" s="6"/>
      <c r="AQ174" s="6"/>
      <c r="AR174" s="2"/>
      <c r="BL174" s="31"/>
      <c r="BM174" s="31" t="s">
        <v>10</v>
      </c>
      <c r="BN174" s="31"/>
      <c r="BO174" s="31"/>
      <c r="BP174" s="2"/>
      <c r="BQ174" s="2"/>
      <c r="BR174" s="46">
        <f>SUM(BR171:BR173)</f>
        <v>1072.5</v>
      </c>
      <c r="BS174" s="2"/>
    </row>
    <row r="175" spans="10:71" x14ac:dyDescent="0.25">
      <c r="J175" s="31"/>
      <c r="K175" s="2" t="s">
        <v>25</v>
      </c>
      <c r="L175" s="2">
        <v>8</v>
      </c>
      <c r="M175" s="2">
        <v>25.5</v>
      </c>
      <c r="N175" s="6">
        <v>8</v>
      </c>
      <c r="O175" s="6" t="s">
        <v>708</v>
      </c>
      <c r="P175" s="3">
        <f t="shared" si="90"/>
        <v>204</v>
      </c>
      <c r="Q175" s="2"/>
      <c r="AB175" s="31" t="s">
        <v>691</v>
      </c>
      <c r="AC175" s="2" t="s">
        <v>98</v>
      </c>
      <c r="AD175" s="2" t="s">
        <v>99</v>
      </c>
      <c r="AE175" s="2">
        <v>38.4</v>
      </c>
      <c r="AF175" s="2">
        <v>20</v>
      </c>
      <c r="AG175" s="2" t="s">
        <v>9</v>
      </c>
      <c r="AH175" s="2">
        <f>AE175*AF175</f>
        <v>768</v>
      </c>
      <c r="AI175" s="2"/>
      <c r="AK175" s="31"/>
      <c r="AL175" s="32" t="s">
        <v>10</v>
      </c>
      <c r="AM175" s="33"/>
      <c r="AN175" s="34"/>
      <c r="AO175" s="6"/>
      <c r="AP175" s="6"/>
      <c r="AQ175" s="14">
        <f>SUM(AQ171:AQ174)</f>
        <v>2861.46</v>
      </c>
      <c r="AR175" s="2"/>
    </row>
    <row r="176" spans="10:71" x14ac:dyDescent="0.25">
      <c r="J176" s="31"/>
      <c r="K176" s="32" t="s">
        <v>10</v>
      </c>
      <c r="L176" s="33"/>
      <c r="M176" s="34"/>
      <c r="N176" s="6"/>
      <c r="O176" s="6"/>
      <c r="P176" s="7">
        <f>SUM(P172:P175)</f>
        <v>10438</v>
      </c>
      <c r="Q176" s="2"/>
      <c r="AB176" s="31"/>
      <c r="AC176" s="2" t="s">
        <v>266</v>
      </c>
      <c r="AD176" s="2" t="s">
        <v>271</v>
      </c>
      <c r="AE176" s="2">
        <v>14.82</v>
      </c>
      <c r="AF176" s="2">
        <v>5</v>
      </c>
      <c r="AG176" s="2" t="s">
        <v>9</v>
      </c>
      <c r="AH176" s="2">
        <f t="shared" ref="AH176:AH178" si="91">AE176*AF176</f>
        <v>74.099999999999994</v>
      </c>
      <c r="AI176" s="2"/>
      <c r="BL176" s="2" t="s">
        <v>101</v>
      </c>
      <c r="BM176" s="2" t="s">
        <v>0</v>
      </c>
      <c r="BN176" s="2" t="s">
        <v>1</v>
      </c>
      <c r="BO176" s="2" t="s">
        <v>2</v>
      </c>
      <c r="BP176" s="2" t="s">
        <v>3</v>
      </c>
      <c r="BQ176" s="2"/>
      <c r="BR176" s="2" t="s">
        <v>4</v>
      </c>
      <c r="BS176" s="2" t="s">
        <v>5</v>
      </c>
    </row>
    <row r="177" spans="10:71" x14ac:dyDescent="0.25">
      <c r="AB177" s="31"/>
      <c r="AC177" s="2" t="s">
        <v>264</v>
      </c>
      <c r="AD177" s="2" t="s">
        <v>191</v>
      </c>
      <c r="AE177" s="2">
        <v>45</v>
      </c>
      <c r="AF177" s="2">
        <v>8</v>
      </c>
      <c r="AG177" s="2" t="s">
        <v>9</v>
      </c>
      <c r="AH177" s="2">
        <f t="shared" si="91"/>
        <v>360</v>
      </c>
      <c r="AI177" s="2"/>
      <c r="AK177" s="2" t="s">
        <v>90</v>
      </c>
      <c r="AL177" s="2" t="s">
        <v>0</v>
      </c>
      <c r="AM177" s="2" t="s">
        <v>1</v>
      </c>
      <c r="AN177" s="2" t="s">
        <v>2</v>
      </c>
      <c r="AO177" s="2" t="s">
        <v>3</v>
      </c>
      <c r="AP177" s="2"/>
      <c r="AQ177" s="2" t="s">
        <v>4</v>
      </c>
      <c r="AR177" s="2" t="s">
        <v>5</v>
      </c>
      <c r="BL177" s="31" t="s">
        <v>905</v>
      </c>
      <c r="BM177" s="2" t="s">
        <v>470</v>
      </c>
      <c r="BN177" s="2"/>
      <c r="BO177" s="2"/>
      <c r="BP177" s="2"/>
      <c r="BQ177" s="2"/>
      <c r="BR177" s="2">
        <f>BO177*BP177</f>
        <v>0</v>
      </c>
      <c r="BS177" s="2" t="s">
        <v>600</v>
      </c>
    </row>
    <row r="178" spans="10:71" x14ac:dyDescent="0.25">
      <c r="J178" s="2" t="s">
        <v>74</v>
      </c>
      <c r="K178" s="2" t="s">
        <v>0</v>
      </c>
      <c r="L178" s="2" t="s">
        <v>1</v>
      </c>
      <c r="M178" s="2" t="s">
        <v>2</v>
      </c>
      <c r="N178" s="2" t="s">
        <v>3</v>
      </c>
      <c r="O178" s="2"/>
      <c r="P178" s="2" t="s">
        <v>4</v>
      </c>
      <c r="Q178" s="2" t="s">
        <v>5</v>
      </c>
      <c r="AB178" s="31"/>
      <c r="AC178" s="2" t="s">
        <v>349</v>
      </c>
      <c r="AD178" s="2" t="s">
        <v>191</v>
      </c>
      <c r="AE178" s="2">
        <v>82.5</v>
      </c>
      <c r="AF178" s="2">
        <v>8</v>
      </c>
      <c r="AG178" s="2" t="s">
        <v>9</v>
      </c>
      <c r="AH178" s="2">
        <f t="shared" si="91"/>
        <v>660</v>
      </c>
      <c r="AI178" s="2"/>
      <c r="AK178" s="31" t="s">
        <v>684</v>
      </c>
      <c r="AL178" s="2" t="s">
        <v>343</v>
      </c>
      <c r="AM178" s="2" t="s">
        <v>80</v>
      </c>
      <c r="AN178" s="2">
        <v>48</v>
      </c>
      <c r="AO178" s="2">
        <v>30</v>
      </c>
      <c r="AP178" s="2" t="s">
        <v>9</v>
      </c>
      <c r="AQ178" s="2">
        <f>AN178*AO178</f>
        <v>1440</v>
      </c>
      <c r="AR178" s="2"/>
      <c r="BL178" s="31"/>
      <c r="BM178" s="2" t="s">
        <v>906</v>
      </c>
      <c r="BN178" s="2">
        <v>10</v>
      </c>
      <c r="BO178" s="2">
        <v>250</v>
      </c>
      <c r="BP178" s="2">
        <v>10</v>
      </c>
      <c r="BQ178" s="2" t="s">
        <v>708</v>
      </c>
      <c r="BR178" s="2">
        <f>BO178*BP178</f>
        <v>2500</v>
      </c>
      <c r="BS178" s="2"/>
    </row>
    <row r="179" spans="10:71" x14ac:dyDescent="0.25">
      <c r="J179" s="31" t="s">
        <v>914</v>
      </c>
      <c r="K179" s="2" t="s">
        <v>36</v>
      </c>
      <c r="L179" s="2">
        <v>30</v>
      </c>
      <c r="M179" s="2">
        <v>141</v>
      </c>
      <c r="N179" s="2">
        <v>30</v>
      </c>
      <c r="O179" s="2" t="s">
        <v>708</v>
      </c>
      <c r="P179" s="3">
        <f>M179*N179</f>
        <v>4230</v>
      </c>
      <c r="Q179" s="2"/>
      <c r="AB179" s="31"/>
      <c r="AC179" s="2"/>
      <c r="AD179" s="2"/>
      <c r="AE179" s="2"/>
      <c r="AF179" s="2"/>
      <c r="AG179" s="2"/>
      <c r="AH179" s="2"/>
      <c r="AI179" s="2"/>
      <c r="AK179" s="31"/>
      <c r="AL179" s="2" t="s">
        <v>344</v>
      </c>
      <c r="AM179" s="2" t="s">
        <v>191</v>
      </c>
      <c r="AN179" s="2">
        <v>180</v>
      </c>
      <c r="AO179" s="2">
        <v>8</v>
      </c>
      <c r="AP179" s="2" t="s">
        <v>9</v>
      </c>
      <c r="AQ179" s="2">
        <f t="shared" ref="AQ179:AQ180" si="92">AN179*AO179</f>
        <v>1440</v>
      </c>
      <c r="AR179" s="2"/>
      <c r="BL179" s="31"/>
      <c r="BM179" s="2"/>
      <c r="BN179" s="2"/>
      <c r="BO179" s="2"/>
      <c r="BP179" s="2"/>
      <c r="BQ179" s="2"/>
      <c r="BR179" s="2"/>
      <c r="BS179" s="2"/>
    </row>
    <row r="180" spans="10:71" x14ac:dyDescent="0.25">
      <c r="J180" s="31"/>
      <c r="K180" s="2" t="s">
        <v>171</v>
      </c>
      <c r="L180" s="2">
        <v>20</v>
      </c>
      <c r="M180" s="2">
        <v>180</v>
      </c>
      <c r="N180" s="2">
        <v>20</v>
      </c>
      <c r="O180" s="2" t="s">
        <v>708</v>
      </c>
      <c r="P180" s="3">
        <f t="shared" ref="P180:P185" si="93">M180*N180</f>
        <v>3600</v>
      </c>
      <c r="Q180" s="2"/>
      <c r="AB180" s="31"/>
      <c r="AC180" s="32" t="s">
        <v>10</v>
      </c>
      <c r="AD180" s="33"/>
      <c r="AE180" s="34"/>
      <c r="AF180" s="6"/>
      <c r="AG180" s="6"/>
      <c r="AH180" s="7">
        <f>SUM(AH175:AH179)</f>
        <v>1862.1</v>
      </c>
      <c r="AI180" s="2"/>
      <c r="AK180" s="31"/>
      <c r="AL180" s="2" t="s">
        <v>636</v>
      </c>
      <c r="AM180" s="2" t="s">
        <v>271</v>
      </c>
      <c r="AN180" s="2">
        <v>5</v>
      </c>
      <c r="AO180" s="2">
        <v>165</v>
      </c>
      <c r="AP180" s="2" t="s">
        <v>9</v>
      </c>
      <c r="AQ180" s="2">
        <f t="shared" si="92"/>
        <v>825</v>
      </c>
      <c r="AR180" s="2"/>
      <c r="BL180" s="31"/>
      <c r="BM180" s="32"/>
      <c r="BN180" s="33"/>
      <c r="BO180" s="34"/>
      <c r="BP180" s="6"/>
      <c r="BQ180" s="6"/>
      <c r="BR180" s="14">
        <f>SUM(BR177:BR179)</f>
        <v>2500</v>
      </c>
      <c r="BS180" s="2"/>
    </row>
    <row r="181" spans="10:71" x14ac:dyDescent="0.25">
      <c r="J181" s="31"/>
      <c r="K181" s="2" t="s">
        <v>182</v>
      </c>
      <c r="L181" s="2">
        <v>4</v>
      </c>
      <c r="M181" s="2">
        <v>76.5</v>
      </c>
      <c r="N181" s="2">
        <v>4</v>
      </c>
      <c r="O181" s="2" t="s">
        <v>708</v>
      </c>
      <c r="P181" s="3">
        <f t="shared" si="93"/>
        <v>306</v>
      </c>
      <c r="Q181" s="2"/>
      <c r="AK181" s="31"/>
      <c r="AL181" s="2"/>
      <c r="AM181" s="2"/>
      <c r="AN181" s="2"/>
      <c r="AO181" s="6"/>
      <c r="AP181" s="6"/>
      <c r="AQ181" s="6"/>
      <c r="AR181" s="2"/>
    </row>
    <row r="182" spans="10:71" x14ac:dyDescent="0.25">
      <c r="J182" s="31"/>
      <c r="K182" s="2" t="s">
        <v>915</v>
      </c>
      <c r="L182" s="2">
        <v>3</v>
      </c>
      <c r="M182" s="2">
        <v>187.8</v>
      </c>
      <c r="N182" s="2">
        <v>3</v>
      </c>
      <c r="O182" s="2" t="s">
        <v>708</v>
      </c>
      <c r="P182" s="3">
        <f t="shared" si="93"/>
        <v>563.40000000000009</v>
      </c>
      <c r="Q182" s="2"/>
      <c r="AK182" s="31"/>
      <c r="AL182" s="32" t="s">
        <v>10</v>
      </c>
      <c r="AM182" s="33"/>
      <c r="AN182" s="34"/>
      <c r="AO182" s="6"/>
      <c r="AP182" s="6"/>
      <c r="AQ182" s="14">
        <f>SUM(AQ178:AQ181)</f>
        <v>3705</v>
      </c>
      <c r="AR182" s="2"/>
      <c r="BL182" s="2" t="s">
        <v>101</v>
      </c>
      <c r="BM182" s="2" t="s">
        <v>0</v>
      </c>
      <c r="BN182" s="2" t="s">
        <v>1</v>
      </c>
      <c r="BO182" s="2" t="s">
        <v>2</v>
      </c>
      <c r="BP182" s="2" t="s">
        <v>3</v>
      </c>
      <c r="BQ182" s="2"/>
      <c r="BR182" s="2" t="s">
        <v>4</v>
      </c>
      <c r="BS182" s="2" t="s">
        <v>5</v>
      </c>
    </row>
    <row r="183" spans="10:71" x14ac:dyDescent="0.25">
      <c r="J183" s="31"/>
      <c r="K183" s="2" t="s">
        <v>180</v>
      </c>
      <c r="L183" s="2">
        <v>1</v>
      </c>
      <c r="M183" s="2">
        <v>96.9</v>
      </c>
      <c r="N183" s="2">
        <v>1</v>
      </c>
      <c r="O183" s="2" t="s">
        <v>708</v>
      </c>
      <c r="P183" s="3">
        <f t="shared" si="93"/>
        <v>96.9</v>
      </c>
      <c r="Q183" s="2"/>
      <c r="AB183" s="2" t="s">
        <v>11</v>
      </c>
      <c r="AC183" s="2" t="s">
        <v>0</v>
      </c>
      <c r="AD183" s="2" t="s">
        <v>1</v>
      </c>
      <c r="AE183" s="2" t="s">
        <v>2</v>
      </c>
      <c r="AF183" s="2" t="s">
        <v>3</v>
      </c>
      <c r="AG183" s="2"/>
      <c r="AH183" s="2" t="s">
        <v>4</v>
      </c>
      <c r="AI183" s="2" t="s">
        <v>5</v>
      </c>
      <c r="BL183" s="31" t="s">
        <v>908</v>
      </c>
      <c r="BM183" s="2" t="s">
        <v>909</v>
      </c>
      <c r="BN183" s="2"/>
      <c r="BO183" s="2"/>
      <c r="BP183" s="2"/>
      <c r="BQ183" s="2"/>
      <c r="BR183" s="2"/>
      <c r="BS183" s="2" t="s">
        <v>600</v>
      </c>
    </row>
    <row r="184" spans="10:71" x14ac:dyDescent="0.25">
      <c r="J184" s="31"/>
      <c r="K184" s="2" t="s">
        <v>25</v>
      </c>
      <c r="L184" s="2">
        <v>6</v>
      </c>
      <c r="M184" s="2">
        <v>23.46</v>
      </c>
      <c r="N184" s="2">
        <v>6</v>
      </c>
      <c r="O184" s="2" t="s">
        <v>708</v>
      </c>
      <c r="P184" s="3">
        <f t="shared" si="93"/>
        <v>140.76</v>
      </c>
      <c r="Q184" s="2"/>
      <c r="AB184" s="31" t="s">
        <v>699</v>
      </c>
      <c r="AC184" s="2" t="s">
        <v>582</v>
      </c>
      <c r="AD184" s="2" t="s">
        <v>20</v>
      </c>
      <c r="AE184" s="2">
        <v>33.06</v>
      </c>
      <c r="AF184" s="2">
        <v>25</v>
      </c>
      <c r="AG184" s="2" t="s">
        <v>9</v>
      </c>
      <c r="AH184" s="3">
        <f>AE184*AF184</f>
        <v>826.5</v>
      </c>
      <c r="AI184" s="2"/>
      <c r="AK184" s="2" t="s">
        <v>90</v>
      </c>
      <c r="AL184" s="2" t="s">
        <v>0</v>
      </c>
      <c r="AM184" s="2" t="s">
        <v>1</v>
      </c>
      <c r="AN184" s="2" t="s">
        <v>2</v>
      </c>
      <c r="AO184" s="2" t="s">
        <v>3</v>
      </c>
      <c r="AP184" s="2"/>
      <c r="AQ184" s="2" t="s">
        <v>4</v>
      </c>
      <c r="AR184" s="2" t="s">
        <v>5</v>
      </c>
      <c r="BL184" s="31"/>
      <c r="BM184" s="2" t="s">
        <v>821</v>
      </c>
      <c r="BN184" s="2">
        <v>15</v>
      </c>
      <c r="BO184" s="2">
        <v>141</v>
      </c>
      <c r="BP184" s="2">
        <v>15</v>
      </c>
      <c r="BQ184" s="2" t="s">
        <v>708</v>
      </c>
      <c r="BR184" s="2">
        <f>BO184*BP184</f>
        <v>2115</v>
      </c>
      <c r="BS184" s="2"/>
    </row>
    <row r="185" spans="10:71" x14ac:dyDescent="0.25">
      <c r="J185" s="31"/>
      <c r="K185" s="2" t="s">
        <v>22</v>
      </c>
      <c r="L185" s="2">
        <v>10</v>
      </c>
      <c r="M185" s="2">
        <v>90</v>
      </c>
      <c r="N185" s="2">
        <v>10</v>
      </c>
      <c r="O185" s="2" t="s">
        <v>708</v>
      </c>
      <c r="P185" s="3">
        <f t="shared" si="93"/>
        <v>900</v>
      </c>
      <c r="Q185" s="2"/>
      <c r="AB185" s="31"/>
      <c r="AC185" s="2" t="s">
        <v>700</v>
      </c>
      <c r="AD185" s="2" t="s">
        <v>23</v>
      </c>
      <c r="AE185" s="2">
        <v>43.8</v>
      </c>
      <c r="AF185" s="2">
        <v>20</v>
      </c>
      <c r="AG185" s="2" t="s">
        <v>9</v>
      </c>
      <c r="AH185" s="3">
        <f t="shared" ref="AH185:AH186" si="94">AE185*AF185</f>
        <v>876</v>
      </c>
      <c r="AI185" s="2"/>
      <c r="AK185" s="31" t="s">
        <v>692</v>
      </c>
      <c r="AL185" s="2" t="s">
        <v>180</v>
      </c>
      <c r="AM185" s="2" t="s">
        <v>183</v>
      </c>
      <c r="AN185" s="2">
        <v>74.099999999999994</v>
      </c>
      <c r="AO185" s="2">
        <v>1</v>
      </c>
      <c r="AP185" s="2" t="s">
        <v>9</v>
      </c>
      <c r="AQ185" s="2">
        <f>AN185*AO185</f>
        <v>74.099999999999994</v>
      </c>
      <c r="AR185" s="2"/>
      <c r="BL185" s="31"/>
      <c r="BM185" s="2"/>
      <c r="BN185" s="2"/>
      <c r="BO185" s="2"/>
      <c r="BP185" s="2"/>
      <c r="BQ185" s="2"/>
      <c r="BR185" s="2"/>
      <c r="BS185" s="2"/>
    </row>
    <row r="186" spans="10:71" x14ac:dyDescent="0.25">
      <c r="J186" s="31"/>
      <c r="K186" s="32" t="s">
        <v>10</v>
      </c>
      <c r="L186" s="33"/>
      <c r="M186" s="34"/>
      <c r="N186" s="6"/>
      <c r="O186" s="6"/>
      <c r="P186" s="7">
        <f>SUM(P179:P185)</f>
        <v>9837.06</v>
      </c>
      <c r="Q186" s="2"/>
      <c r="AB186" s="31"/>
      <c r="AC186" s="2" t="s">
        <v>38</v>
      </c>
      <c r="AD186" s="2" t="s">
        <v>39</v>
      </c>
      <c r="AE186" s="2">
        <v>9</v>
      </c>
      <c r="AF186" s="2">
        <v>2</v>
      </c>
      <c r="AG186" s="2" t="s">
        <v>9</v>
      </c>
      <c r="AH186" s="3">
        <f t="shared" si="94"/>
        <v>18</v>
      </c>
      <c r="AI186" s="2"/>
      <c r="AK186" s="31"/>
      <c r="AL186" s="2" t="s">
        <v>438</v>
      </c>
      <c r="AM186" s="2" t="s">
        <v>20</v>
      </c>
      <c r="AN186" s="2">
        <v>57</v>
      </c>
      <c r="AO186" s="2">
        <v>25</v>
      </c>
      <c r="AP186" s="2" t="s">
        <v>9</v>
      </c>
      <c r="AQ186" s="2">
        <f>AN186*AO186</f>
        <v>1425</v>
      </c>
      <c r="AR186" s="2"/>
      <c r="BL186" s="31"/>
      <c r="BM186" s="32"/>
      <c r="BN186" s="33"/>
      <c r="BO186" s="34"/>
      <c r="BP186" s="6"/>
      <c r="BQ186" s="6"/>
      <c r="BR186" s="14">
        <f>SUM(BR183:BR185)</f>
        <v>2115</v>
      </c>
      <c r="BS186" s="2"/>
    </row>
    <row r="187" spans="10:71" x14ac:dyDescent="0.25">
      <c r="AB187" s="31"/>
      <c r="AC187" s="2"/>
      <c r="AD187" s="2"/>
      <c r="AE187" s="2"/>
      <c r="AF187" s="2"/>
      <c r="AG187" s="2"/>
      <c r="AH187" s="2"/>
      <c r="AI187" s="2"/>
      <c r="AK187" s="31"/>
      <c r="AL187" s="2" t="s">
        <v>266</v>
      </c>
      <c r="AM187" s="2"/>
      <c r="AN187" s="2">
        <v>17.100000000000001</v>
      </c>
      <c r="AO187" s="2">
        <v>2</v>
      </c>
      <c r="AP187" s="2" t="s">
        <v>9</v>
      </c>
      <c r="AQ187" s="2">
        <f>AN187*AO187</f>
        <v>34.200000000000003</v>
      </c>
      <c r="AR187" s="2"/>
    </row>
    <row r="188" spans="10:71" x14ac:dyDescent="0.25">
      <c r="J188" s="2" t="s">
        <v>74</v>
      </c>
      <c r="K188" s="2" t="s">
        <v>0</v>
      </c>
      <c r="L188" s="2" t="s">
        <v>1</v>
      </c>
      <c r="M188" s="2" t="s">
        <v>2</v>
      </c>
      <c r="N188" s="2" t="s">
        <v>3</v>
      </c>
      <c r="O188" s="2"/>
      <c r="P188" s="2" t="s">
        <v>4</v>
      </c>
      <c r="Q188" s="2" t="s">
        <v>5</v>
      </c>
      <c r="AB188" s="31"/>
      <c r="AC188" s="2"/>
      <c r="AD188" s="2"/>
      <c r="AE188" s="2"/>
      <c r="AF188" s="2"/>
      <c r="AG188" s="2"/>
      <c r="AH188" s="2"/>
      <c r="AI188" s="2"/>
      <c r="AK188" s="31"/>
      <c r="AL188" s="2"/>
      <c r="AM188" s="2"/>
      <c r="AN188" s="2"/>
      <c r="AO188" s="6"/>
      <c r="AP188" s="6"/>
      <c r="AQ188" s="6"/>
      <c r="AR188" s="2"/>
      <c r="BL188" s="2" t="s">
        <v>101</v>
      </c>
      <c r="BM188" s="2" t="s">
        <v>0</v>
      </c>
      <c r="BN188" s="2" t="s">
        <v>1</v>
      </c>
      <c r="BO188" s="2" t="s">
        <v>2</v>
      </c>
      <c r="BP188" s="2" t="s">
        <v>3</v>
      </c>
      <c r="BQ188" s="2"/>
      <c r="BR188" s="2" t="s">
        <v>4</v>
      </c>
      <c r="BS188" s="2" t="s">
        <v>5</v>
      </c>
    </row>
    <row r="189" spans="10:71" x14ac:dyDescent="0.25">
      <c r="J189" s="31" t="s">
        <v>917</v>
      </c>
      <c r="K189" s="2" t="s">
        <v>918</v>
      </c>
      <c r="L189" s="2">
        <v>300</v>
      </c>
      <c r="M189" s="2">
        <v>180</v>
      </c>
      <c r="N189" s="23"/>
      <c r="O189" s="2" t="s">
        <v>333</v>
      </c>
      <c r="P189" s="24"/>
      <c r="Q189" s="2"/>
      <c r="AB189" s="31"/>
      <c r="AC189" s="32" t="s">
        <v>10</v>
      </c>
      <c r="AD189" s="33"/>
      <c r="AE189" s="34"/>
      <c r="AF189" s="6"/>
      <c r="AG189" s="6"/>
      <c r="AH189" s="7">
        <f>SUM(AH184:AH188)</f>
        <v>1720.5</v>
      </c>
      <c r="AI189" s="2"/>
      <c r="AK189" s="31"/>
      <c r="AL189" s="32" t="s">
        <v>10</v>
      </c>
      <c r="AM189" s="33"/>
      <c r="AN189" s="34"/>
      <c r="AO189" s="6"/>
      <c r="AP189" s="6"/>
      <c r="AQ189" s="7">
        <f>SUM(AQ185:AQ188)</f>
        <v>1533.3</v>
      </c>
      <c r="AR189" s="2"/>
      <c r="BL189" s="31" t="s">
        <v>910</v>
      </c>
      <c r="BM189" s="2" t="s">
        <v>250</v>
      </c>
      <c r="BN189" s="2">
        <v>15</v>
      </c>
      <c r="BO189" s="2">
        <v>12.6</v>
      </c>
      <c r="BP189" s="2">
        <v>15</v>
      </c>
      <c r="BQ189" s="2" t="s">
        <v>9</v>
      </c>
      <c r="BR189" s="2">
        <f>BO189*BP189</f>
        <v>189</v>
      </c>
      <c r="BS189" s="2"/>
    </row>
    <row r="190" spans="10:71" x14ac:dyDescent="0.25">
      <c r="J190" s="31"/>
      <c r="K190" s="2"/>
      <c r="L190" s="2"/>
      <c r="M190" s="2"/>
      <c r="N190" s="2"/>
      <c r="O190" s="2"/>
      <c r="P190" s="2"/>
      <c r="Q190" s="2"/>
      <c r="BL190" s="31"/>
      <c r="BM190" s="2" t="s">
        <v>570</v>
      </c>
      <c r="BN190" s="2">
        <v>20</v>
      </c>
      <c r="BO190" s="2"/>
      <c r="BP190" s="2"/>
      <c r="BQ190" s="2"/>
      <c r="BR190" s="2">
        <f>BO190*BP190</f>
        <v>0</v>
      </c>
      <c r="BS190" s="2" t="s">
        <v>600</v>
      </c>
    </row>
    <row r="191" spans="10:71" x14ac:dyDescent="0.25">
      <c r="J191" s="31"/>
      <c r="K191" s="2"/>
      <c r="L191" s="2"/>
      <c r="M191" s="2"/>
      <c r="N191" s="2"/>
      <c r="O191" s="2"/>
      <c r="P191" s="2"/>
      <c r="Q191" s="2"/>
      <c r="AB191" s="2" t="s">
        <v>90</v>
      </c>
      <c r="AC191" s="2" t="s">
        <v>0</v>
      </c>
      <c r="AD191" s="2" t="s">
        <v>1</v>
      </c>
      <c r="AE191" s="2" t="s">
        <v>2</v>
      </c>
      <c r="AF191" s="2" t="s">
        <v>3</v>
      </c>
      <c r="AG191" s="2"/>
      <c r="AH191" s="2" t="s">
        <v>4</v>
      </c>
      <c r="AI191" s="2" t="s">
        <v>5</v>
      </c>
      <c r="AK191" s="2" t="s">
        <v>11</v>
      </c>
      <c r="AL191" s="2" t="s">
        <v>0</v>
      </c>
      <c r="AM191" s="2" t="s">
        <v>1</v>
      </c>
      <c r="AN191" s="2" t="s">
        <v>2</v>
      </c>
      <c r="AO191" s="2" t="s">
        <v>3</v>
      </c>
      <c r="AP191" s="2"/>
      <c r="AQ191" s="2" t="s">
        <v>4</v>
      </c>
      <c r="AR191" s="2" t="s">
        <v>5</v>
      </c>
      <c r="BL191" s="31"/>
      <c r="BM191" s="2"/>
      <c r="BN191" s="2"/>
      <c r="BO191" s="2"/>
      <c r="BP191" s="2"/>
      <c r="BQ191" s="2"/>
      <c r="BR191" s="2"/>
      <c r="BS191" s="2"/>
    </row>
    <row r="192" spans="10:71" x14ac:dyDescent="0.25">
      <c r="J192" s="31"/>
      <c r="K192" s="13"/>
      <c r="L192" s="2"/>
      <c r="M192" s="2"/>
      <c r="N192" s="6"/>
      <c r="O192" s="6"/>
      <c r="P192" s="6"/>
      <c r="Q192" s="2"/>
      <c r="AB192" s="31" t="s">
        <v>706</v>
      </c>
      <c r="AC192" s="2" t="s">
        <v>264</v>
      </c>
      <c r="AD192" s="2" t="s">
        <v>156</v>
      </c>
      <c r="AE192" s="2">
        <v>45</v>
      </c>
      <c r="AF192" s="2">
        <v>10</v>
      </c>
      <c r="AG192" s="2" t="s">
        <v>9</v>
      </c>
      <c r="AH192" s="2">
        <f t="shared" ref="AH192:AH194" si="95">AE192*AF192</f>
        <v>450</v>
      </c>
      <c r="AI192" s="2"/>
      <c r="AK192" s="31" t="s">
        <v>696</v>
      </c>
      <c r="AL192" s="2" t="s">
        <v>322</v>
      </c>
      <c r="AM192" s="2" t="s">
        <v>697</v>
      </c>
      <c r="AN192" s="2">
        <v>150</v>
      </c>
      <c r="AO192" s="2">
        <v>7</v>
      </c>
      <c r="AP192" s="2" t="s">
        <v>324</v>
      </c>
      <c r="AQ192" s="2">
        <f>AN192*AO192</f>
        <v>1050</v>
      </c>
      <c r="AR192" s="2"/>
      <c r="BL192" s="31"/>
      <c r="BM192" s="32"/>
      <c r="BN192" s="33"/>
      <c r="BO192" s="34"/>
      <c r="BP192" s="6"/>
      <c r="BQ192" s="6"/>
      <c r="BR192" s="7">
        <f>SUM(BR189:BR191)</f>
        <v>189</v>
      </c>
      <c r="BS192" s="2"/>
    </row>
    <row r="193" spans="10:71" x14ac:dyDescent="0.25">
      <c r="J193" s="31"/>
      <c r="K193" s="32" t="s">
        <v>10</v>
      </c>
      <c r="L193" s="33"/>
      <c r="M193" s="34"/>
      <c r="N193" s="6"/>
      <c r="O193" s="6"/>
      <c r="P193" s="54">
        <f>SUM(P189:P192)</f>
        <v>0</v>
      </c>
      <c r="Q193" s="2"/>
      <c r="AB193" s="31"/>
      <c r="AC193" s="2" t="s">
        <v>266</v>
      </c>
      <c r="AD193" s="2" t="s">
        <v>288</v>
      </c>
      <c r="AE193" s="2">
        <v>11.4</v>
      </c>
      <c r="AF193" s="2">
        <v>3</v>
      </c>
      <c r="AG193" s="2" t="s">
        <v>9</v>
      </c>
      <c r="AH193" s="2">
        <f t="shared" si="95"/>
        <v>34.200000000000003</v>
      </c>
      <c r="AI193" s="2"/>
      <c r="AK193" s="31"/>
      <c r="AL193" s="2" t="s">
        <v>25</v>
      </c>
      <c r="AM193" s="2" t="s">
        <v>271</v>
      </c>
      <c r="AN193" s="2">
        <v>30.6</v>
      </c>
      <c r="AO193" s="2">
        <v>5</v>
      </c>
      <c r="AP193" s="2" t="s">
        <v>9</v>
      </c>
      <c r="AQ193" s="2">
        <f>AN193*AO193</f>
        <v>153</v>
      </c>
      <c r="AR193" s="2"/>
    </row>
    <row r="194" spans="10:71" x14ac:dyDescent="0.25">
      <c r="AB194" s="31"/>
      <c r="AC194" s="2" t="s">
        <v>707</v>
      </c>
      <c r="AD194" s="2"/>
      <c r="AE194" s="2">
        <v>38.4</v>
      </c>
      <c r="AF194" s="2">
        <v>20</v>
      </c>
      <c r="AG194" s="2" t="s">
        <v>708</v>
      </c>
      <c r="AH194" s="2">
        <f t="shared" si="95"/>
        <v>768</v>
      </c>
      <c r="AI194" s="2"/>
      <c r="AK194" s="31"/>
      <c r="AL194" s="2"/>
      <c r="AM194" s="2"/>
      <c r="AN194" s="2"/>
      <c r="AO194" s="2"/>
      <c r="AP194" s="2"/>
      <c r="AQ194" s="2"/>
      <c r="AR194" s="2"/>
      <c r="BL194" s="57" t="s">
        <v>101</v>
      </c>
      <c r="BM194" s="57" t="s">
        <v>0</v>
      </c>
      <c r="BN194" s="57" t="s">
        <v>1</v>
      </c>
      <c r="BO194" s="57" t="s">
        <v>2</v>
      </c>
      <c r="BP194" s="57" t="s">
        <v>3</v>
      </c>
      <c r="BQ194" s="57"/>
      <c r="BR194" s="57" t="s">
        <v>4</v>
      </c>
      <c r="BS194" s="57" t="s">
        <v>5</v>
      </c>
    </row>
    <row r="195" spans="10:71" x14ac:dyDescent="0.25">
      <c r="J195" s="57" t="s">
        <v>74</v>
      </c>
      <c r="K195" s="57" t="s">
        <v>0</v>
      </c>
      <c r="L195" s="57" t="s">
        <v>1</v>
      </c>
      <c r="M195" s="57" t="s">
        <v>2</v>
      </c>
      <c r="N195" s="57" t="s">
        <v>3</v>
      </c>
      <c r="O195" s="57"/>
      <c r="P195" s="57" t="s">
        <v>4</v>
      </c>
      <c r="Q195" s="57" t="s">
        <v>5</v>
      </c>
      <c r="AB195" s="31"/>
      <c r="AC195" s="2"/>
      <c r="AD195" s="2"/>
      <c r="AE195" s="2"/>
      <c r="AF195" s="6"/>
      <c r="AG195" s="6"/>
      <c r="AH195" s="2"/>
      <c r="AI195" s="2"/>
      <c r="AK195" s="31"/>
      <c r="AL195" s="2"/>
      <c r="AM195" s="2"/>
      <c r="AN195" s="2"/>
      <c r="AO195" s="2"/>
      <c r="AP195" s="2"/>
      <c r="AQ195" s="2"/>
      <c r="AR195" s="2"/>
      <c r="BL195" s="31" t="s">
        <v>979</v>
      </c>
      <c r="BM195" s="57" t="s">
        <v>569</v>
      </c>
      <c r="BN195" s="57">
        <v>20</v>
      </c>
      <c r="BO195" s="57">
        <v>12.24</v>
      </c>
      <c r="BP195" s="57">
        <v>21.67</v>
      </c>
      <c r="BQ195" s="57" t="s">
        <v>708</v>
      </c>
      <c r="BR195" s="57">
        <f>BO195*BP195</f>
        <v>265.24080000000004</v>
      </c>
      <c r="BS195" s="57"/>
    </row>
    <row r="196" spans="10:71" x14ac:dyDescent="0.25">
      <c r="J196" s="31" t="s">
        <v>985</v>
      </c>
      <c r="K196" s="57" t="s">
        <v>25</v>
      </c>
      <c r="L196" s="57">
        <v>8</v>
      </c>
      <c r="M196" s="57">
        <v>30.6</v>
      </c>
      <c r="N196" s="57">
        <v>8</v>
      </c>
      <c r="O196" s="57" t="s">
        <v>708</v>
      </c>
      <c r="P196" s="58">
        <f>M196*N196</f>
        <v>244.8</v>
      </c>
      <c r="Q196" s="57"/>
      <c r="AB196" s="31"/>
      <c r="AC196" s="32" t="s">
        <v>10</v>
      </c>
      <c r="AD196" s="33"/>
      <c r="AE196" s="34"/>
      <c r="AF196" s="6"/>
      <c r="AG196" s="6"/>
      <c r="AH196" s="14">
        <f>SUM(AH192:AH195)</f>
        <v>1252.2</v>
      </c>
      <c r="AI196" s="2"/>
      <c r="AK196" s="31"/>
      <c r="AL196" s="2"/>
      <c r="AM196" s="2"/>
      <c r="AN196" s="2"/>
      <c r="AO196" s="2"/>
      <c r="AP196" s="2"/>
      <c r="AQ196" s="2"/>
      <c r="AR196" s="2"/>
      <c r="BL196" s="31"/>
      <c r="BM196" s="57" t="s">
        <v>821</v>
      </c>
      <c r="BN196" s="57">
        <v>15</v>
      </c>
      <c r="BO196" s="57">
        <v>141</v>
      </c>
      <c r="BP196" s="57">
        <v>15</v>
      </c>
      <c r="BQ196" s="57" t="s">
        <v>708</v>
      </c>
      <c r="BR196" s="57">
        <f t="shared" ref="BR196:BR197" si="96">BO196*BP196</f>
        <v>2115</v>
      </c>
      <c r="BS196" s="57"/>
    </row>
    <row r="197" spans="10:71" x14ac:dyDescent="0.25">
      <c r="J197" s="31"/>
      <c r="K197" s="57" t="s">
        <v>986</v>
      </c>
      <c r="L197" s="57">
        <v>4</v>
      </c>
      <c r="M197" s="57">
        <v>276</v>
      </c>
      <c r="N197" s="57">
        <v>4</v>
      </c>
      <c r="O197" s="57" t="s">
        <v>708</v>
      </c>
      <c r="P197" s="58">
        <f t="shared" ref="P197:P198" si="97">M197*N197</f>
        <v>1104</v>
      </c>
      <c r="Q197" s="57"/>
      <c r="AK197" s="31"/>
      <c r="AL197" s="32" t="s">
        <v>10</v>
      </c>
      <c r="AM197" s="33"/>
      <c r="AN197" s="34"/>
      <c r="AO197" s="6"/>
      <c r="AP197" s="6"/>
      <c r="AQ197" s="7">
        <f>SUM(AQ192:AQ196)</f>
        <v>1203</v>
      </c>
      <c r="AR197" s="2"/>
      <c r="BL197" s="31"/>
      <c r="BM197" s="57" t="s">
        <v>570</v>
      </c>
      <c r="BN197" s="57"/>
      <c r="BO197" s="57">
        <v>63</v>
      </c>
      <c r="BP197" s="57">
        <v>5</v>
      </c>
      <c r="BQ197" s="57" t="s">
        <v>9</v>
      </c>
      <c r="BR197" s="57">
        <f t="shared" si="96"/>
        <v>315</v>
      </c>
      <c r="BS197" s="57"/>
    </row>
    <row r="198" spans="10:71" x14ac:dyDescent="0.25">
      <c r="J198" s="31"/>
      <c r="K198" s="57" t="s">
        <v>987</v>
      </c>
      <c r="L198" s="57">
        <v>65</v>
      </c>
      <c r="M198" s="57">
        <v>183</v>
      </c>
      <c r="N198" s="57">
        <v>65</v>
      </c>
      <c r="O198" s="57" t="s">
        <v>708</v>
      </c>
      <c r="P198" s="58">
        <f t="shared" si="97"/>
        <v>11895</v>
      </c>
      <c r="Q198" s="57"/>
      <c r="AB198" s="2" t="s">
        <v>11</v>
      </c>
      <c r="AC198" s="2" t="s">
        <v>0</v>
      </c>
      <c r="AD198" s="2" t="s">
        <v>1</v>
      </c>
      <c r="AE198" s="2" t="s">
        <v>2</v>
      </c>
      <c r="AF198" s="2" t="s">
        <v>3</v>
      </c>
      <c r="AG198" s="2"/>
      <c r="AH198" s="2" t="s">
        <v>4</v>
      </c>
      <c r="AI198" s="2" t="s">
        <v>5</v>
      </c>
      <c r="BL198" s="31"/>
      <c r="BM198" s="32"/>
      <c r="BN198" s="33"/>
      <c r="BO198" s="34"/>
      <c r="BP198" s="59"/>
      <c r="BQ198" s="59"/>
      <c r="BR198" s="65">
        <f>SUM(BR195:BR197)</f>
        <v>2695.2408</v>
      </c>
      <c r="BS198" s="57"/>
    </row>
    <row r="199" spans="10:71" x14ac:dyDescent="0.25">
      <c r="J199" s="31"/>
      <c r="K199" s="70"/>
      <c r="L199" s="57"/>
      <c r="M199" s="57"/>
      <c r="N199" s="59"/>
      <c r="O199" s="59"/>
      <c r="P199" s="59"/>
      <c r="Q199" s="57"/>
      <c r="AB199" s="31" t="s">
        <v>727</v>
      </c>
      <c r="AC199" s="2" t="s">
        <v>626</v>
      </c>
      <c r="AD199" s="2" t="s">
        <v>34</v>
      </c>
      <c r="AE199" s="2">
        <v>30.6</v>
      </c>
      <c r="AF199" s="2">
        <v>50</v>
      </c>
      <c r="AG199" s="2" t="s">
        <v>9</v>
      </c>
      <c r="AH199" s="2">
        <f>AE199*AF199</f>
        <v>1530</v>
      </c>
      <c r="AI199" s="2"/>
      <c r="AK199" s="2" t="s">
        <v>11</v>
      </c>
      <c r="AL199" s="2" t="s">
        <v>0</v>
      </c>
      <c r="AM199" s="2" t="s">
        <v>1</v>
      </c>
      <c r="AN199" s="2" t="s">
        <v>2</v>
      </c>
      <c r="AO199" s="2" t="s">
        <v>3</v>
      </c>
      <c r="AP199" s="2"/>
      <c r="AQ199" s="2" t="s">
        <v>4</v>
      </c>
      <c r="AR199" s="2" t="s">
        <v>5</v>
      </c>
    </row>
    <row r="200" spans="10:71" x14ac:dyDescent="0.25">
      <c r="J200" s="31"/>
      <c r="K200" s="32" t="s">
        <v>10</v>
      </c>
      <c r="L200" s="33"/>
      <c r="M200" s="34"/>
      <c r="N200" s="59"/>
      <c r="O200" s="59"/>
      <c r="P200" s="65">
        <f>SUM(P196:P199)</f>
        <v>13243.8</v>
      </c>
      <c r="Q200" s="57"/>
      <c r="AB200" s="31"/>
      <c r="AC200" s="2" t="s">
        <v>728</v>
      </c>
      <c r="AD200" s="2" t="s">
        <v>143</v>
      </c>
      <c r="AE200" s="2">
        <v>138</v>
      </c>
      <c r="AF200" s="2">
        <v>1</v>
      </c>
      <c r="AG200" s="2" t="s">
        <v>144</v>
      </c>
      <c r="AH200" s="2">
        <f t="shared" ref="AH200:AH201" si="98">AE200*AF200</f>
        <v>138</v>
      </c>
      <c r="AI200" s="2"/>
      <c r="AK200" s="31" t="s">
        <v>704</v>
      </c>
      <c r="AL200" s="2" t="s">
        <v>260</v>
      </c>
      <c r="AM200" s="2" t="s">
        <v>156</v>
      </c>
      <c r="AN200" s="2">
        <v>93</v>
      </c>
      <c r="AO200" s="2">
        <v>10</v>
      </c>
      <c r="AP200" s="2" t="s">
        <v>9</v>
      </c>
      <c r="AQ200" s="2">
        <f>AN200*AO200</f>
        <v>930</v>
      </c>
      <c r="AR200" s="2"/>
      <c r="BL200" s="57" t="s">
        <v>101</v>
      </c>
      <c r="BM200" s="32" t="s">
        <v>10</v>
      </c>
      <c r="BN200" s="33"/>
      <c r="BO200" s="34"/>
      <c r="BP200" s="59"/>
      <c r="BQ200" s="59"/>
      <c r="BR200" s="66">
        <f>SUM(BR194:BR199)</f>
        <v>5390.4816000000001</v>
      </c>
      <c r="BS200" s="57"/>
    </row>
    <row r="201" spans="10:71" x14ac:dyDescent="0.25">
      <c r="AB201" s="31"/>
      <c r="AC201" s="2" t="s">
        <v>562</v>
      </c>
      <c r="AD201" s="2" t="s">
        <v>281</v>
      </c>
      <c r="AE201" s="2">
        <v>30.78</v>
      </c>
      <c r="AF201" s="2">
        <v>5</v>
      </c>
      <c r="AG201" s="2" t="s">
        <v>53</v>
      </c>
      <c r="AH201" s="2">
        <f t="shared" si="98"/>
        <v>153.9</v>
      </c>
      <c r="AI201" s="2"/>
      <c r="AK201" s="31"/>
      <c r="AL201" s="2" t="s">
        <v>636</v>
      </c>
      <c r="AM201" s="2" t="s">
        <v>191</v>
      </c>
      <c r="AN201" s="2">
        <v>165</v>
      </c>
      <c r="AO201" s="2">
        <v>8</v>
      </c>
      <c r="AP201" s="2" t="s">
        <v>9</v>
      </c>
      <c r="AQ201" s="2">
        <f t="shared" ref="AQ201:AQ203" si="99">AN201*AO201</f>
        <v>1320</v>
      </c>
      <c r="AR201" s="2"/>
      <c r="BL201" s="36" t="s">
        <v>980</v>
      </c>
      <c r="BM201" s="57" t="s">
        <v>0</v>
      </c>
      <c r="BN201" s="57" t="s">
        <v>1</v>
      </c>
      <c r="BO201" s="57" t="s">
        <v>2</v>
      </c>
      <c r="BP201" s="57" t="s">
        <v>3</v>
      </c>
      <c r="BQ201" s="57"/>
      <c r="BR201" s="57" t="s">
        <v>4</v>
      </c>
      <c r="BS201" s="57" t="s">
        <v>5</v>
      </c>
    </row>
    <row r="202" spans="10:71" x14ac:dyDescent="0.25">
      <c r="J202" s="57" t="s">
        <v>74</v>
      </c>
      <c r="K202" s="57" t="s">
        <v>0</v>
      </c>
      <c r="L202" s="57" t="s">
        <v>1</v>
      </c>
      <c r="M202" s="57" t="s">
        <v>2</v>
      </c>
      <c r="N202" s="57" t="s">
        <v>3</v>
      </c>
      <c r="O202" s="57"/>
      <c r="P202" s="57" t="s">
        <v>4</v>
      </c>
      <c r="Q202" s="57" t="s">
        <v>5</v>
      </c>
      <c r="AB202" s="31"/>
      <c r="AC202" s="2"/>
      <c r="AD202" s="2"/>
      <c r="AE202" s="2"/>
      <c r="AF202" s="2"/>
      <c r="AG202" s="2"/>
      <c r="AH202" s="2"/>
      <c r="AI202" s="2"/>
      <c r="AK202" s="31"/>
      <c r="AL202" s="2" t="s">
        <v>38</v>
      </c>
      <c r="AM202" s="2" t="s">
        <v>85</v>
      </c>
      <c r="AN202" s="2">
        <v>9</v>
      </c>
      <c r="AO202" s="2">
        <v>4</v>
      </c>
      <c r="AP202" s="2" t="s">
        <v>9</v>
      </c>
      <c r="AQ202" s="2">
        <f t="shared" si="99"/>
        <v>36</v>
      </c>
      <c r="AR202" s="2"/>
      <c r="BL202" s="37"/>
      <c r="BM202" s="57" t="s">
        <v>981</v>
      </c>
      <c r="BN202" s="57">
        <v>1</v>
      </c>
      <c r="BO202" s="57">
        <v>230</v>
      </c>
      <c r="BP202" s="57">
        <v>1</v>
      </c>
      <c r="BQ202" s="57" t="s">
        <v>53</v>
      </c>
      <c r="BR202" s="57">
        <f>BO202*BP202</f>
        <v>230</v>
      </c>
      <c r="BS202" s="57"/>
    </row>
    <row r="203" spans="10:71" x14ac:dyDescent="0.25">
      <c r="J203" s="31" t="s">
        <v>1018</v>
      </c>
      <c r="K203" s="57" t="s">
        <v>71</v>
      </c>
      <c r="L203" s="57">
        <v>280</v>
      </c>
      <c r="M203" s="57">
        <v>141</v>
      </c>
      <c r="N203" s="68">
        <v>44.17</v>
      </c>
      <c r="O203" s="57" t="s">
        <v>9</v>
      </c>
      <c r="P203" s="58">
        <f>M203*N203</f>
        <v>6227.97</v>
      </c>
      <c r="Q203" s="57"/>
      <c r="AB203" s="31"/>
      <c r="AC203" s="2"/>
      <c r="AD203" s="2"/>
      <c r="AE203" s="2"/>
      <c r="AF203" s="2"/>
      <c r="AG203" s="2"/>
      <c r="AH203" s="2"/>
      <c r="AI203" s="2"/>
      <c r="AK203" s="31"/>
      <c r="AL203" s="2" t="s">
        <v>264</v>
      </c>
      <c r="AM203" s="2" t="s">
        <v>39</v>
      </c>
      <c r="AN203" s="2">
        <v>45</v>
      </c>
      <c r="AO203" s="2">
        <v>2</v>
      </c>
      <c r="AP203" s="2" t="s">
        <v>9</v>
      </c>
      <c r="AQ203" s="2">
        <f t="shared" si="99"/>
        <v>90</v>
      </c>
      <c r="AR203" s="2"/>
      <c r="BL203" s="37"/>
      <c r="BM203" s="57" t="s">
        <v>982</v>
      </c>
      <c r="BN203" s="57">
        <v>3</v>
      </c>
      <c r="BO203" s="57">
        <v>100</v>
      </c>
      <c r="BP203" s="57">
        <v>3</v>
      </c>
      <c r="BQ203" s="57" t="s">
        <v>708</v>
      </c>
      <c r="BR203" s="57">
        <f t="shared" ref="BR203:BR207" si="100">BO203*BP203</f>
        <v>300</v>
      </c>
      <c r="BS203" s="57"/>
    </row>
    <row r="204" spans="10:71" x14ac:dyDescent="0.25">
      <c r="J204" s="31"/>
      <c r="K204" s="57" t="s">
        <v>351</v>
      </c>
      <c r="L204" s="57">
        <v>1.5</v>
      </c>
      <c r="M204" s="57">
        <v>108.3</v>
      </c>
      <c r="N204" s="57">
        <v>1.5</v>
      </c>
      <c r="O204" s="57" t="s">
        <v>9</v>
      </c>
      <c r="P204" s="58">
        <f t="shared" ref="P204:P205" si="101">M204*N204</f>
        <v>162.44999999999999</v>
      </c>
      <c r="Q204" s="57"/>
      <c r="AB204" s="31"/>
      <c r="AC204" s="32" t="s">
        <v>10</v>
      </c>
      <c r="AD204" s="33"/>
      <c r="AE204" s="34"/>
      <c r="AF204" s="6"/>
      <c r="AG204" s="6"/>
      <c r="AH204" s="7">
        <f>SUM(AH199:AH203)</f>
        <v>1821.9</v>
      </c>
      <c r="AI204" s="2"/>
      <c r="AK204" s="31"/>
      <c r="AL204" s="2"/>
      <c r="AM204" s="2"/>
      <c r="AN204" s="2"/>
      <c r="AO204" s="2"/>
      <c r="AP204" s="2"/>
      <c r="AQ204" s="2"/>
      <c r="AR204" s="2"/>
      <c r="BL204" s="37"/>
      <c r="BM204" s="57" t="s">
        <v>519</v>
      </c>
      <c r="BN204" s="57"/>
      <c r="BO204" s="57">
        <v>19.38</v>
      </c>
      <c r="BP204" s="57">
        <v>7.84</v>
      </c>
      <c r="BQ204" s="57" t="s">
        <v>9</v>
      </c>
      <c r="BR204" s="57">
        <f t="shared" si="100"/>
        <v>151.9392</v>
      </c>
      <c r="BS204" s="57"/>
    </row>
    <row r="205" spans="10:71" x14ac:dyDescent="0.25">
      <c r="J205" s="31"/>
      <c r="K205" s="57" t="s">
        <v>353</v>
      </c>
      <c r="L205" s="57">
        <v>0.5</v>
      </c>
      <c r="M205" s="57">
        <v>119.7</v>
      </c>
      <c r="N205" s="57">
        <v>0.5</v>
      </c>
      <c r="O205" s="57" t="s">
        <v>9</v>
      </c>
      <c r="P205" s="58">
        <f t="shared" si="101"/>
        <v>59.85</v>
      </c>
      <c r="Q205" s="57"/>
      <c r="AK205" s="31"/>
      <c r="AL205" s="32" t="s">
        <v>10</v>
      </c>
      <c r="AM205" s="33"/>
      <c r="AN205" s="34"/>
      <c r="AO205" s="6"/>
      <c r="AP205" s="6"/>
      <c r="AQ205" s="46">
        <f>SUM(AQ200:AQ204)</f>
        <v>2376</v>
      </c>
      <c r="AR205" s="2"/>
      <c r="BL205" s="37"/>
      <c r="BM205" s="57" t="s">
        <v>94</v>
      </c>
      <c r="BN205" s="57">
        <v>10</v>
      </c>
      <c r="BO205" s="57">
        <v>66.599999999999994</v>
      </c>
      <c r="BP205" s="57">
        <v>10</v>
      </c>
      <c r="BQ205" s="57" t="s">
        <v>708</v>
      </c>
      <c r="BR205" s="57">
        <f t="shared" si="100"/>
        <v>666</v>
      </c>
      <c r="BS205" s="57"/>
    </row>
    <row r="206" spans="10:71" x14ac:dyDescent="0.25">
      <c r="J206" s="31"/>
      <c r="K206" s="57"/>
      <c r="L206" s="57"/>
      <c r="M206" s="57"/>
      <c r="N206" s="59"/>
      <c r="O206" s="59"/>
      <c r="P206" s="59"/>
      <c r="Q206" s="57"/>
      <c r="AB206" s="2" t="s">
        <v>11</v>
      </c>
      <c r="AC206" s="2" t="s">
        <v>0</v>
      </c>
      <c r="AD206" s="2" t="s">
        <v>1</v>
      </c>
      <c r="AE206" s="2" t="s">
        <v>2</v>
      </c>
      <c r="AF206" s="2" t="s">
        <v>3</v>
      </c>
      <c r="AG206" s="2"/>
      <c r="AH206" s="2" t="s">
        <v>4</v>
      </c>
      <c r="AI206" s="2" t="s">
        <v>5</v>
      </c>
      <c r="BL206" s="37"/>
      <c r="BM206" s="57" t="s">
        <v>790</v>
      </c>
      <c r="BN206" s="57">
        <v>15</v>
      </c>
      <c r="BO206" s="57">
        <v>26.1</v>
      </c>
      <c r="BP206" s="57">
        <v>15</v>
      </c>
      <c r="BQ206" s="57" t="s">
        <v>708</v>
      </c>
      <c r="BR206" s="57">
        <f t="shared" si="100"/>
        <v>391.5</v>
      </c>
      <c r="BS206" s="57" t="s">
        <v>600</v>
      </c>
    </row>
    <row r="207" spans="10:71" x14ac:dyDescent="0.25">
      <c r="J207" s="31"/>
      <c r="K207" s="57"/>
      <c r="L207" s="57"/>
      <c r="M207" s="57"/>
      <c r="N207" s="59"/>
      <c r="O207" s="59"/>
      <c r="P207" s="59"/>
      <c r="Q207" s="57"/>
      <c r="AB207" s="31" t="s">
        <v>737</v>
      </c>
      <c r="AC207" s="2" t="s">
        <v>337</v>
      </c>
      <c r="AD207" s="2" t="s">
        <v>20</v>
      </c>
      <c r="AE207" s="2">
        <v>43.8</v>
      </c>
      <c r="AF207" s="2">
        <v>25</v>
      </c>
      <c r="AG207" s="2" t="s">
        <v>9</v>
      </c>
      <c r="AH207" s="2">
        <f>AE207*AF207</f>
        <v>1095</v>
      </c>
      <c r="AI207" s="2"/>
      <c r="AK207" s="2" t="s">
        <v>90</v>
      </c>
      <c r="AL207" s="2" t="s">
        <v>0</v>
      </c>
      <c r="AM207" s="2" t="s">
        <v>1</v>
      </c>
      <c r="AN207" s="2" t="s">
        <v>2</v>
      </c>
      <c r="AO207" s="2" t="s">
        <v>3</v>
      </c>
      <c r="AP207" s="2"/>
      <c r="AQ207" s="2" t="s">
        <v>4</v>
      </c>
      <c r="AR207" s="2" t="s">
        <v>5</v>
      </c>
      <c r="BL207" s="37"/>
      <c r="BM207" s="57" t="s">
        <v>983</v>
      </c>
      <c r="BN207" s="57">
        <v>5</v>
      </c>
      <c r="BO207" s="57">
        <v>16.2</v>
      </c>
      <c r="BP207" s="57">
        <v>5</v>
      </c>
      <c r="BQ207" s="57" t="s">
        <v>9</v>
      </c>
      <c r="BR207" s="57">
        <f t="shared" si="100"/>
        <v>81</v>
      </c>
      <c r="BS207" s="57"/>
    </row>
    <row r="208" spans="10:71" x14ac:dyDescent="0.25">
      <c r="J208" s="31"/>
      <c r="K208" s="32" t="s">
        <v>10</v>
      </c>
      <c r="L208" s="33"/>
      <c r="M208" s="34"/>
      <c r="N208" s="59"/>
      <c r="O208" s="59"/>
      <c r="P208" s="65">
        <f>SUM(P203:P207)</f>
        <v>6450.27</v>
      </c>
      <c r="Q208" s="57"/>
      <c r="AB208" s="31"/>
      <c r="AC208" s="2" t="s">
        <v>640</v>
      </c>
      <c r="AD208" s="2" t="s">
        <v>271</v>
      </c>
      <c r="AE208" s="2">
        <v>26.52</v>
      </c>
      <c r="AF208" s="2">
        <v>5</v>
      </c>
      <c r="AG208" s="2" t="s">
        <v>9</v>
      </c>
      <c r="AH208" s="2">
        <f t="shared" ref="AH208:AH210" si="102">AE208*AF208</f>
        <v>132.6</v>
      </c>
      <c r="AI208" s="2"/>
      <c r="AK208" s="31" t="s">
        <v>705</v>
      </c>
      <c r="AL208" s="2" t="s">
        <v>19</v>
      </c>
      <c r="AM208" s="2" t="s">
        <v>20</v>
      </c>
      <c r="AN208" s="2">
        <v>54</v>
      </c>
      <c r="AO208" s="2">
        <v>25</v>
      </c>
      <c r="AP208" s="2" t="s">
        <v>9</v>
      </c>
      <c r="AQ208" s="2">
        <f>AN208*AO208</f>
        <v>1350</v>
      </c>
      <c r="AR208" s="2"/>
      <c r="BL208" s="38"/>
      <c r="BM208" s="32" t="s">
        <v>10</v>
      </c>
      <c r="BN208" s="33"/>
      <c r="BO208" s="34"/>
      <c r="BP208" s="59"/>
      <c r="BQ208" s="59"/>
      <c r="BR208" s="65">
        <f>SUM(BR202:BR207)</f>
        <v>1820.4392</v>
      </c>
      <c r="BS208" s="57"/>
    </row>
    <row r="209" spans="28:81" x14ac:dyDescent="0.25">
      <c r="AB209" s="31"/>
      <c r="AC209" s="2" t="s">
        <v>738</v>
      </c>
      <c r="AD209" s="2" t="s">
        <v>273</v>
      </c>
      <c r="AE209" s="2">
        <v>168</v>
      </c>
      <c r="AF209" s="2">
        <v>12</v>
      </c>
      <c r="AG209" s="2" t="s">
        <v>9</v>
      </c>
      <c r="AH209" s="2">
        <f t="shared" si="102"/>
        <v>2016</v>
      </c>
      <c r="AI209" s="2"/>
      <c r="AK209" s="31"/>
      <c r="AL209" s="2" t="s">
        <v>22</v>
      </c>
      <c r="AM209" s="2" t="s">
        <v>23</v>
      </c>
      <c r="AN209" s="2">
        <v>105</v>
      </c>
      <c r="AO209" s="2">
        <v>20</v>
      </c>
      <c r="AP209" s="2" t="s">
        <v>9</v>
      </c>
      <c r="AQ209" s="2">
        <f t="shared" ref="AQ209:AQ210" si="103">AN209*AO209</f>
        <v>2100</v>
      </c>
      <c r="AR209" s="2"/>
    </row>
    <row r="210" spans="28:81" x14ac:dyDescent="0.25">
      <c r="AB210" s="31"/>
      <c r="AC210" s="2" t="s">
        <v>739</v>
      </c>
      <c r="AD210" s="2" t="s">
        <v>271</v>
      </c>
      <c r="AE210" s="2">
        <v>900</v>
      </c>
      <c r="AF210" s="18">
        <v>2</v>
      </c>
      <c r="AG210" s="2" t="s">
        <v>9</v>
      </c>
      <c r="AH210" s="2">
        <f t="shared" si="102"/>
        <v>1800</v>
      </c>
      <c r="AI210" s="2" t="s">
        <v>444</v>
      </c>
      <c r="AK210" s="31"/>
      <c r="AL210" s="2" t="s">
        <v>25</v>
      </c>
      <c r="AM210" s="2" t="s">
        <v>271</v>
      </c>
      <c r="AN210" s="2">
        <v>30.6</v>
      </c>
      <c r="AO210" s="2">
        <v>5</v>
      </c>
      <c r="AP210" s="2" t="s">
        <v>9</v>
      </c>
      <c r="AQ210" s="2">
        <f t="shared" si="103"/>
        <v>153</v>
      </c>
      <c r="AR210" s="2"/>
      <c r="BL210" s="57" t="s">
        <v>101</v>
      </c>
      <c r="BM210" s="57" t="s">
        <v>0</v>
      </c>
      <c r="BN210" s="57" t="s">
        <v>1</v>
      </c>
      <c r="BO210" s="57" t="s">
        <v>2</v>
      </c>
      <c r="BP210" s="57" t="s">
        <v>3</v>
      </c>
      <c r="BQ210" s="57"/>
      <c r="BR210" s="57" t="s">
        <v>4</v>
      </c>
      <c r="BS210" s="57" t="s">
        <v>5</v>
      </c>
    </row>
    <row r="211" spans="28:81" x14ac:dyDescent="0.25">
      <c r="AB211" s="31"/>
      <c r="AC211" s="2"/>
      <c r="AD211" s="2"/>
      <c r="AE211" s="2"/>
      <c r="AF211" s="2"/>
      <c r="AG211" s="2"/>
      <c r="AH211" s="2"/>
      <c r="AI211" s="2"/>
      <c r="AK211" s="31"/>
      <c r="AL211" s="2"/>
      <c r="AM211" s="2"/>
      <c r="AN211" s="2"/>
      <c r="AO211" s="6"/>
      <c r="AP211" s="6"/>
      <c r="AQ211" s="2"/>
      <c r="AR211" s="2"/>
      <c r="BL211" s="31" t="s">
        <v>1009</v>
      </c>
      <c r="BM211" s="57" t="s">
        <v>632</v>
      </c>
      <c r="BN211" s="57">
        <v>3</v>
      </c>
      <c r="BO211" s="57">
        <v>54</v>
      </c>
      <c r="BP211" s="57">
        <v>3</v>
      </c>
      <c r="BQ211" s="57" t="s">
        <v>708</v>
      </c>
      <c r="BR211" s="57">
        <f>BO211*BP211</f>
        <v>162</v>
      </c>
      <c r="BS211" s="57"/>
    </row>
    <row r="212" spans="28:81" x14ac:dyDescent="0.25">
      <c r="AB212" s="31"/>
      <c r="AC212" s="32" t="s">
        <v>10</v>
      </c>
      <c r="AD212" s="33"/>
      <c r="AE212" s="34"/>
      <c r="AF212" s="6"/>
      <c r="AG212" s="6"/>
      <c r="AH212" s="7">
        <f>SUM(AH207:AH211)</f>
        <v>5043.6000000000004</v>
      </c>
      <c r="AI212" s="2"/>
      <c r="AK212" s="31"/>
      <c r="AL212" s="32" t="s">
        <v>10</v>
      </c>
      <c r="AM212" s="33"/>
      <c r="AN212" s="34"/>
      <c r="AO212" s="6"/>
      <c r="AP212" s="6"/>
      <c r="AQ212" s="14">
        <f>SUM(AQ208:AQ211)</f>
        <v>3603</v>
      </c>
      <c r="AR212" s="2"/>
      <c r="BL212" s="31"/>
      <c r="BM212" s="57" t="s">
        <v>58</v>
      </c>
      <c r="BN212" s="57">
        <v>15</v>
      </c>
      <c r="BO212" s="57">
        <v>141</v>
      </c>
      <c r="BP212" s="57">
        <v>15</v>
      </c>
      <c r="BQ212" s="57" t="s">
        <v>708</v>
      </c>
      <c r="BR212" s="57">
        <f t="shared" ref="BR212:BR216" si="104">BO212*BP212</f>
        <v>2115</v>
      </c>
      <c r="BS212" s="57"/>
    </row>
    <row r="213" spans="28:81" x14ac:dyDescent="0.25">
      <c r="BL213" s="31"/>
      <c r="BM213" s="57" t="s">
        <v>630</v>
      </c>
      <c r="BN213" s="57">
        <v>10</v>
      </c>
      <c r="BO213" s="57">
        <v>11.7</v>
      </c>
      <c r="BP213" s="57">
        <v>8</v>
      </c>
      <c r="BQ213" s="57" t="s">
        <v>708</v>
      </c>
      <c r="BR213" s="57">
        <f t="shared" si="104"/>
        <v>93.6</v>
      </c>
      <c r="BS213" s="57"/>
    </row>
    <row r="214" spans="28:81" x14ac:dyDescent="0.25">
      <c r="AB214" s="2" t="s">
        <v>11</v>
      </c>
      <c r="AC214" s="2" t="s">
        <v>0</v>
      </c>
      <c r="AD214" s="2" t="s">
        <v>1</v>
      </c>
      <c r="AE214" s="2" t="s">
        <v>2</v>
      </c>
      <c r="AF214" s="2" t="s">
        <v>3</v>
      </c>
      <c r="AG214" s="2"/>
      <c r="AH214" s="2" t="s">
        <v>4</v>
      </c>
      <c r="AI214" s="2" t="s">
        <v>5</v>
      </c>
      <c r="AK214" s="2" t="s">
        <v>11</v>
      </c>
      <c r="AL214" s="2" t="s">
        <v>0</v>
      </c>
      <c r="AM214" s="2" t="s">
        <v>1</v>
      </c>
      <c r="AN214" s="2" t="s">
        <v>2</v>
      </c>
      <c r="AO214" s="2" t="s">
        <v>3</v>
      </c>
      <c r="AP214" s="2"/>
      <c r="AQ214" s="2" t="s">
        <v>4</v>
      </c>
      <c r="AR214" s="2" t="s">
        <v>5</v>
      </c>
      <c r="BL214" s="31"/>
      <c r="BM214" s="57" t="s">
        <v>590</v>
      </c>
      <c r="BN214" s="57">
        <v>1.5</v>
      </c>
      <c r="BO214" s="57">
        <v>660</v>
      </c>
      <c r="BP214" s="57">
        <v>1</v>
      </c>
      <c r="BQ214" s="57" t="s">
        <v>708</v>
      </c>
      <c r="BR214" s="57">
        <f t="shared" si="104"/>
        <v>660</v>
      </c>
      <c r="BS214" s="57"/>
    </row>
    <row r="215" spans="28:81" x14ac:dyDescent="0.25">
      <c r="AB215" s="31" t="s">
        <v>742</v>
      </c>
      <c r="AC215" s="13" t="s">
        <v>343</v>
      </c>
      <c r="AD215" s="2">
        <v>25</v>
      </c>
      <c r="AE215" s="2">
        <v>28.5</v>
      </c>
      <c r="AF215" s="2">
        <v>25</v>
      </c>
      <c r="AG215" s="2" t="s">
        <v>9</v>
      </c>
      <c r="AH215" s="2">
        <f>AE215*AF215</f>
        <v>712.5</v>
      </c>
      <c r="AI215" s="2"/>
      <c r="AK215" s="31" t="s">
        <v>722</v>
      </c>
      <c r="AL215" s="2" t="s">
        <v>98</v>
      </c>
      <c r="AM215" s="2" t="s">
        <v>99</v>
      </c>
      <c r="AN215" s="2">
        <v>44.4</v>
      </c>
      <c r="AO215" s="2">
        <v>20</v>
      </c>
      <c r="AP215" s="2" t="s">
        <v>9</v>
      </c>
      <c r="AQ215" s="2">
        <f>AN215*AO215</f>
        <v>888</v>
      </c>
      <c r="AR215" s="2"/>
      <c r="BL215" s="31"/>
      <c r="BM215" s="57" t="s">
        <v>937</v>
      </c>
      <c r="BN215" s="57">
        <v>2</v>
      </c>
      <c r="BO215" s="57">
        <v>67</v>
      </c>
      <c r="BP215" s="57">
        <v>2</v>
      </c>
      <c r="BQ215" s="57" t="s">
        <v>53</v>
      </c>
      <c r="BR215" s="57">
        <f t="shared" si="104"/>
        <v>134</v>
      </c>
      <c r="BS215" s="57" t="s">
        <v>600</v>
      </c>
      <c r="BU215" s="22"/>
    </row>
    <row r="216" spans="28:81" x14ac:dyDescent="0.25">
      <c r="AB216" s="31"/>
      <c r="AC216" s="2" t="s">
        <v>344</v>
      </c>
      <c r="AD216" s="2">
        <v>10</v>
      </c>
      <c r="AE216" s="2">
        <v>97.5</v>
      </c>
      <c r="AF216" s="2">
        <v>10</v>
      </c>
      <c r="AG216" s="2" t="s">
        <v>9</v>
      </c>
      <c r="AH216" s="2">
        <f t="shared" ref="AH216:AH218" si="105">AE216*AF216</f>
        <v>975</v>
      </c>
      <c r="AI216" s="2"/>
      <c r="AK216" s="31"/>
      <c r="AL216" s="2" t="s">
        <v>266</v>
      </c>
      <c r="AM216" s="2" t="s">
        <v>273</v>
      </c>
      <c r="AN216" s="2">
        <v>18.239999999999998</v>
      </c>
      <c r="AO216" s="2">
        <v>12</v>
      </c>
      <c r="AP216" s="2" t="s">
        <v>9</v>
      </c>
      <c r="AQ216" s="2">
        <f t="shared" ref="AQ216:AQ218" si="106">AN216*AO216</f>
        <v>218.88</v>
      </c>
      <c r="AR216" s="2"/>
      <c r="BL216" s="31"/>
      <c r="BM216" s="57" t="s">
        <v>171</v>
      </c>
      <c r="BN216" s="57">
        <v>10</v>
      </c>
      <c r="BO216" s="57">
        <v>141</v>
      </c>
      <c r="BP216" s="57">
        <v>10</v>
      </c>
      <c r="BQ216" s="57" t="s">
        <v>708</v>
      </c>
      <c r="BR216" s="57">
        <f t="shared" si="104"/>
        <v>1410</v>
      </c>
      <c r="BS216" s="57"/>
      <c r="BU216" s="22"/>
    </row>
    <row r="217" spans="28:81" x14ac:dyDescent="0.25">
      <c r="AB217" s="31"/>
      <c r="AC217" s="2" t="s">
        <v>264</v>
      </c>
      <c r="AD217" s="2">
        <v>4</v>
      </c>
      <c r="AE217" s="2">
        <v>45</v>
      </c>
      <c r="AF217" s="2">
        <v>4</v>
      </c>
      <c r="AG217" s="2" t="s">
        <v>9</v>
      </c>
      <c r="AH217" s="2">
        <f t="shared" si="105"/>
        <v>180</v>
      </c>
      <c r="AI217" s="2"/>
      <c r="AK217" s="31"/>
      <c r="AL217" s="2" t="s">
        <v>25</v>
      </c>
      <c r="AM217" s="2" t="s">
        <v>156</v>
      </c>
      <c r="AN217" s="2">
        <v>28.56</v>
      </c>
      <c r="AO217" s="2">
        <v>10</v>
      </c>
      <c r="AP217" s="2" t="s">
        <v>9</v>
      </c>
      <c r="AQ217" s="2">
        <f t="shared" si="106"/>
        <v>285.59999999999997</v>
      </c>
      <c r="AR217" s="2"/>
      <c r="BL217" s="31"/>
      <c r="BM217" s="32" t="s">
        <v>10</v>
      </c>
      <c r="BN217" s="33"/>
      <c r="BO217" s="34"/>
      <c r="BP217" s="59"/>
      <c r="BQ217" s="59"/>
      <c r="BR217" s="65">
        <f>SUM(BR211:BR216)</f>
        <v>4574.6000000000004</v>
      </c>
      <c r="BS217" s="57"/>
      <c r="BU217" s="22"/>
    </row>
    <row r="218" spans="28:81" x14ac:dyDescent="0.25">
      <c r="AB218" s="31"/>
      <c r="AC218" s="2" t="s">
        <v>222</v>
      </c>
      <c r="AD218" s="2">
        <v>10</v>
      </c>
      <c r="AE218" s="2">
        <v>99</v>
      </c>
      <c r="AF218" s="2">
        <v>10</v>
      </c>
      <c r="AG218" s="2" t="s">
        <v>9</v>
      </c>
      <c r="AH218" s="2">
        <f t="shared" si="105"/>
        <v>990</v>
      </c>
      <c r="AI218" s="2"/>
      <c r="AK218" s="31"/>
      <c r="AL218" s="2" t="s">
        <v>264</v>
      </c>
      <c r="AM218" s="2" t="s">
        <v>85</v>
      </c>
      <c r="AN218" s="2">
        <v>45</v>
      </c>
      <c r="AO218" s="2">
        <v>4</v>
      </c>
      <c r="AP218" s="2" t="s">
        <v>9</v>
      </c>
      <c r="AQ218" s="2">
        <f t="shared" si="106"/>
        <v>180</v>
      </c>
      <c r="AR218" s="2"/>
      <c r="BU218" s="22"/>
    </row>
    <row r="219" spans="28:81" x14ac:dyDescent="0.25">
      <c r="AB219" s="31"/>
      <c r="AC219" s="2"/>
      <c r="AD219" s="2"/>
      <c r="AE219" s="2"/>
      <c r="AF219" s="2"/>
      <c r="AG219" s="2"/>
      <c r="AH219" s="2"/>
      <c r="AI219" s="2"/>
      <c r="AK219" s="31"/>
      <c r="AL219" s="2"/>
      <c r="AM219" s="2"/>
      <c r="AN219" s="2"/>
      <c r="AO219" s="2"/>
      <c r="AP219" s="2"/>
      <c r="AQ219" s="2"/>
      <c r="AR219" s="2"/>
      <c r="BL219" s="57" t="s">
        <v>101</v>
      </c>
      <c r="BM219" s="57" t="s">
        <v>0</v>
      </c>
      <c r="BN219" s="57" t="s">
        <v>1</v>
      </c>
      <c r="BO219" s="57" t="s">
        <v>2</v>
      </c>
      <c r="BP219" s="57" t="s">
        <v>3</v>
      </c>
      <c r="BQ219" s="57"/>
      <c r="BR219" s="57" t="s">
        <v>4</v>
      </c>
      <c r="BS219" s="57" t="s">
        <v>5</v>
      </c>
      <c r="BU219" s="22"/>
    </row>
    <row r="220" spans="28:81" x14ac:dyDescent="0.25">
      <c r="AB220" s="31"/>
      <c r="AC220" s="32" t="s">
        <v>10</v>
      </c>
      <c r="AD220" s="33"/>
      <c r="AE220" s="34"/>
      <c r="AF220" s="6"/>
      <c r="AG220" s="6"/>
      <c r="AH220" s="7">
        <f>SUM(AH215:AH219)</f>
        <v>2857.5</v>
      </c>
      <c r="AI220" s="2"/>
      <c r="AK220" s="31"/>
      <c r="AL220" s="32" t="s">
        <v>10</v>
      </c>
      <c r="AM220" s="33"/>
      <c r="AN220" s="34"/>
      <c r="AO220" s="6"/>
      <c r="AP220" s="6"/>
      <c r="AQ220" s="7">
        <f>SUM(AQ215:AQ219)</f>
        <v>1572.48</v>
      </c>
      <c r="AR220" s="2"/>
      <c r="BL220" s="31" t="s">
        <v>1013</v>
      </c>
      <c r="BM220" s="57" t="s">
        <v>1014</v>
      </c>
      <c r="BN220" s="57"/>
      <c r="BO220" s="57">
        <v>230</v>
      </c>
      <c r="BP220" s="57">
        <v>1</v>
      </c>
      <c r="BQ220" s="57" t="s">
        <v>53</v>
      </c>
      <c r="BR220" s="57">
        <f>BO220*BP220</f>
        <v>230</v>
      </c>
      <c r="BS220" s="57"/>
      <c r="BU220" s="22"/>
    </row>
    <row r="221" spans="28:81" x14ac:dyDescent="0.25">
      <c r="BL221" s="31"/>
      <c r="BM221" s="57" t="s">
        <v>785</v>
      </c>
      <c r="BN221" s="57"/>
      <c r="BO221" s="57">
        <v>100</v>
      </c>
      <c r="BP221" s="57">
        <v>4</v>
      </c>
      <c r="BQ221" s="57" t="s">
        <v>53</v>
      </c>
      <c r="BR221" s="57">
        <f t="shared" ref="BR221:BR224" si="107">BO221*BP221</f>
        <v>400</v>
      </c>
      <c r="BS221" s="57"/>
    </row>
    <row r="222" spans="28:81" x14ac:dyDescent="0.25">
      <c r="AB222" s="2" t="s">
        <v>11</v>
      </c>
      <c r="AC222" s="2" t="s">
        <v>0</v>
      </c>
      <c r="AD222" s="2" t="s">
        <v>1</v>
      </c>
      <c r="AE222" s="2" t="s">
        <v>2</v>
      </c>
      <c r="AF222" s="2" t="s">
        <v>3</v>
      </c>
      <c r="AG222" s="2"/>
      <c r="AH222" s="2" t="s">
        <v>4</v>
      </c>
      <c r="AI222" s="2" t="s">
        <v>5</v>
      </c>
      <c r="AK222" s="2" t="s">
        <v>90</v>
      </c>
      <c r="AL222" s="2" t="s">
        <v>0</v>
      </c>
      <c r="AM222" s="2" t="s">
        <v>1</v>
      </c>
      <c r="AN222" s="2" t="s">
        <v>2</v>
      </c>
      <c r="AO222" s="2" t="s">
        <v>3</v>
      </c>
      <c r="AP222" s="2"/>
      <c r="AQ222" s="2" t="s">
        <v>4</v>
      </c>
      <c r="AR222" s="2" t="s">
        <v>5</v>
      </c>
      <c r="BL222" s="31"/>
      <c r="BM222" s="57" t="s">
        <v>1015</v>
      </c>
      <c r="BN222" s="57"/>
      <c r="BO222" s="57">
        <v>45</v>
      </c>
      <c r="BP222" s="57">
        <v>2</v>
      </c>
      <c r="BQ222" s="57" t="s">
        <v>53</v>
      </c>
      <c r="BR222" s="57">
        <f t="shared" si="107"/>
        <v>90</v>
      </c>
      <c r="BS222" s="57"/>
      <c r="CC222"/>
    </row>
    <row r="223" spans="28:81" x14ac:dyDescent="0.25">
      <c r="AB223" s="31" t="s">
        <v>743</v>
      </c>
      <c r="AC223" s="2" t="s">
        <v>459</v>
      </c>
      <c r="AD223" s="2">
        <v>700</v>
      </c>
      <c r="AE223" s="2"/>
      <c r="AF223" s="23"/>
      <c r="AG223" s="2" t="s">
        <v>744</v>
      </c>
      <c r="AH223" s="2">
        <f>AE223*AF223</f>
        <v>0</v>
      </c>
      <c r="AI223" s="2"/>
      <c r="AK223" s="31" t="s">
        <v>747</v>
      </c>
      <c r="AL223" s="2" t="s">
        <v>322</v>
      </c>
      <c r="AM223" s="2">
        <v>6</v>
      </c>
      <c r="AN223" s="2">
        <v>150</v>
      </c>
      <c r="AO223" s="2">
        <v>6</v>
      </c>
      <c r="AP223" s="2" t="s">
        <v>748</v>
      </c>
      <c r="AQ223" s="2">
        <f>AN223*AO223</f>
        <v>900</v>
      </c>
      <c r="AR223" s="2"/>
      <c r="BL223" s="31"/>
      <c r="BM223" s="57" t="s">
        <v>1016</v>
      </c>
      <c r="BN223" s="57"/>
      <c r="BO223" s="57">
        <v>100</v>
      </c>
      <c r="BP223" s="57">
        <v>3</v>
      </c>
      <c r="BQ223" s="57" t="s">
        <v>9</v>
      </c>
      <c r="BR223" s="57">
        <f t="shared" si="107"/>
        <v>300</v>
      </c>
      <c r="BS223" s="57"/>
      <c r="CC223"/>
    </row>
    <row r="224" spans="28:81" x14ac:dyDescent="0.25">
      <c r="AB224" s="31"/>
      <c r="AC224" s="2" t="s">
        <v>457</v>
      </c>
      <c r="AD224" s="2">
        <v>15</v>
      </c>
      <c r="AE224" s="2">
        <v>60</v>
      </c>
      <c r="AF224" s="2">
        <v>15</v>
      </c>
      <c r="AG224" s="2" t="s">
        <v>9</v>
      </c>
      <c r="AH224" s="2">
        <f t="shared" ref="AH224:AH226" si="108">AE224*AF224</f>
        <v>900</v>
      </c>
      <c r="AI224" s="2"/>
      <c r="AK224" s="31"/>
      <c r="AL224" s="2" t="s">
        <v>84</v>
      </c>
      <c r="AM224" s="2">
        <v>3</v>
      </c>
      <c r="AN224" s="2">
        <v>85</v>
      </c>
      <c r="AO224" s="2">
        <v>3</v>
      </c>
      <c r="AP224" s="2" t="s">
        <v>9</v>
      </c>
      <c r="AQ224" s="2">
        <f t="shared" ref="AQ224:AQ226" si="109">AN224*AO224</f>
        <v>255</v>
      </c>
      <c r="AR224" s="2"/>
      <c r="BL224" s="31"/>
      <c r="BM224" s="57" t="s">
        <v>1017</v>
      </c>
      <c r="BN224" s="57"/>
      <c r="BO224" s="57">
        <v>44.1</v>
      </c>
      <c r="BP224" s="57">
        <v>10</v>
      </c>
      <c r="BQ224" s="57" t="s">
        <v>9</v>
      </c>
      <c r="BR224" s="57">
        <f t="shared" si="107"/>
        <v>441</v>
      </c>
      <c r="BS224" s="57"/>
      <c r="CC224"/>
    </row>
    <row r="225" spans="28:81" x14ac:dyDescent="0.25">
      <c r="AB225" s="31"/>
      <c r="AC225" s="2" t="s">
        <v>745</v>
      </c>
      <c r="AD225" s="2">
        <v>10</v>
      </c>
      <c r="AE225" s="2">
        <v>48</v>
      </c>
      <c r="AF225" s="2">
        <v>10</v>
      </c>
      <c r="AG225" s="2" t="s">
        <v>9</v>
      </c>
      <c r="AH225" s="2">
        <f t="shared" si="108"/>
        <v>480</v>
      </c>
      <c r="AI225" s="2"/>
      <c r="AK225" s="31"/>
      <c r="AL225" s="2" t="s">
        <v>38</v>
      </c>
      <c r="AM225" s="2">
        <v>1</v>
      </c>
      <c r="AN225" s="2">
        <v>13.5</v>
      </c>
      <c r="AO225" s="2">
        <v>1</v>
      </c>
      <c r="AP225" s="2" t="s">
        <v>9</v>
      </c>
      <c r="AQ225" s="3">
        <f t="shared" si="109"/>
        <v>13.5</v>
      </c>
      <c r="AR225" s="2"/>
      <c r="BL225" s="31"/>
      <c r="BM225" s="32"/>
      <c r="BN225" s="33"/>
      <c r="BO225" s="34"/>
      <c r="BP225" s="59"/>
      <c r="BQ225" s="59"/>
      <c r="BR225" s="66">
        <f>SUM(BR220:BR224)</f>
        <v>1461</v>
      </c>
      <c r="BS225" s="57"/>
      <c r="CC225"/>
    </row>
    <row r="226" spans="28:81" x14ac:dyDescent="0.25">
      <c r="AB226" s="31"/>
      <c r="AC226" s="2" t="s">
        <v>216</v>
      </c>
      <c r="AD226" s="2">
        <v>4</v>
      </c>
      <c r="AE226" s="2">
        <v>98.4</v>
      </c>
      <c r="AF226" s="2">
        <v>20</v>
      </c>
      <c r="AG226" s="2" t="s">
        <v>9</v>
      </c>
      <c r="AH226" s="2">
        <f t="shared" si="108"/>
        <v>1968</v>
      </c>
      <c r="AI226" s="2"/>
      <c r="AK226" s="31"/>
      <c r="AL226" s="2" t="s">
        <v>720</v>
      </c>
      <c r="AM226" s="2">
        <v>2</v>
      </c>
      <c r="AN226" s="2">
        <v>220</v>
      </c>
      <c r="AO226" s="6">
        <v>3</v>
      </c>
      <c r="AP226" s="6" t="s">
        <v>144</v>
      </c>
      <c r="AQ226" s="2">
        <f t="shared" si="109"/>
        <v>660</v>
      </c>
      <c r="AR226" s="2"/>
      <c r="CC226"/>
    </row>
    <row r="227" spans="28:81" x14ac:dyDescent="0.25">
      <c r="AB227" s="31"/>
      <c r="AC227" s="2"/>
      <c r="AD227" s="2"/>
      <c r="AE227" s="2"/>
      <c r="AF227" s="2"/>
      <c r="AG227" s="2"/>
      <c r="AH227" s="2"/>
      <c r="AI227" s="2"/>
      <c r="AK227" s="31"/>
      <c r="AL227" s="32" t="s">
        <v>10</v>
      </c>
      <c r="AM227" s="33"/>
      <c r="AN227" s="34"/>
      <c r="AO227" s="6"/>
      <c r="AP227" s="6"/>
      <c r="AQ227" s="7">
        <f>SUM(AQ223:AQ226)</f>
        <v>1828.5</v>
      </c>
      <c r="AR227" s="2"/>
      <c r="BL227" s="57" t="s">
        <v>101</v>
      </c>
      <c r="BM227" s="57" t="s">
        <v>0</v>
      </c>
      <c r="BN227" s="57" t="s">
        <v>1</v>
      </c>
      <c r="BO227" s="57" t="s">
        <v>2</v>
      </c>
      <c r="BP227" s="57" t="s">
        <v>3</v>
      </c>
      <c r="BQ227" s="57"/>
      <c r="BR227" s="57" t="s">
        <v>4</v>
      </c>
      <c r="BS227" s="57" t="s">
        <v>5</v>
      </c>
      <c r="CC227"/>
    </row>
    <row r="228" spans="28:81" x14ac:dyDescent="0.25">
      <c r="AB228" s="31"/>
      <c r="AC228" s="32" t="s">
        <v>10</v>
      </c>
      <c r="AD228" s="33"/>
      <c r="AE228" s="34"/>
      <c r="AF228" s="6"/>
      <c r="AG228" s="6"/>
      <c r="AH228" s="7">
        <f>SUM(AH223:AH227)</f>
        <v>3348</v>
      </c>
      <c r="AI228" s="2"/>
      <c r="BL228" s="31" t="s">
        <v>1023</v>
      </c>
      <c r="BM228" s="57" t="s">
        <v>278</v>
      </c>
      <c r="BN228" s="57" t="s">
        <v>23</v>
      </c>
      <c r="BO228" s="57">
        <v>141</v>
      </c>
      <c r="BP228" s="57">
        <v>20</v>
      </c>
      <c r="BQ228" s="51" t="s">
        <v>9</v>
      </c>
      <c r="BR228" s="58">
        <f>BO228*BP228</f>
        <v>2820</v>
      </c>
      <c r="BS228" s="57"/>
    </row>
    <row r="229" spans="28:81" x14ac:dyDescent="0.25">
      <c r="AK229" s="2" t="s">
        <v>11</v>
      </c>
      <c r="AL229" s="2" t="s">
        <v>0</v>
      </c>
      <c r="AM229" s="2" t="s">
        <v>1</v>
      </c>
      <c r="AN229" s="2" t="s">
        <v>2</v>
      </c>
      <c r="AO229" s="2" t="s">
        <v>3</v>
      </c>
      <c r="AP229" s="2"/>
      <c r="AQ229" s="2" t="s">
        <v>4</v>
      </c>
      <c r="AR229" s="2" t="s">
        <v>5</v>
      </c>
      <c r="BL229" s="31"/>
      <c r="BM229" s="57"/>
      <c r="BN229" s="57"/>
      <c r="BO229" s="57"/>
      <c r="BP229" s="57"/>
      <c r="BQ229" s="57"/>
      <c r="BR229" s="58"/>
      <c r="BS229" s="57"/>
    </row>
    <row r="230" spans="28:81" x14ac:dyDescent="0.25">
      <c r="AB230" s="2" t="s">
        <v>90</v>
      </c>
      <c r="AC230" s="2" t="s">
        <v>0</v>
      </c>
      <c r="AD230" s="2" t="s">
        <v>1</v>
      </c>
      <c r="AE230" s="2" t="s">
        <v>2</v>
      </c>
      <c r="AF230" s="2" t="s">
        <v>3</v>
      </c>
      <c r="AG230" s="2"/>
      <c r="AH230" s="2" t="s">
        <v>4</v>
      </c>
      <c r="AI230" s="2" t="s">
        <v>5</v>
      </c>
      <c r="AK230" s="31" t="s">
        <v>284</v>
      </c>
      <c r="AL230" s="13" t="s">
        <v>286</v>
      </c>
      <c r="AM230" s="2">
        <v>60</v>
      </c>
      <c r="AN230" s="2">
        <v>11</v>
      </c>
      <c r="AO230" s="48"/>
      <c r="AP230" s="2" t="s">
        <v>9</v>
      </c>
      <c r="AQ230" s="2"/>
      <c r="AR230" s="2"/>
      <c r="BL230" s="31"/>
      <c r="BM230" s="57"/>
      <c r="BN230" s="57"/>
      <c r="BO230" s="57"/>
      <c r="BP230" s="57"/>
      <c r="BQ230" s="57"/>
      <c r="BR230" s="57"/>
      <c r="BS230" s="57"/>
    </row>
    <row r="231" spans="28:81" x14ac:dyDescent="0.25">
      <c r="AB231" s="31" t="s">
        <v>749</v>
      </c>
      <c r="AC231" s="2" t="s">
        <v>750</v>
      </c>
      <c r="AD231" s="2">
        <v>1</v>
      </c>
      <c r="AE231" s="2">
        <v>50.4</v>
      </c>
      <c r="AF231" s="2">
        <v>20</v>
      </c>
      <c r="AG231" s="2" t="s">
        <v>9</v>
      </c>
      <c r="AH231" s="2">
        <f>AE231*AF231</f>
        <v>1008</v>
      </c>
      <c r="AI231" s="2"/>
      <c r="AK231" s="31"/>
      <c r="AL231" s="2" t="s">
        <v>285</v>
      </c>
      <c r="AM231" s="2">
        <v>60</v>
      </c>
      <c r="AN231" s="2">
        <v>11</v>
      </c>
      <c r="AO231" s="2">
        <v>60</v>
      </c>
      <c r="AP231" s="2" t="s">
        <v>63</v>
      </c>
      <c r="AQ231" s="2">
        <f>AN231*AO231</f>
        <v>660</v>
      </c>
      <c r="AR231" s="2"/>
      <c r="BL231" s="31"/>
      <c r="BM231" s="32" t="s">
        <v>10</v>
      </c>
      <c r="BN231" s="33"/>
      <c r="BO231" s="34"/>
      <c r="BP231" s="59"/>
      <c r="BQ231" s="59"/>
      <c r="BR231" s="65">
        <f>SUM(BR228:BR230)</f>
        <v>2820</v>
      </c>
      <c r="BS231" s="57"/>
    </row>
    <row r="232" spans="28:81" x14ac:dyDescent="0.25">
      <c r="AB232" s="31"/>
      <c r="AC232" s="2" t="s">
        <v>636</v>
      </c>
      <c r="AD232" s="2">
        <v>8</v>
      </c>
      <c r="AE232" s="2">
        <v>135</v>
      </c>
      <c r="AF232" s="2">
        <v>8</v>
      </c>
      <c r="AG232" s="2" t="s">
        <v>9</v>
      </c>
      <c r="AH232" s="2">
        <f t="shared" ref="AH232:AH233" si="110">AE232*AF232</f>
        <v>1080</v>
      </c>
      <c r="AI232" s="2"/>
      <c r="AK232" s="31"/>
      <c r="AL232" s="2"/>
      <c r="AM232" s="2"/>
      <c r="AN232" s="2"/>
      <c r="AO232" s="2"/>
      <c r="AP232" s="2"/>
      <c r="AQ232" s="2"/>
      <c r="AR232" s="2"/>
    </row>
    <row r="233" spans="28:81" x14ac:dyDescent="0.25">
      <c r="AB233" s="31"/>
      <c r="AC233" s="2" t="s">
        <v>751</v>
      </c>
      <c r="AD233" s="2">
        <v>15</v>
      </c>
      <c r="AE233" s="2">
        <v>108</v>
      </c>
      <c r="AF233" s="2">
        <v>15</v>
      </c>
      <c r="AG233" s="2" t="s">
        <v>9</v>
      </c>
      <c r="AH233" s="2">
        <f t="shared" si="110"/>
        <v>1620</v>
      </c>
      <c r="AI233" s="2"/>
      <c r="AK233" s="31"/>
      <c r="AL233" s="2"/>
      <c r="AM233" s="2"/>
      <c r="AN233" s="2"/>
      <c r="AO233" s="2"/>
      <c r="AP233" s="2"/>
      <c r="AQ233" s="2"/>
      <c r="AR233" s="2"/>
    </row>
    <row r="234" spans="28:81" x14ac:dyDescent="0.25">
      <c r="AB234" s="31"/>
      <c r="AC234" s="2"/>
      <c r="AD234" s="2"/>
      <c r="AE234" s="2"/>
      <c r="AF234" s="6"/>
      <c r="AG234" s="6"/>
      <c r="AH234" s="2"/>
      <c r="AI234" s="2"/>
      <c r="AK234" s="31"/>
      <c r="AL234" s="2"/>
      <c r="AM234" s="2"/>
      <c r="AN234" s="2"/>
      <c r="AO234" s="2"/>
      <c r="AP234" s="2"/>
      <c r="AQ234" s="2"/>
      <c r="AR234" s="2"/>
    </row>
    <row r="235" spans="28:81" x14ac:dyDescent="0.25">
      <c r="AB235" s="31"/>
      <c r="AC235" s="32" t="s">
        <v>10</v>
      </c>
      <c r="AD235" s="33"/>
      <c r="AE235" s="34"/>
      <c r="AF235" s="6"/>
      <c r="AG235" s="6"/>
      <c r="AH235" s="14">
        <f>SUM(AH231:AH234)</f>
        <v>3708</v>
      </c>
      <c r="AI235" s="2"/>
      <c r="AK235" s="31"/>
      <c r="AL235" s="32" t="s">
        <v>10</v>
      </c>
      <c r="AM235" s="33"/>
      <c r="AN235" s="34"/>
      <c r="AO235" s="6"/>
      <c r="AP235" s="6"/>
      <c r="AQ235" s="7">
        <f>SUM(AQ230:AQ234)</f>
        <v>660</v>
      </c>
      <c r="AR235" s="2"/>
    </row>
    <row r="237" spans="28:81" x14ac:dyDescent="0.25">
      <c r="AB237" s="2" t="s">
        <v>90</v>
      </c>
      <c r="AC237" s="2" t="s">
        <v>0</v>
      </c>
      <c r="AD237" s="2" t="s">
        <v>1</v>
      </c>
      <c r="AE237" s="2" t="s">
        <v>2</v>
      </c>
      <c r="AF237" s="2" t="s">
        <v>3</v>
      </c>
      <c r="AG237" s="2"/>
      <c r="AH237" s="2" t="s">
        <v>4</v>
      </c>
      <c r="AI237" s="2" t="s">
        <v>5</v>
      </c>
      <c r="AK237" s="2" t="s">
        <v>11</v>
      </c>
      <c r="AL237" s="2" t="s">
        <v>0</v>
      </c>
      <c r="AM237" s="2" t="s">
        <v>1</v>
      </c>
      <c r="AN237" s="2" t="s">
        <v>2</v>
      </c>
      <c r="AO237" s="2" t="s">
        <v>3</v>
      </c>
      <c r="AP237" s="2"/>
      <c r="AQ237" s="2" t="s">
        <v>4</v>
      </c>
      <c r="AR237" s="2" t="s">
        <v>5</v>
      </c>
    </row>
    <row r="238" spans="28:81" x14ac:dyDescent="0.25">
      <c r="AB238" s="31" t="s">
        <v>767</v>
      </c>
      <c r="AC238" s="2" t="s">
        <v>612</v>
      </c>
      <c r="AD238" s="2">
        <v>5</v>
      </c>
      <c r="AE238" s="2">
        <v>64.8</v>
      </c>
      <c r="AF238" s="2">
        <v>5</v>
      </c>
      <c r="AG238" s="2" t="s">
        <v>9</v>
      </c>
      <c r="AH238" s="2">
        <f>AE238*AF238</f>
        <v>324</v>
      </c>
      <c r="AI238" s="2"/>
      <c r="AK238" s="31" t="s">
        <v>754</v>
      </c>
      <c r="AL238" s="2" t="s">
        <v>755</v>
      </c>
      <c r="AM238" s="2">
        <v>3</v>
      </c>
      <c r="AN238" s="2">
        <v>70</v>
      </c>
      <c r="AO238" s="49">
        <v>30</v>
      </c>
      <c r="AP238" s="2" t="s">
        <v>53</v>
      </c>
      <c r="AQ238" s="2">
        <f>AN238*AO238</f>
        <v>2100</v>
      </c>
      <c r="AR238" s="2"/>
    </row>
    <row r="239" spans="28:81" x14ac:dyDescent="0.25">
      <c r="AB239" s="31"/>
      <c r="AC239" s="2" t="s">
        <v>613</v>
      </c>
      <c r="AD239" s="2">
        <v>5</v>
      </c>
      <c r="AE239" s="2">
        <v>64.8</v>
      </c>
      <c r="AF239" s="2">
        <v>5</v>
      </c>
      <c r="AG239" s="2" t="s">
        <v>9</v>
      </c>
      <c r="AH239" s="2">
        <f t="shared" ref="AH239:AH241" si="111">AE239*AF239</f>
        <v>324</v>
      </c>
      <c r="AI239" s="2"/>
      <c r="AK239" s="31"/>
      <c r="AL239" s="2" t="s">
        <v>607</v>
      </c>
      <c r="AM239" s="2">
        <v>4</v>
      </c>
      <c r="AN239" s="2">
        <v>270</v>
      </c>
      <c r="AO239" s="2">
        <v>4</v>
      </c>
      <c r="AP239" s="2" t="s">
        <v>123</v>
      </c>
      <c r="AQ239" s="2">
        <f t="shared" ref="AQ239:AQ241" si="112">AN239*AO239</f>
        <v>1080</v>
      </c>
      <c r="AR239" s="2"/>
    </row>
    <row r="240" spans="28:81" x14ac:dyDescent="0.25">
      <c r="AB240" s="31"/>
      <c r="AC240" s="2" t="s">
        <v>768</v>
      </c>
      <c r="AD240" s="2">
        <v>3</v>
      </c>
      <c r="AE240" s="2">
        <v>70</v>
      </c>
      <c r="AF240" s="2">
        <v>30</v>
      </c>
      <c r="AG240" s="2" t="s">
        <v>53</v>
      </c>
      <c r="AH240" s="2">
        <f t="shared" si="111"/>
        <v>2100</v>
      </c>
      <c r="AI240" s="2"/>
      <c r="AK240" s="31"/>
      <c r="AL240" s="2" t="s">
        <v>496</v>
      </c>
      <c r="AM240" s="2">
        <v>4</v>
      </c>
      <c r="AN240" s="2">
        <v>120</v>
      </c>
      <c r="AO240" s="2">
        <v>4</v>
      </c>
      <c r="AP240" s="2" t="s">
        <v>123</v>
      </c>
      <c r="AQ240" s="2">
        <f t="shared" si="112"/>
        <v>480</v>
      </c>
      <c r="AR240" s="2"/>
    </row>
    <row r="241" spans="28:44" x14ac:dyDescent="0.25">
      <c r="AB241" s="31"/>
      <c r="AC241" s="2" t="s">
        <v>264</v>
      </c>
      <c r="AD241" s="2">
        <v>4</v>
      </c>
      <c r="AE241" s="2">
        <v>45</v>
      </c>
      <c r="AF241" s="6">
        <v>4</v>
      </c>
      <c r="AG241" s="6" t="s">
        <v>9</v>
      </c>
      <c r="AH241" s="2">
        <f t="shared" si="111"/>
        <v>180</v>
      </c>
      <c r="AI241" s="2"/>
      <c r="AK241" s="31"/>
      <c r="AL241" s="2" t="s">
        <v>756</v>
      </c>
      <c r="AM241" s="2">
        <v>15</v>
      </c>
      <c r="AN241" s="2">
        <v>75</v>
      </c>
      <c r="AO241" s="2">
        <v>15</v>
      </c>
      <c r="AP241" s="2" t="s">
        <v>9</v>
      </c>
      <c r="AQ241" s="2">
        <f t="shared" si="112"/>
        <v>1125</v>
      </c>
      <c r="AR241" s="2"/>
    </row>
    <row r="242" spans="28:44" x14ac:dyDescent="0.25">
      <c r="AB242" s="31"/>
      <c r="AC242" s="2"/>
      <c r="AD242" s="2"/>
      <c r="AE242" s="2"/>
      <c r="AF242" s="6"/>
      <c r="AG242" s="6"/>
      <c r="AH242" s="2"/>
      <c r="AI242" s="2"/>
      <c r="AK242" s="31"/>
      <c r="AL242" s="2"/>
      <c r="AM242" s="2"/>
      <c r="AN242" s="2"/>
      <c r="AO242" s="2"/>
      <c r="AP242" s="2"/>
      <c r="AQ242" s="2"/>
      <c r="AR242" s="2"/>
    </row>
    <row r="243" spans="28:44" x14ac:dyDescent="0.25">
      <c r="AB243" s="31"/>
      <c r="AC243" s="2"/>
      <c r="AD243" s="2"/>
      <c r="AE243" s="2"/>
      <c r="AF243" s="6"/>
      <c r="AG243" s="6"/>
      <c r="AH243" s="2"/>
      <c r="AI243" s="2"/>
      <c r="AK243" s="31"/>
      <c r="AL243" s="32" t="s">
        <v>10</v>
      </c>
      <c r="AM243" s="33"/>
      <c r="AN243" s="34"/>
      <c r="AO243" s="6"/>
      <c r="AP243" s="6"/>
      <c r="AQ243" s="7">
        <f>SUM(AQ238:AQ242)</f>
        <v>4785</v>
      </c>
      <c r="AR243" s="2"/>
    </row>
    <row r="244" spans="28:44" x14ac:dyDescent="0.25">
      <c r="AB244" s="31"/>
      <c r="AC244" s="32" t="s">
        <v>10</v>
      </c>
      <c r="AD244" s="33"/>
      <c r="AE244" s="34"/>
      <c r="AF244" s="6"/>
      <c r="AG244" s="6"/>
      <c r="AH244" s="7">
        <f>SUM(AH238:AH243)</f>
        <v>2928</v>
      </c>
      <c r="AI244" s="2"/>
    </row>
    <row r="245" spans="28:44" x14ac:dyDescent="0.25">
      <c r="AK245" s="2" t="s">
        <v>11</v>
      </c>
      <c r="AL245" s="2" t="s">
        <v>0</v>
      </c>
      <c r="AM245" s="2" t="s">
        <v>1</v>
      </c>
      <c r="AN245" s="2" t="s">
        <v>2</v>
      </c>
      <c r="AO245" s="2" t="s">
        <v>3</v>
      </c>
      <c r="AP245" s="2"/>
      <c r="AQ245" s="2" t="s">
        <v>4</v>
      </c>
      <c r="AR245" s="2" t="s">
        <v>5</v>
      </c>
    </row>
    <row r="246" spans="28:44" x14ac:dyDescent="0.25">
      <c r="AB246" s="2" t="s">
        <v>90</v>
      </c>
      <c r="AC246" s="2" t="s">
        <v>0</v>
      </c>
      <c r="AD246" s="2" t="s">
        <v>1</v>
      </c>
      <c r="AE246" s="2" t="s">
        <v>2</v>
      </c>
      <c r="AF246" s="2" t="s">
        <v>3</v>
      </c>
      <c r="AG246" s="2"/>
      <c r="AH246" s="2" t="s">
        <v>4</v>
      </c>
      <c r="AI246" s="2" t="s">
        <v>5</v>
      </c>
      <c r="AK246" s="31" t="s">
        <v>761</v>
      </c>
      <c r="AL246" s="2" t="s">
        <v>137</v>
      </c>
      <c r="AM246" s="2">
        <v>1</v>
      </c>
      <c r="AN246" s="2">
        <v>75</v>
      </c>
      <c r="AO246" s="2">
        <v>15</v>
      </c>
      <c r="AP246" s="2" t="s">
        <v>53</v>
      </c>
      <c r="AQ246" s="2">
        <f>AN246*AO246</f>
        <v>1125</v>
      </c>
      <c r="AR246" s="2"/>
    </row>
    <row r="247" spans="28:44" x14ac:dyDescent="0.25">
      <c r="AB247" s="31" t="s">
        <v>771</v>
      </c>
      <c r="AC247" s="2" t="s">
        <v>626</v>
      </c>
      <c r="AD247" s="2">
        <v>40</v>
      </c>
      <c r="AE247" s="2">
        <v>30.6</v>
      </c>
      <c r="AF247" s="2">
        <v>40</v>
      </c>
      <c r="AG247" s="2" t="s">
        <v>9</v>
      </c>
      <c r="AH247" s="2">
        <f>AE247*AF247</f>
        <v>1224</v>
      </c>
      <c r="AI247" s="2"/>
      <c r="AK247" s="31"/>
      <c r="AL247" s="2" t="s">
        <v>558</v>
      </c>
      <c r="AM247" s="2"/>
      <c r="AN247" s="2">
        <v>75</v>
      </c>
      <c r="AO247" s="2">
        <v>15</v>
      </c>
      <c r="AP247" s="2" t="s">
        <v>9</v>
      </c>
      <c r="AQ247" s="2">
        <f t="shared" ref="AQ247:AQ248" si="113">AN247*AO247</f>
        <v>1125</v>
      </c>
      <c r="AR247" s="2"/>
    </row>
    <row r="248" spans="28:44" x14ac:dyDescent="0.25">
      <c r="AB248" s="31"/>
      <c r="AC248" s="2" t="s">
        <v>22</v>
      </c>
      <c r="AD248" s="2">
        <v>15</v>
      </c>
      <c r="AE248" s="2">
        <v>75</v>
      </c>
      <c r="AF248" s="2">
        <v>15</v>
      </c>
      <c r="AG248" s="2" t="s">
        <v>9</v>
      </c>
      <c r="AH248" s="2">
        <f>AE248*AF248</f>
        <v>1125</v>
      </c>
      <c r="AI248" s="2"/>
      <c r="AK248" s="31"/>
      <c r="AL248" s="2" t="s">
        <v>577</v>
      </c>
      <c r="AM248" s="2">
        <v>10</v>
      </c>
      <c r="AN248" s="2">
        <v>43.8</v>
      </c>
      <c r="AO248" s="2">
        <v>10</v>
      </c>
      <c r="AP248" s="2" t="s">
        <v>9</v>
      </c>
      <c r="AQ248" s="2">
        <f t="shared" si="113"/>
        <v>438</v>
      </c>
      <c r="AR248" s="2"/>
    </row>
    <row r="249" spans="28:44" x14ac:dyDescent="0.25">
      <c r="AB249" s="31"/>
      <c r="AC249" s="2"/>
      <c r="AD249" s="2"/>
      <c r="AE249" s="2"/>
      <c r="AF249" s="2"/>
      <c r="AG249" s="2"/>
      <c r="AH249" s="2"/>
      <c r="AI249" s="2"/>
      <c r="AK249" s="31"/>
      <c r="AL249" s="2"/>
      <c r="AM249" s="2"/>
      <c r="AN249" s="2"/>
      <c r="AO249" s="2"/>
      <c r="AP249" s="2"/>
      <c r="AQ249" s="2"/>
      <c r="AR249" s="2"/>
    </row>
    <row r="250" spans="28:44" x14ac:dyDescent="0.25">
      <c r="AB250" s="31"/>
      <c r="AC250" s="2"/>
      <c r="AD250" s="2"/>
      <c r="AE250" s="2"/>
      <c r="AF250" s="6"/>
      <c r="AG250" s="6"/>
      <c r="AH250" s="2"/>
      <c r="AI250" s="2"/>
      <c r="AK250" s="31"/>
      <c r="AL250" s="2"/>
      <c r="AM250" s="2"/>
      <c r="AN250" s="2"/>
      <c r="AO250" s="2"/>
      <c r="AP250" s="2"/>
      <c r="AQ250" s="2"/>
      <c r="AR250" s="2"/>
    </row>
    <row r="251" spans="28:44" x14ac:dyDescent="0.25">
      <c r="AB251" s="31"/>
      <c r="AC251" s="32" t="s">
        <v>10</v>
      </c>
      <c r="AD251" s="33"/>
      <c r="AE251" s="34"/>
      <c r="AF251" s="6"/>
      <c r="AG251" s="6"/>
      <c r="AH251" s="14">
        <f>SUM(AH247:AH250)</f>
        <v>2349</v>
      </c>
      <c r="AI251" s="2"/>
      <c r="AK251" s="31"/>
      <c r="AL251" s="32" t="s">
        <v>10</v>
      </c>
      <c r="AM251" s="33"/>
      <c r="AN251" s="34"/>
      <c r="AO251" s="6"/>
      <c r="AP251" s="6"/>
      <c r="AQ251" s="7">
        <f>SUM(AQ246:AQ250)</f>
        <v>2688</v>
      </c>
      <c r="AR251" s="2"/>
    </row>
    <row r="253" spans="28:44" x14ac:dyDescent="0.25">
      <c r="AB253" s="2" t="s">
        <v>11</v>
      </c>
      <c r="AC253" s="2" t="s">
        <v>0</v>
      </c>
      <c r="AD253" s="2" t="s">
        <v>1</v>
      </c>
      <c r="AE253" s="2" t="s">
        <v>2</v>
      </c>
      <c r="AF253" s="2" t="s">
        <v>3</v>
      </c>
      <c r="AG253" s="2"/>
      <c r="AH253" s="2" t="s">
        <v>4</v>
      </c>
      <c r="AI253" s="2" t="s">
        <v>5</v>
      </c>
      <c r="AK253" s="2" t="s">
        <v>90</v>
      </c>
      <c r="AL253" s="2" t="s">
        <v>0</v>
      </c>
      <c r="AM253" s="2" t="s">
        <v>1</v>
      </c>
      <c r="AN253" s="2" t="s">
        <v>2</v>
      </c>
      <c r="AO253" s="2" t="s">
        <v>3</v>
      </c>
      <c r="AP253" s="2"/>
      <c r="AQ253" s="2" t="s">
        <v>4</v>
      </c>
      <c r="AR253" s="2" t="s">
        <v>5</v>
      </c>
    </row>
    <row r="254" spans="28:44" x14ac:dyDescent="0.25">
      <c r="AB254" s="31" t="s">
        <v>783</v>
      </c>
      <c r="AC254" s="2" t="s">
        <v>784</v>
      </c>
      <c r="AD254" s="2"/>
      <c r="AE254" s="2">
        <v>75</v>
      </c>
      <c r="AF254" s="2">
        <v>6</v>
      </c>
      <c r="AG254" s="2" t="s">
        <v>53</v>
      </c>
      <c r="AH254" s="2">
        <f>AE254*AF254</f>
        <v>450</v>
      </c>
      <c r="AI254" s="2"/>
      <c r="AK254" s="31" t="s">
        <v>763</v>
      </c>
      <c r="AL254" s="2" t="s">
        <v>79</v>
      </c>
      <c r="AM254" s="2">
        <v>25</v>
      </c>
      <c r="AN254" s="2">
        <v>53.1</v>
      </c>
      <c r="AO254" s="2">
        <v>25</v>
      </c>
      <c r="AP254" s="2" t="s">
        <v>9</v>
      </c>
      <c r="AQ254" s="2">
        <f>AN254*AO254</f>
        <v>1327.5</v>
      </c>
      <c r="AR254" s="2"/>
    </row>
    <row r="255" spans="28:44" x14ac:dyDescent="0.25">
      <c r="AB255" s="31"/>
      <c r="AC255" s="2" t="s">
        <v>659</v>
      </c>
      <c r="AD255" s="2"/>
      <c r="AE255" s="2">
        <v>108</v>
      </c>
      <c r="AF255" s="2">
        <v>20</v>
      </c>
      <c r="AG255" s="2" t="s">
        <v>708</v>
      </c>
      <c r="AH255" s="2">
        <f>AE255*AF255</f>
        <v>2160</v>
      </c>
      <c r="AI255" s="2"/>
      <c r="AK255" s="31"/>
      <c r="AL255" s="2" t="s">
        <v>762</v>
      </c>
      <c r="AM255" s="2">
        <v>15</v>
      </c>
      <c r="AN255" s="2">
        <v>75</v>
      </c>
      <c r="AO255" s="2">
        <v>15</v>
      </c>
      <c r="AP255" s="2" t="s">
        <v>9</v>
      </c>
      <c r="AQ255" s="2">
        <f t="shared" ref="AQ255:AQ256" si="114">AN255*AO255</f>
        <v>1125</v>
      </c>
      <c r="AR255" s="2"/>
    </row>
    <row r="256" spans="28:44" x14ac:dyDescent="0.25">
      <c r="AB256" s="31"/>
      <c r="AC256" s="2" t="s">
        <v>785</v>
      </c>
      <c r="AD256" s="2"/>
      <c r="AE256" s="2">
        <v>100</v>
      </c>
      <c r="AF256" s="2">
        <v>12</v>
      </c>
      <c r="AG256" s="2" t="s">
        <v>53</v>
      </c>
      <c r="AH256" s="2">
        <f>AE256*AF256</f>
        <v>1200</v>
      </c>
      <c r="AI256" s="2"/>
      <c r="AK256" s="31"/>
      <c r="AL256" s="2" t="s">
        <v>84</v>
      </c>
      <c r="AM256" s="2">
        <v>4</v>
      </c>
      <c r="AN256" s="2">
        <v>85</v>
      </c>
      <c r="AO256" s="2">
        <v>4</v>
      </c>
      <c r="AP256" s="2" t="s">
        <v>9</v>
      </c>
      <c r="AQ256" s="2">
        <f t="shared" si="114"/>
        <v>340</v>
      </c>
      <c r="AR256" s="2"/>
    </row>
    <row r="257" spans="28:44" x14ac:dyDescent="0.25">
      <c r="AB257" s="31"/>
      <c r="AC257" s="2"/>
      <c r="AD257" s="2"/>
      <c r="AE257" s="2"/>
      <c r="AF257" s="2"/>
      <c r="AG257" s="2"/>
      <c r="AH257" s="2"/>
      <c r="AI257" s="2"/>
      <c r="AK257" s="31"/>
      <c r="AL257" s="2"/>
      <c r="AM257" s="2"/>
      <c r="AN257" s="2"/>
      <c r="AO257" s="6"/>
      <c r="AP257" s="6" t="s">
        <v>9</v>
      </c>
      <c r="AQ257" s="2"/>
      <c r="AR257" s="2"/>
    </row>
    <row r="258" spans="28:44" x14ac:dyDescent="0.25">
      <c r="AB258" s="31"/>
      <c r="AC258" s="2"/>
      <c r="AD258" s="2"/>
      <c r="AE258" s="2"/>
      <c r="AF258" s="2"/>
      <c r="AG258" s="2"/>
      <c r="AH258" s="2"/>
      <c r="AI258" s="2"/>
      <c r="AK258" s="31"/>
      <c r="AL258" s="2"/>
      <c r="AM258" s="2"/>
      <c r="AN258" s="2"/>
      <c r="AO258" s="6"/>
      <c r="AP258" s="6" t="s">
        <v>9</v>
      </c>
      <c r="AQ258" s="2"/>
      <c r="AR258" s="2"/>
    </row>
    <row r="259" spans="28:44" x14ac:dyDescent="0.25">
      <c r="AB259" s="31"/>
      <c r="AC259" s="32" t="s">
        <v>10</v>
      </c>
      <c r="AD259" s="33"/>
      <c r="AE259" s="34"/>
      <c r="AF259" s="6"/>
      <c r="AG259" s="6"/>
      <c r="AH259" s="7">
        <f>SUM(AH254:AH258)</f>
        <v>3810</v>
      </c>
      <c r="AI259" s="2"/>
      <c r="AK259" s="31"/>
      <c r="AL259" s="2"/>
      <c r="AM259" s="2"/>
      <c r="AN259" s="2"/>
      <c r="AO259" s="6"/>
      <c r="AP259" s="6"/>
      <c r="AQ259" s="2"/>
      <c r="AR259" s="2"/>
    </row>
    <row r="260" spans="28:44" x14ac:dyDescent="0.25">
      <c r="AK260" s="31"/>
      <c r="AL260" s="32" t="s">
        <v>10</v>
      </c>
      <c r="AM260" s="33"/>
      <c r="AN260" s="34"/>
      <c r="AO260" s="6"/>
      <c r="AP260" s="6"/>
      <c r="AQ260" s="7">
        <f>SUM(AQ254:AQ259)</f>
        <v>2792.5</v>
      </c>
      <c r="AR260" s="2"/>
    </row>
    <row r="261" spans="28:44" x14ac:dyDescent="0.25">
      <c r="AB261" s="2" t="s">
        <v>11</v>
      </c>
      <c r="AC261" s="2" t="s">
        <v>0</v>
      </c>
      <c r="AD261" s="2" t="s">
        <v>1</v>
      </c>
      <c r="AE261" s="2" t="s">
        <v>2</v>
      </c>
      <c r="AF261" s="2" t="s">
        <v>3</v>
      </c>
      <c r="AG261" s="2"/>
      <c r="AH261" s="2" t="s">
        <v>4</v>
      </c>
      <c r="AI261" s="2" t="s">
        <v>5</v>
      </c>
    </row>
    <row r="262" spans="28:44" x14ac:dyDescent="0.25">
      <c r="AB262" s="31" t="s">
        <v>786</v>
      </c>
      <c r="AC262" s="2" t="s">
        <v>518</v>
      </c>
      <c r="AD262" s="2">
        <v>50</v>
      </c>
      <c r="AE262" s="2">
        <v>16</v>
      </c>
      <c r="AF262" s="49">
        <v>50</v>
      </c>
      <c r="AG262" s="2" t="s">
        <v>50</v>
      </c>
      <c r="AH262" s="2">
        <f>AE262*AF262</f>
        <v>800</v>
      </c>
      <c r="AI262" s="2"/>
      <c r="AK262" s="2" t="s">
        <v>11</v>
      </c>
      <c r="AL262" s="2" t="s">
        <v>0</v>
      </c>
      <c r="AM262" s="2" t="s">
        <v>1</v>
      </c>
      <c r="AN262" s="2" t="s">
        <v>2</v>
      </c>
      <c r="AO262" s="2" t="s">
        <v>3</v>
      </c>
      <c r="AP262" s="2"/>
      <c r="AQ262" s="2" t="s">
        <v>4</v>
      </c>
      <c r="AR262" s="2" t="s">
        <v>5</v>
      </c>
    </row>
    <row r="263" spans="28:44" x14ac:dyDescent="0.25">
      <c r="AB263" s="31"/>
      <c r="AC263" s="2" t="s">
        <v>325</v>
      </c>
      <c r="AD263" s="2">
        <v>150</v>
      </c>
      <c r="AE263" s="2">
        <v>12</v>
      </c>
      <c r="AF263" s="2">
        <v>150</v>
      </c>
      <c r="AG263" s="2" t="s">
        <v>770</v>
      </c>
      <c r="AH263" s="2">
        <f t="shared" ref="AH263" si="115">AE263*AF263</f>
        <v>1800</v>
      </c>
      <c r="AI263" s="2"/>
      <c r="AK263" s="31" t="s">
        <v>764</v>
      </c>
      <c r="AL263" s="2" t="s">
        <v>750</v>
      </c>
      <c r="AM263" s="2">
        <v>2</v>
      </c>
      <c r="AN263" s="2">
        <v>50.4</v>
      </c>
      <c r="AO263" s="2">
        <v>20</v>
      </c>
      <c r="AP263" s="2" t="s">
        <v>9</v>
      </c>
      <c r="AQ263" s="2">
        <f>AN263*AO263</f>
        <v>1008</v>
      </c>
      <c r="AR263" s="2" t="s">
        <v>392</v>
      </c>
    </row>
    <row r="264" spans="28:44" x14ac:dyDescent="0.25">
      <c r="AB264" s="31"/>
      <c r="AC264" s="2"/>
      <c r="AD264" s="2"/>
      <c r="AE264" s="2"/>
      <c r="AF264" s="2"/>
      <c r="AG264" s="2"/>
      <c r="AH264" s="2"/>
      <c r="AI264" s="2"/>
      <c r="AK264" s="31"/>
      <c r="AL264" s="2"/>
      <c r="AM264" s="2"/>
      <c r="AN264" s="2"/>
      <c r="AO264" s="2"/>
      <c r="AP264" s="2"/>
      <c r="AQ264" s="2">
        <f t="shared" ref="AQ264:AQ266" si="116">AN264*AO264</f>
        <v>0</v>
      </c>
      <c r="AR264" s="2"/>
    </row>
    <row r="265" spans="28:44" x14ac:dyDescent="0.25">
      <c r="AB265" s="31"/>
      <c r="AC265" s="2"/>
      <c r="AD265" s="2"/>
      <c r="AE265" s="2"/>
      <c r="AF265" s="2"/>
      <c r="AG265" s="2"/>
      <c r="AH265" s="2"/>
      <c r="AI265" s="2"/>
      <c r="AK265" s="31"/>
      <c r="AL265" s="2"/>
      <c r="AM265" s="2"/>
      <c r="AN265" s="2"/>
      <c r="AO265" s="2"/>
      <c r="AP265" s="2"/>
      <c r="AQ265" s="2">
        <f t="shared" si="116"/>
        <v>0</v>
      </c>
      <c r="AR265" s="2"/>
    </row>
    <row r="266" spans="28:44" x14ac:dyDescent="0.25">
      <c r="AB266" s="31"/>
      <c r="AC266" s="2"/>
      <c r="AD266" s="2"/>
      <c r="AE266" s="2"/>
      <c r="AF266" s="2"/>
      <c r="AG266" s="2"/>
      <c r="AH266" s="2"/>
      <c r="AI266" s="2"/>
      <c r="AK266" s="31"/>
      <c r="AL266" s="2"/>
      <c r="AM266" s="2"/>
      <c r="AN266" s="2"/>
      <c r="AO266" s="2"/>
      <c r="AP266" s="2"/>
      <c r="AQ266" s="2">
        <f t="shared" si="116"/>
        <v>0</v>
      </c>
      <c r="AR266" s="2"/>
    </row>
    <row r="267" spans="28:44" x14ac:dyDescent="0.25">
      <c r="AB267" s="31"/>
      <c r="AC267" s="32" t="s">
        <v>10</v>
      </c>
      <c r="AD267" s="33"/>
      <c r="AE267" s="34"/>
      <c r="AF267" s="6"/>
      <c r="AG267" s="6"/>
      <c r="AH267" s="7">
        <f>SUM(AH262:AH266)</f>
        <v>2600</v>
      </c>
      <c r="AI267" s="2"/>
      <c r="AK267" s="31"/>
      <c r="AL267" s="2"/>
      <c r="AM267" s="2"/>
      <c r="AN267" s="2"/>
      <c r="AO267" s="2"/>
      <c r="AP267" s="2"/>
      <c r="AQ267" s="2"/>
      <c r="AR267" s="2"/>
    </row>
    <row r="268" spans="28:44" x14ac:dyDescent="0.25">
      <c r="AK268" s="31"/>
      <c r="AL268" s="32" t="s">
        <v>10</v>
      </c>
      <c r="AM268" s="33"/>
      <c r="AN268" s="34"/>
      <c r="AO268" s="6"/>
      <c r="AP268" s="6"/>
      <c r="AQ268" s="7">
        <f>SUM(AQ263:AQ267)</f>
        <v>1008</v>
      </c>
      <c r="AR268" s="2"/>
    </row>
    <row r="269" spans="28:44" x14ac:dyDescent="0.25">
      <c r="AB269" s="25" t="s">
        <v>88</v>
      </c>
      <c r="AC269" s="32" t="s">
        <v>10</v>
      </c>
      <c r="AD269" s="33"/>
      <c r="AE269" s="34"/>
      <c r="AF269" s="6"/>
      <c r="AG269" s="6"/>
      <c r="AH269" s="14">
        <f>SUM(AH263:AH268)</f>
        <v>4400</v>
      </c>
      <c r="AI269" s="2"/>
    </row>
    <row r="270" spans="28:44" x14ac:dyDescent="0.25">
      <c r="AB270" s="31" t="s">
        <v>796</v>
      </c>
      <c r="AC270" s="2" t="s">
        <v>0</v>
      </c>
      <c r="AD270" s="2" t="s">
        <v>1</v>
      </c>
      <c r="AE270" s="2" t="s">
        <v>2</v>
      </c>
      <c r="AF270" s="2" t="s">
        <v>3</v>
      </c>
      <c r="AG270" s="2"/>
      <c r="AH270" s="2" t="s">
        <v>4</v>
      </c>
      <c r="AI270" s="2" t="s">
        <v>5</v>
      </c>
      <c r="AK270" s="2" t="s">
        <v>90</v>
      </c>
      <c r="AL270" s="2" t="s">
        <v>0</v>
      </c>
      <c r="AM270" s="2" t="s">
        <v>1</v>
      </c>
      <c r="AN270" s="2" t="s">
        <v>2</v>
      </c>
      <c r="AO270" s="2" t="s">
        <v>3</v>
      </c>
      <c r="AP270" s="2"/>
      <c r="AQ270" s="2" t="s">
        <v>4</v>
      </c>
      <c r="AR270" s="2" t="s">
        <v>5</v>
      </c>
    </row>
    <row r="271" spans="28:44" x14ac:dyDescent="0.25">
      <c r="AB271" s="31"/>
      <c r="AC271" s="2" t="s">
        <v>611</v>
      </c>
      <c r="AD271" s="2">
        <v>3</v>
      </c>
      <c r="AE271" s="2">
        <v>70</v>
      </c>
      <c r="AF271" s="2">
        <v>40</v>
      </c>
      <c r="AG271" s="2" t="s">
        <v>53</v>
      </c>
      <c r="AH271" s="2">
        <f t="shared" ref="AH271:AH274" si="117">AE271*AF271</f>
        <v>2800</v>
      </c>
      <c r="AI271" s="2"/>
      <c r="AK271" s="31" t="s">
        <v>765</v>
      </c>
      <c r="AL271" s="2" t="s">
        <v>322</v>
      </c>
      <c r="AM271" s="2">
        <v>7</v>
      </c>
      <c r="AN271" s="2">
        <v>150</v>
      </c>
      <c r="AO271" s="2">
        <v>7</v>
      </c>
      <c r="AP271" s="2" t="s">
        <v>324</v>
      </c>
      <c r="AQ271" s="2">
        <f>AN271*AO271</f>
        <v>1050</v>
      </c>
      <c r="AR271" s="2"/>
    </row>
    <row r="272" spans="28:44" x14ac:dyDescent="0.25">
      <c r="AB272" s="31"/>
      <c r="AC272" s="2" t="s">
        <v>612</v>
      </c>
      <c r="AD272" s="2">
        <v>5</v>
      </c>
      <c r="AE272" s="2">
        <v>68.400000000000006</v>
      </c>
      <c r="AF272" s="2">
        <v>5</v>
      </c>
      <c r="AG272" s="2" t="s">
        <v>9</v>
      </c>
      <c r="AH272" s="2">
        <f t="shared" si="117"/>
        <v>342</v>
      </c>
      <c r="AI272" s="2"/>
      <c r="AK272" s="31"/>
      <c r="AL272" s="2" t="s">
        <v>766</v>
      </c>
      <c r="AM272" s="2">
        <v>2</v>
      </c>
      <c r="AN272" s="2">
        <v>225</v>
      </c>
      <c r="AO272" s="2">
        <v>2</v>
      </c>
      <c r="AP272" s="2" t="s">
        <v>123</v>
      </c>
      <c r="AQ272" s="2">
        <f t="shared" ref="AQ272:AQ274" si="118">AN272*AO272</f>
        <v>450</v>
      </c>
      <c r="AR272" s="2"/>
    </row>
    <row r="273" spans="28:44" x14ac:dyDescent="0.25">
      <c r="AB273" s="31"/>
      <c r="AC273" s="2" t="s">
        <v>613</v>
      </c>
      <c r="AD273" s="2">
        <v>5</v>
      </c>
      <c r="AE273" s="2">
        <v>68.400000000000006</v>
      </c>
      <c r="AF273" s="2">
        <v>5</v>
      </c>
      <c r="AG273" s="2" t="s">
        <v>9</v>
      </c>
      <c r="AH273" s="2">
        <f t="shared" si="117"/>
        <v>342</v>
      </c>
      <c r="AI273" s="2"/>
      <c r="AK273" s="31"/>
      <c r="AL273" s="2"/>
      <c r="AM273" s="2"/>
      <c r="AN273" s="2"/>
      <c r="AO273" s="2"/>
      <c r="AP273" s="2"/>
      <c r="AQ273" s="3">
        <f t="shared" si="118"/>
        <v>0</v>
      </c>
      <c r="AR273" s="2"/>
    </row>
    <row r="274" spans="28:44" x14ac:dyDescent="0.25">
      <c r="AB274" s="31"/>
      <c r="AC274" s="2" t="s">
        <v>797</v>
      </c>
      <c r="AD274" s="2">
        <v>3</v>
      </c>
      <c r="AE274" s="2">
        <v>220</v>
      </c>
      <c r="AF274" s="2">
        <v>3</v>
      </c>
      <c r="AG274" s="6" t="s">
        <v>144</v>
      </c>
      <c r="AH274" s="6">
        <f t="shared" si="117"/>
        <v>660</v>
      </c>
      <c r="AI274" s="2"/>
      <c r="AK274" s="31"/>
      <c r="AL274" s="2"/>
      <c r="AM274" s="2"/>
      <c r="AN274" s="2"/>
      <c r="AO274" s="6"/>
      <c r="AP274" s="6"/>
      <c r="AQ274" s="2">
        <f t="shared" si="118"/>
        <v>0</v>
      </c>
      <c r="AR274" s="2"/>
    </row>
    <row r="275" spans="28:44" x14ac:dyDescent="0.25">
      <c r="AB275" s="31"/>
      <c r="AC275" s="32" t="s">
        <v>10</v>
      </c>
      <c r="AD275" s="33"/>
      <c r="AE275" s="34"/>
      <c r="AF275" s="6"/>
      <c r="AG275" s="6"/>
      <c r="AH275" s="14">
        <f>SUM(AH271:AH274)</f>
        <v>4144</v>
      </c>
      <c r="AI275" s="2"/>
      <c r="AK275" s="31"/>
      <c r="AL275" s="32"/>
      <c r="AM275" s="33"/>
      <c r="AN275" s="34"/>
      <c r="AO275" s="6"/>
      <c r="AP275" s="6"/>
      <c r="AQ275" s="7">
        <f>SUM(AQ271:AQ274)</f>
        <v>1500</v>
      </c>
      <c r="AR275" s="2"/>
    </row>
    <row r="277" spans="28:44" x14ac:dyDescent="0.25">
      <c r="AB277" s="2" t="s">
        <v>11</v>
      </c>
      <c r="AC277" s="2" t="s">
        <v>0</v>
      </c>
      <c r="AD277" s="2" t="s">
        <v>1</v>
      </c>
      <c r="AE277" s="2" t="s">
        <v>2</v>
      </c>
      <c r="AF277" s="2" t="s">
        <v>3</v>
      </c>
      <c r="AG277" s="2"/>
      <c r="AH277" s="2" t="s">
        <v>4</v>
      </c>
      <c r="AI277" s="2" t="s">
        <v>5</v>
      </c>
      <c r="AK277" s="2" t="s">
        <v>11</v>
      </c>
      <c r="AL277" s="2" t="s">
        <v>0</v>
      </c>
      <c r="AM277" s="2" t="s">
        <v>1</v>
      </c>
      <c r="AN277" s="2" t="s">
        <v>2</v>
      </c>
      <c r="AO277" s="2" t="s">
        <v>3</v>
      </c>
      <c r="AP277" s="2"/>
      <c r="AQ277" s="2" t="s">
        <v>4</v>
      </c>
      <c r="AR277" s="2" t="s">
        <v>5</v>
      </c>
    </row>
    <row r="278" spans="28:44" x14ac:dyDescent="0.25">
      <c r="AB278" s="36" t="s">
        <v>810</v>
      </c>
      <c r="AC278" s="2" t="s">
        <v>677</v>
      </c>
      <c r="AD278" s="2">
        <v>40</v>
      </c>
      <c r="AE278" s="2">
        <v>96</v>
      </c>
      <c r="AF278" s="2">
        <v>40</v>
      </c>
      <c r="AG278" s="2" t="s">
        <v>708</v>
      </c>
      <c r="AH278" s="2">
        <f>AE278*AF278</f>
        <v>3840</v>
      </c>
      <c r="AI278" s="2"/>
      <c r="AK278" s="36" t="s">
        <v>772</v>
      </c>
      <c r="AL278" s="2" t="s">
        <v>25</v>
      </c>
      <c r="AM278" s="2">
        <v>20</v>
      </c>
      <c r="AN278" s="2">
        <v>28.56</v>
      </c>
      <c r="AO278" s="2">
        <v>20</v>
      </c>
      <c r="AP278" s="2" t="s">
        <v>9</v>
      </c>
      <c r="AQ278" s="2">
        <f>AN278*AO278</f>
        <v>571.19999999999993</v>
      </c>
      <c r="AR278" s="2"/>
    </row>
    <row r="279" spans="28:44" x14ac:dyDescent="0.25">
      <c r="AB279" s="37"/>
      <c r="AC279" s="2" t="s">
        <v>675</v>
      </c>
      <c r="AD279" s="2">
        <v>10</v>
      </c>
      <c r="AE279" s="2">
        <v>60</v>
      </c>
      <c r="AF279" s="18">
        <v>10</v>
      </c>
      <c r="AG279" s="2" t="s">
        <v>9</v>
      </c>
      <c r="AH279" s="2">
        <f>AE279*AF279</f>
        <v>600</v>
      </c>
      <c r="AI279" s="2"/>
      <c r="AK279" s="37"/>
      <c r="AL279" s="2" t="s">
        <v>750</v>
      </c>
      <c r="AM279" s="2">
        <v>1</v>
      </c>
      <c r="AN279" s="2">
        <v>50.4</v>
      </c>
      <c r="AO279" s="2">
        <v>20</v>
      </c>
      <c r="AP279" s="2" t="s">
        <v>9</v>
      </c>
      <c r="AQ279" s="2">
        <f>AN279*AO279</f>
        <v>1008</v>
      </c>
      <c r="AR279" s="2"/>
    </row>
    <row r="280" spans="28:44" x14ac:dyDescent="0.25">
      <c r="AB280" s="37"/>
      <c r="AC280" s="2"/>
      <c r="AD280" s="2"/>
      <c r="AE280" s="2"/>
      <c r="AF280" s="2"/>
      <c r="AG280" s="2"/>
      <c r="AH280" s="2"/>
      <c r="AI280" s="2"/>
      <c r="AK280" s="37"/>
      <c r="AL280" s="2"/>
      <c r="AM280" s="2"/>
      <c r="AN280" s="2"/>
      <c r="AO280" s="2"/>
      <c r="AP280" s="2"/>
      <c r="AQ280" s="2"/>
      <c r="AR280" s="2"/>
    </row>
    <row r="281" spans="28:44" x14ac:dyDescent="0.25">
      <c r="AB281" s="37"/>
      <c r="AC281" s="2"/>
      <c r="AD281" s="2"/>
      <c r="AE281" s="2"/>
      <c r="AF281" s="2"/>
      <c r="AG281" s="2"/>
      <c r="AH281" s="2"/>
      <c r="AI281" s="2"/>
      <c r="AK281" s="37"/>
      <c r="AL281" s="2"/>
      <c r="AM281" s="2"/>
      <c r="AN281" s="2"/>
      <c r="AO281" s="2"/>
      <c r="AP281" s="2"/>
      <c r="AQ281" s="2"/>
      <c r="AR281" s="2"/>
    </row>
    <row r="282" spans="28:44" x14ac:dyDescent="0.25">
      <c r="AB282" s="37"/>
      <c r="AC282" s="2"/>
      <c r="AD282" s="2"/>
      <c r="AE282" s="2"/>
      <c r="AF282" s="2"/>
      <c r="AG282" s="2"/>
      <c r="AH282" s="2"/>
      <c r="AI282" s="2"/>
      <c r="AK282" s="37"/>
      <c r="AL282" s="2"/>
      <c r="AM282" s="2"/>
      <c r="AN282" s="2"/>
      <c r="AO282" s="2"/>
      <c r="AP282" s="2"/>
      <c r="AQ282" s="2"/>
      <c r="AR282" s="2"/>
    </row>
    <row r="283" spans="28:44" x14ac:dyDescent="0.25">
      <c r="AB283" s="37"/>
      <c r="AC283" s="13"/>
      <c r="AD283" s="2"/>
      <c r="AE283" s="2"/>
      <c r="AF283" s="2"/>
      <c r="AG283" s="2"/>
      <c r="AH283" s="2"/>
      <c r="AI283" s="2"/>
      <c r="AK283" s="37"/>
      <c r="AL283" s="13"/>
      <c r="AM283" s="2"/>
      <c r="AN283" s="2"/>
      <c r="AO283" s="2"/>
      <c r="AP283" s="2"/>
      <c r="AQ283" s="2"/>
      <c r="AR283" s="2"/>
    </row>
    <row r="284" spans="28:44" x14ac:dyDescent="0.25">
      <c r="AB284" s="38"/>
      <c r="AC284" s="32" t="s">
        <v>10</v>
      </c>
      <c r="AD284" s="33"/>
      <c r="AE284" s="34"/>
      <c r="AF284" s="6"/>
      <c r="AG284" s="6"/>
      <c r="AH284" s="7">
        <f>SUM(AH278:AH283)</f>
        <v>4440</v>
      </c>
      <c r="AI284" s="2"/>
      <c r="AK284" s="38"/>
      <c r="AL284" s="32" t="s">
        <v>10</v>
      </c>
      <c r="AM284" s="33"/>
      <c r="AN284" s="34"/>
      <c r="AO284" s="6"/>
      <c r="AP284" s="6"/>
      <c r="AQ284" s="7">
        <f>SUM(AQ279:AQ283)</f>
        <v>1008</v>
      </c>
      <c r="AR284" s="2"/>
    </row>
    <row r="286" spans="28:44" x14ac:dyDescent="0.25">
      <c r="AB286" s="2" t="s">
        <v>90</v>
      </c>
      <c r="AC286" s="2" t="s">
        <v>0</v>
      </c>
      <c r="AD286" s="2" t="s">
        <v>1</v>
      </c>
      <c r="AE286" s="2" t="s">
        <v>2</v>
      </c>
      <c r="AF286" s="2" t="s">
        <v>3</v>
      </c>
      <c r="AG286" s="2"/>
      <c r="AH286" s="2" t="s">
        <v>4</v>
      </c>
      <c r="AI286" s="2" t="s">
        <v>5</v>
      </c>
      <c r="AK286" s="2" t="s">
        <v>11</v>
      </c>
      <c r="AL286" s="2" t="s">
        <v>0</v>
      </c>
      <c r="AM286" s="2" t="s">
        <v>1</v>
      </c>
      <c r="AN286" s="2" t="s">
        <v>2</v>
      </c>
      <c r="AO286" s="2" t="s">
        <v>3</v>
      </c>
      <c r="AP286" s="2"/>
      <c r="AQ286" s="2" t="s">
        <v>4</v>
      </c>
      <c r="AR286" s="2" t="s">
        <v>5</v>
      </c>
    </row>
    <row r="287" spans="28:44" x14ac:dyDescent="0.25">
      <c r="AB287" s="31" t="s">
        <v>849</v>
      </c>
      <c r="AC287" s="2" t="s">
        <v>630</v>
      </c>
      <c r="AD287" s="2">
        <v>35</v>
      </c>
      <c r="AE287" s="2">
        <v>11.7</v>
      </c>
      <c r="AF287" s="2">
        <v>35</v>
      </c>
      <c r="AG287" s="2" t="s">
        <v>708</v>
      </c>
      <c r="AH287" s="2">
        <f>AE287*AF287</f>
        <v>409.5</v>
      </c>
      <c r="AI287" s="2"/>
      <c r="AK287" s="36" t="s">
        <v>777</v>
      </c>
      <c r="AL287" s="2" t="s">
        <v>98</v>
      </c>
      <c r="AM287" s="2"/>
      <c r="AN287" s="2">
        <v>50.4</v>
      </c>
      <c r="AO287" s="2">
        <v>20</v>
      </c>
      <c r="AP287" s="2" t="s">
        <v>9</v>
      </c>
      <c r="AQ287" s="2">
        <f>AN287*AO287</f>
        <v>1008</v>
      </c>
      <c r="AR287" s="2"/>
    </row>
    <row r="288" spans="28:44" x14ac:dyDescent="0.25">
      <c r="AB288" s="31"/>
      <c r="AC288" s="2" t="s">
        <v>850</v>
      </c>
      <c r="AD288" s="2">
        <v>8</v>
      </c>
      <c r="AE288" s="2">
        <v>111</v>
      </c>
      <c r="AF288" s="2">
        <v>8</v>
      </c>
      <c r="AG288" s="2" t="s">
        <v>708</v>
      </c>
      <c r="AH288" s="2">
        <f t="shared" ref="AH288:AH290" si="119">AE288*AF288</f>
        <v>888</v>
      </c>
      <c r="AI288" s="2"/>
      <c r="AK288" s="37"/>
      <c r="AL288" s="2" t="s">
        <v>778</v>
      </c>
      <c r="AM288" s="2"/>
      <c r="AN288" s="2">
        <v>27.36</v>
      </c>
      <c r="AO288" s="2">
        <v>20</v>
      </c>
      <c r="AP288" s="2" t="s">
        <v>9</v>
      </c>
      <c r="AQ288" s="2">
        <f>AN288*AO288</f>
        <v>547.20000000000005</v>
      </c>
      <c r="AR288" s="2"/>
    </row>
    <row r="289" spans="28:44" x14ac:dyDescent="0.25">
      <c r="AB289" s="31"/>
      <c r="AC289" s="2" t="s">
        <v>266</v>
      </c>
      <c r="AD289" s="2">
        <v>3</v>
      </c>
      <c r="AE289" s="2">
        <v>18.239999999999998</v>
      </c>
      <c r="AF289" s="2">
        <v>3</v>
      </c>
      <c r="AG289" s="2" t="s">
        <v>708</v>
      </c>
      <c r="AH289" s="2">
        <f t="shared" si="119"/>
        <v>54.72</v>
      </c>
      <c r="AI289" s="2"/>
      <c r="AK289" s="37"/>
      <c r="AL289" s="2"/>
      <c r="AM289" s="2"/>
      <c r="AN289" s="2"/>
      <c r="AO289" s="2"/>
      <c r="AP289" s="2"/>
      <c r="AQ289" s="2"/>
      <c r="AR289" s="2"/>
    </row>
    <row r="290" spans="28:44" x14ac:dyDescent="0.25">
      <c r="AB290" s="31"/>
      <c r="AC290" s="2" t="s">
        <v>264</v>
      </c>
      <c r="AD290" s="2">
        <v>5</v>
      </c>
      <c r="AE290" s="2">
        <v>45</v>
      </c>
      <c r="AF290" s="6">
        <v>5</v>
      </c>
      <c r="AG290" s="6" t="s">
        <v>708</v>
      </c>
      <c r="AH290" s="2">
        <f t="shared" si="119"/>
        <v>225</v>
      </c>
      <c r="AI290" s="2"/>
      <c r="AK290" s="37"/>
      <c r="AL290" s="2"/>
      <c r="AM290" s="2"/>
      <c r="AN290" s="2"/>
      <c r="AO290" s="2"/>
      <c r="AP290" s="2"/>
      <c r="AQ290" s="2"/>
      <c r="AR290" s="2"/>
    </row>
    <row r="291" spans="28:44" x14ac:dyDescent="0.25">
      <c r="AB291" s="31"/>
      <c r="AC291" s="32" t="s">
        <v>10</v>
      </c>
      <c r="AD291" s="33"/>
      <c r="AE291" s="34"/>
      <c r="AF291" s="6"/>
      <c r="AG291" s="6"/>
      <c r="AH291" s="7">
        <f>SUM(AH287:AH290)</f>
        <v>1577.22</v>
      </c>
      <c r="AI291" s="2"/>
      <c r="AK291" s="37"/>
      <c r="AL291" s="2"/>
      <c r="AM291" s="2"/>
      <c r="AN291" s="2"/>
      <c r="AO291" s="2"/>
      <c r="AP291" s="2"/>
      <c r="AQ291" s="2"/>
      <c r="AR291" s="2"/>
    </row>
    <row r="292" spans="28:44" x14ac:dyDescent="0.25">
      <c r="AK292" s="37"/>
      <c r="AL292" s="13"/>
      <c r="AM292" s="2"/>
      <c r="AN292" s="2"/>
      <c r="AO292" s="2"/>
      <c r="AP292" s="2"/>
      <c r="AQ292" s="2"/>
      <c r="AR292" s="2"/>
    </row>
    <row r="293" spans="28:44" x14ac:dyDescent="0.25">
      <c r="AB293" s="2" t="s">
        <v>90</v>
      </c>
      <c r="AC293" s="2" t="s">
        <v>0</v>
      </c>
      <c r="AD293" s="2" t="s">
        <v>1</v>
      </c>
      <c r="AE293" s="2" t="s">
        <v>2</v>
      </c>
      <c r="AF293" s="2" t="s">
        <v>3</v>
      </c>
      <c r="AG293" s="2"/>
      <c r="AH293" s="2" t="s">
        <v>4</v>
      </c>
      <c r="AI293" s="2" t="s">
        <v>5</v>
      </c>
      <c r="AK293" s="38"/>
      <c r="AL293" s="32" t="s">
        <v>10</v>
      </c>
      <c r="AM293" s="33"/>
      <c r="AN293" s="34"/>
      <c r="AO293" s="6"/>
      <c r="AP293" s="6"/>
      <c r="AQ293" s="7">
        <f>SUM(AQ287:AQ292)</f>
        <v>1555.2</v>
      </c>
      <c r="AR293" s="2"/>
    </row>
    <row r="294" spans="28:44" x14ac:dyDescent="0.25">
      <c r="AB294" s="31" t="s">
        <v>858</v>
      </c>
      <c r="AC294" s="57" t="s">
        <v>266</v>
      </c>
      <c r="AD294" s="57">
        <v>3</v>
      </c>
      <c r="AE294" s="57">
        <v>26.22</v>
      </c>
      <c r="AF294" s="57">
        <v>3</v>
      </c>
      <c r="AG294" s="57" t="s">
        <v>708</v>
      </c>
      <c r="AH294" s="57">
        <f>AE294*AF294</f>
        <v>78.66</v>
      </c>
      <c r="AI294" s="2"/>
    </row>
    <row r="295" spans="28:44" x14ac:dyDescent="0.25">
      <c r="AB295" s="31"/>
      <c r="AC295" s="57" t="s">
        <v>644</v>
      </c>
      <c r="AD295" s="57">
        <v>25</v>
      </c>
      <c r="AE295" s="57">
        <v>57</v>
      </c>
      <c r="AF295" s="57">
        <v>25</v>
      </c>
      <c r="AG295" s="57" t="s">
        <v>708</v>
      </c>
      <c r="AH295" s="57">
        <f t="shared" ref="AH295:AH296" si="120">AE295*AF295</f>
        <v>1425</v>
      </c>
      <c r="AI295" s="2"/>
      <c r="AK295" s="2" t="s">
        <v>90</v>
      </c>
      <c r="AL295" s="2" t="s">
        <v>0</v>
      </c>
      <c r="AM295" s="2" t="s">
        <v>1</v>
      </c>
      <c r="AN295" s="2" t="s">
        <v>2</v>
      </c>
      <c r="AO295" s="2" t="s">
        <v>3</v>
      </c>
      <c r="AP295" s="2"/>
      <c r="AQ295" s="2" t="s">
        <v>4</v>
      </c>
      <c r="AR295" s="2" t="s">
        <v>5</v>
      </c>
    </row>
    <row r="296" spans="28:44" x14ac:dyDescent="0.25">
      <c r="AB296" s="31"/>
      <c r="AC296" s="57" t="s">
        <v>440</v>
      </c>
      <c r="AD296" s="57">
        <v>20</v>
      </c>
      <c r="AE296" s="57">
        <v>141</v>
      </c>
      <c r="AF296" s="57">
        <v>20</v>
      </c>
      <c r="AG296" s="57" t="s">
        <v>708</v>
      </c>
      <c r="AH296" s="57">
        <f t="shared" si="120"/>
        <v>2820</v>
      </c>
      <c r="AI296" s="2"/>
      <c r="AK296" s="31" t="s">
        <v>779</v>
      </c>
      <c r="AL296" s="2" t="s">
        <v>780</v>
      </c>
      <c r="AM296" s="2">
        <v>50</v>
      </c>
      <c r="AN296" s="2">
        <v>24.3</v>
      </c>
      <c r="AO296" s="2">
        <v>50</v>
      </c>
      <c r="AP296" s="2" t="s">
        <v>9</v>
      </c>
      <c r="AQ296" s="2">
        <f>AN296*AO296</f>
        <v>1215</v>
      </c>
      <c r="AR296" s="2"/>
    </row>
    <row r="297" spans="28:44" x14ac:dyDescent="0.25">
      <c r="AB297" s="31"/>
      <c r="AC297" s="2"/>
      <c r="AD297" s="2"/>
      <c r="AE297" s="2"/>
      <c r="AF297" s="2"/>
      <c r="AG297" s="2"/>
      <c r="AH297" s="2"/>
      <c r="AI297" s="2"/>
      <c r="AK297" s="31"/>
      <c r="AL297" s="2"/>
      <c r="AM297" s="2"/>
      <c r="AN297" s="2"/>
      <c r="AO297" s="2"/>
      <c r="AP297" s="2"/>
      <c r="AQ297" s="2"/>
      <c r="AR297" s="2"/>
    </row>
    <row r="298" spans="28:44" x14ac:dyDescent="0.25">
      <c r="AB298" s="31"/>
      <c r="AC298" s="32" t="s">
        <v>10</v>
      </c>
      <c r="AD298" s="33"/>
      <c r="AE298" s="34"/>
      <c r="AF298" s="6"/>
      <c r="AG298" s="6"/>
      <c r="AH298" s="7">
        <f>SUM(AH294:AH297)</f>
        <v>4323.66</v>
      </c>
      <c r="AI298" s="2"/>
      <c r="AK298" s="31"/>
      <c r="AL298" s="2"/>
      <c r="AM298" s="2"/>
      <c r="AN298" s="2"/>
      <c r="AO298" s="2"/>
      <c r="AP298" s="2"/>
      <c r="AQ298" s="2"/>
      <c r="AR298" s="2"/>
    </row>
    <row r="299" spans="28:44" x14ac:dyDescent="0.25">
      <c r="AK299" s="31"/>
      <c r="AL299" s="2"/>
      <c r="AM299" s="2"/>
      <c r="AN299" s="2"/>
      <c r="AO299" s="6"/>
      <c r="AP299" s="6"/>
      <c r="AQ299" s="2"/>
      <c r="AR299" s="2"/>
    </row>
    <row r="300" spans="28:44" x14ac:dyDescent="0.25">
      <c r="AB300" s="2" t="s">
        <v>11</v>
      </c>
      <c r="AC300" s="2" t="s">
        <v>0</v>
      </c>
      <c r="AD300" s="2" t="s">
        <v>1</v>
      </c>
      <c r="AE300" s="2" t="s">
        <v>2</v>
      </c>
      <c r="AF300" s="2" t="s">
        <v>3</v>
      </c>
      <c r="AG300" s="2"/>
      <c r="AH300" s="2" t="s">
        <v>4</v>
      </c>
      <c r="AI300" s="2" t="s">
        <v>5</v>
      </c>
      <c r="AK300" s="31"/>
      <c r="AL300" s="32" t="s">
        <v>10</v>
      </c>
      <c r="AM300" s="33"/>
      <c r="AN300" s="34"/>
      <c r="AO300" s="6"/>
      <c r="AP300" s="6"/>
      <c r="AQ300" s="14">
        <f>SUM(AQ296:AQ299)</f>
        <v>1215</v>
      </c>
      <c r="AR300" s="2"/>
    </row>
    <row r="301" spans="28:44" x14ac:dyDescent="0.25">
      <c r="AB301" s="31" t="s">
        <v>860</v>
      </c>
      <c r="AC301" s="2" t="s">
        <v>142</v>
      </c>
      <c r="AD301" s="2">
        <v>1</v>
      </c>
      <c r="AE301" s="2">
        <v>210</v>
      </c>
      <c r="AF301" s="2">
        <v>1</v>
      </c>
      <c r="AG301" s="2" t="s">
        <v>144</v>
      </c>
      <c r="AH301" s="2">
        <f>AE301*AF301</f>
        <v>210</v>
      </c>
      <c r="AI301" s="2"/>
    </row>
    <row r="302" spans="28:44" x14ac:dyDescent="0.25">
      <c r="AB302" s="31"/>
      <c r="AC302" s="2" t="s">
        <v>457</v>
      </c>
      <c r="AD302" s="2">
        <v>25</v>
      </c>
      <c r="AE302" s="2">
        <v>60</v>
      </c>
      <c r="AF302" s="2">
        <v>25</v>
      </c>
      <c r="AG302" s="2" t="s">
        <v>708</v>
      </c>
      <c r="AH302" s="2">
        <f t="shared" ref="AH302:AH305" si="121">AE302*AF302</f>
        <v>1500</v>
      </c>
      <c r="AI302" s="2"/>
      <c r="AK302" s="2" t="s">
        <v>11</v>
      </c>
      <c r="AL302" s="32" t="s">
        <v>10</v>
      </c>
      <c r="AM302" s="33"/>
      <c r="AN302" s="34"/>
      <c r="AO302" s="6"/>
      <c r="AP302" s="6"/>
      <c r="AQ302" s="7">
        <f>SUM(AQ297:AQ301)</f>
        <v>1215</v>
      </c>
      <c r="AR302" s="2"/>
    </row>
    <row r="303" spans="28:44" x14ac:dyDescent="0.25">
      <c r="AB303" s="31"/>
      <c r="AC303" s="2" t="s">
        <v>720</v>
      </c>
      <c r="AD303" s="2">
        <v>3</v>
      </c>
      <c r="AE303" s="2">
        <v>220</v>
      </c>
      <c r="AF303" s="2">
        <v>3</v>
      </c>
      <c r="AG303" s="2" t="s">
        <v>144</v>
      </c>
      <c r="AH303" s="2">
        <f t="shared" si="121"/>
        <v>660</v>
      </c>
      <c r="AI303" s="2"/>
      <c r="AK303" s="36" t="s">
        <v>782</v>
      </c>
      <c r="AL303" s="2" t="s">
        <v>0</v>
      </c>
      <c r="AM303" s="2" t="s">
        <v>1</v>
      </c>
      <c r="AN303" s="2" t="s">
        <v>2</v>
      </c>
      <c r="AO303" s="2" t="s">
        <v>3</v>
      </c>
      <c r="AP303" s="2"/>
      <c r="AQ303" s="2" t="s">
        <v>4</v>
      </c>
      <c r="AR303" s="2" t="s">
        <v>5</v>
      </c>
    </row>
    <row r="304" spans="28:44" x14ac:dyDescent="0.25">
      <c r="AB304" s="31"/>
      <c r="AC304" s="2" t="s">
        <v>755</v>
      </c>
      <c r="AD304" s="2">
        <v>1</v>
      </c>
      <c r="AE304" s="2">
        <v>70</v>
      </c>
      <c r="AF304" s="2">
        <v>10</v>
      </c>
      <c r="AG304" s="2" t="s">
        <v>53</v>
      </c>
      <c r="AH304" s="2">
        <f t="shared" si="121"/>
        <v>700</v>
      </c>
      <c r="AI304" s="2"/>
      <c r="AK304" s="37"/>
      <c r="AL304" s="2" t="s">
        <v>79</v>
      </c>
      <c r="AM304" s="2">
        <v>25</v>
      </c>
      <c r="AN304" s="2">
        <v>36.9</v>
      </c>
      <c r="AO304" s="2">
        <v>25</v>
      </c>
      <c r="AP304" s="2" t="s">
        <v>9</v>
      </c>
      <c r="AQ304" s="2">
        <f>AN304*AO304</f>
        <v>922.5</v>
      </c>
      <c r="AR304" s="2"/>
    </row>
    <row r="305" spans="28:44" x14ac:dyDescent="0.25">
      <c r="AB305" s="31"/>
      <c r="AC305" s="2" t="s">
        <v>831</v>
      </c>
      <c r="AD305" s="2">
        <v>1</v>
      </c>
      <c r="AE305" s="2">
        <v>500</v>
      </c>
      <c r="AF305" s="2">
        <v>1</v>
      </c>
      <c r="AG305" s="2" t="s">
        <v>55</v>
      </c>
      <c r="AH305" s="2">
        <f t="shared" si="121"/>
        <v>500</v>
      </c>
      <c r="AI305" s="2"/>
      <c r="AK305" s="37"/>
      <c r="AL305" s="2" t="s">
        <v>22</v>
      </c>
      <c r="AM305" s="2">
        <v>15</v>
      </c>
      <c r="AN305" s="2">
        <v>75</v>
      </c>
      <c r="AO305" s="2">
        <v>15</v>
      </c>
      <c r="AP305" s="2" t="s">
        <v>9</v>
      </c>
      <c r="AQ305" s="2">
        <f>AN305*AO305</f>
        <v>1125</v>
      </c>
      <c r="AR305" s="2"/>
    </row>
    <row r="306" spans="28:44" x14ac:dyDescent="0.25">
      <c r="AB306" s="31"/>
      <c r="AC306" s="32" t="s">
        <v>10</v>
      </c>
      <c r="AD306" s="33"/>
      <c r="AE306" s="34"/>
      <c r="AF306" s="6"/>
      <c r="AG306" s="6"/>
      <c r="AH306" s="7">
        <f>SUM(AH301:AH305)</f>
        <v>3570</v>
      </c>
      <c r="AI306" s="2"/>
      <c r="AK306" s="37"/>
      <c r="AL306" s="2" t="s">
        <v>84</v>
      </c>
      <c r="AM306" s="2">
        <v>4</v>
      </c>
      <c r="AN306" s="2">
        <v>85</v>
      </c>
      <c r="AO306" s="2">
        <v>4</v>
      </c>
      <c r="AP306" s="2" t="s">
        <v>9</v>
      </c>
      <c r="AQ306" s="2">
        <f>AN306*AO306</f>
        <v>340</v>
      </c>
      <c r="AR306" s="2"/>
    </row>
    <row r="307" spans="28:44" x14ac:dyDescent="0.25">
      <c r="AK307" s="37"/>
      <c r="AL307" s="2"/>
      <c r="AM307" s="2"/>
      <c r="AN307" s="2"/>
      <c r="AO307" s="2"/>
      <c r="AP307" s="2"/>
      <c r="AQ307" s="2"/>
      <c r="AR307" s="2"/>
    </row>
    <row r="308" spans="28:44" x14ac:dyDescent="0.25">
      <c r="AB308" s="2" t="s">
        <v>11</v>
      </c>
      <c r="AC308" s="2" t="s">
        <v>0</v>
      </c>
      <c r="AD308" s="2" t="s">
        <v>1</v>
      </c>
      <c r="AE308" s="2" t="s">
        <v>2</v>
      </c>
      <c r="AF308" s="2" t="s">
        <v>3</v>
      </c>
      <c r="AG308" s="2"/>
      <c r="AH308" s="2" t="s">
        <v>4</v>
      </c>
      <c r="AI308" s="2" t="s">
        <v>5</v>
      </c>
      <c r="AK308" s="37"/>
      <c r="AL308" s="2"/>
      <c r="AM308" s="2"/>
      <c r="AN308" s="2"/>
      <c r="AO308" s="2"/>
      <c r="AP308" s="2"/>
      <c r="AQ308" s="2"/>
      <c r="AR308" s="2"/>
    </row>
    <row r="309" spans="28:44" x14ac:dyDescent="0.25">
      <c r="AB309" s="36" t="s">
        <v>868</v>
      </c>
      <c r="AC309" s="2" t="s">
        <v>837</v>
      </c>
      <c r="AD309" s="2">
        <v>15</v>
      </c>
      <c r="AE309" s="2">
        <v>240</v>
      </c>
      <c r="AF309" s="2">
        <v>15</v>
      </c>
      <c r="AG309" s="2" t="s">
        <v>708</v>
      </c>
      <c r="AH309" s="2">
        <f>AE309*AF309</f>
        <v>3600</v>
      </c>
      <c r="AI309" s="2"/>
      <c r="AK309" s="38"/>
      <c r="AL309" s="32" t="s">
        <v>10</v>
      </c>
      <c r="AM309" s="33"/>
      <c r="AN309" s="34"/>
      <c r="AO309" s="6"/>
      <c r="AP309" s="6"/>
      <c r="AQ309" s="7">
        <f>SUM(AQ304:AQ308)</f>
        <v>2387.5</v>
      </c>
      <c r="AR309" s="2"/>
    </row>
    <row r="310" spans="28:44" x14ac:dyDescent="0.25">
      <c r="AB310" s="37"/>
      <c r="AC310" s="2" t="s">
        <v>838</v>
      </c>
      <c r="AD310" s="2">
        <v>15</v>
      </c>
      <c r="AE310" s="2">
        <v>174</v>
      </c>
      <c r="AF310" s="2">
        <v>15</v>
      </c>
      <c r="AG310" s="2" t="s">
        <v>708</v>
      </c>
      <c r="AH310" s="2">
        <f t="shared" ref="AH310:AH314" si="122">AE310*AF310</f>
        <v>2610</v>
      </c>
      <c r="AI310" s="2"/>
    </row>
    <row r="311" spans="28:44" x14ac:dyDescent="0.25">
      <c r="AB311" s="37"/>
      <c r="AC311" s="2" t="s">
        <v>266</v>
      </c>
      <c r="AD311" s="2">
        <v>5</v>
      </c>
      <c r="AE311" s="2">
        <v>18.239999999999998</v>
      </c>
      <c r="AF311" s="2">
        <v>5</v>
      </c>
      <c r="AG311" s="2" t="s">
        <v>708</v>
      </c>
      <c r="AH311" s="2">
        <f t="shared" si="122"/>
        <v>91.199999999999989</v>
      </c>
      <c r="AI311" s="2"/>
      <c r="AK311" s="2" t="s">
        <v>90</v>
      </c>
      <c r="AL311" s="2" t="s">
        <v>0</v>
      </c>
      <c r="AM311" s="2" t="s">
        <v>1</v>
      </c>
      <c r="AN311" s="2" t="s">
        <v>2</v>
      </c>
      <c r="AO311" s="2" t="s">
        <v>3</v>
      </c>
      <c r="AP311" s="2"/>
      <c r="AQ311" s="2" t="s">
        <v>4</v>
      </c>
      <c r="AR311" s="2" t="s">
        <v>5</v>
      </c>
    </row>
    <row r="312" spans="28:44" x14ac:dyDescent="0.25">
      <c r="AB312" s="37"/>
      <c r="AC312" s="2" t="s">
        <v>25</v>
      </c>
      <c r="AD312" s="2">
        <v>10</v>
      </c>
      <c r="AE312" s="2">
        <v>22.44</v>
      </c>
      <c r="AF312" s="2">
        <v>10</v>
      </c>
      <c r="AG312" s="2" t="s">
        <v>708</v>
      </c>
      <c r="AH312" s="2">
        <f t="shared" si="122"/>
        <v>224.4</v>
      </c>
      <c r="AI312" s="2"/>
      <c r="AK312" s="31" t="s">
        <v>787</v>
      </c>
      <c r="AL312" s="2" t="s">
        <v>640</v>
      </c>
      <c r="AM312" s="2">
        <v>8</v>
      </c>
      <c r="AN312" s="2">
        <v>39.78</v>
      </c>
      <c r="AO312" s="2">
        <v>8</v>
      </c>
      <c r="AP312" s="2" t="s">
        <v>708</v>
      </c>
      <c r="AQ312" s="3">
        <f>AN312*AO312</f>
        <v>318.24</v>
      </c>
      <c r="AR312" s="2"/>
    </row>
    <row r="313" spans="28:44" x14ac:dyDescent="0.25">
      <c r="AB313" s="37"/>
      <c r="AC313" s="2" t="s">
        <v>519</v>
      </c>
      <c r="AD313" s="2">
        <v>10</v>
      </c>
      <c r="AE313" s="2">
        <v>19.38</v>
      </c>
      <c r="AF313" s="2">
        <v>10</v>
      </c>
      <c r="AG313" s="2" t="s">
        <v>708</v>
      </c>
      <c r="AH313" s="2">
        <f t="shared" si="122"/>
        <v>193.79999999999998</v>
      </c>
      <c r="AI313" s="2"/>
      <c r="AK313" s="31"/>
      <c r="AL313" s="2" t="s">
        <v>25</v>
      </c>
      <c r="AM313" s="2">
        <v>5</v>
      </c>
      <c r="AN313" s="2">
        <v>25.5</v>
      </c>
      <c r="AO313" s="2">
        <v>5</v>
      </c>
      <c r="AP313" s="2" t="s">
        <v>708</v>
      </c>
      <c r="AQ313" s="3">
        <f t="shared" ref="AQ313:AQ315" si="123">AN313*AO313</f>
        <v>127.5</v>
      </c>
      <c r="AR313" s="2"/>
    </row>
    <row r="314" spans="28:44" x14ac:dyDescent="0.25">
      <c r="AB314" s="37"/>
      <c r="AC314" s="13" t="s">
        <v>869</v>
      </c>
      <c r="AD314" s="2">
        <v>5</v>
      </c>
      <c r="AE314" s="2">
        <v>93</v>
      </c>
      <c r="AF314" s="2">
        <v>6</v>
      </c>
      <c r="AG314" s="2" t="s">
        <v>53</v>
      </c>
      <c r="AH314" s="2">
        <f t="shared" si="122"/>
        <v>558</v>
      </c>
      <c r="AI314" s="2"/>
      <c r="AK314" s="31"/>
      <c r="AL314" s="2" t="s">
        <v>254</v>
      </c>
      <c r="AM314" s="2">
        <v>30</v>
      </c>
      <c r="AN314" s="2">
        <v>48</v>
      </c>
      <c r="AO314" s="2">
        <v>30</v>
      </c>
      <c r="AP314" s="2" t="s">
        <v>708</v>
      </c>
      <c r="AQ314" s="3">
        <f t="shared" si="123"/>
        <v>1440</v>
      </c>
      <c r="AR314" s="2"/>
    </row>
    <row r="315" spans="28:44" x14ac:dyDescent="0.25">
      <c r="AB315" s="38"/>
      <c r="AC315" s="32" t="s">
        <v>10</v>
      </c>
      <c r="AD315" s="33"/>
      <c r="AE315" s="34"/>
      <c r="AF315" s="6"/>
      <c r="AG315" s="6"/>
      <c r="AH315" s="7">
        <f>SUM(AH309:AH314)</f>
        <v>7277.4</v>
      </c>
      <c r="AI315" s="2"/>
      <c r="AK315" s="31"/>
      <c r="AL315" s="2" t="s">
        <v>266</v>
      </c>
      <c r="AM315" s="2">
        <v>3</v>
      </c>
      <c r="AN315" s="2">
        <v>15.96</v>
      </c>
      <c r="AO315" s="6">
        <v>3</v>
      </c>
      <c r="AP315" s="6" t="s">
        <v>708</v>
      </c>
      <c r="AQ315" s="3">
        <f t="shared" si="123"/>
        <v>47.88</v>
      </c>
      <c r="AR315" s="2"/>
    </row>
    <row r="316" spans="28:44" x14ac:dyDescent="0.25">
      <c r="AK316" s="31"/>
      <c r="AL316" s="32" t="s">
        <v>10</v>
      </c>
      <c r="AM316" s="33"/>
      <c r="AN316" s="34"/>
      <c r="AO316" s="6"/>
      <c r="AP316" s="6"/>
      <c r="AQ316" s="7">
        <f>SUM(AQ312:AQ315)</f>
        <v>1933.6200000000001</v>
      </c>
      <c r="AR316" s="2"/>
    </row>
    <row r="317" spans="28:44" x14ac:dyDescent="0.25">
      <c r="AB317" s="2" t="s">
        <v>11</v>
      </c>
      <c r="AC317" s="2" t="s">
        <v>0</v>
      </c>
      <c r="AD317" s="2" t="s">
        <v>1</v>
      </c>
      <c r="AE317" s="2" t="s">
        <v>2</v>
      </c>
      <c r="AF317" s="2" t="s">
        <v>3</v>
      </c>
      <c r="AG317" s="2"/>
      <c r="AH317" s="2" t="s">
        <v>4</v>
      </c>
      <c r="AI317" s="2" t="s">
        <v>5</v>
      </c>
    </row>
    <row r="318" spans="28:44" x14ac:dyDescent="0.25">
      <c r="AB318" s="47" t="s">
        <v>874</v>
      </c>
      <c r="AC318" s="2" t="s">
        <v>875</v>
      </c>
      <c r="AD318" s="2">
        <v>50</v>
      </c>
      <c r="AE318" s="2">
        <v>82.8</v>
      </c>
      <c r="AF318" s="49">
        <v>50</v>
      </c>
      <c r="AG318" s="2" t="s">
        <v>708</v>
      </c>
      <c r="AH318" s="2">
        <f>AE318*AF318</f>
        <v>4140</v>
      </c>
      <c r="AI318" s="2"/>
      <c r="AK318" s="2" t="s">
        <v>90</v>
      </c>
      <c r="AL318" s="2" t="s">
        <v>0</v>
      </c>
      <c r="AM318" s="2" t="s">
        <v>1</v>
      </c>
      <c r="AN318" s="2" t="s">
        <v>2</v>
      </c>
      <c r="AO318" s="2" t="s">
        <v>3</v>
      </c>
      <c r="AP318" s="2"/>
      <c r="AQ318" s="2" t="s">
        <v>4</v>
      </c>
      <c r="AR318" s="2" t="s">
        <v>5</v>
      </c>
    </row>
    <row r="319" spans="28:44" x14ac:dyDescent="0.25">
      <c r="AB319" s="31"/>
      <c r="AC319" s="2" t="s">
        <v>876</v>
      </c>
      <c r="AD319" s="2">
        <v>45</v>
      </c>
      <c r="AE319" s="2">
        <v>180</v>
      </c>
      <c r="AF319" s="2">
        <v>14</v>
      </c>
      <c r="AG319" s="2" t="s">
        <v>53</v>
      </c>
      <c r="AH319" s="2">
        <f t="shared" ref="AH319:AH321" si="124">AE319*AF319</f>
        <v>2520</v>
      </c>
      <c r="AI319" s="2"/>
      <c r="AK319" s="31" t="s">
        <v>798</v>
      </c>
      <c r="AL319" s="2" t="s">
        <v>316</v>
      </c>
      <c r="AM319" s="2">
        <v>5</v>
      </c>
      <c r="AN319" s="2">
        <v>29.7</v>
      </c>
      <c r="AO319" s="2">
        <v>5</v>
      </c>
      <c r="AP319" s="2" t="s">
        <v>708</v>
      </c>
      <c r="AQ319" s="2">
        <f>AN319*AO319</f>
        <v>148.5</v>
      </c>
      <c r="AR319" s="36" t="s">
        <v>392</v>
      </c>
    </row>
    <row r="320" spans="28:44" x14ac:dyDescent="0.25">
      <c r="AB320" s="31"/>
      <c r="AC320" s="2"/>
      <c r="AD320" s="2"/>
      <c r="AE320" s="2"/>
      <c r="AF320" s="2"/>
      <c r="AG320" s="2"/>
      <c r="AH320" s="2">
        <f t="shared" si="124"/>
        <v>0</v>
      </c>
      <c r="AI320" s="2"/>
      <c r="AK320" s="31"/>
      <c r="AL320" s="2" t="s">
        <v>750</v>
      </c>
      <c r="AM320" s="2">
        <v>1</v>
      </c>
      <c r="AN320" s="2">
        <v>43.2</v>
      </c>
      <c r="AO320" s="2">
        <v>20</v>
      </c>
      <c r="AP320" s="2" t="s">
        <v>9</v>
      </c>
      <c r="AQ320" s="2">
        <f t="shared" ref="AQ320" si="125">AN320*AO320</f>
        <v>864</v>
      </c>
      <c r="AR320" s="38"/>
    </row>
    <row r="321" spans="28:44" x14ac:dyDescent="0.25">
      <c r="AB321" s="31"/>
      <c r="AC321" s="2"/>
      <c r="AD321" s="2"/>
      <c r="AE321" s="2"/>
      <c r="AF321" s="2"/>
      <c r="AG321" s="2"/>
      <c r="AH321" s="2">
        <f t="shared" si="124"/>
        <v>0</v>
      </c>
      <c r="AI321" s="2"/>
      <c r="AK321" s="31"/>
      <c r="AL321" s="2"/>
      <c r="AM321" s="2"/>
      <c r="AN321" s="2"/>
      <c r="AO321" s="2"/>
      <c r="AP321" s="2"/>
      <c r="AQ321" s="3"/>
      <c r="AR321" s="2"/>
    </row>
    <row r="322" spans="28:44" x14ac:dyDescent="0.25">
      <c r="AB322" s="31"/>
      <c r="AC322" s="2"/>
      <c r="AD322" s="2"/>
      <c r="AE322" s="2"/>
      <c r="AF322" s="2"/>
      <c r="AG322" s="2"/>
      <c r="AH322" s="2"/>
      <c r="AI322" s="2"/>
      <c r="AK322" s="31"/>
      <c r="AL322" s="2"/>
      <c r="AM322" s="2"/>
      <c r="AN322" s="2"/>
      <c r="AO322" s="6"/>
      <c r="AP322" s="6"/>
      <c r="AQ322" s="2"/>
      <c r="AR322" s="2"/>
    </row>
    <row r="323" spans="28:44" x14ac:dyDescent="0.25">
      <c r="AB323" s="31"/>
      <c r="AC323" s="32" t="s">
        <v>10</v>
      </c>
      <c r="AD323" s="33"/>
      <c r="AE323" s="34"/>
      <c r="AF323" s="6"/>
      <c r="AG323" s="6"/>
      <c r="AH323" s="7">
        <f>SUM(AH318:AH322)</f>
        <v>6660</v>
      </c>
      <c r="AI323" s="2"/>
      <c r="AK323" s="31"/>
      <c r="AL323" s="32"/>
      <c r="AM323" s="33"/>
      <c r="AN323" s="34"/>
      <c r="AO323" s="6"/>
      <c r="AP323" s="6"/>
      <c r="AQ323" s="7">
        <f>SUM(AQ319:AQ322)</f>
        <v>1012.5</v>
      </c>
      <c r="AR323" s="2"/>
    </row>
    <row r="325" spans="28:44" x14ac:dyDescent="0.25">
      <c r="AB325" s="2" t="s">
        <v>11</v>
      </c>
      <c r="AC325" s="2" t="s">
        <v>0</v>
      </c>
      <c r="AD325" s="2" t="s">
        <v>1</v>
      </c>
      <c r="AE325" s="2" t="s">
        <v>2</v>
      </c>
      <c r="AF325" s="2" t="s">
        <v>3</v>
      </c>
      <c r="AG325" s="2"/>
      <c r="AH325" s="2" t="s">
        <v>4</v>
      </c>
      <c r="AI325" s="2" t="s">
        <v>5</v>
      </c>
      <c r="AK325" s="2" t="s">
        <v>90</v>
      </c>
      <c r="AL325" s="2" t="s">
        <v>0</v>
      </c>
      <c r="AM325" s="2" t="s">
        <v>1</v>
      </c>
      <c r="AN325" s="2" t="s">
        <v>2</v>
      </c>
      <c r="AO325" s="2" t="s">
        <v>3</v>
      </c>
      <c r="AP325" s="2"/>
      <c r="AQ325" s="2" t="s">
        <v>4</v>
      </c>
      <c r="AR325" s="2" t="s">
        <v>5</v>
      </c>
    </row>
    <row r="326" spans="28:44" x14ac:dyDescent="0.25">
      <c r="AB326" s="36" t="s">
        <v>881</v>
      </c>
      <c r="AC326" s="2" t="s">
        <v>797</v>
      </c>
      <c r="AD326" s="2">
        <v>4</v>
      </c>
      <c r="AE326" s="2">
        <v>220</v>
      </c>
      <c r="AF326" s="2">
        <v>4</v>
      </c>
      <c r="AG326" s="2" t="s">
        <v>144</v>
      </c>
      <c r="AH326" s="2">
        <f>AE326*AF326</f>
        <v>880</v>
      </c>
      <c r="AI326" s="2"/>
      <c r="AK326" s="31" t="s">
        <v>800</v>
      </c>
      <c r="AL326" s="2" t="s">
        <v>582</v>
      </c>
      <c r="AM326" s="2">
        <v>25</v>
      </c>
      <c r="AN326" s="2">
        <v>22.8</v>
      </c>
      <c r="AO326" s="2">
        <v>25</v>
      </c>
      <c r="AP326" s="2" t="s">
        <v>708</v>
      </c>
      <c r="AQ326" s="2">
        <f>AN326*AO326</f>
        <v>570</v>
      </c>
      <c r="AR326" s="2"/>
    </row>
    <row r="327" spans="28:44" x14ac:dyDescent="0.25">
      <c r="AB327" s="37"/>
      <c r="AC327" s="2" t="s">
        <v>22</v>
      </c>
      <c r="AD327" s="2">
        <v>15</v>
      </c>
      <c r="AE327" s="2">
        <v>75</v>
      </c>
      <c r="AF327" s="2">
        <v>15</v>
      </c>
      <c r="AG327" s="2" t="s">
        <v>708</v>
      </c>
      <c r="AH327" s="2">
        <f t="shared" ref="AH327:AH330" si="126">AE327*AF327</f>
        <v>1125</v>
      </c>
      <c r="AI327" s="2"/>
      <c r="AK327" s="31"/>
      <c r="AL327" s="2" t="s">
        <v>801</v>
      </c>
      <c r="AM327" s="2">
        <v>10</v>
      </c>
      <c r="AN327" s="2">
        <v>105</v>
      </c>
      <c r="AO327" s="2">
        <v>10</v>
      </c>
      <c r="AP327" s="2" t="s">
        <v>53</v>
      </c>
      <c r="AQ327" s="2">
        <f t="shared" ref="AQ327:AQ328" si="127">AN327*AO327</f>
        <v>1050</v>
      </c>
      <c r="AR327" s="2"/>
    </row>
    <row r="328" spans="28:44" x14ac:dyDescent="0.25">
      <c r="AB328" s="37"/>
      <c r="AC328" s="2" t="s">
        <v>755</v>
      </c>
      <c r="AD328" s="2">
        <v>1</v>
      </c>
      <c r="AE328" s="2">
        <v>70</v>
      </c>
      <c r="AF328" s="2">
        <v>10</v>
      </c>
      <c r="AG328" s="2" t="s">
        <v>53</v>
      </c>
      <c r="AH328" s="2">
        <f t="shared" si="126"/>
        <v>700</v>
      </c>
      <c r="AI328" s="2"/>
      <c r="AK328" s="31"/>
      <c r="AL328" s="2" t="s">
        <v>264</v>
      </c>
      <c r="AM328" s="2">
        <v>3</v>
      </c>
      <c r="AN328" s="2">
        <v>45</v>
      </c>
      <c r="AO328" s="2">
        <v>3</v>
      </c>
      <c r="AP328" s="2" t="s">
        <v>708</v>
      </c>
      <c r="AQ328" s="2">
        <f t="shared" si="127"/>
        <v>135</v>
      </c>
      <c r="AR328" s="2"/>
    </row>
    <row r="329" spans="28:44" x14ac:dyDescent="0.25">
      <c r="AB329" s="37"/>
      <c r="AC329" s="2" t="s">
        <v>882</v>
      </c>
      <c r="AD329" s="2">
        <v>100</v>
      </c>
      <c r="AE329" s="2">
        <v>150</v>
      </c>
      <c r="AF329" s="23"/>
      <c r="AG329" s="2" t="s">
        <v>708</v>
      </c>
      <c r="AH329" s="23">
        <f t="shared" si="126"/>
        <v>0</v>
      </c>
      <c r="AI329" s="2"/>
      <c r="AK329" s="31"/>
      <c r="AL329" s="2"/>
      <c r="AM329" s="2"/>
      <c r="AN329" s="2"/>
      <c r="AO329" s="6"/>
      <c r="AP329" s="6"/>
      <c r="AQ329" s="2"/>
      <c r="AR329" s="2"/>
    </row>
    <row r="330" spans="28:44" x14ac:dyDescent="0.25">
      <c r="AB330" s="37"/>
      <c r="AC330" s="2" t="s">
        <v>25</v>
      </c>
      <c r="AD330" s="2">
        <v>10</v>
      </c>
      <c r="AE330" s="2">
        <v>22.44</v>
      </c>
      <c r="AF330" s="2">
        <v>10</v>
      </c>
      <c r="AG330" s="2" t="s">
        <v>708</v>
      </c>
      <c r="AH330" s="2">
        <f t="shared" si="126"/>
        <v>224.4</v>
      </c>
      <c r="AI330" s="2"/>
      <c r="AK330" s="31"/>
      <c r="AL330" s="32" t="s">
        <v>10</v>
      </c>
      <c r="AM330" s="33"/>
      <c r="AN330" s="34"/>
      <c r="AO330" s="6"/>
      <c r="AP330" s="6"/>
      <c r="AQ330" s="14">
        <f>SUM(AQ326:AQ329)</f>
        <v>1755</v>
      </c>
      <c r="AR330" s="2"/>
    </row>
    <row r="331" spans="28:44" x14ac:dyDescent="0.25">
      <c r="AB331" s="37"/>
      <c r="AC331" s="13"/>
      <c r="AD331" s="2"/>
      <c r="AE331" s="2"/>
      <c r="AF331" s="2"/>
      <c r="AG331" s="2"/>
      <c r="AH331" s="2"/>
      <c r="AI331" s="2"/>
    </row>
    <row r="332" spans="28:44" x14ac:dyDescent="0.25">
      <c r="AB332" s="38"/>
      <c r="AC332" s="32" t="s">
        <v>10</v>
      </c>
      <c r="AD332" s="33"/>
      <c r="AE332" s="34"/>
      <c r="AF332" s="6"/>
      <c r="AG332" s="6"/>
      <c r="AH332" s="7">
        <f>SUM(AH326:AH331)</f>
        <v>2929.4</v>
      </c>
      <c r="AI332" s="2"/>
      <c r="AK332" s="2" t="s">
        <v>90</v>
      </c>
      <c r="AL332" s="2" t="s">
        <v>0</v>
      </c>
      <c r="AM332" s="2" t="s">
        <v>1</v>
      </c>
      <c r="AN332" s="2" t="s">
        <v>2</v>
      </c>
      <c r="AO332" s="2" t="s">
        <v>3</v>
      </c>
      <c r="AP332" s="2"/>
      <c r="AQ332" s="2" t="s">
        <v>4</v>
      </c>
      <c r="AR332" s="2" t="s">
        <v>5</v>
      </c>
    </row>
    <row r="333" spans="28:44" x14ac:dyDescent="0.25">
      <c r="AK333" s="50" t="s">
        <v>807</v>
      </c>
      <c r="AL333" s="2" t="s">
        <v>808</v>
      </c>
      <c r="AM333" s="2">
        <v>290</v>
      </c>
      <c r="AN333" s="2">
        <v>16</v>
      </c>
      <c r="AO333" s="2">
        <v>400</v>
      </c>
      <c r="AP333" s="2" t="s">
        <v>744</v>
      </c>
      <c r="AQ333" s="2">
        <f>AN333*AO333</f>
        <v>6400</v>
      </c>
      <c r="AR333" s="2"/>
    </row>
    <row r="334" spans="28:44" x14ac:dyDescent="0.25">
      <c r="AB334" s="2" t="s">
        <v>90</v>
      </c>
      <c r="AC334" s="2" t="s">
        <v>0</v>
      </c>
      <c r="AD334" s="2" t="s">
        <v>1</v>
      </c>
      <c r="AE334" s="2" t="s">
        <v>2</v>
      </c>
      <c r="AF334" s="2" t="s">
        <v>3</v>
      </c>
      <c r="AG334" s="2"/>
      <c r="AH334" s="2" t="s">
        <v>4</v>
      </c>
      <c r="AI334" s="2" t="s">
        <v>5</v>
      </c>
      <c r="AK334" s="31"/>
      <c r="AL334" s="2"/>
      <c r="AM334" s="2"/>
      <c r="AN334" s="2"/>
      <c r="AO334" s="2"/>
      <c r="AP334" s="2"/>
      <c r="AQ334" s="2"/>
      <c r="AR334" s="2"/>
    </row>
    <row r="335" spans="28:44" x14ac:dyDescent="0.25">
      <c r="AB335" s="31" t="s">
        <v>883</v>
      </c>
      <c r="AC335" s="2" t="s">
        <v>626</v>
      </c>
      <c r="AD335" s="2">
        <v>45</v>
      </c>
      <c r="AE335" s="2">
        <v>27.54</v>
      </c>
      <c r="AF335" s="2">
        <v>45</v>
      </c>
      <c r="AG335" s="2" t="s">
        <v>708</v>
      </c>
      <c r="AH335" s="3">
        <f>AE335*AF335</f>
        <v>1239.3</v>
      </c>
      <c r="AI335" s="2"/>
      <c r="AK335" s="31"/>
      <c r="AL335" s="2"/>
      <c r="AM335" s="2"/>
      <c r="AN335" s="2"/>
      <c r="AO335" s="2"/>
      <c r="AP335" s="2"/>
      <c r="AQ335" s="2"/>
      <c r="AR335" s="2"/>
    </row>
    <row r="336" spans="28:44" x14ac:dyDescent="0.25">
      <c r="AB336" s="31"/>
      <c r="AC336" s="2" t="s">
        <v>884</v>
      </c>
      <c r="AD336" s="2">
        <v>5</v>
      </c>
      <c r="AE336" s="2">
        <v>360</v>
      </c>
      <c r="AF336" s="2">
        <v>5</v>
      </c>
      <c r="AG336" s="2" t="s">
        <v>53</v>
      </c>
      <c r="AH336" s="2">
        <f>AE336*AF336</f>
        <v>1800</v>
      </c>
      <c r="AI336" s="2"/>
      <c r="AK336" s="31"/>
      <c r="AL336" s="2"/>
      <c r="AM336" s="2"/>
      <c r="AN336" s="2"/>
      <c r="AO336" s="6"/>
      <c r="AP336" s="6"/>
      <c r="AQ336" s="2"/>
      <c r="AR336" s="2"/>
    </row>
    <row r="337" spans="28:44" x14ac:dyDescent="0.25">
      <c r="AB337" s="31"/>
      <c r="AC337" s="2"/>
      <c r="AD337" s="2"/>
      <c r="AE337" s="2"/>
      <c r="AF337" s="2"/>
      <c r="AG337" s="2"/>
      <c r="AH337" s="2"/>
      <c r="AI337" s="2"/>
      <c r="AK337" s="31"/>
      <c r="AL337" s="32" t="s">
        <v>10</v>
      </c>
      <c r="AM337" s="33"/>
      <c r="AN337" s="34"/>
      <c r="AO337" s="6"/>
      <c r="AP337" s="6"/>
      <c r="AQ337" s="14">
        <f>SUM(AQ333:AQ336)</f>
        <v>6400</v>
      </c>
      <c r="AR337" s="2"/>
    </row>
    <row r="338" spans="28:44" x14ac:dyDescent="0.25">
      <c r="AB338" s="31"/>
      <c r="AC338" s="2"/>
      <c r="AD338" s="2"/>
      <c r="AE338" s="2"/>
      <c r="AF338" s="6"/>
      <c r="AG338" s="6"/>
      <c r="AH338" s="2"/>
      <c r="AI338" s="2"/>
    </row>
    <row r="339" spans="28:44" x14ac:dyDescent="0.25">
      <c r="AB339" s="31"/>
      <c r="AC339" s="32" t="s">
        <v>10</v>
      </c>
      <c r="AD339" s="33"/>
      <c r="AE339" s="34"/>
      <c r="AF339" s="6"/>
      <c r="AG339" s="6"/>
      <c r="AH339" s="7">
        <f>SUM(AH335:AH338)</f>
        <v>3039.3</v>
      </c>
      <c r="AI339" s="2"/>
      <c r="AK339" s="2" t="s">
        <v>90</v>
      </c>
      <c r="AL339" s="2" t="s">
        <v>0</v>
      </c>
      <c r="AM339" s="2" t="s">
        <v>1</v>
      </c>
      <c r="AN339" s="2" t="s">
        <v>2</v>
      </c>
      <c r="AO339" s="2" t="s">
        <v>3</v>
      </c>
      <c r="AP339" s="2"/>
      <c r="AQ339" s="2" t="s">
        <v>4</v>
      </c>
      <c r="AR339" s="2" t="s">
        <v>5</v>
      </c>
    </row>
    <row r="340" spans="28:44" x14ac:dyDescent="0.25">
      <c r="AK340" s="31" t="s">
        <v>847</v>
      </c>
      <c r="AL340" s="2" t="s">
        <v>848</v>
      </c>
      <c r="AM340" s="2">
        <v>250</v>
      </c>
      <c r="AN340" s="2">
        <v>150</v>
      </c>
      <c r="AO340" s="2">
        <v>21</v>
      </c>
      <c r="AP340" s="2" t="s">
        <v>9</v>
      </c>
      <c r="AQ340" s="2">
        <f>AN340*AO340</f>
        <v>3150</v>
      </c>
      <c r="AR340" s="2"/>
    </row>
    <row r="341" spans="28:44" x14ac:dyDescent="0.25">
      <c r="AB341" s="2" t="s">
        <v>90</v>
      </c>
      <c r="AC341" s="2" t="s">
        <v>0</v>
      </c>
      <c r="AD341" s="2" t="s">
        <v>1</v>
      </c>
      <c r="AE341" s="2" t="s">
        <v>2</v>
      </c>
      <c r="AF341" s="2" t="s">
        <v>3</v>
      </c>
      <c r="AG341" s="2"/>
      <c r="AH341" s="2" t="s">
        <v>4</v>
      </c>
      <c r="AI341" s="2" t="s">
        <v>5</v>
      </c>
      <c r="AK341" s="31"/>
      <c r="AL341" s="2" t="s">
        <v>848</v>
      </c>
      <c r="AM341" s="2">
        <v>2</v>
      </c>
      <c r="AN341" s="2">
        <v>150</v>
      </c>
      <c r="AO341" s="2">
        <v>2</v>
      </c>
      <c r="AP341" s="2" t="s">
        <v>9</v>
      </c>
      <c r="AQ341" s="2">
        <f t="shared" ref="AQ341:AQ342" si="128">AN341*AO341</f>
        <v>300</v>
      </c>
      <c r="AR341" s="2"/>
    </row>
    <row r="342" spans="28:44" x14ac:dyDescent="0.25">
      <c r="AB342" s="31" t="s">
        <v>885</v>
      </c>
      <c r="AC342" s="2" t="s">
        <v>25</v>
      </c>
      <c r="AD342" s="2">
        <v>6</v>
      </c>
      <c r="AE342" s="2">
        <v>22.44</v>
      </c>
      <c r="AF342" s="2">
        <v>6</v>
      </c>
      <c r="AG342" s="2" t="s">
        <v>708</v>
      </c>
      <c r="AH342" s="3">
        <f>AE342*AF342</f>
        <v>134.64000000000001</v>
      </c>
      <c r="AI342" s="2"/>
      <c r="AK342" s="31"/>
      <c r="AL342" s="2" t="s">
        <v>25</v>
      </c>
      <c r="AM342" s="2">
        <v>5</v>
      </c>
      <c r="AN342" s="2">
        <v>24.48</v>
      </c>
      <c r="AO342" s="2">
        <v>5</v>
      </c>
      <c r="AP342" s="2" t="s">
        <v>708</v>
      </c>
      <c r="AQ342" s="3">
        <f t="shared" si="128"/>
        <v>122.4</v>
      </c>
      <c r="AR342" s="2"/>
    </row>
    <row r="343" spans="28:44" x14ac:dyDescent="0.25">
      <c r="AB343" s="31"/>
      <c r="AC343" s="2" t="s">
        <v>886</v>
      </c>
      <c r="AD343" s="2">
        <v>600</v>
      </c>
      <c r="AE343" s="2">
        <v>144</v>
      </c>
      <c r="AF343" s="2">
        <v>30</v>
      </c>
      <c r="AG343" s="2" t="s">
        <v>9</v>
      </c>
      <c r="AH343" s="3">
        <f>AE343*AF343</f>
        <v>4320</v>
      </c>
      <c r="AI343" s="2"/>
      <c r="AK343" s="31"/>
      <c r="AL343" s="2"/>
      <c r="AM343" s="2"/>
      <c r="AN343" s="2"/>
      <c r="AO343" s="6"/>
      <c r="AP343" s="6"/>
      <c r="AQ343" s="2"/>
      <c r="AR343" s="2"/>
    </row>
    <row r="344" spans="28:44" x14ac:dyDescent="0.25">
      <c r="AB344" s="31"/>
      <c r="AC344" s="2"/>
      <c r="AD344" s="2"/>
      <c r="AE344" s="2"/>
      <c r="AF344" s="2"/>
      <c r="AG344" s="2"/>
      <c r="AH344" s="2"/>
      <c r="AI344" s="2"/>
      <c r="AK344" s="31"/>
      <c r="AL344" s="32"/>
      <c r="AM344" s="33"/>
      <c r="AN344" s="34"/>
      <c r="AO344" s="6"/>
      <c r="AP344" s="6"/>
      <c r="AQ344" s="7">
        <f>SUM(AQ340:AQ343)</f>
        <v>3572.4</v>
      </c>
      <c r="AR344" s="2"/>
    </row>
    <row r="345" spans="28:44" x14ac:dyDescent="0.25">
      <c r="AB345" s="31"/>
      <c r="AC345" s="2"/>
      <c r="AD345" s="2"/>
      <c r="AE345" s="2"/>
      <c r="AF345" s="2"/>
      <c r="AG345" s="2"/>
      <c r="AH345" s="2"/>
      <c r="AI345" s="2"/>
    </row>
    <row r="346" spans="28:44" x14ac:dyDescent="0.25">
      <c r="AB346" s="31"/>
      <c r="AC346" s="32" t="s">
        <v>10</v>
      </c>
      <c r="AD346" s="33"/>
      <c r="AE346" s="34"/>
      <c r="AF346" s="6"/>
      <c r="AG346" s="6"/>
      <c r="AH346" s="7">
        <f>SUM(AH342:AH345)</f>
        <v>4454.6400000000003</v>
      </c>
      <c r="AI346" s="2"/>
      <c r="AK346" s="2" t="s">
        <v>90</v>
      </c>
      <c r="AL346" s="2" t="s">
        <v>0</v>
      </c>
      <c r="AM346" s="2" t="s">
        <v>1</v>
      </c>
      <c r="AN346" s="2" t="s">
        <v>2</v>
      </c>
      <c r="AO346" s="2" t="s">
        <v>3</v>
      </c>
      <c r="AP346" s="2"/>
      <c r="AQ346" s="2" t="s">
        <v>4</v>
      </c>
      <c r="AR346" s="2" t="s">
        <v>5</v>
      </c>
    </row>
    <row r="347" spans="28:44" x14ac:dyDescent="0.25">
      <c r="AK347" s="31" t="s">
        <v>853</v>
      </c>
      <c r="AL347" s="2" t="s">
        <v>79</v>
      </c>
      <c r="AM347" s="2">
        <v>60</v>
      </c>
      <c r="AN347" s="2">
        <v>28.8</v>
      </c>
      <c r="AO347" s="2">
        <v>75</v>
      </c>
      <c r="AP347" s="2" t="s">
        <v>708</v>
      </c>
      <c r="AQ347" s="2">
        <f>AN347*AO347</f>
        <v>2160</v>
      </c>
      <c r="AR347" s="2" t="s">
        <v>392</v>
      </c>
    </row>
    <row r="348" spans="28:44" x14ac:dyDescent="0.25">
      <c r="AB348" s="2" t="s">
        <v>11</v>
      </c>
      <c r="AC348" s="2" t="s">
        <v>0</v>
      </c>
      <c r="AD348" s="2" t="s">
        <v>1</v>
      </c>
      <c r="AE348" s="2" t="s">
        <v>2</v>
      </c>
      <c r="AF348" s="2" t="s">
        <v>3</v>
      </c>
      <c r="AG348" s="2"/>
      <c r="AH348" s="2" t="s">
        <v>4</v>
      </c>
      <c r="AI348" s="2" t="s">
        <v>5</v>
      </c>
      <c r="AK348" s="31"/>
      <c r="AL348" s="2" t="s">
        <v>300</v>
      </c>
      <c r="AM348" s="2">
        <v>1</v>
      </c>
      <c r="AN348" s="2">
        <v>150</v>
      </c>
      <c r="AO348" s="2">
        <v>1</v>
      </c>
      <c r="AP348" s="2" t="s">
        <v>708</v>
      </c>
      <c r="AQ348" s="2">
        <f>AN348*AO348</f>
        <v>150</v>
      </c>
      <c r="AR348" s="2"/>
    </row>
    <row r="349" spans="28:44" x14ac:dyDescent="0.25">
      <c r="AB349" s="47" t="s">
        <v>887</v>
      </c>
      <c r="AC349" s="2" t="s">
        <v>547</v>
      </c>
      <c r="AD349" s="2">
        <v>70</v>
      </c>
      <c r="AE349" s="2">
        <v>81</v>
      </c>
      <c r="AF349" s="49">
        <v>70</v>
      </c>
      <c r="AG349" s="2" t="s">
        <v>708</v>
      </c>
      <c r="AH349" s="2">
        <f>AE349*AF349</f>
        <v>5670</v>
      </c>
      <c r="AI349" s="2"/>
      <c r="AK349" s="31"/>
      <c r="AL349" s="2"/>
      <c r="AM349" s="2"/>
      <c r="AN349" s="2"/>
      <c r="AO349" s="2"/>
      <c r="AP349" s="2"/>
      <c r="AQ349" s="2"/>
      <c r="AR349" s="2"/>
    </row>
    <row r="350" spans="28:44" x14ac:dyDescent="0.25">
      <c r="AB350" s="31"/>
      <c r="AC350" s="2" t="s">
        <v>797</v>
      </c>
      <c r="AD350" s="2">
        <v>4</v>
      </c>
      <c r="AE350" s="2">
        <v>220</v>
      </c>
      <c r="AF350" s="2">
        <v>4</v>
      </c>
      <c r="AG350" s="2" t="s">
        <v>708</v>
      </c>
      <c r="AH350" s="2">
        <f t="shared" ref="AH350:AH353" si="129">AE350*AF350</f>
        <v>880</v>
      </c>
      <c r="AI350" s="2"/>
      <c r="AK350" s="31"/>
      <c r="AL350" s="2"/>
      <c r="AM350" s="2"/>
      <c r="AN350" s="2"/>
      <c r="AO350" s="6"/>
      <c r="AP350" s="6"/>
      <c r="AQ350" s="2"/>
      <c r="AR350" s="2"/>
    </row>
    <row r="351" spans="28:44" x14ac:dyDescent="0.25">
      <c r="AB351" s="31"/>
      <c r="AC351" s="2" t="s">
        <v>22</v>
      </c>
      <c r="AD351" s="2">
        <v>10</v>
      </c>
      <c r="AE351" s="2">
        <v>75</v>
      </c>
      <c r="AF351" s="2">
        <v>10</v>
      </c>
      <c r="AG351" s="2" t="s">
        <v>708</v>
      </c>
      <c r="AH351" s="2">
        <f t="shared" si="129"/>
        <v>750</v>
      </c>
      <c r="AI351" s="2"/>
      <c r="AK351" s="31"/>
      <c r="AL351" s="32" t="s">
        <v>10</v>
      </c>
      <c r="AM351" s="33"/>
      <c r="AN351" s="34"/>
      <c r="AO351" s="6"/>
      <c r="AP351" s="6"/>
      <c r="AQ351" s="14">
        <f>SUM(AQ347:AQ350)</f>
        <v>2310</v>
      </c>
      <c r="AR351" s="2"/>
    </row>
    <row r="352" spans="28:44" x14ac:dyDescent="0.25">
      <c r="AB352" s="31"/>
      <c r="AC352" s="2" t="s">
        <v>612</v>
      </c>
      <c r="AD352" s="2">
        <v>5</v>
      </c>
      <c r="AE352" s="2">
        <v>41.4</v>
      </c>
      <c r="AF352" s="2">
        <v>5</v>
      </c>
      <c r="AG352" s="2" t="s">
        <v>708</v>
      </c>
      <c r="AH352" s="2">
        <f t="shared" si="129"/>
        <v>207</v>
      </c>
      <c r="AI352" s="2"/>
    </row>
    <row r="353" spans="28:44" x14ac:dyDescent="0.25">
      <c r="AB353" s="31"/>
      <c r="AC353" s="2" t="s">
        <v>613</v>
      </c>
      <c r="AD353" s="2">
        <v>5</v>
      </c>
      <c r="AE353" s="2">
        <v>48.6</v>
      </c>
      <c r="AF353" s="2">
        <v>5</v>
      </c>
      <c r="AG353" s="2" t="s">
        <v>708</v>
      </c>
      <c r="AH353" s="2">
        <f t="shared" si="129"/>
        <v>243</v>
      </c>
      <c r="AI353" s="2"/>
      <c r="AK353" s="2" t="s">
        <v>839</v>
      </c>
      <c r="AL353" s="2" t="s">
        <v>0</v>
      </c>
      <c r="AM353" s="2" t="s">
        <v>1</v>
      </c>
      <c r="AN353" s="2" t="s">
        <v>2</v>
      </c>
      <c r="AO353" s="2" t="s">
        <v>3</v>
      </c>
      <c r="AP353" s="2"/>
      <c r="AQ353" s="2" t="s">
        <v>4</v>
      </c>
      <c r="AR353" s="2" t="s">
        <v>5</v>
      </c>
    </row>
    <row r="354" spans="28:44" x14ac:dyDescent="0.25">
      <c r="AB354" s="31"/>
      <c r="AC354" s="32" t="s">
        <v>10</v>
      </c>
      <c r="AD354" s="33"/>
      <c r="AE354" s="34"/>
      <c r="AF354" s="6"/>
      <c r="AG354" s="6"/>
      <c r="AH354" s="7">
        <f>SUM(AH349:AH353)</f>
        <v>7750</v>
      </c>
      <c r="AI354" s="2"/>
      <c r="AK354" s="31" t="s">
        <v>859</v>
      </c>
      <c r="AL354" s="2" t="s">
        <v>254</v>
      </c>
      <c r="AM354" s="2">
        <v>40</v>
      </c>
      <c r="AN354" s="2">
        <v>48</v>
      </c>
      <c r="AO354" s="2">
        <v>40</v>
      </c>
      <c r="AP354" s="2" t="s">
        <v>708</v>
      </c>
      <c r="AQ354" s="2">
        <f>AN354*AO354</f>
        <v>1920</v>
      </c>
      <c r="AR354" s="2"/>
    </row>
    <row r="355" spans="28:44" x14ac:dyDescent="0.25">
      <c r="AK355" s="31"/>
      <c r="AL355" s="2" t="s">
        <v>781</v>
      </c>
      <c r="AM355" s="2"/>
      <c r="AN355" s="2">
        <v>120</v>
      </c>
      <c r="AO355" s="2">
        <v>2</v>
      </c>
      <c r="AP355" s="2" t="s">
        <v>50</v>
      </c>
      <c r="AQ355" s="2">
        <f>AN355*AO355</f>
        <v>240</v>
      </c>
      <c r="AR355" s="2"/>
    </row>
    <row r="356" spans="28:44" x14ac:dyDescent="0.25">
      <c r="AB356" s="2" t="s">
        <v>90</v>
      </c>
      <c r="AC356" s="2" t="s">
        <v>0</v>
      </c>
      <c r="AD356" s="2" t="s">
        <v>1</v>
      </c>
      <c r="AE356" s="2" t="s">
        <v>2</v>
      </c>
      <c r="AF356" s="2" t="s">
        <v>3</v>
      </c>
      <c r="AG356" s="2"/>
      <c r="AH356" s="2" t="s">
        <v>4</v>
      </c>
      <c r="AI356" s="2" t="s">
        <v>5</v>
      </c>
      <c r="AK356" s="31"/>
      <c r="AL356" s="2"/>
      <c r="AM356" s="2"/>
      <c r="AN356" s="2"/>
      <c r="AO356" s="2"/>
      <c r="AP356" s="2"/>
      <c r="AQ356" s="2"/>
      <c r="AR356" s="2"/>
    </row>
    <row r="357" spans="28:44" x14ac:dyDescent="0.25">
      <c r="AB357" s="31" t="s">
        <v>891</v>
      </c>
      <c r="AC357" s="2" t="s">
        <v>892</v>
      </c>
      <c r="AD357" s="2">
        <v>270</v>
      </c>
      <c r="AE357" s="2">
        <v>118</v>
      </c>
      <c r="AF357" s="2">
        <v>14</v>
      </c>
      <c r="AG357" s="2" t="s">
        <v>53</v>
      </c>
      <c r="AH357" s="2">
        <f>AE357*AF357</f>
        <v>1652</v>
      </c>
      <c r="AI357" s="2"/>
      <c r="AK357" s="31"/>
      <c r="AL357" s="2"/>
      <c r="AM357" s="2"/>
      <c r="AN357" s="2"/>
      <c r="AO357" s="6"/>
      <c r="AP357" s="6"/>
      <c r="AQ357" s="2"/>
      <c r="AR357" s="2"/>
    </row>
    <row r="358" spans="28:44" x14ac:dyDescent="0.25">
      <c r="AB358" s="31"/>
      <c r="AC358" s="2" t="s">
        <v>58</v>
      </c>
      <c r="AD358" s="2">
        <v>10</v>
      </c>
      <c r="AE358" s="2">
        <v>93</v>
      </c>
      <c r="AF358" s="2">
        <v>10</v>
      </c>
      <c r="AG358" s="2" t="s">
        <v>708</v>
      </c>
      <c r="AH358" s="2">
        <f t="shared" ref="AH358:AH360" si="130">AE358*AF358</f>
        <v>930</v>
      </c>
      <c r="AI358" s="2"/>
      <c r="AK358" s="31"/>
      <c r="AL358" s="2"/>
      <c r="AM358" s="2"/>
      <c r="AN358" s="2"/>
      <c r="AO358" s="6"/>
      <c r="AP358" s="6"/>
      <c r="AQ358" s="2"/>
      <c r="AR358" s="2"/>
    </row>
    <row r="359" spans="28:44" x14ac:dyDescent="0.25">
      <c r="AB359" s="31"/>
      <c r="AC359" s="2" t="s">
        <v>826</v>
      </c>
      <c r="AD359" s="2">
        <v>1</v>
      </c>
      <c r="AE359" s="2">
        <v>1125</v>
      </c>
      <c r="AF359" s="2">
        <v>1</v>
      </c>
      <c r="AG359" s="2" t="s">
        <v>708</v>
      </c>
      <c r="AH359" s="3">
        <f t="shared" si="130"/>
        <v>1125</v>
      </c>
      <c r="AI359" s="2"/>
      <c r="AK359" s="31"/>
      <c r="AL359" s="2"/>
      <c r="AM359" s="2"/>
      <c r="AN359" s="2"/>
      <c r="AO359" s="6"/>
      <c r="AP359" s="6"/>
      <c r="AQ359" s="2"/>
      <c r="AR359" s="2"/>
    </row>
    <row r="360" spans="28:44" x14ac:dyDescent="0.25">
      <c r="AB360" s="31"/>
      <c r="AC360" s="2" t="s">
        <v>349</v>
      </c>
      <c r="AD360" s="2">
        <v>8</v>
      </c>
      <c r="AE360" s="2">
        <v>45</v>
      </c>
      <c r="AF360" s="2">
        <v>8</v>
      </c>
      <c r="AG360" s="2" t="s">
        <v>708</v>
      </c>
      <c r="AH360" s="2">
        <f t="shared" si="130"/>
        <v>360</v>
      </c>
      <c r="AI360" s="2"/>
      <c r="AK360" s="31"/>
      <c r="AL360" s="32" t="s">
        <v>10</v>
      </c>
      <c r="AM360" s="33"/>
      <c r="AN360" s="34"/>
      <c r="AO360" s="6"/>
      <c r="AP360" s="6"/>
      <c r="AQ360" s="7">
        <f>SUM(AQ354:AQ359)</f>
        <v>2160</v>
      </c>
      <c r="AR360" s="2"/>
    </row>
    <row r="361" spans="28:44" x14ac:dyDescent="0.25">
      <c r="AB361" s="31"/>
      <c r="AC361" s="31"/>
      <c r="AD361" s="31"/>
      <c r="AE361" s="31"/>
      <c r="AF361" s="2"/>
      <c r="AG361" s="2"/>
      <c r="AH361" s="46">
        <f>SUM(AH357:AH360)</f>
        <v>4067</v>
      </c>
      <c r="AI361" s="2"/>
    </row>
    <row r="362" spans="28:44" x14ac:dyDescent="0.25">
      <c r="AK362" s="2" t="s">
        <v>90</v>
      </c>
      <c r="AL362" s="2" t="s">
        <v>0</v>
      </c>
      <c r="AM362" s="2" t="s">
        <v>1</v>
      </c>
      <c r="AN362" s="2" t="s">
        <v>2</v>
      </c>
      <c r="AO362" s="2" t="s">
        <v>3</v>
      </c>
      <c r="AP362" s="2"/>
      <c r="AQ362" s="2" t="s">
        <v>4</v>
      </c>
      <c r="AR362" s="2" t="s">
        <v>5</v>
      </c>
    </row>
    <row r="363" spans="28:44" x14ac:dyDescent="0.25">
      <c r="AB363" s="2" t="s">
        <v>11</v>
      </c>
      <c r="AC363" s="2" t="s">
        <v>0</v>
      </c>
      <c r="AD363" s="2" t="s">
        <v>1</v>
      </c>
      <c r="AE363" s="2" t="s">
        <v>2</v>
      </c>
      <c r="AF363" s="2" t="s">
        <v>3</v>
      </c>
      <c r="AG363" s="2"/>
      <c r="AH363" s="2" t="s">
        <v>4</v>
      </c>
      <c r="AI363" s="2" t="s">
        <v>5</v>
      </c>
      <c r="AK363" s="31" t="s">
        <v>866</v>
      </c>
      <c r="AL363" s="2" t="s">
        <v>867</v>
      </c>
      <c r="AM363" s="2">
        <v>35</v>
      </c>
      <c r="AN363" s="2">
        <v>102</v>
      </c>
      <c r="AO363" s="2">
        <v>35</v>
      </c>
      <c r="AP363" s="2" t="s">
        <v>9</v>
      </c>
      <c r="AQ363" s="2">
        <f>AN363*AO363</f>
        <v>3570</v>
      </c>
      <c r="AR363" s="2"/>
    </row>
    <row r="364" spans="28:44" x14ac:dyDescent="0.25">
      <c r="AB364" s="31" t="s">
        <v>895</v>
      </c>
      <c r="AC364" s="13" t="s">
        <v>137</v>
      </c>
      <c r="AD364" s="2">
        <v>1</v>
      </c>
      <c r="AE364" s="2">
        <v>84</v>
      </c>
      <c r="AF364" s="2">
        <v>15</v>
      </c>
      <c r="AG364" s="2" t="s">
        <v>53</v>
      </c>
      <c r="AH364" s="2">
        <f>AE364*AF364</f>
        <v>1260</v>
      </c>
      <c r="AI364" s="2"/>
      <c r="AK364" s="31"/>
      <c r="AL364" s="2" t="s">
        <v>25</v>
      </c>
      <c r="AM364" s="2">
        <v>6</v>
      </c>
      <c r="AN364" s="2">
        <v>22.44</v>
      </c>
      <c r="AO364" s="2">
        <v>6</v>
      </c>
      <c r="AP364" s="2" t="s">
        <v>9</v>
      </c>
      <c r="AQ364" s="2">
        <f>AN364*AO364</f>
        <v>134.64000000000001</v>
      </c>
      <c r="AR364" s="2"/>
    </row>
    <row r="365" spans="28:44" x14ac:dyDescent="0.25">
      <c r="AB365" s="31"/>
      <c r="AC365" s="2" t="s">
        <v>558</v>
      </c>
      <c r="AD365" s="2">
        <v>1</v>
      </c>
      <c r="AE365" s="2">
        <v>100</v>
      </c>
      <c r="AF365" s="2">
        <v>12</v>
      </c>
      <c r="AG365" s="2" t="s">
        <v>53</v>
      </c>
      <c r="AH365" s="2">
        <f t="shared" ref="AH365:AH366" si="131">AE365*AF365</f>
        <v>1200</v>
      </c>
      <c r="AI365" s="2"/>
      <c r="AK365" s="31"/>
      <c r="AL365" s="2" t="s">
        <v>718</v>
      </c>
      <c r="AM365" s="2">
        <v>3</v>
      </c>
      <c r="AN365" s="2">
        <v>325</v>
      </c>
      <c r="AO365" s="2">
        <v>3</v>
      </c>
      <c r="AP365" s="2" t="s">
        <v>123</v>
      </c>
      <c r="AQ365" s="2">
        <f t="shared" ref="AQ365:AQ366" si="132">AN365*AO365</f>
        <v>975</v>
      </c>
      <c r="AR365" s="2"/>
    </row>
    <row r="366" spans="28:44" x14ac:dyDescent="0.25">
      <c r="AB366" s="31"/>
      <c r="AC366" s="2" t="s">
        <v>896</v>
      </c>
      <c r="AD366" s="2">
        <v>1</v>
      </c>
      <c r="AE366" s="2">
        <v>540</v>
      </c>
      <c r="AF366" s="2">
        <v>1</v>
      </c>
      <c r="AG366" s="2" t="s">
        <v>53</v>
      </c>
      <c r="AH366" s="2">
        <f t="shared" si="131"/>
        <v>540</v>
      </c>
      <c r="AI366" s="2"/>
      <c r="AK366" s="31"/>
      <c r="AL366" s="2" t="s">
        <v>401</v>
      </c>
      <c r="AM366" s="2" t="s">
        <v>774</v>
      </c>
      <c r="AN366" s="2">
        <v>285.60000000000002</v>
      </c>
      <c r="AO366" s="6">
        <v>0.5</v>
      </c>
      <c r="AP366" s="6" t="s">
        <v>708</v>
      </c>
      <c r="AQ366" s="2">
        <f t="shared" si="132"/>
        <v>142.80000000000001</v>
      </c>
      <c r="AR366" s="2"/>
    </row>
    <row r="367" spans="28:44" x14ac:dyDescent="0.25">
      <c r="AB367" s="31"/>
      <c r="AC367" s="2"/>
      <c r="AD367" s="2"/>
      <c r="AE367" s="2"/>
      <c r="AF367" s="2"/>
      <c r="AG367" s="2"/>
      <c r="AH367" s="2"/>
      <c r="AI367" s="2"/>
      <c r="AK367" s="31"/>
      <c r="AL367" s="32" t="s">
        <v>10</v>
      </c>
      <c r="AM367" s="33"/>
      <c r="AN367" s="34"/>
      <c r="AO367" s="6"/>
      <c r="AP367" s="6"/>
      <c r="AQ367" s="7">
        <f>SUM(AQ363:AQ366)</f>
        <v>4822.4399999999996</v>
      </c>
      <c r="AR367" s="2"/>
    </row>
    <row r="368" spans="28:44" x14ac:dyDescent="0.25">
      <c r="AB368" s="31"/>
      <c r="AC368" s="2"/>
      <c r="AD368" s="2"/>
      <c r="AE368" s="2"/>
      <c r="AF368" s="2"/>
      <c r="AG368" s="2"/>
      <c r="AH368" s="2"/>
      <c r="AI368" s="2"/>
    </row>
    <row r="369" spans="28:44" x14ac:dyDescent="0.25">
      <c r="AB369" s="31"/>
      <c r="AC369" s="32" t="s">
        <v>10</v>
      </c>
      <c r="AD369" s="33"/>
      <c r="AE369" s="34"/>
      <c r="AF369" s="6"/>
      <c r="AG369" s="6"/>
      <c r="AH369" s="7">
        <f>SUM(AH364:AH368)</f>
        <v>3000</v>
      </c>
      <c r="AI369" s="2"/>
      <c r="AK369" s="2" t="s">
        <v>11</v>
      </c>
      <c r="AL369" s="2" t="s">
        <v>0</v>
      </c>
      <c r="AM369" s="2" t="s">
        <v>1</v>
      </c>
      <c r="AN369" s="2" t="s">
        <v>2</v>
      </c>
      <c r="AO369" s="2" t="s">
        <v>3</v>
      </c>
      <c r="AP369" s="2"/>
      <c r="AQ369" s="2" t="s">
        <v>4</v>
      </c>
      <c r="AR369" s="2" t="s">
        <v>5</v>
      </c>
    </row>
    <row r="370" spans="28:44" x14ac:dyDescent="0.25">
      <c r="AK370" s="31" t="s">
        <v>907</v>
      </c>
      <c r="AL370" s="2" t="s">
        <v>322</v>
      </c>
      <c r="AM370" s="2">
        <v>6</v>
      </c>
      <c r="AN370" s="2">
        <v>180</v>
      </c>
      <c r="AO370" s="2">
        <v>6</v>
      </c>
      <c r="AP370" s="2" t="s">
        <v>748</v>
      </c>
      <c r="AQ370" s="2">
        <f>AN370*AO370</f>
        <v>1080</v>
      </c>
      <c r="AR370" s="2"/>
    </row>
    <row r="371" spans="28:44" x14ac:dyDescent="0.25">
      <c r="AB371" s="2" t="s">
        <v>90</v>
      </c>
      <c r="AC371" s="2" t="s">
        <v>0</v>
      </c>
      <c r="AD371" s="2" t="s">
        <v>1</v>
      </c>
      <c r="AE371" s="2" t="s">
        <v>2</v>
      </c>
      <c r="AF371" s="2" t="s">
        <v>3</v>
      </c>
      <c r="AG371" s="2"/>
      <c r="AH371" s="2" t="s">
        <v>4</v>
      </c>
      <c r="AI371" s="2" t="s">
        <v>5</v>
      </c>
      <c r="AK371" s="31"/>
      <c r="AL371" s="2" t="s">
        <v>84</v>
      </c>
      <c r="AM371" s="2">
        <v>4</v>
      </c>
      <c r="AN371" s="2">
        <v>100</v>
      </c>
      <c r="AO371" s="2">
        <v>4</v>
      </c>
      <c r="AP371" s="2" t="s">
        <v>708</v>
      </c>
      <c r="AQ371" s="2">
        <f t="shared" ref="AQ371:AQ373" si="133">AN371*AO371</f>
        <v>400</v>
      </c>
      <c r="AR371" s="2"/>
    </row>
    <row r="372" spans="28:44" x14ac:dyDescent="0.25">
      <c r="AB372" s="31" t="s">
        <v>897</v>
      </c>
      <c r="AC372" s="2" t="s">
        <v>718</v>
      </c>
      <c r="AD372" s="2">
        <v>2</v>
      </c>
      <c r="AE372" s="2">
        <v>325</v>
      </c>
      <c r="AF372" s="2">
        <v>2</v>
      </c>
      <c r="AG372" s="2" t="s">
        <v>123</v>
      </c>
      <c r="AH372" s="2">
        <f>AE372*AF372</f>
        <v>650</v>
      </c>
      <c r="AI372" s="2"/>
      <c r="AK372" s="31"/>
      <c r="AL372" s="2" t="s">
        <v>797</v>
      </c>
      <c r="AM372" s="2">
        <v>3</v>
      </c>
      <c r="AN372" s="2">
        <v>220</v>
      </c>
      <c r="AO372" s="2">
        <v>3</v>
      </c>
      <c r="AP372" s="2" t="s">
        <v>55</v>
      </c>
      <c r="AQ372" s="2">
        <f t="shared" si="133"/>
        <v>660</v>
      </c>
      <c r="AR372" s="2"/>
    </row>
    <row r="373" spans="28:44" x14ac:dyDescent="0.25">
      <c r="AB373" s="31"/>
      <c r="AC373" s="2" t="s">
        <v>898</v>
      </c>
      <c r="AD373" s="2">
        <v>2</v>
      </c>
      <c r="AE373" s="2">
        <v>158.1</v>
      </c>
      <c r="AF373" s="2">
        <v>2</v>
      </c>
      <c r="AG373" s="2" t="s">
        <v>708</v>
      </c>
      <c r="AH373" s="2">
        <f t="shared" ref="AH373:AH377" si="134">AE373*AF373</f>
        <v>316.2</v>
      </c>
      <c r="AI373" s="2"/>
      <c r="AK373" s="31"/>
      <c r="AL373" s="2"/>
      <c r="AM373" s="2"/>
      <c r="AN373" s="2"/>
      <c r="AO373" s="2"/>
      <c r="AP373" s="2"/>
      <c r="AQ373" s="2">
        <f t="shared" si="133"/>
        <v>0</v>
      </c>
      <c r="AR373" s="2"/>
    </row>
    <row r="374" spans="28:44" x14ac:dyDescent="0.25">
      <c r="AB374" s="31"/>
      <c r="AC374" s="2" t="s">
        <v>180</v>
      </c>
      <c r="AD374" s="2">
        <v>1</v>
      </c>
      <c r="AE374" s="2">
        <v>96.9</v>
      </c>
      <c r="AF374" s="2">
        <v>1</v>
      </c>
      <c r="AG374" s="2" t="s">
        <v>708</v>
      </c>
      <c r="AH374" s="2">
        <f t="shared" si="134"/>
        <v>96.9</v>
      </c>
      <c r="AI374" s="2"/>
      <c r="AK374" s="31"/>
      <c r="AL374" s="2"/>
      <c r="AM374" s="2"/>
      <c r="AN374" s="2"/>
      <c r="AO374" s="2"/>
      <c r="AP374" s="2"/>
      <c r="AQ374" s="2"/>
      <c r="AR374" s="2"/>
    </row>
    <row r="375" spans="28:44" x14ac:dyDescent="0.25">
      <c r="AB375" s="31"/>
      <c r="AC375" s="2" t="s">
        <v>285</v>
      </c>
      <c r="AD375" s="2">
        <v>60</v>
      </c>
      <c r="AE375" s="2">
        <v>11</v>
      </c>
      <c r="AF375" s="2">
        <v>60</v>
      </c>
      <c r="AG375" s="2" t="s">
        <v>63</v>
      </c>
      <c r="AH375" s="2">
        <f t="shared" si="134"/>
        <v>660</v>
      </c>
      <c r="AI375" s="2"/>
      <c r="AK375" s="31"/>
      <c r="AL375" s="32" t="s">
        <v>10</v>
      </c>
      <c r="AM375" s="33"/>
      <c r="AN375" s="34"/>
      <c r="AO375" s="6"/>
      <c r="AP375" s="6"/>
      <c r="AQ375" s="7">
        <f>SUM(AQ370:AQ374)</f>
        <v>2140</v>
      </c>
      <c r="AR375" s="2"/>
    </row>
    <row r="376" spans="28:44" x14ac:dyDescent="0.25">
      <c r="AB376" s="31"/>
      <c r="AC376" s="2" t="s">
        <v>270</v>
      </c>
      <c r="AD376" s="2">
        <v>3</v>
      </c>
      <c r="AE376" s="2">
        <v>21</v>
      </c>
      <c r="AF376" s="2">
        <v>3</v>
      </c>
      <c r="AG376" s="2" t="s">
        <v>708</v>
      </c>
      <c r="AH376" s="2">
        <f t="shared" si="134"/>
        <v>63</v>
      </c>
      <c r="AI376" s="2"/>
    </row>
    <row r="377" spans="28:44" x14ac:dyDescent="0.25">
      <c r="AB377" s="31"/>
      <c r="AC377" s="2" t="s">
        <v>899</v>
      </c>
      <c r="AD377" s="2">
        <v>15</v>
      </c>
      <c r="AE377" s="2">
        <v>120</v>
      </c>
      <c r="AF377" s="2">
        <v>15</v>
      </c>
      <c r="AG377" s="2" t="s">
        <v>708</v>
      </c>
      <c r="AH377" s="2">
        <f t="shared" si="134"/>
        <v>1800</v>
      </c>
      <c r="AI377" s="2"/>
      <c r="AK377" s="2" t="s">
        <v>90</v>
      </c>
      <c r="AL377" s="2" t="s">
        <v>0</v>
      </c>
      <c r="AM377" s="2" t="s">
        <v>1</v>
      </c>
      <c r="AN377" s="2" t="s">
        <v>2</v>
      </c>
      <c r="AO377" s="2" t="s">
        <v>3</v>
      </c>
      <c r="AP377" s="2"/>
      <c r="AQ377" s="2" t="s">
        <v>4</v>
      </c>
      <c r="AR377" s="2" t="s">
        <v>5</v>
      </c>
    </row>
    <row r="378" spans="28:44" x14ac:dyDescent="0.25">
      <c r="AB378" s="25"/>
      <c r="AC378" s="32" t="s">
        <v>10</v>
      </c>
      <c r="AD378" s="33"/>
      <c r="AE378" s="34"/>
      <c r="AF378" s="6"/>
      <c r="AG378" s="6"/>
      <c r="AH378" s="7">
        <f>SUM(AH372:AH377)</f>
        <v>3586.1000000000004</v>
      </c>
      <c r="AI378" s="2"/>
      <c r="AK378" s="31" t="s">
        <v>912</v>
      </c>
      <c r="AL378" s="2" t="s">
        <v>913</v>
      </c>
      <c r="AM378" s="2"/>
      <c r="AN378" s="2">
        <v>45</v>
      </c>
      <c r="AO378" s="2">
        <v>40</v>
      </c>
      <c r="AP378" s="2" t="s">
        <v>9</v>
      </c>
      <c r="AQ378" s="2">
        <f>AN378*AO378</f>
        <v>1800</v>
      </c>
      <c r="AR378" s="2"/>
    </row>
    <row r="379" spans="28:44" x14ac:dyDescent="0.25">
      <c r="AK379" s="31"/>
      <c r="AL379" s="2" t="s">
        <v>401</v>
      </c>
      <c r="AM379" s="2"/>
      <c r="AN379" s="2"/>
      <c r="AO379" s="2"/>
      <c r="AP379" s="2"/>
      <c r="AQ379" s="2">
        <f>AN379*AO379</f>
        <v>0</v>
      </c>
      <c r="AR379" s="2"/>
    </row>
    <row r="380" spans="28:44" x14ac:dyDescent="0.25">
      <c r="AB380" s="2" t="s">
        <v>11</v>
      </c>
      <c r="AC380" s="2" t="s">
        <v>0</v>
      </c>
      <c r="AD380" s="2" t="s">
        <v>1</v>
      </c>
      <c r="AE380" s="2" t="s">
        <v>2</v>
      </c>
      <c r="AF380" s="2" t="s">
        <v>3</v>
      </c>
      <c r="AG380" s="2"/>
      <c r="AH380" s="2" t="s">
        <v>4</v>
      </c>
      <c r="AI380" s="2" t="s">
        <v>5</v>
      </c>
      <c r="AK380" s="31"/>
      <c r="AL380" s="2"/>
      <c r="AM380" s="2"/>
      <c r="AN380" s="2"/>
      <c r="AO380" s="2"/>
      <c r="AP380" s="2"/>
      <c r="AQ380" s="2"/>
      <c r="AR380" s="2"/>
    </row>
    <row r="381" spans="28:44" x14ac:dyDescent="0.25">
      <c r="AB381" s="31" t="s">
        <v>900</v>
      </c>
      <c r="AC381" s="53" t="s">
        <v>901</v>
      </c>
      <c r="AD381" s="2">
        <v>45</v>
      </c>
      <c r="AE381" s="2">
        <v>62</v>
      </c>
      <c r="AF381" s="2">
        <v>45</v>
      </c>
      <c r="AG381" s="2" t="s">
        <v>708</v>
      </c>
      <c r="AH381" s="2">
        <f>AE381*AF381</f>
        <v>2790</v>
      </c>
      <c r="AI381" s="2"/>
      <c r="AK381" s="31"/>
      <c r="AL381" s="2"/>
      <c r="AM381" s="2"/>
      <c r="AN381" s="2"/>
      <c r="AO381" s="2"/>
      <c r="AP381" s="2"/>
      <c r="AQ381" s="2"/>
      <c r="AR381" s="2"/>
    </row>
    <row r="382" spans="28:44" x14ac:dyDescent="0.25">
      <c r="AB382" s="31"/>
      <c r="AC382" s="2" t="s">
        <v>902</v>
      </c>
      <c r="AD382" s="2">
        <v>120</v>
      </c>
      <c r="AE382" s="2">
        <v>12</v>
      </c>
      <c r="AF382" s="2">
        <v>120</v>
      </c>
      <c r="AG382" s="2" t="s">
        <v>744</v>
      </c>
      <c r="AH382" s="2">
        <f>AE382*AF382</f>
        <v>1440</v>
      </c>
      <c r="AI382" s="2"/>
      <c r="AK382" s="31"/>
      <c r="AL382" s="32" t="s">
        <v>10</v>
      </c>
      <c r="AM382" s="33"/>
      <c r="AN382" s="34"/>
      <c r="AO382" s="6"/>
      <c r="AP382" s="6"/>
      <c r="AQ382" s="14">
        <f>SUM(AQ378:AQ381)</f>
        <v>1800</v>
      </c>
      <c r="AR382" s="2"/>
    </row>
    <row r="383" spans="28:44" x14ac:dyDescent="0.25">
      <c r="AB383" s="31"/>
      <c r="AC383" s="2"/>
      <c r="AD383" s="2"/>
      <c r="AE383" s="2"/>
      <c r="AF383" s="2"/>
      <c r="AG383" s="2"/>
      <c r="AH383" s="2"/>
      <c r="AI383" s="2"/>
    </row>
    <row r="384" spans="28:44" x14ac:dyDescent="0.25">
      <c r="AB384" s="31"/>
      <c r="AC384" s="2"/>
      <c r="AD384" s="2"/>
      <c r="AE384" s="2"/>
      <c r="AF384" s="2"/>
      <c r="AG384" s="2"/>
      <c r="AH384" s="2"/>
      <c r="AI384" s="2"/>
      <c r="AK384" s="2" t="s">
        <v>90</v>
      </c>
      <c r="AL384" s="2" t="s">
        <v>0</v>
      </c>
      <c r="AM384" s="2" t="s">
        <v>1</v>
      </c>
      <c r="AN384" s="2" t="s">
        <v>2</v>
      </c>
      <c r="AO384" s="2" t="s">
        <v>3</v>
      </c>
      <c r="AP384" s="2"/>
      <c r="AQ384" s="2" t="s">
        <v>4</v>
      </c>
      <c r="AR384" s="2" t="s">
        <v>5</v>
      </c>
    </row>
    <row r="385" spans="28:44" x14ac:dyDescent="0.25">
      <c r="AB385" s="31"/>
      <c r="AC385" s="2"/>
      <c r="AD385" s="2"/>
      <c r="AE385" s="2"/>
      <c r="AF385" s="2"/>
      <c r="AG385" s="2"/>
      <c r="AH385" s="2"/>
      <c r="AI385" s="2"/>
      <c r="AK385" s="31" t="s">
        <v>925</v>
      </c>
      <c r="AL385" s="2" t="s">
        <v>22</v>
      </c>
      <c r="AM385" s="2">
        <v>20</v>
      </c>
      <c r="AN385" s="2">
        <v>90</v>
      </c>
      <c r="AO385" s="2">
        <v>20</v>
      </c>
      <c r="AP385" s="2" t="s">
        <v>708</v>
      </c>
      <c r="AQ385" s="2">
        <f>AN385*AO385</f>
        <v>1800</v>
      </c>
      <c r="AR385" s="2"/>
    </row>
    <row r="386" spans="28:44" x14ac:dyDescent="0.25">
      <c r="AB386" s="31"/>
      <c r="AC386" s="32" t="s">
        <v>10</v>
      </c>
      <c r="AD386" s="33"/>
      <c r="AE386" s="34"/>
      <c r="AF386" s="6"/>
      <c r="AG386" s="6"/>
      <c r="AH386" s="7">
        <f>SUM(AH381:AH385)</f>
        <v>4230</v>
      </c>
      <c r="AI386" s="2"/>
      <c r="AK386" s="31"/>
      <c r="AL386" s="2" t="s">
        <v>671</v>
      </c>
      <c r="AM386" s="2">
        <v>1</v>
      </c>
      <c r="AN386" s="2">
        <v>112.2</v>
      </c>
      <c r="AO386" s="2">
        <v>1</v>
      </c>
      <c r="AP386" s="2" t="s">
        <v>708</v>
      </c>
      <c r="AQ386" s="2">
        <f t="shared" ref="AQ386:AQ389" si="135">AN386*AO386</f>
        <v>112.2</v>
      </c>
      <c r="AR386" s="2"/>
    </row>
    <row r="387" spans="28:44" x14ac:dyDescent="0.25">
      <c r="AK387" s="31"/>
      <c r="AL387" s="2" t="s">
        <v>913</v>
      </c>
      <c r="AM387" s="2">
        <v>25</v>
      </c>
      <c r="AN387" s="2">
        <v>45</v>
      </c>
      <c r="AO387" s="2">
        <v>25</v>
      </c>
      <c r="AP387" s="2" t="s">
        <v>708</v>
      </c>
      <c r="AQ387" s="2">
        <f t="shared" si="135"/>
        <v>1125</v>
      </c>
      <c r="AR387" s="2"/>
    </row>
    <row r="388" spans="28:44" x14ac:dyDescent="0.25">
      <c r="AB388" s="2" t="s">
        <v>839</v>
      </c>
      <c r="AC388" s="2" t="s">
        <v>0</v>
      </c>
      <c r="AD388" s="2" t="s">
        <v>1</v>
      </c>
      <c r="AE388" s="2" t="s">
        <v>2</v>
      </c>
      <c r="AF388" s="2" t="s">
        <v>3</v>
      </c>
      <c r="AG388" s="2"/>
      <c r="AH388" s="2" t="s">
        <v>4</v>
      </c>
      <c r="AI388" s="2" t="s">
        <v>5</v>
      </c>
      <c r="AK388" s="31"/>
      <c r="AL388" s="2" t="s">
        <v>25</v>
      </c>
      <c r="AM388" s="2">
        <v>6</v>
      </c>
      <c r="AN388" s="2">
        <v>25.5</v>
      </c>
      <c r="AO388" s="6">
        <v>6</v>
      </c>
      <c r="AP388" s="6" t="s">
        <v>708</v>
      </c>
      <c r="AQ388" s="2">
        <f t="shared" si="135"/>
        <v>153</v>
      </c>
      <c r="AR388" s="2"/>
    </row>
    <row r="389" spans="28:44" x14ac:dyDescent="0.25">
      <c r="AB389" s="31" t="s">
        <v>903</v>
      </c>
      <c r="AC389" s="2" t="s">
        <v>22</v>
      </c>
      <c r="AD389" s="2">
        <v>20</v>
      </c>
      <c r="AE389" s="2">
        <v>75</v>
      </c>
      <c r="AF389" s="2">
        <v>20</v>
      </c>
      <c r="AG389" s="2" t="s">
        <v>708</v>
      </c>
      <c r="AH389" s="2">
        <f>AE389*AF389</f>
        <v>1500</v>
      </c>
      <c r="AI389" s="2"/>
      <c r="AK389" s="31"/>
      <c r="AL389" s="2" t="s">
        <v>182</v>
      </c>
      <c r="AM389" s="2">
        <v>1</v>
      </c>
      <c r="AN389" s="2">
        <v>76.5</v>
      </c>
      <c r="AO389" s="6">
        <v>1</v>
      </c>
      <c r="AP389" s="6" t="s">
        <v>708</v>
      </c>
      <c r="AQ389" s="2">
        <f t="shared" si="135"/>
        <v>76.5</v>
      </c>
      <c r="AR389" s="2"/>
    </row>
    <row r="390" spans="28:44" x14ac:dyDescent="0.25">
      <c r="AB390" s="31"/>
      <c r="AC390" s="2" t="s">
        <v>671</v>
      </c>
      <c r="AD390" s="2">
        <v>1</v>
      </c>
      <c r="AE390" s="2">
        <v>15.3</v>
      </c>
      <c r="AF390" s="2">
        <v>1</v>
      </c>
      <c r="AG390" s="2" t="s">
        <v>708</v>
      </c>
      <c r="AH390" s="2">
        <f t="shared" ref="AH390:AH393" si="136">AE390*AF390</f>
        <v>15.3</v>
      </c>
      <c r="AI390" s="2"/>
      <c r="AK390" s="31"/>
      <c r="AL390" s="32" t="s">
        <v>10</v>
      </c>
      <c r="AM390" s="33"/>
      <c r="AN390" s="34"/>
      <c r="AO390" s="6"/>
      <c r="AP390" s="6"/>
      <c r="AQ390" s="7">
        <f>SUM(AQ385:AQ389)</f>
        <v>3266.7</v>
      </c>
      <c r="AR390" s="2"/>
    </row>
    <row r="391" spans="28:44" x14ac:dyDescent="0.25">
      <c r="AB391" s="31"/>
      <c r="AC391" s="2" t="s">
        <v>904</v>
      </c>
      <c r="AD391" s="2">
        <v>25</v>
      </c>
      <c r="AE391" s="2">
        <v>45</v>
      </c>
      <c r="AF391" s="2">
        <v>25</v>
      </c>
      <c r="AG391" s="2" t="s">
        <v>708</v>
      </c>
      <c r="AH391" s="2">
        <f t="shared" si="136"/>
        <v>1125</v>
      </c>
      <c r="AI391" s="2"/>
    </row>
    <row r="392" spans="28:44" x14ac:dyDescent="0.25">
      <c r="AB392" s="31"/>
      <c r="AC392" s="2" t="s">
        <v>25</v>
      </c>
      <c r="AD392" s="2">
        <v>6</v>
      </c>
      <c r="AE392" s="2">
        <v>22.44</v>
      </c>
      <c r="AF392" s="6">
        <v>6</v>
      </c>
      <c r="AG392" s="6" t="s">
        <v>708</v>
      </c>
      <c r="AH392" s="2">
        <f t="shared" si="136"/>
        <v>134.64000000000001</v>
      </c>
      <c r="AI392" s="2"/>
      <c r="AK392" s="57" t="s">
        <v>11</v>
      </c>
      <c r="AL392" s="57" t="s">
        <v>0</v>
      </c>
      <c r="AM392" s="57" t="s">
        <v>1</v>
      </c>
      <c r="AN392" s="57" t="s">
        <v>2</v>
      </c>
      <c r="AO392" s="57" t="s">
        <v>3</v>
      </c>
      <c r="AP392" s="57"/>
      <c r="AQ392" s="57" t="s">
        <v>4</v>
      </c>
      <c r="AR392" s="57" t="s">
        <v>5</v>
      </c>
    </row>
    <row r="393" spans="28:44" x14ac:dyDescent="0.25">
      <c r="AB393" s="31"/>
      <c r="AC393" s="2" t="s">
        <v>182</v>
      </c>
      <c r="AD393" s="2">
        <v>1</v>
      </c>
      <c r="AE393" s="2">
        <v>76.5</v>
      </c>
      <c r="AF393" s="6">
        <v>1</v>
      </c>
      <c r="AG393" s="6" t="s">
        <v>708</v>
      </c>
      <c r="AH393" s="2">
        <f t="shared" si="136"/>
        <v>76.5</v>
      </c>
      <c r="AI393" s="2"/>
      <c r="AK393" s="31" t="s">
        <v>946</v>
      </c>
      <c r="AL393" s="57" t="s">
        <v>569</v>
      </c>
      <c r="AM393" s="57">
        <v>60</v>
      </c>
      <c r="AN393" s="57">
        <v>21.42</v>
      </c>
      <c r="AO393" s="57">
        <v>61.67</v>
      </c>
      <c r="AP393" s="57" t="s">
        <v>708</v>
      </c>
      <c r="AQ393" s="57">
        <f>AN393*AO393</f>
        <v>1320.9714000000001</v>
      </c>
      <c r="AR393" s="57"/>
    </row>
    <row r="394" spans="28:44" x14ac:dyDescent="0.25">
      <c r="AB394" s="31"/>
      <c r="AC394" s="2"/>
      <c r="AD394" s="2"/>
      <c r="AE394" s="2"/>
      <c r="AF394" s="6"/>
      <c r="AG394" s="6"/>
      <c r="AH394" s="2"/>
      <c r="AI394" s="2"/>
      <c r="AK394" s="31"/>
      <c r="AL394" s="57" t="s">
        <v>947</v>
      </c>
      <c r="AM394" s="57">
        <v>8</v>
      </c>
      <c r="AN394" s="57">
        <v>123</v>
      </c>
      <c r="AO394" s="57">
        <v>8</v>
      </c>
      <c r="AP394" s="57" t="s">
        <v>708</v>
      </c>
      <c r="AQ394" s="57">
        <f>AN394*AO394</f>
        <v>984</v>
      </c>
      <c r="AR394" s="57"/>
    </row>
    <row r="395" spans="28:44" x14ac:dyDescent="0.25">
      <c r="AB395" s="31"/>
      <c r="AC395" s="32" t="s">
        <v>10</v>
      </c>
      <c r="AD395" s="33"/>
      <c r="AE395" s="34"/>
      <c r="AF395" s="6"/>
      <c r="AG395" s="6"/>
      <c r="AH395" s="7">
        <f>SUM(AH389:AH394)</f>
        <v>2851.44</v>
      </c>
      <c r="AI395" s="2"/>
      <c r="AK395" s="31"/>
      <c r="AL395" s="57" t="s">
        <v>84</v>
      </c>
      <c r="AM395" s="57">
        <v>4</v>
      </c>
      <c r="AN395" s="57">
        <v>100</v>
      </c>
      <c r="AO395" s="57">
        <v>4</v>
      </c>
      <c r="AP395" s="57" t="s">
        <v>708</v>
      </c>
      <c r="AQ395" s="57">
        <f>AN395*AO395</f>
        <v>400</v>
      </c>
      <c r="AR395" s="57"/>
    </row>
    <row r="396" spans="28:44" x14ac:dyDescent="0.25">
      <c r="AK396" s="31"/>
      <c r="AL396" s="57"/>
      <c r="AM396" s="57"/>
      <c r="AN396" s="57"/>
      <c r="AO396" s="57"/>
      <c r="AP396" s="57"/>
      <c r="AQ396" s="57"/>
      <c r="AR396" s="57"/>
    </row>
    <row r="397" spans="28:44" x14ac:dyDescent="0.25">
      <c r="AB397" s="2" t="s">
        <v>11</v>
      </c>
      <c r="AC397" s="2" t="s">
        <v>0</v>
      </c>
      <c r="AD397" s="2" t="s">
        <v>1</v>
      </c>
      <c r="AE397" s="2" t="s">
        <v>2</v>
      </c>
      <c r="AF397" s="2" t="s">
        <v>3</v>
      </c>
      <c r="AG397" s="2"/>
      <c r="AH397" s="2" t="s">
        <v>4</v>
      </c>
      <c r="AI397" s="2" t="s">
        <v>5</v>
      </c>
      <c r="AK397" s="31"/>
      <c r="AL397" s="57"/>
      <c r="AM397" s="57"/>
      <c r="AN397" s="57"/>
      <c r="AO397" s="57"/>
      <c r="AP397" s="57"/>
      <c r="AQ397" s="57"/>
      <c r="AR397" s="57"/>
    </row>
    <row r="398" spans="28:44" x14ac:dyDescent="0.25">
      <c r="AB398" s="36" t="s">
        <v>911</v>
      </c>
      <c r="AC398" s="2" t="s">
        <v>640</v>
      </c>
      <c r="AD398" s="2">
        <v>10</v>
      </c>
      <c r="AE398" s="2">
        <v>153</v>
      </c>
      <c r="AF398" s="2">
        <v>10</v>
      </c>
      <c r="AG398" s="2" t="s">
        <v>333</v>
      </c>
      <c r="AH398" s="2">
        <f>AE398*AF398</f>
        <v>1530</v>
      </c>
      <c r="AI398" s="2"/>
      <c r="AK398" s="31"/>
      <c r="AL398" s="32" t="s">
        <v>10</v>
      </c>
      <c r="AM398" s="33"/>
      <c r="AN398" s="34"/>
      <c r="AO398" s="59"/>
      <c r="AP398" s="59"/>
      <c r="AQ398" s="65">
        <f>SUM(AQ393:AQ397)</f>
        <v>2704.9714000000004</v>
      </c>
      <c r="AR398" s="57"/>
    </row>
    <row r="399" spans="28:44" x14ac:dyDescent="0.25">
      <c r="AB399" s="37"/>
      <c r="AC399" s="2" t="s">
        <v>222</v>
      </c>
      <c r="AD399" s="2">
        <v>30</v>
      </c>
      <c r="AE399" s="2">
        <v>141</v>
      </c>
      <c r="AF399" s="2">
        <v>30</v>
      </c>
      <c r="AG399" s="2" t="s">
        <v>333</v>
      </c>
      <c r="AH399" s="2">
        <f t="shared" ref="AH399:AH403" si="137">AE399*AF399</f>
        <v>4230</v>
      </c>
      <c r="AI399" s="2"/>
    </row>
    <row r="400" spans="28:44" x14ac:dyDescent="0.25">
      <c r="AB400" s="37"/>
      <c r="AC400" s="2" t="s">
        <v>266</v>
      </c>
      <c r="AD400" s="2">
        <v>3</v>
      </c>
      <c r="AE400" s="2">
        <v>20.52</v>
      </c>
      <c r="AF400" s="2">
        <v>3</v>
      </c>
      <c r="AG400" s="2" t="s">
        <v>333</v>
      </c>
      <c r="AH400" s="2">
        <f t="shared" si="137"/>
        <v>61.56</v>
      </c>
      <c r="AI400" s="2"/>
      <c r="AK400" s="57" t="s">
        <v>90</v>
      </c>
      <c r="AL400" s="57" t="s">
        <v>0</v>
      </c>
      <c r="AM400" s="57" t="s">
        <v>1</v>
      </c>
      <c r="AN400" s="57" t="s">
        <v>2</v>
      </c>
      <c r="AO400" s="57" t="s">
        <v>3</v>
      </c>
      <c r="AP400" s="57"/>
      <c r="AQ400" s="57" t="s">
        <v>4</v>
      </c>
      <c r="AR400" s="57" t="s">
        <v>5</v>
      </c>
    </row>
    <row r="401" spans="28:44" x14ac:dyDescent="0.25">
      <c r="AB401" s="37"/>
      <c r="AC401" s="2"/>
      <c r="AD401" s="2"/>
      <c r="AE401" s="2"/>
      <c r="AF401" s="2"/>
      <c r="AG401" s="2"/>
      <c r="AH401" s="2">
        <f t="shared" si="137"/>
        <v>0</v>
      </c>
      <c r="AI401" s="2"/>
      <c r="AK401" s="31" t="s">
        <v>948</v>
      </c>
      <c r="AL401" s="57" t="s">
        <v>260</v>
      </c>
      <c r="AM401" s="57">
        <v>10</v>
      </c>
      <c r="AN401" s="57">
        <v>93</v>
      </c>
      <c r="AO401" s="57">
        <v>10</v>
      </c>
      <c r="AP401" s="57" t="s">
        <v>708</v>
      </c>
      <c r="AQ401" s="57">
        <f>AN401*AO401</f>
        <v>930</v>
      </c>
      <c r="AR401" s="57"/>
    </row>
    <row r="402" spans="28:44" x14ac:dyDescent="0.25">
      <c r="AB402" s="37"/>
      <c r="AC402" s="2"/>
      <c r="AD402" s="2"/>
      <c r="AE402" s="2"/>
      <c r="AF402" s="2"/>
      <c r="AG402" s="2"/>
      <c r="AH402" s="2">
        <f t="shared" si="137"/>
        <v>0</v>
      </c>
      <c r="AI402" s="2"/>
      <c r="AK402" s="31"/>
      <c r="AL402" s="57" t="s">
        <v>636</v>
      </c>
      <c r="AM402" s="57">
        <v>8</v>
      </c>
      <c r="AN402" s="57">
        <v>150</v>
      </c>
      <c r="AO402" s="57">
        <v>8</v>
      </c>
      <c r="AP402" s="57" t="s">
        <v>708</v>
      </c>
      <c r="AQ402" s="57">
        <f t="shared" ref="AQ402:AQ403" si="138">AN402*AO402</f>
        <v>1200</v>
      </c>
      <c r="AR402" s="57"/>
    </row>
    <row r="403" spans="28:44" x14ac:dyDescent="0.25">
      <c r="AB403" s="37"/>
      <c r="AC403" s="13"/>
      <c r="AD403" s="2"/>
      <c r="AE403" s="2"/>
      <c r="AF403" s="2"/>
      <c r="AG403" s="2"/>
      <c r="AH403" s="2">
        <f t="shared" si="137"/>
        <v>0</v>
      </c>
      <c r="AI403" s="2"/>
      <c r="AK403" s="31"/>
      <c r="AL403" s="57" t="s">
        <v>25</v>
      </c>
      <c r="AM403" s="57">
        <v>5</v>
      </c>
      <c r="AN403" s="57">
        <v>25.5</v>
      </c>
      <c r="AO403" s="57">
        <v>5</v>
      </c>
      <c r="AP403" s="57" t="s">
        <v>708</v>
      </c>
      <c r="AQ403" s="57">
        <f t="shared" si="138"/>
        <v>127.5</v>
      </c>
      <c r="AR403" s="57"/>
    </row>
    <row r="404" spans="28:44" x14ac:dyDescent="0.25">
      <c r="AB404" s="38"/>
      <c r="AC404" s="32" t="s">
        <v>10</v>
      </c>
      <c r="AD404" s="33"/>
      <c r="AE404" s="34"/>
      <c r="AF404" s="6"/>
      <c r="AG404" s="6"/>
      <c r="AH404" s="7">
        <f>SUM(AH398:AH403)</f>
        <v>5821.56</v>
      </c>
      <c r="AI404" s="2"/>
      <c r="AK404" s="31"/>
      <c r="AL404" s="57"/>
      <c r="AM404" s="57"/>
      <c r="AN404" s="57"/>
      <c r="AO404" s="57"/>
      <c r="AP404" s="57"/>
      <c r="AQ404" s="57"/>
      <c r="AR404" s="57"/>
    </row>
    <row r="405" spans="28:44" x14ac:dyDescent="0.25">
      <c r="AK405" s="31"/>
      <c r="AL405" s="32" t="s">
        <v>10</v>
      </c>
      <c r="AM405" s="33"/>
      <c r="AN405" s="34"/>
      <c r="AO405" s="59"/>
      <c r="AP405" s="59"/>
      <c r="AQ405" s="65">
        <f>SUM(AQ401:AQ404)</f>
        <v>2257.5</v>
      </c>
      <c r="AR405" s="57"/>
    </row>
    <row r="406" spans="28:44" x14ac:dyDescent="0.25">
      <c r="AB406" s="2" t="s">
        <v>11</v>
      </c>
      <c r="AC406" s="2" t="s">
        <v>0</v>
      </c>
      <c r="AD406" s="2" t="s">
        <v>1</v>
      </c>
      <c r="AE406" s="2" t="s">
        <v>2</v>
      </c>
      <c r="AF406" s="2" t="s">
        <v>3</v>
      </c>
      <c r="AG406" s="2"/>
      <c r="AH406" s="2" t="s">
        <v>4</v>
      </c>
      <c r="AI406" s="2" t="s">
        <v>5</v>
      </c>
    </row>
    <row r="407" spans="28:44" x14ac:dyDescent="0.25">
      <c r="AB407" s="31" t="s">
        <v>550</v>
      </c>
      <c r="AC407" s="13" t="s">
        <v>33</v>
      </c>
      <c r="AD407" s="2">
        <v>55</v>
      </c>
      <c r="AE407" s="2">
        <v>67.319999999999993</v>
      </c>
      <c r="AF407" s="2">
        <v>55</v>
      </c>
      <c r="AG407" s="2" t="s">
        <v>708</v>
      </c>
      <c r="AH407" s="2">
        <f>AE407*AF407</f>
        <v>3702.5999999999995</v>
      </c>
      <c r="AI407" s="2"/>
      <c r="AK407" s="57" t="s">
        <v>90</v>
      </c>
      <c r="AL407" s="57" t="s">
        <v>0</v>
      </c>
      <c r="AM407" s="57" t="s">
        <v>1</v>
      </c>
      <c r="AN407" s="57" t="s">
        <v>2</v>
      </c>
      <c r="AO407" s="57" t="s">
        <v>3</v>
      </c>
      <c r="AP407" s="57"/>
      <c r="AQ407" s="57" t="s">
        <v>4</v>
      </c>
      <c r="AR407" s="57" t="s">
        <v>5</v>
      </c>
    </row>
    <row r="408" spans="28:44" x14ac:dyDescent="0.25">
      <c r="AB408" s="31"/>
      <c r="AC408" s="2" t="s">
        <v>919</v>
      </c>
      <c r="AD408" s="2">
        <v>30</v>
      </c>
      <c r="AE408" s="2">
        <v>20</v>
      </c>
      <c r="AF408" s="2">
        <v>30</v>
      </c>
      <c r="AG408" s="2" t="s">
        <v>920</v>
      </c>
      <c r="AH408" s="2">
        <f t="shared" ref="AH408:AH409" si="139">AE408*AF408</f>
        <v>600</v>
      </c>
      <c r="AI408" s="2"/>
      <c r="AK408" s="31" t="s">
        <v>988</v>
      </c>
      <c r="AL408" s="57" t="s">
        <v>19</v>
      </c>
      <c r="AM408" s="57">
        <v>30</v>
      </c>
      <c r="AN408" s="57">
        <v>55.8</v>
      </c>
      <c r="AO408" s="57">
        <v>30</v>
      </c>
      <c r="AP408" s="57" t="s">
        <v>708</v>
      </c>
      <c r="AQ408" s="57">
        <f>AN408*AO408</f>
        <v>1674</v>
      </c>
      <c r="AR408" s="57"/>
    </row>
    <row r="409" spans="28:44" x14ac:dyDescent="0.25">
      <c r="AB409" s="31"/>
      <c r="AC409" s="2" t="s">
        <v>38</v>
      </c>
      <c r="AD409" s="2">
        <v>3</v>
      </c>
      <c r="AE409" s="2"/>
      <c r="AF409" s="2"/>
      <c r="AG409" s="2" t="s">
        <v>46</v>
      </c>
      <c r="AH409" s="2">
        <f t="shared" si="139"/>
        <v>0</v>
      </c>
      <c r="AI409" s="2"/>
      <c r="AK409" s="31"/>
      <c r="AL409" s="57" t="s">
        <v>22</v>
      </c>
      <c r="AM409" s="57">
        <v>10</v>
      </c>
      <c r="AN409" s="57">
        <v>112.5</v>
      </c>
      <c r="AO409" s="57">
        <v>10</v>
      </c>
      <c r="AP409" s="57" t="s">
        <v>708</v>
      </c>
      <c r="AQ409" s="57">
        <f t="shared" ref="AQ409:AQ410" si="140">AN409*AO409</f>
        <v>1125</v>
      </c>
      <c r="AR409" s="57"/>
    </row>
    <row r="410" spans="28:44" x14ac:dyDescent="0.25">
      <c r="AB410" s="31"/>
      <c r="AC410" s="2"/>
      <c r="AD410" s="2"/>
      <c r="AE410" s="2"/>
      <c r="AF410" s="2"/>
      <c r="AG410" s="2"/>
      <c r="AH410" s="2"/>
      <c r="AI410" s="2"/>
      <c r="AK410" s="31"/>
      <c r="AL410" s="57" t="s">
        <v>671</v>
      </c>
      <c r="AM410" s="57">
        <v>1</v>
      </c>
      <c r="AN410" s="57">
        <v>51</v>
      </c>
      <c r="AO410" s="57">
        <v>1</v>
      </c>
      <c r="AP410" s="57" t="s">
        <v>708</v>
      </c>
      <c r="AQ410" s="57">
        <f t="shared" si="140"/>
        <v>51</v>
      </c>
      <c r="AR410" s="57"/>
    </row>
    <row r="411" spans="28:44" x14ac:dyDescent="0.25">
      <c r="AB411" s="31"/>
      <c r="AC411" s="2"/>
      <c r="AD411" s="2"/>
      <c r="AE411" s="2"/>
      <c r="AF411" s="2"/>
      <c r="AG411" s="2"/>
      <c r="AH411" s="2"/>
      <c r="AI411" s="2"/>
      <c r="AK411" s="31"/>
      <c r="AL411" s="57"/>
      <c r="AM411" s="57"/>
      <c r="AN411" s="57"/>
      <c r="AO411" s="59"/>
      <c r="AP411" s="59"/>
      <c r="AQ411" s="57"/>
      <c r="AR411" s="57"/>
    </row>
    <row r="412" spans="28:44" x14ac:dyDescent="0.25">
      <c r="AB412" s="31"/>
      <c r="AC412" s="32" t="s">
        <v>10</v>
      </c>
      <c r="AD412" s="33"/>
      <c r="AE412" s="34"/>
      <c r="AF412" s="6"/>
      <c r="AG412" s="6"/>
      <c r="AH412" s="7">
        <f>SUM(AH407:AH411)</f>
        <v>4302.5999999999995</v>
      </c>
      <c r="AI412" s="2"/>
      <c r="AK412" s="31"/>
      <c r="AL412" s="32" t="s">
        <v>10</v>
      </c>
      <c r="AM412" s="33"/>
      <c r="AN412" s="34"/>
      <c r="AO412" s="59"/>
      <c r="AP412" s="59"/>
      <c r="AQ412" s="66">
        <f>SUM(AQ408:AQ411)</f>
        <v>2850</v>
      </c>
      <c r="AR412" s="57"/>
    </row>
    <row r="414" spans="28:44" x14ac:dyDescent="0.25">
      <c r="AB414" s="2" t="s">
        <v>839</v>
      </c>
      <c r="AC414" s="2" t="s">
        <v>0</v>
      </c>
      <c r="AD414" s="2" t="s">
        <v>1</v>
      </c>
      <c r="AE414" s="2" t="s">
        <v>2</v>
      </c>
      <c r="AF414" s="2" t="s">
        <v>3</v>
      </c>
      <c r="AG414" s="2"/>
      <c r="AH414" s="2" t="s">
        <v>4</v>
      </c>
      <c r="AI414" s="2" t="s">
        <v>5</v>
      </c>
      <c r="AK414" s="57" t="s">
        <v>90</v>
      </c>
      <c r="AL414" s="57" t="s">
        <v>0</v>
      </c>
      <c r="AM414" s="57" t="s">
        <v>1</v>
      </c>
      <c r="AN414" s="57" t="s">
        <v>2</v>
      </c>
      <c r="AO414" s="57" t="s">
        <v>3</v>
      </c>
      <c r="AP414" s="57"/>
      <c r="AQ414" s="57" t="s">
        <v>4</v>
      </c>
      <c r="AR414" s="57" t="s">
        <v>5</v>
      </c>
    </row>
    <row r="415" spans="28:44" x14ac:dyDescent="0.25">
      <c r="AB415" s="36" t="s">
        <v>921</v>
      </c>
      <c r="AC415" s="2" t="s">
        <v>98</v>
      </c>
      <c r="AD415" s="2">
        <v>1</v>
      </c>
      <c r="AE415" s="2">
        <v>48</v>
      </c>
      <c r="AF415" s="2">
        <v>20</v>
      </c>
      <c r="AG415" s="2" t="s">
        <v>9</v>
      </c>
      <c r="AH415" s="2">
        <f>AE415*AF415</f>
        <v>960</v>
      </c>
      <c r="AI415" s="2"/>
      <c r="AK415" s="31" t="s">
        <v>989</v>
      </c>
      <c r="AL415" s="57" t="s">
        <v>33</v>
      </c>
      <c r="AM415" s="57">
        <v>60</v>
      </c>
      <c r="AN415" s="57">
        <v>34.68</v>
      </c>
      <c r="AO415" s="57">
        <v>60</v>
      </c>
      <c r="AP415" s="57" t="s">
        <v>708</v>
      </c>
      <c r="AQ415" s="57">
        <f>AN415*AO415</f>
        <v>2080.8000000000002</v>
      </c>
      <c r="AR415" s="57"/>
    </row>
    <row r="416" spans="28:44" x14ac:dyDescent="0.25">
      <c r="AB416" s="37"/>
      <c r="AC416" s="2" t="s">
        <v>837</v>
      </c>
      <c r="AD416" s="2">
        <v>20</v>
      </c>
      <c r="AE416" s="2">
        <v>240</v>
      </c>
      <c r="AF416" s="2">
        <v>20</v>
      </c>
      <c r="AG416" s="2" t="s">
        <v>708</v>
      </c>
      <c r="AH416" s="2">
        <f t="shared" ref="AH416:AH417" si="141">AE416*AF416</f>
        <v>4800</v>
      </c>
      <c r="AI416" s="2"/>
      <c r="AK416" s="31"/>
      <c r="AL416" s="57" t="s">
        <v>983</v>
      </c>
      <c r="AM416" s="57">
        <v>4</v>
      </c>
      <c r="AN416" s="57">
        <v>16.2</v>
      </c>
      <c r="AO416" s="57">
        <v>2</v>
      </c>
      <c r="AP416" s="57" t="s">
        <v>708</v>
      </c>
      <c r="AQ416" s="57">
        <f t="shared" ref="AQ416:AQ417" si="142">AN416*AO416</f>
        <v>32.4</v>
      </c>
      <c r="AR416" s="57"/>
    </row>
    <row r="417" spans="28:44" x14ac:dyDescent="0.25">
      <c r="AB417" s="38"/>
      <c r="AC417" s="2" t="s">
        <v>922</v>
      </c>
      <c r="AD417" s="2">
        <v>1</v>
      </c>
      <c r="AE417" s="2">
        <v>360</v>
      </c>
      <c r="AF417" s="2">
        <v>1</v>
      </c>
      <c r="AG417" s="2" t="s">
        <v>53</v>
      </c>
      <c r="AH417" s="2">
        <f t="shared" si="141"/>
        <v>360</v>
      </c>
      <c r="AI417" s="2"/>
      <c r="AK417" s="31"/>
      <c r="AL417" s="57" t="s">
        <v>84</v>
      </c>
      <c r="AM417" s="57">
        <v>4</v>
      </c>
      <c r="AN417" s="57">
        <v>100</v>
      </c>
      <c r="AO417" s="57">
        <v>4</v>
      </c>
      <c r="AP417" s="57" t="s">
        <v>708</v>
      </c>
      <c r="AQ417" s="57">
        <f t="shared" si="142"/>
        <v>400</v>
      </c>
      <c r="AR417" s="57"/>
    </row>
    <row r="418" spans="28:44" x14ac:dyDescent="0.25">
      <c r="AB418" s="8"/>
      <c r="AC418" s="32" t="s">
        <v>10</v>
      </c>
      <c r="AD418" s="33"/>
      <c r="AE418" s="34"/>
      <c r="AF418" s="6"/>
      <c r="AG418" s="6"/>
      <c r="AH418" s="7">
        <f>SUM(AH415:AH417)</f>
        <v>6120</v>
      </c>
      <c r="AI418" s="2"/>
      <c r="AK418" s="31"/>
      <c r="AL418" s="57"/>
      <c r="AM418" s="57"/>
      <c r="AN418" s="57"/>
      <c r="AO418" s="57"/>
      <c r="AP418" s="57"/>
      <c r="AQ418" s="57"/>
      <c r="AR418" s="57"/>
    </row>
    <row r="419" spans="28:44" x14ac:dyDescent="0.25">
      <c r="AK419" s="31"/>
      <c r="AL419" s="32" t="s">
        <v>10</v>
      </c>
      <c r="AM419" s="33"/>
      <c r="AN419" s="34"/>
      <c r="AO419" s="59"/>
      <c r="AP419" s="59"/>
      <c r="AQ419" s="65">
        <f>SUM(AQ415:AQ418)</f>
        <v>2513.2000000000003</v>
      </c>
      <c r="AR419" s="57"/>
    </row>
    <row r="420" spans="28:44" x14ac:dyDescent="0.25">
      <c r="AB420" s="2" t="s">
        <v>11</v>
      </c>
      <c r="AC420" s="2" t="s">
        <v>0</v>
      </c>
      <c r="AD420" s="2" t="s">
        <v>1</v>
      </c>
      <c r="AE420" s="2" t="s">
        <v>2</v>
      </c>
      <c r="AF420" s="2" t="s">
        <v>3</v>
      </c>
      <c r="AG420" s="2"/>
      <c r="AH420" s="2" t="s">
        <v>4</v>
      </c>
      <c r="AI420" s="2" t="s">
        <v>5</v>
      </c>
    </row>
    <row r="421" spans="28:44" x14ac:dyDescent="0.25">
      <c r="AB421" s="31" t="s">
        <v>923</v>
      </c>
      <c r="AC421" s="2" t="s">
        <v>481</v>
      </c>
      <c r="AD421" s="2">
        <v>4</v>
      </c>
      <c r="AE421" s="2">
        <v>110</v>
      </c>
      <c r="AF421" s="2">
        <v>4</v>
      </c>
      <c r="AG421" s="2" t="s">
        <v>123</v>
      </c>
      <c r="AH421" s="2">
        <f>AE421*AF421</f>
        <v>440</v>
      </c>
      <c r="AI421" s="2"/>
    </row>
    <row r="422" spans="28:44" x14ac:dyDescent="0.25">
      <c r="AB422" s="31"/>
      <c r="AC422" s="2" t="s">
        <v>766</v>
      </c>
      <c r="AD422" s="2">
        <v>2</v>
      </c>
      <c r="AE422" s="2">
        <v>225</v>
      </c>
      <c r="AF422" s="2">
        <v>2</v>
      </c>
      <c r="AG422" s="2" t="s">
        <v>123</v>
      </c>
      <c r="AH422" s="2">
        <f t="shared" ref="AH422:AH424" si="143">AE422*AF422</f>
        <v>450</v>
      </c>
      <c r="AI422" s="2"/>
      <c r="AK422" s="57" t="s">
        <v>839</v>
      </c>
      <c r="AL422" s="57" t="s">
        <v>0</v>
      </c>
      <c r="AM422" s="57" t="s">
        <v>1</v>
      </c>
      <c r="AN422" s="57" t="s">
        <v>2</v>
      </c>
      <c r="AO422" s="57" t="s">
        <v>3</v>
      </c>
      <c r="AP422" s="57"/>
      <c r="AQ422" s="57" t="s">
        <v>4</v>
      </c>
      <c r="AR422" s="57" t="s">
        <v>5</v>
      </c>
    </row>
    <row r="423" spans="28:44" x14ac:dyDescent="0.25">
      <c r="AB423" s="31"/>
      <c r="AC423" s="2" t="s">
        <v>22</v>
      </c>
      <c r="AD423" s="2">
        <v>35</v>
      </c>
      <c r="AE423" s="2">
        <v>90</v>
      </c>
      <c r="AF423" s="2">
        <v>35</v>
      </c>
      <c r="AG423" s="2" t="s">
        <v>708</v>
      </c>
      <c r="AH423" s="2">
        <f t="shared" si="143"/>
        <v>3150</v>
      </c>
      <c r="AI423" s="2"/>
      <c r="AK423" s="31" t="s">
        <v>996</v>
      </c>
      <c r="AL423" s="72" t="s">
        <v>997</v>
      </c>
      <c r="AM423" s="57">
        <v>30</v>
      </c>
      <c r="AN423" s="57">
        <v>21.66</v>
      </c>
      <c r="AO423" s="57">
        <v>30</v>
      </c>
      <c r="AP423" s="57" t="s">
        <v>708</v>
      </c>
      <c r="AQ423" s="57">
        <f>AN423*AO423</f>
        <v>649.79999999999995</v>
      </c>
      <c r="AR423" s="57"/>
    </row>
    <row r="424" spans="28:44" x14ac:dyDescent="0.25">
      <c r="AB424" s="31"/>
      <c r="AC424" s="2" t="s">
        <v>924</v>
      </c>
      <c r="AD424" s="2">
        <v>10</v>
      </c>
      <c r="AE424" s="2">
        <v>90</v>
      </c>
      <c r="AF424" s="2">
        <v>6</v>
      </c>
      <c r="AG424" s="2" t="s">
        <v>53</v>
      </c>
      <c r="AH424" s="2">
        <f t="shared" si="143"/>
        <v>540</v>
      </c>
      <c r="AI424" s="2"/>
      <c r="AK424" s="31"/>
      <c r="AL424" s="57" t="s">
        <v>998</v>
      </c>
      <c r="AM424" s="57">
        <v>1</v>
      </c>
      <c r="AN424" s="57">
        <v>56</v>
      </c>
      <c r="AO424" s="57">
        <v>20</v>
      </c>
      <c r="AP424" s="57" t="s">
        <v>708</v>
      </c>
      <c r="AQ424" s="57">
        <f t="shared" ref="AQ424:AQ427" si="144">AN424*AO424</f>
        <v>1120</v>
      </c>
      <c r="AR424" s="57"/>
    </row>
    <row r="425" spans="28:44" x14ac:dyDescent="0.25">
      <c r="AB425" s="31"/>
      <c r="AC425" s="2"/>
      <c r="AD425" s="2"/>
      <c r="AE425" s="2"/>
      <c r="AF425" s="2"/>
      <c r="AG425" s="2"/>
      <c r="AH425" s="2"/>
      <c r="AI425" s="2"/>
      <c r="AK425" s="31"/>
      <c r="AL425" s="72" t="s">
        <v>999</v>
      </c>
      <c r="AM425" s="72">
        <v>3</v>
      </c>
      <c r="AN425" s="57">
        <v>22.5</v>
      </c>
      <c r="AO425" s="57">
        <v>3</v>
      </c>
      <c r="AP425" s="57" t="s">
        <v>708</v>
      </c>
      <c r="AQ425" s="57">
        <f t="shared" si="144"/>
        <v>67.5</v>
      </c>
      <c r="AR425" s="57"/>
    </row>
    <row r="426" spans="28:44" x14ac:dyDescent="0.25">
      <c r="AB426" s="31"/>
      <c r="AC426" s="32" t="s">
        <v>10</v>
      </c>
      <c r="AD426" s="33"/>
      <c r="AE426" s="34"/>
      <c r="AF426" s="6"/>
      <c r="AG426" s="6"/>
      <c r="AH426" s="7">
        <f>SUM(AH421:AH425)</f>
        <v>4580</v>
      </c>
      <c r="AI426" s="2"/>
      <c r="AK426" s="31"/>
      <c r="AL426" s="57"/>
      <c r="AM426" s="57"/>
      <c r="AN426" s="57"/>
      <c r="AO426" s="59"/>
      <c r="AP426" s="59"/>
      <c r="AQ426" s="57">
        <f t="shared" si="144"/>
        <v>0</v>
      </c>
      <c r="AR426" s="57"/>
    </row>
    <row r="427" spans="28:44" x14ac:dyDescent="0.25">
      <c r="AK427" s="31"/>
      <c r="AL427" s="57"/>
      <c r="AM427" s="57"/>
      <c r="AN427" s="57"/>
      <c r="AO427" s="59"/>
      <c r="AP427" s="59"/>
      <c r="AQ427" s="57">
        <f t="shared" si="144"/>
        <v>0</v>
      </c>
      <c r="AR427" s="57"/>
    </row>
    <row r="428" spans="28:44" x14ac:dyDescent="0.25">
      <c r="AB428" s="57" t="s">
        <v>926</v>
      </c>
      <c r="AC428" s="57" t="s">
        <v>927</v>
      </c>
      <c r="AD428" s="57" t="s">
        <v>928</v>
      </c>
      <c r="AE428" s="57" t="s">
        <v>929</v>
      </c>
      <c r="AF428" s="57" t="s">
        <v>930</v>
      </c>
      <c r="AG428" s="57"/>
      <c r="AH428" s="57" t="s">
        <v>931</v>
      </c>
      <c r="AI428" s="57" t="s">
        <v>932</v>
      </c>
      <c r="AK428" s="31"/>
      <c r="AL428" s="57"/>
      <c r="AM428" s="57"/>
      <c r="AN428" s="57"/>
      <c r="AO428" s="59"/>
      <c r="AP428" s="59"/>
      <c r="AQ428" s="57"/>
      <c r="AR428" s="57"/>
    </row>
    <row r="429" spans="28:44" x14ac:dyDescent="0.25">
      <c r="AB429" s="47" t="s">
        <v>933</v>
      </c>
      <c r="AC429" s="57" t="s">
        <v>933</v>
      </c>
      <c r="AD429" s="57">
        <v>45</v>
      </c>
      <c r="AE429" s="57">
        <v>117</v>
      </c>
      <c r="AF429" s="57">
        <v>45</v>
      </c>
      <c r="AG429" s="57" t="s">
        <v>708</v>
      </c>
      <c r="AH429" s="57">
        <v>5265</v>
      </c>
      <c r="AI429" s="57"/>
      <c r="AK429" s="31"/>
      <c r="AL429" s="32" t="s">
        <v>10</v>
      </c>
      <c r="AM429" s="33"/>
      <c r="AN429" s="34"/>
      <c r="AO429" s="59"/>
      <c r="AP429" s="59"/>
      <c r="AQ429" s="65">
        <f>SUM(AQ423:AQ428)</f>
        <v>1837.3</v>
      </c>
      <c r="AR429" s="57"/>
    </row>
    <row r="430" spans="28:44" x14ac:dyDescent="0.25">
      <c r="AB430" s="31"/>
      <c r="AC430" s="57"/>
      <c r="AD430" s="57"/>
      <c r="AE430" s="57"/>
      <c r="AF430" s="57"/>
      <c r="AG430" s="57"/>
      <c r="AH430" s="57"/>
      <c r="AI430" s="57"/>
    </row>
    <row r="431" spans="28:44" x14ac:dyDescent="0.25">
      <c r="AB431" s="31"/>
      <c r="AC431" s="57"/>
      <c r="AD431" s="57"/>
      <c r="AE431" s="57"/>
      <c r="AF431" s="57"/>
      <c r="AG431" s="57"/>
      <c r="AH431" s="57"/>
      <c r="AI431" s="57"/>
      <c r="AK431" s="57" t="s">
        <v>90</v>
      </c>
      <c r="AL431" s="69" t="s">
        <v>0</v>
      </c>
      <c r="AM431" s="69" t="s">
        <v>1</v>
      </c>
      <c r="AN431" s="57" t="s">
        <v>2</v>
      </c>
      <c r="AO431" s="57" t="s">
        <v>3</v>
      </c>
      <c r="AP431" s="57"/>
      <c r="AQ431" s="57" t="s">
        <v>4</v>
      </c>
      <c r="AR431" s="57" t="s">
        <v>5</v>
      </c>
    </row>
    <row r="432" spans="28:44" x14ac:dyDescent="0.25">
      <c r="AB432" s="31"/>
      <c r="AC432" s="57"/>
      <c r="AD432" s="57"/>
      <c r="AE432" s="57"/>
      <c r="AF432" s="59"/>
      <c r="AG432" s="59"/>
      <c r="AH432" s="57"/>
      <c r="AI432" s="57"/>
      <c r="AK432" s="32" t="s">
        <v>1001</v>
      </c>
      <c r="AL432" s="74" t="s">
        <v>1002</v>
      </c>
      <c r="AM432" s="74">
        <v>250</v>
      </c>
      <c r="AN432" s="59">
        <v>150</v>
      </c>
      <c r="AO432" s="57">
        <v>23</v>
      </c>
      <c r="AP432" s="57" t="s">
        <v>9</v>
      </c>
      <c r="AQ432" s="57">
        <f>AN432*AO432</f>
        <v>3450</v>
      </c>
      <c r="AR432" s="57"/>
    </row>
    <row r="433" spans="28:44" x14ac:dyDescent="0.25">
      <c r="AB433" s="31"/>
      <c r="AC433" s="32" t="s">
        <v>934</v>
      </c>
      <c r="AD433" s="33"/>
      <c r="AE433" s="34"/>
      <c r="AF433" s="59"/>
      <c r="AG433" s="59"/>
      <c r="AH433" s="66">
        <v>5265</v>
      </c>
      <c r="AI433" s="57"/>
      <c r="AK433" s="32"/>
      <c r="AL433" s="72" t="s">
        <v>1003</v>
      </c>
      <c r="AM433" s="72">
        <v>2</v>
      </c>
      <c r="AN433" s="59">
        <v>108.3</v>
      </c>
      <c r="AO433" s="57">
        <v>2</v>
      </c>
      <c r="AP433" s="57" t="s">
        <v>708</v>
      </c>
      <c r="AQ433" s="57">
        <f t="shared" ref="AQ433:AQ435" si="145">AN433*AO433</f>
        <v>216.6</v>
      </c>
      <c r="AR433" s="57"/>
    </row>
    <row r="434" spans="28:44" x14ac:dyDescent="0.25">
      <c r="AK434" s="32"/>
      <c r="AL434" s="75"/>
      <c r="AM434" s="75"/>
      <c r="AN434" s="59"/>
      <c r="AO434" s="57"/>
      <c r="AP434" s="57"/>
      <c r="AQ434" s="58">
        <f t="shared" si="145"/>
        <v>0</v>
      </c>
      <c r="AR434" s="57"/>
    </row>
    <row r="435" spans="28:44" x14ac:dyDescent="0.25">
      <c r="AB435" s="57" t="s">
        <v>11</v>
      </c>
      <c r="AC435" s="57" t="s">
        <v>0</v>
      </c>
      <c r="AD435" s="57" t="s">
        <v>1</v>
      </c>
      <c r="AE435" s="57" t="s">
        <v>2</v>
      </c>
      <c r="AF435" s="57" t="s">
        <v>3</v>
      </c>
      <c r="AG435" s="57"/>
      <c r="AH435" s="57" t="s">
        <v>4</v>
      </c>
      <c r="AI435" s="57" t="s">
        <v>5</v>
      </c>
      <c r="AK435" s="31"/>
      <c r="AL435" s="57"/>
      <c r="AM435" s="57"/>
      <c r="AN435" s="57"/>
      <c r="AO435" s="59"/>
      <c r="AP435" s="59"/>
      <c r="AQ435" s="57">
        <f t="shared" si="145"/>
        <v>0</v>
      </c>
      <c r="AR435" s="57"/>
    </row>
    <row r="436" spans="28:44" x14ac:dyDescent="0.25">
      <c r="AB436" s="31" t="s">
        <v>938</v>
      </c>
      <c r="AC436" s="57" t="s">
        <v>611</v>
      </c>
      <c r="AD436" s="57">
        <v>3</v>
      </c>
      <c r="AE436" s="57">
        <v>70</v>
      </c>
      <c r="AF436" s="57">
        <v>30</v>
      </c>
      <c r="AG436" s="57" t="s">
        <v>53</v>
      </c>
      <c r="AH436" s="57">
        <f>AE436*AF436</f>
        <v>2100</v>
      </c>
      <c r="AI436" s="57"/>
      <c r="AK436" s="31"/>
      <c r="AL436" s="32" t="s">
        <v>10</v>
      </c>
      <c r="AM436" s="33"/>
      <c r="AN436" s="34"/>
      <c r="AO436" s="59"/>
      <c r="AP436" s="59"/>
      <c r="AQ436" s="65">
        <f>SUM(AQ432:AQ435)</f>
        <v>3666.6</v>
      </c>
      <c r="AR436" s="57"/>
    </row>
    <row r="437" spans="28:44" x14ac:dyDescent="0.25">
      <c r="AB437" s="31"/>
      <c r="AC437" s="57" t="s">
        <v>939</v>
      </c>
      <c r="AD437" s="57">
        <v>25</v>
      </c>
      <c r="AE437" s="57">
        <v>168</v>
      </c>
      <c r="AF437" s="57">
        <v>25</v>
      </c>
      <c r="AG437" s="57" t="s">
        <v>708</v>
      </c>
      <c r="AH437" s="57">
        <f>AE437*AF437</f>
        <v>4200</v>
      </c>
      <c r="AI437" s="57"/>
    </row>
    <row r="438" spans="28:44" x14ac:dyDescent="0.25">
      <c r="AB438" s="31"/>
      <c r="AC438" s="57"/>
      <c r="AD438" s="57"/>
      <c r="AE438" s="57"/>
      <c r="AF438" s="57"/>
      <c r="AG438" s="57"/>
      <c r="AH438" s="57"/>
      <c r="AI438" s="57"/>
      <c r="AK438" s="57" t="s">
        <v>11</v>
      </c>
      <c r="AL438" s="57" t="s">
        <v>0</v>
      </c>
      <c r="AM438" s="57" t="s">
        <v>1</v>
      </c>
      <c r="AN438" s="57" t="s">
        <v>2</v>
      </c>
      <c r="AO438" s="57" t="s">
        <v>3</v>
      </c>
      <c r="AP438" s="57"/>
      <c r="AQ438" s="57" t="s">
        <v>4</v>
      </c>
      <c r="AR438" s="57" t="s">
        <v>5</v>
      </c>
    </row>
    <row r="439" spans="28:44" x14ac:dyDescent="0.25">
      <c r="AB439" s="31"/>
      <c r="AC439" s="57"/>
      <c r="AD439" s="57"/>
      <c r="AE439" s="57"/>
      <c r="AF439" s="57"/>
      <c r="AG439" s="57"/>
      <c r="AH439" s="57"/>
      <c r="AI439" s="57"/>
      <c r="AK439" s="31" t="s">
        <v>1019</v>
      </c>
      <c r="AL439" s="70" t="s">
        <v>79</v>
      </c>
      <c r="AM439" s="57">
        <v>30</v>
      </c>
      <c r="AN439" s="57">
        <v>75.599999999999994</v>
      </c>
      <c r="AO439" s="57">
        <v>30</v>
      </c>
      <c r="AP439" s="57" t="s">
        <v>9</v>
      </c>
      <c r="AQ439" s="58">
        <f>AN439*AO439</f>
        <v>2268</v>
      </c>
      <c r="AR439" s="57"/>
    </row>
    <row r="440" spans="28:44" x14ac:dyDescent="0.25">
      <c r="AB440" s="31"/>
      <c r="AC440" s="57"/>
      <c r="AD440" s="57"/>
      <c r="AE440" s="57"/>
      <c r="AF440" s="57"/>
      <c r="AG440" s="57"/>
      <c r="AH440" s="57"/>
      <c r="AI440" s="57"/>
      <c r="AK440" s="31"/>
      <c r="AL440" s="57" t="s">
        <v>1020</v>
      </c>
      <c r="AM440" s="57">
        <v>10</v>
      </c>
      <c r="AN440" s="57">
        <v>72</v>
      </c>
      <c r="AO440" s="57">
        <v>10</v>
      </c>
      <c r="AP440" s="57" t="s">
        <v>9</v>
      </c>
      <c r="AQ440" s="58">
        <f t="shared" ref="AQ440:AQ441" si="146">AN440*AO440</f>
        <v>720</v>
      </c>
      <c r="AR440" s="57"/>
    </row>
    <row r="441" spans="28:44" x14ac:dyDescent="0.25">
      <c r="AB441" s="31"/>
      <c r="AC441" s="32" t="s">
        <v>10</v>
      </c>
      <c r="AD441" s="33"/>
      <c r="AE441" s="34"/>
      <c r="AF441" s="59"/>
      <c r="AG441" s="59"/>
      <c r="AH441" s="65">
        <f>SUM(AH436:AH440)</f>
        <v>6300</v>
      </c>
      <c r="AI441" s="57"/>
      <c r="AK441" s="31"/>
      <c r="AL441" s="57" t="s">
        <v>84</v>
      </c>
      <c r="AM441" s="57">
        <v>3</v>
      </c>
      <c r="AN441" s="57">
        <v>100</v>
      </c>
      <c r="AO441" s="57">
        <v>3</v>
      </c>
      <c r="AP441" s="57" t="s">
        <v>9</v>
      </c>
      <c r="AQ441" s="58">
        <f t="shared" si="146"/>
        <v>300</v>
      </c>
      <c r="AR441" s="57"/>
    </row>
    <row r="442" spans="28:44" x14ac:dyDescent="0.25">
      <c r="AK442" s="31"/>
      <c r="AL442" s="57"/>
      <c r="AM442" s="57"/>
      <c r="AN442" s="57"/>
      <c r="AO442" s="57"/>
      <c r="AP442" s="57"/>
      <c r="AQ442" s="57"/>
      <c r="AR442" s="57"/>
    </row>
    <row r="443" spans="28:44" x14ac:dyDescent="0.25">
      <c r="AB443" s="57" t="s">
        <v>90</v>
      </c>
      <c r="AC443" s="57" t="s">
        <v>0</v>
      </c>
      <c r="AD443" s="57" t="s">
        <v>1</v>
      </c>
      <c r="AE443" s="57" t="s">
        <v>2</v>
      </c>
      <c r="AF443" s="57" t="s">
        <v>3</v>
      </c>
      <c r="AG443" s="57"/>
      <c r="AH443" s="57" t="s">
        <v>4</v>
      </c>
      <c r="AI443" s="57" t="s">
        <v>5</v>
      </c>
      <c r="AK443" s="31"/>
      <c r="AL443" s="57"/>
      <c r="AM443" s="57"/>
      <c r="AN443" s="57"/>
      <c r="AO443" s="57"/>
      <c r="AP443" s="57"/>
      <c r="AQ443" s="57"/>
      <c r="AR443" s="57"/>
    </row>
    <row r="444" spans="28:44" x14ac:dyDescent="0.25">
      <c r="AB444" s="31" t="s">
        <v>940</v>
      </c>
      <c r="AC444" s="57" t="s">
        <v>25</v>
      </c>
      <c r="AD444" s="57">
        <v>15</v>
      </c>
      <c r="AE444" s="57">
        <v>25.5</v>
      </c>
      <c r="AF444" s="57">
        <v>15</v>
      </c>
      <c r="AG444" s="57" t="s">
        <v>708</v>
      </c>
      <c r="AH444" s="57">
        <f>AE444*AF444</f>
        <v>382.5</v>
      </c>
      <c r="AI444" s="57"/>
      <c r="AK444" s="31"/>
      <c r="AL444" s="32" t="s">
        <v>10</v>
      </c>
      <c r="AM444" s="33"/>
      <c r="AN444" s="34"/>
      <c r="AO444" s="59"/>
      <c r="AP444" s="59"/>
      <c r="AQ444" s="65">
        <f>SUM(AQ439:AQ443)</f>
        <v>3288</v>
      </c>
      <c r="AR444" s="57"/>
    </row>
    <row r="445" spans="28:44" x14ac:dyDescent="0.25">
      <c r="AB445" s="31"/>
      <c r="AC445" s="57" t="s">
        <v>222</v>
      </c>
      <c r="AD445" s="57">
        <v>30</v>
      </c>
      <c r="AE445" s="57">
        <v>141</v>
      </c>
      <c r="AF445" s="57">
        <v>30</v>
      </c>
      <c r="AG445" s="57" t="s">
        <v>708</v>
      </c>
      <c r="AH445" s="57">
        <f t="shared" ref="AH445:AH447" si="147">AE445*AF445</f>
        <v>4230</v>
      </c>
      <c r="AI445" s="57"/>
    </row>
    <row r="446" spans="28:44" x14ac:dyDescent="0.25">
      <c r="AB446" s="31"/>
      <c r="AC446" s="57" t="s">
        <v>266</v>
      </c>
      <c r="AD446" s="57">
        <v>3</v>
      </c>
      <c r="AE446" s="57">
        <v>30.78</v>
      </c>
      <c r="AF446" s="57">
        <v>3</v>
      </c>
      <c r="AG446" s="57" t="s">
        <v>708</v>
      </c>
      <c r="AH446" s="58">
        <f t="shared" si="147"/>
        <v>92.34</v>
      </c>
      <c r="AI446" s="57"/>
      <c r="AK446" s="57" t="s">
        <v>839</v>
      </c>
      <c r="AL446" s="57" t="s">
        <v>0</v>
      </c>
      <c r="AM446" s="57" t="s">
        <v>1</v>
      </c>
      <c r="AN446" s="57" t="s">
        <v>2</v>
      </c>
      <c r="AO446" s="57" t="s">
        <v>3</v>
      </c>
      <c r="AP446" s="57"/>
      <c r="AQ446" s="57" t="s">
        <v>4</v>
      </c>
      <c r="AR446" s="57" t="s">
        <v>5</v>
      </c>
    </row>
    <row r="447" spans="28:44" x14ac:dyDescent="0.25">
      <c r="AB447" s="31"/>
      <c r="AC447" s="57"/>
      <c r="AD447" s="57"/>
      <c r="AE447" s="57"/>
      <c r="AF447" s="59"/>
      <c r="AG447" s="59"/>
      <c r="AH447" s="57">
        <f t="shared" si="147"/>
        <v>0</v>
      </c>
      <c r="AI447" s="57"/>
      <c r="AK447" s="31" t="s">
        <v>1021</v>
      </c>
      <c r="AL447" s="57" t="s">
        <v>673</v>
      </c>
      <c r="AM447" s="57"/>
      <c r="AN447" s="57">
        <v>98.8</v>
      </c>
      <c r="AO447" s="57">
        <v>15</v>
      </c>
      <c r="AP447" s="57" t="s">
        <v>708</v>
      </c>
      <c r="AQ447" s="57">
        <f>AN447*AO447</f>
        <v>1482</v>
      </c>
      <c r="AR447" s="57"/>
    </row>
    <row r="448" spans="28:44" x14ac:dyDescent="0.25">
      <c r="AB448" s="31"/>
      <c r="AC448" s="32"/>
      <c r="AD448" s="33"/>
      <c r="AE448" s="34"/>
      <c r="AF448" s="59"/>
      <c r="AG448" s="59"/>
      <c r="AH448" s="65">
        <f>SUM(AH444:AH447)</f>
        <v>4704.84</v>
      </c>
      <c r="AI448" s="57"/>
      <c r="AK448" s="31"/>
      <c r="AL448" s="57" t="s">
        <v>58</v>
      </c>
      <c r="AM448" s="57"/>
      <c r="AN448" s="57">
        <v>117</v>
      </c>
      <c r="AO448" s="57">
        <v>5</v>
      </c>
      <c r="AP448" s="57" t="s">
        <v>9</v>
      </c>
      <c r="AQ448" s="57">
        <f t="shared" ref="AQ448:AQ449" si="148">AN448*AO448</f>
        <v>585</v>
      </c>
      <c r="AR448" s="57"/>
    </row>
    <row r="449" spans="28:44" x14ac:dyDescent="0.25">
      <c r="AK449" s="31"/>
      <c r="AL449" s="57"/>
      <c r="AM449" s="57"/>
      <c r="AN449" s="57"/>
      <c r="AO449" s="57"/>
      <c r="AP449" s="57"/>
      <c r="AQ449" s="57">
        <f t="shared" si="148"/>
        <v>0</v>
      </c>
      <c r="AR449" s="57"/>
    </row>
    <row r="450" spans="28:44" x14ac:dyDescent="0.25">
      <c r="AB450" s="57" t="s">
        <v>11</v>
      </c>
      <c r="AC450" s="57" t="s">
        <v>0</v>
      </c>
      <c r="AD450" s="57" t="s">
        <v>1</v>
      </c>
      <c r="AE450" s="57" t="s">
        <v>2</v>
      </c>
      <c r="AF450" s="57" t="s">
        <v>3</v>
      </c>
      <c r="AG450" s="57"/>
      <c r="AH450" s="57" t="s">
        <v>4</v>
      </c>
      <c r="AI450" s="57" t="s">
        <v>5</v>
      </c>
      <c r="AK450" s="31"/>
      <c r="AL450" s="32" t="s">
        <v>10</v>
      </c>
      <c r="AM450" s="33"/>
      <c r="AN450" s="34"/>
      <c r="AO450" s="59"/>
      <c r="AP450" s="59"/>
      <c r="AQ450" s="65">
        <f>SUM(AQ447:AQ449)</f>
        <v>2067</v>
      </c>
      <c r="AR450" s="57"/>
    </row>
    <row r="451" spans="28:44" x14ac:dyDescent="0.25">
      <c r="AB451" s="31" t="s">
        <v>943</v>
      </c>
      <c r="AC451" s="70" t="s">
        <v>58</v>
      </c>
      <c r="AD451" s="57">
        <v>45</v>
      </c>
      <c r="AE451" s="57">
        <v>117</v>
      </c>
      <c r="AF451" s="57">
        <v>45</v>
      </c>
      <c r="AG451" s="57" t="s">
        <v>708</v>
      </c>
      <c r="AH451" s="57">
        <f>AE451*AF451</f>
        <v>5265</v>
      </c>
      <c r="AI451" s="57"/>
    </row>
    <row r="452" spans="28:44" x14ac:dyDescent="0.25">
      <c r="AB452" s="31"/>
      <c r="AC452" s="57" t="s">
        <v>944</v>
      </c>
      <c r="AD452" s="57">
        <v>3</v>
      </c>
      <c r="AE452" s="57">
        <v>349</v>
      </c>
      <c r="AF452" s="57">
        <v>3</v>
      </c>
      <c r="AG452" s="57" t="s">
        <v>144</v>
      </c>
      <c r="AH452" s="57">
        <f>AE452*AF452</f>
        <v>1047</v>
      </c>
      <c r="AI452" s="57"/>
    </row>
    <row r="453" spans="28:44" x14ac:dyDescent="0.25">
      <c r="AB453" s="31"/>
      <c r="AC453" s="57"/>
      <c r="AD453" s="57"/>
      <c r="AE453" s="57"/>
      <c r="AF453" s="57"/>
      <c r="AG453" s="57"/>
      <c r="AH453" s="57"/>
      <c r="AI453" s="57"/>
    </row>
    <row r="454" spans="28:44" x14ac:dyDescent="0.25">
      <c r="AB454" s="31"/>
      <c r="AC454" s="57"/>
      <c r="AD454" s="57"/>
      <c r="AE454" s="57"/>
      <c r="AF454" s="57"/>
      <c r="AG454" s="57"/>
      <c r="AH454" s="57"/>
      <c r="AI454" s="57"/>
    </row>
    <row r="455" spans="28:44" x14ac:dyDescent="0.25">
      <c r="AB455" s="31"/>
      <c r="AC455" s="57"/>
      <c r="AD455" s="57"/>
      <c r="AE455" s="57"/>
      <c r="AF455" s="57"/>
      <c r="AG455" s="57"/>
      <c r="AH455" s="57"/>
      <c r="AI455" s="57"/>
    </row>
    <row r="456" spans="28:44" x14ac:dyDescent="0.25">
      <c r="AB456" s="31"/>
      <c r="AC456" s="32" t="s">
        <v>10</v>
      </c>
      <c r="AD456" s="33"/>
      <c r="AE456" s="34"/>
      <c r="AF456" s="59"/>
      <c r="AG456" s="59"/>
      <c r="AH456" s="65">
        <f>SUM(AH451:AH455)</f>
        <v>6312</v>
      </c>
      <c r="AI456" s="57"/>
    </row>
    <row r="458" spans="28:44" x14ac:dyDescent="0.25">
      <c r="AB458" s="57" t="s">
        <v>11</v>
      </c>
      <c r="AC458" s="57" t="s">
        <v>0</v>
      </c>
      <c r="AD458" s="57" t="s">
        <v>1</v>
      </c>
      <c r="AE458" s="57" t="s">
        <v>2</v>
      </c>
      <c r="AF458" s="57" t="s">
        <v>3</v>
      </c>
      <c r="AG458" s="57"/>
      <c r="AH458" s="57" t="s">
        <v>4</v>
      </c>
      <c r="AI458" s="57" t="s">
        <v>5</v>
      </c>
    </row>
    <row r="459" spans="28:44" x14ac:dyDescent="0.25">
      <c r="AB459" s="36" t="s">
        <v>969</v>
      </c>
      <c r="AC459" s="57" t="s">
        <v>969</v>
      </c>
      <c r="AD459" s="57"/>
      <c r="AE459" s="57">
        <v>132</v>
      </c>
      <c r="AF459" s="57">
        <v>40</v>
      </c>
      <c r="AG459" s="59" t="s">
        <v>9</v>
      </c>
      <c r="AH459" s="59">
        <f t="shared" ref="AH459:AH461" si="149">AE459*AF459</f>
        <v>5280</v>
      </c>
      <c r="AI459" s="57"/>
    </row>
    <row r="460" spans="28:44" x14ac:dyDescent="0.25">
      <c r="AB460" s="37"/>
      <c r="AC460" s="57"/>
      <c r="AD460" s="57"/>
      <c r="AE460" s="57"/>
      <c r="AF460" s="57"/>
      <c r="AG460" s="57"/>
      <c r="AH460" s="57">
        <f t="shared" si="149"/>
        <v>0</v>
      </c>
      <c r="AI460" s="57"/>
    </row>
    <row r="461" spans="28:44" x14ac:dyDescent="0.25">
      <c r="AB461" s="37"/>
      <c r="AC461" s="57"/>
      <c r="AD461" s="57"/>
      <c r="AE461" s="57"/>
      <c r="AF461" s="57"/>
      <c r="AG461" s="57"/>
      <c r="AH461" s="57">
        <f t="shared" si="149"/>
        <v>0</v>
      </c>
      <c r="AI461" s="57"/>
    </row>
    <row r="462" spans="28:44" x14ac:dyDescent="0.25">
      <c r="AB462" s="38"/>
      <c r="AC462" s="32" t="s">
        <v>10</v>
      </c>
      <c r="AD462" s="33"/>
      <c r="AE462" s="34"/>
      <c r="AF462" s="59"/>
      <c r="AG462" s="59"/>
      <c r="AH462" s="65">
        <f>SUM(AH459:AH461)</f>
        <v>5280</v>
      </c>
      <c r="AI462" s="57"/>
    </row>
    <row r="464" spans="28:44" x14ac:dyDescent="0.25">
      <c r="AB464" s="57" t="s">
        <v>90</v>
      </c>
      <c r="AC464" s="57" t="s">
        <v>0</v>
      </c>
      <c r="AD464" s="57" t="s">
        <v>1</v>
      </c>
      <c r="AE464" s="57" t="s">
        <v>2</v>
      </c>
      <c r="AF464" s="57" t="s">
        <v>3</v>
      </c>
      <c r="AG464" s="57"/>
      <c r="AH464" s="57" t="s">
        <v>4</v>
      </c>
      <c r="AI464" s="57" t="s">
        <v>5</v>
      </c>
    </row>
    <row r="465" spans="28:35" x14ac:dyDescent="0.25">
      <c r="AB465" s="31" t="s">
        <v>974</v>
      </c>
      <c r="AC465" s="57" t="s">
        <v>640</v>
      </c>
      <c r="AD465" s="57">
        <v>8</v>
      </c>
      <c r="AE465" s="57">
        <v>168.3</v>
      </c>
      <c r="AF465" s="57">
        <v>8</v>
      </c>
      <c r="AG465" s="57" t="s">
        <v>708</v>
      </c>
      <c r="AH465" s="57">
        <f>AF465*AE465</f>
        <v>1346.4</v>
      </c>
      <c r="AI465" s="57"/>
    </row>
    <row r="466" spans="28:35" x14ac:dyDescent="0.25">
      <c r="AB466" s="31"/>
      <c r="AC466" s="57" t="s">
        <v>838</v>
      </c>
      <c r="AD466" s="57">
        <v>30</v>
      </c>
      <c r="AE466" s="57">
        <v>174</v>
      </c>
      <c r="AF466" s="57">
        <v>30</v>
      </c>
      <c r="AG466" s="57" t="s">
        <v>708</v>
      </c>
      <c r="AH466" s="57">
        <f t="shared" ref="AH466:AH468" si="150">AF466*AE466</f>
        <v>5220</v>
      </c>
      <c r="AI466" s="57"/>
    </row>
    <row r="467" spans="28:35" x14ac:dyDescent="0.25">
      <c r="AB467" s="31"/>
      <c r="AC467" s="57" t="s">
        <v>963</v>
      </c>
      <c r="AD467" s="57">
        <v>3</v>
      </c>
      <c r="AE467" s="57">
        <v>26.22</v>
      </c>
      <c r="AF467" s="57">
        <v>3</v>
      </c>
      <c r="AG467" s="57" t="s">
        <v>708</v>
      </c>
      <c r="AH467" s="57">
        <f t="shared" si="150"/>
        <v>78.66</v>
      </c>
      <c r="AI467" s="57"/>
    </row>
    <row r="468" spans="28:35" x14ac:dyDescent="0.25">
      <c r="AB468" s="31"/>
      <c r="AC468" s="57" t="s">
        <v>975</v>
      </c>
      <c r="AD468" s="57">
        <v>15</v>
      </c>
      <c r="AE468" s="57">
        <v>45</v>
      </c>
      <c r="AF468" s="57">
        <v>15</v>
      </c>
      <c r="AG468" s="57" t="s">
        <v>708</v>
      </c>
      <c r="AH468" s="57">
        <f t="shared" si="150"/>
        <v>675</v>
      </c>
      <c r="AI468" s="57"/>
    </row>
    <row r="469" spans="28:35" x14ac:dyDescent="0.25">
      <c r="AB469" s="31"/>
      <c r="AC469" s="32" t="s">
        <v>10</v>
      </c>
      <c r="AD469" s="33"/>
      <c r="AE469" s="34"/>
      <c r="AF469" s="59"/>
      <c r="AG469" s="59"/>
      <c r="AH469" s="65">
        <f>SUM(AH465:AH468)</f>
        <v>7320.0599999999995</v>
      </c>
      <c r="AI469" s="57"/>
    </row>
    <row r="471" spans="28:35" x14ac:dyDescent="0.25">
      <c r="AB471" s="57" t="s">
        <v>11</v>
      </c>
      <c r="AC471" s="57" t="s">
        <v>0</v>
      </c>
      <c r="AD471" s="57" t="s">
        <v>1</v>
      </c>
      <c r="AE471" s="57" t="s">
        <v>2</v>
      </c>
      <c r="AF471" s="57" t="s">
        <v>3</v>
      </c>
      <c r="AG471" s="57"/>
      <c r="AH471" s="57" t="s">
        <v>4</v>
      </c>
      <c r="AI471" s="57" t="s">
        <v>5</v>
      </c>
    </row>
    <row r="472" spans="28:35" x14ac:dyDescent="0.25">
      <c r="AB472" s="31" t="s">
        <v>984</v>
      </c>
      <c r="AC472" s="57" t="s">
        <v>837</v>
      </c>
      <c r="AD472" s="57">
        <v>20</v>
      </c>
      <c r="AE472" s="57">
        <v>240</v>
      </c>
      <c r="AF472" s="57">
        <v>20</v>
      </c>
      <c r="AG472" s="57" t="s">
        <v>708</v>
      </c>
      <c r="AH472" s="57">
        <f>AE472*AF472</f>
        <v>4800</v>
      </c>
      <c r="AI472" s="57"/>
    </row>
    <row r="473" spans="28:35" x14ac:dyDescent="0.25">
      <c r="AB473" s="31"/>
      <c r="AC473" s="57" t="s">
        <v>750</v>
      </c>
      <c r="AD473" s="57">
        <v>1</v>
      </c>
      <c r="AE473" s="57">
        <v>54</v>
      </c>
      <c r="AF473" s="57">
        <v>20</v>
      </c>
      <c r="AG473" s="57" t="s">
        <v>9</v>
      </c>
      <c r="AH473" s="57">
        <f t="shared" ref="AH473:AH475" si="151">AE473*AF473</f>
        <v>1080</v>
      </c>
      <c r="AI473" s="57"/>
    </row>
    <row r="474" spans="28:35" x14ac:dyDescent="0.25">
      <c r="AB474" s="31"/>
      <c r="AC474" s="57"/>
      <c r="AD474" s="57"/>
      <c r="AE474" s="57"/>
      <c r="AF474" s="57"/>
      <c r="AG474" s="57"/>
      <c r="AH474" s="57">
        <f t="shared" si="151"/>
        <v>0</v>
      </c>
      <c r="AI474" s="57"/>
    </row>
    <row r="475" spans="28:35" x14ac:dyDescent="0.25">
      <c r="AB475" s="31"/>
      <c r="AC475" s="57"/>
      <c r="AD475" s="57"/>
      <c r="AE475" s="57"/>
      <c r="AF475" s="57"/>
      <c r="AG475" s="57"/>
      <c r="AH475" s="57">
        <f t="shared" si="151"/>
        <v>0</v>
      </c>
      <c r="AI475" s="57"/>
    </row>
    <row r="476" spans="28:35" x14ac:dyDescent="0.25">
      <c r="AB476" s="31"/>
      <c r="AC476" s="57"/>
      <c r="AD476" s="57"/>
      <c r="AE476" s="57"/>
      <c r="AF476" s="57"/>
      <c r="AG476" s="57"/>
      <c r="AH476" s="57"/>
      <c r="AI476" s="57"/>
    </row>
    <row r="477" spans="28:35" x14ac:dyDescent="0.25">
      <c r="AB477" s="31"/>
      <c r="AC477" s="32" t="s">
        <v>10</v>
      </c>
      <c r="AD477" s="33"/>
      <c r="AE477" s="34"/>
      <c r="AF477" s="59"/>
      <c r="AG477" s="59"/>
      <c r="AH477" s="65">
        <f>SUM(AH472:AH476)</f>
        <v>5880</v>
      </c>
      <c r="AI477" s="57"/>
    </row>
    <row r="479" spans="28:35" x14ac:dyDescent="0.25">
      <c r="AB479" s="57" t="s">
        <v>90</v>
      </c>
      <c r="AC479" s="57" t="s">
        <v>0</v>
      </c>
      <c r="AD479" s="57" t="s">
        <v>1</v>
      </c>
      <c r="AE479" s="57" t="s">
        <v>2</v>
      </c>
      <c r="AF479" s="57" t="s">
        <v>3</v>
      </c>
      <c r="AG479" s="57"/>
      <c r="AH479" s="57" t="s">
        <v>4</v>
      </c>
      <c r="AI479" s="57" t="s">
        <v>5</v>
      </c>
    </row>
    <row r="480" spans="28:35" x14ac:dyDescent="0.25">
      <c r="AB480" s="31" t="s">
        <v>990</v>
      </c>
      <c r="AC480" s="57" t="s">
        <v>991</v>
      </c>
      <c r="AD480" s="57">
        <v>45</v>
      </c>
      <c r="AE480" s="57">
        <v>45.6</v>
      </c>
      <c r="AF480" s="57">
        <v>45</v>
      </c>
      <c r="AG480" s="57" t="s">
        <v>708</v>
      </c>
      <c r="AH480" s="57">
        <f>AE480*AF480</f>
        <v>2052</v>
      </c>
      <c r="AI480" s="57"/>
    </row>
    <row r="481" spans="28:35" x14ac:dyDescent="0.25">
      <c r="AB481" s="31"/>
      <c r="AC481" s="57" t="s">
        <v>36</v>
      </c>
      <c r="AD481" s="57">
        <v>20</v>
      </c>
      <c r="AE481" s="57">
        <v>141</v>
      </c>
      <c r="AF481" s="57">
        <v>20</v>
      </c>
      <c r="AG481" s="57" t="s">
        <v>708</v>
      </c>
      <c r="AH481" s="57">
        <f t="shared" ref="AH481:AH482" si="152">AE481*AF481</f>
        <v>2820</v>
      </c>
      <c r="AI481" s="57"/>
    </row>
    <row r="482" spans="28:35" x14ac:dyDescent="0.25">
      <c r="AB482" s="31"/>
      <c r="AC482" s="57" t="s">
        <v>983</v>
      </c>
      <c r="AD482" s="57">
        <v>3</v>
      </c>
      <c r="AE482" s="57">
        <v>14.4</v>
      </c>
      <c r="AF482" s="57">
        <v>3</v>
      </c>
      <c r="AG482" s="57" t="s">
        <v>708</v>
      </c>
      <c r="AH482" s="57">
        <f t="shared" si="152"/>
        <v>43.2</v>
      </c>
      <c r="AI482" s="57"/>
    </row>
    <row r="483" spans="28:35" x14ac:dyDescent="0.25">
      <c r="AB483" s="31"/>
      <c r="AC483" s="57"/>
      <c r="AD483" s="57"/>
      <c r="AE483" s="57"/>
      <c r="AF483" s="59"/>
      <c r="AG483" s="59"/>
      <c r="AH483" s="57"/>
      <c r="AI483" s="57"/>
    </row>
    <row r="484" spans="28:35" x14ac:dyDescent="0.25">
      <c r="AB484" s="31"/>
      <c r="AC484" s="32" t="s">
        <v>10</v>
      </c>
      <c r="AD484" s="33"/>
      <c r="AE484" s="34"/>
      <c r="AF484" s="59"/>
      <c r="AG484" s="59"/>
      <c r="AH484" s="65">
        <f>SUM(AH480:AH483)</f>
        <v>4915.2</v>
      </c>
      <c r="AI484" s="57"/>
    </row>
    <row r="486" spans="28:35" x14ac:dyDescent="0.25">
      <c r="AB486" s="57" t="s">
        <v>11</v>
      </c>
      <c r="AC486" s="57" t="s">
        <v>0</v>
      </c>
      <c r="AD486" s="57" t="s">
        <v>1</v>
      </c>
      <c r="AE486" s="57" t="s">
        <v>2</v>
      </c>
      <c r="AF486" s="57" t="s">
        <v>3</v>
      </c>
      <c r="AG486" s="57"/>
      <c r="AH486" s="57" t="s">
        <v>4</v>
      </c>
      <c r="AI486" s="57" t="s">
        <v>5</v>
      </c>
    </row>
    <row r="487" spans="28:35" x14ac:dyDescent="0.25">
      <c r="AB487" s="31" t="s">
        <v>1012</v>
      </c>
      <c r="AC487" s="57" t="s">
        <v>750</v>
      </c>
      <c r="AD487" s="57">
        <v>1</v>
      </c>
      <c r="AE487" s="57">
        <v>46.8</v>
      </c>
      <c r="AF487" s="57">
        <v>20</v>
      </c>
      <c r="AG487" s="57" t="s">
        <v>9</v>
      </c>
      <c r="AH487" s="57">
        <f>AE487*AF487</f>
        <v>936</v>
      </c>
      <c r="AI487" s="57"/>
    </row>
    <row r="488" spans="28:35" x14ac:dyDescent="0.25">
      <c r="AB488" s="31"/>
      <c r="AC488" s="57" t="s">
        <v>636</v>
      </c>
      <c r="AD488" s="57">
        <v>5</v>
      </c>
      <c r="AE488" s="57">
        <v>150</v>
      </c>
      <c r="AF488" s="57">
        <v>5</v>
      </c>
      <c r="AG488" s="57" t="s">
        <v>9</v>
      </c>
      <c r="AH488" s="57">
        <f t="shared" ref="AH488:AH491" si="153">AE488*AF488</f>
        <v>750</v>
      </c>
      <c r="AI488" s="57"/>
    </row>
    <row r="489" spans="28:35" x14ac:dyDescent="0.25">
      <c r="AB489" s="31"/>
      <c r="AC489" s="57" t="s">
        <v>137</v>
      </c>
      <c r="AD489" s="57">
        <v>6</v>
      </c>
      <c r="AE489" s="57">
        <v>84</v>
      </c>
      <c r="AF489" s="57">
        <v>6</v>
      </c>
      <c r="AG489" s="57" t="s">
        <v>53</v>
      </c>
      <c r="AH489" s="57">
        <f t="shared" si="153"/>
        <v>504</v>
      </c>
      <c r="AI489" s="57"/>
    </row>
    <row r="490" spans="28:35" x14ac:dyDescent="0.25">
      <c r="AB490" s="31"/>
      <c r="AC490" s="57" t="s">
        <v>1010</v>
      </c>
      <c r="AD490" s="57"/>
      <c r="AE490" s="57">
        <v>327</v>
      </c>
      <c r="AF490" s="57">
        <v>1</v>
      </c>
      <c r="AG490" s="57" t="s">
        <v>53</v>
      </c>
      <c r="AH490" s="57">
        <f t="shared" si="153"/>
        <v>327</v>
      </c>
      <c r="AI490" s="57"/>
    </row>
    <row r="491" spans="28:35" x14ac:dyDescent="0.25">
      <c r="AB491" s="31"/>
      <c r="AC491" s="57" t="s">
        <v>1011</v>
      </c>
      <c r="AD491" s="57">
        <v>3</v>
      </c>
      <c r="AE491" s="57">
        <v>120</v>
      </c>
      <c r="AF491" s="57">
        <v>3</v>
      </c>
      <c r="AG491" s="57" t="s">
        <v>9</v>
      </c>
      <c r="AH491" s="57">
        <f t="shared" si="153"/>
        <v>360</v>
      </c>
      <c r="AI491" s="57"/>
    </row>
    <row r="492" spans="28:35" x14ac:dyDescent="0.25">
      <c r="AB492" s="31"/>
      <c r="AC492" s="32" t="s">
        <v>10</v>
      </c>
      <c r="AD492" s="33"/>
      <c r="AE492" s="34"/>
      <c r="AF492" s="59"/>
      <c r="AG492" s="59"/>
      <c r="AH492" s="65">
        <f>SUM(AH487:AH491)</f>
        <v>2877</v>
      </c>
      <c r="AI492" s="57"/>
    </row>
    <row r="494" spans="28:35" x14ac:dyDescent="0.25">
      <c r="AB494" s="57" t="s">
        <v>11</v>
      </c>
      <c r="AC494" s="57" t="s">
        <v>0</v>
      </c>
      <c r="AD494" s="57" t="s">
        <v>1</v>
      </c>
      <c r="AE494" s="57" t="s">
        <v>2</v>
      </c>
      <c r="AF494" s="57" t="s">
        <v>3</v>
      </c>
      <c r="AG494" s="57"/>
      <c r="AH494" s="57" t="s">
        <v>4</v>
      </c>
      <c r="AI494" s="57" t="s">
        <v>5</v>
      </c>
    </row>
    <row r="495" spans="28:35" x14ac:dyDescent="0.25">
      <c r="AB495" s="36" t="s">
        <v>1022</v>
      </c>
      <c r="AC495" s="57" t="s">
        <v>663</v>
      </c>
      <c r="AD495" s="57" t="s">
        <v>635</v>
      </c>
      <c r="AE495" s="57">
        <v>150</v>
      </c>
      <c r="AF495" s="67">
        <v>35</v>
      </c>
      <c r="AG495" s="57" t="s">
        <v>9</v>
      </c>
      <c r="AH495" s="57">
        <f>AE495*AF495</f>
        <v>5250</v>
      </c>
      <c r="AI495" s="57"/>
    </row>
    <row r="496" spans="28:35" x14ac:dyDescent="0.25">
      <c r="AB496" s="37"/>
      <c r="AC496" s="57" t="s">
        <v>25</v>
      </c>
      <c r="AD496" s="57" t="s">
        <v>271</v>
      </c>
      <c r="AE496" s="57">
        <v>23.46</v>
      </c>
      <c r="AF496" s="57">
        <v>5</v>
      </c>
      <c r="AG496" s="57" t="s">
        <v>9</v>
      </c>
      <c r="AH496" s="57">
        <f t="shared" ref="AH496" si="154">AE496*AF496</f>
        <v>117.30000000000001</v>
      </c>
      <c r="AI496" s="57"/>
    </row>
    <row r="497" spans="28:35" x14ac:dyDescent="0.25">
      <c r="AB497" s="37"/>
      <c r="AC497" s="57"/>
      <c r="AD497" s="57"/>
      <c r="AE497" s="57"/>
      <c r="AF497" s="57"/>
      <c r="AG497" s="57"/>
      <c r="AH497" s="57"/>
      <c r="AI497" s="57"/>
    </row>
    <row r="498" spans="28:35" x14ac:dyDescent="0.25">
      <c r="AB498" s="38"/>
      <c r="AC498" s="32" t="s">
        <v>10</v>
      </c>
      <c r="AD498" s="33"/>
      <c r="AE498" s="34"/>
      <c r="AF498" s="59"/>
      <c r="AG498" s="59"/>
      <c r="AH498" s="65">
        <f>SUM(AH495:AH497)</f>
        <v>5367.3</v>
      </c>
      <c r="AI498" s="57"/>
    </row>
  </sheetData>
  <mergeCells count="498">
    <mergeCell ref="AC498:AE498"/>
    <mergeCell ref="AB495:AB498"/>
    <mergeCell ref="BL228:BL231"/>
    <mergeCell ref="BM231:BO231"/>
    <mergeCell ref="AK439:AK444"/>
    <mergeCell ref="AL444:AN444"/>
    <mergeCell ref="AK447:AK450"/>
    <mergeCell ref="AL450:AN450"/>
    <mergeCell ref="AB487:AB492"/>
    <mergeCell ref="AC492:AE492"/>
    <mergeCell ref="BL220:BL225"/>
    <mergeCell ref="BM225:BO225"/>
    <mergeCell ref="J203:J208"/>
    <mergeCell ref="AB480:AB484"/>
    <mergeCell ref="AC484:AE484"/>
    <mergeCell ref="BU91:BU94"/>
    <mergeCell ref="BV94:BX94"/>
    <mergeCell ref="AK423:AK429"/>
    <mergeCell ref="AL429:AN429"/>
    <mergeCell ref="AK432:AK436"/>
    <mergeCell ref="AL436:AN436"/>
    <mergeCell ref="BL211:BL217"/>
    <mergeCell ref="BM217:BO217"/>
    <mergeCell ref="AB472:AB477"/>
    <mergeCell ref="AC477:AE477"/>
    <mergeCell ref="J196:J200"/>
    <mergeCell ref="K200:M200"/>
    <mergeCell ref="AK408:AK412"/>
    <mergeCell ref="AK415:AK419"/>
    <mergeCell ref="K208:M208"/>
    <mergeCell ref="AB459:AB462"/>
    <mergeCell ref="AC462:AE462"/>
    <mergeCell ref="BU85:BU88"/>
    <mergeCell ref="BV88:BX88"/>
    <mergeCell ref="AB465:AB469"/>
    <mergeCell ref="AC469:AE469"/>
    <mergeCell ref="BL195:BL198"/>
    <mergeCell ref="BM198:BO198"/>
    <mergeCell ref="BM200:BO200"/>
    <mergeCell ref="BL201:BL208"/>
    <mergeCell ref="BM208:BO208"/>
    <mergeCell ref="AL412:AN412"/>
    <mergeCell ref="AL419:AN419"/>
    <mergeCell ref="AB451:AB456"/>
    <mergeCell ref="AC456:AE456"/>
    <mergeCell ref="AK393:AK398"/>
    <mergeCell ref="AK401:AK405"/>
    <mergeCell ref="AB444:AB448"/>
    <mergeCell ref="AC448:AE448"/>
    <mergeCell ref="A89:A93"/>
    <mergeCell ref="B93:D93"/>
    <mergeCell ref="A96:A100"/>
    <mergeCell ref="B100:D100"/>
    <mergeCell ref="A103:A108"/>
    <mergeCell ref="B108:D108"/>
    <mergeCell ref="A111:A115"/>
    <mergeCell ref="B115:D115"/>
    <mergeCell ref="AB429:AB433"/>
    <mergeCell ref="AC433:AE433"/>
    <mergeCell ref="CD114:CD120"/>
    <mergeCell ref="CE120:CG120"/>
    <mergeCell ref="AB436:AB441"/>
    <mergeCell ref="AC441:AE441"/>
    <mergeCell ref="AL398:AN398"/>
    <mergeCell ref="AL405:AN405"/>
    <mergeCell ref="CD123:CD129"/>
    <mergeCell ref="CE129:CG129"/>
    <mergeCell ref="CD132:CD138"/>
    <mergeCell ref="CE138:CG138"/>
    <mergeCell ref="AB407:AB412"/>
    <mergeCell ref="AC412:AE412"/>
    <mergeCell ref="AC418:AE418"/>
    <mergeCell ref="AB415:AB417"/>
    <mergeCell ref="AB421:AB426"/>
    <mergeCell ref="AC426:AE426"/>
    <mergeCell ref="J172:J176"/>
    <mergeCell ref="K176:M176"/>
    <mergeCell ref="AB398:AB404"/>
    <mergeCell ref="AC404:AE404"/>
    <mergeCell ref="AK378:AK382"/>
    <mergeCell ref="AL382:AN382"/>
    <mergeCell ref="J179:J186"/>
    <mergeCell ref="K186:M186"/>
    <mergeCell ref="J189:J193"/>
    <mergeCell ref="K193:M193"/>
    <mergeCell ref="AK385:AK390"/>
    <mergeCell ref="AL390:AN390"/>
    <mergeCell ref="AC378:AE378"/>
    <mergeCell ref="AB381:AB386"/>
    <mergeCell ref="AC386:AE386"/>
    <mergeCell ref="AB389:AB395"/>
    <mergeCell ref="AC395:AE395"/>
    <mergeCell ref="BL177:BL180"/>
    <mergeCell ref="BM180:BO180"/>
    <mergeCell ref="AK370:AK375"/>
    <mergeCell ref="AL375:AN375"/>
    <mergeCell ref="BL183:BL186"/>
    <mergeCell ref="BM186:BO186"/>
    <mergeCell ref="BL189:BL192"/>
    <mergeCell ref="BM192:BO192"/>
    <mergeCell ref="AB357:AB361"/>
    <mergeCell ref="AC361:AE361"/>
    <mergeCell ref="BL171:BL174"/>
    <mergeCell ref="BM174:BO174"/>
    <mergeCell ref="AB364:AB369"/>
    <mergeCell ref="AC369:AE369"/>
    <mergeCell ref="AB372:AB377"/>
    <mergeCell ref="AK354:AK360"/>
    <mergeCell ref="AL360:AN360"/>
    <mergeCell ref="AB301:AB306"/>
    <mergeCell ref="AC306:AE306"/>
    <mergeCell ref="BL150:BL155"/>
    <mergeCell ref="BM155:BO155"/>
    <mergeCell ref="BU65:BU68"/>
    <mergeCell ref="BV68:BX68"/>
    <mergeCell ref="AK363:AK367"/>
    <mergeCell ref="AL367:AN367"/>
    <mergeCell ref="AB309:AB315"/>
    <mergeCell ref="AC315:AE315"/>
    <mergeCell ref="BL158:BL161"/>
    <mergeCell ref="BM161:BO161"/>
    <mergeCell ref="BU71:BU74"/>
    <mergeCell ref="BV74:BX74"/>
    <mergeCell ref="AB318:AB323"/>
    <mergeCell ref="AC323:AE323"/>
    <mergeCell ref="BU77:BU82"/>
    <mergeCell ref="BV82:BX82"/>
    <mergeCell ref="AB326:AB332"/>
    <mergeCell ref="AC332:AE332"/>
    <mergeCell ref="AB335:AB339"/>
    <mergeCell ref="AC339:AE339"/>
    <mergeCell ref="AK340:AK344"/>
    <mergeCell ref="AL344:AN344"/>
    <mergeCell ref="AB287:AB291"/>
    <mergeCell ref="AC291:AE291"/>
    <mergeCell ref="BU59:BU62"/>
    <mergeCell ref="BV62:BX62"/>
    <mergeCell ref="AK347:AK351"/>
    <mergeCell ref="AL351:AN351"/>
    <mergeCell ref="AB294:AB298"/>
    <mergeCell ref="AC298:AE298"/>
    <mergeCell ref="AB342:AB346"/>
    <mergeCell ref="AC346:AE346"/>
    <mergeCell ref="AB349:AB354"/>
    <mergeCell ref="AC354:AE354"/>
    <mergeCell ref="BL164:BL168"/>
    <mergeCell ref="BM168:BO168"/>
    <mergeCell ref="AK333:AK337"/>
    <mergeCell ref="AL337:AN337"/>
    <mergeCell ref="BL131:BL135"/>
    <mergeCell ref="BM135:BO135"/>
    <mergeCell ref="AB278:AB284"/>
    <mergeCell ref="AC284:AE284"/>
    <mergeCell ref="BL138:BL141"/>
    <mergeCell ref="BM141:BO141"/>
    <mergeCell ref="J150:J154"/>
    <mergeCell ref="K154:M154"/>
    <mergeCell ref="BL144:BL147"/>
    <mergeCell ref="BM147:BO147"/>
    <mergeCell ref="J157:J162"/>
    <mergeCell ref="K162:M162"/>
    <mergeCell ref="J165:J169"/>
    <mergeCell ref="K169:M169"/>
    <mergeCell ref="AK319:AK323"/>
    <mergeCell ref="AL323:AN323"/>
    <mergeCell ref="AR319:AR320"/>
    <mergeCell ref="J142:J147"/>
    <mergeCell ref="K147:M147"/>
    <mergeCell ref="AK326:AK330"/>
    <mergeCell ref="AL330:AN330"/>
    <mergeCell ref="BU41:BU44"/>
    <mergeCell ref="BV44:BX44"/>
    <mergeCell ref="BU47:BU50"/>
    <mergeCell ref="BV50:BX50"/>
    <mergeCell ref="BU53:BU56"/>
    <mergeCell ref="BV56:BX56"/>
    <mergeCell ref="AK312:AK316"/>
    <mergeCell ref="AL316:AN316"/>
    <mergeCell ref="BL115:BL120"/>
    <mergeCell ref="BM120:BO120"/>
    <mergeCell ref="BC25:BC31"/>
    <mergeCell ref="BD31:BF31"/>
    <mergeCell ref="BL123:BL128"/>
    <mergeCell ref="BM128:BO128"/>
    <mergeCell ref="AK296:AK300"/>
    <mergeCell ref="AL300:AN300"/>
    <mergeCell ref="AL302:AN302"/>
    <mergeCell ref="AK303:AK309"/>
    <mergeCell ref="AL309:AN309"/>
    <mergeCell ref="AB254:AB259"/>
    <mergeCell ref="AC259:AE259"/>
    <mergeCell ref="AB262:AB267"/>
    <mergeCell ref="AC267:AE267"/>
    <mergeCell ref="AC269:AE269"/>
    <mergeCell ref="AC275:AE275"/>
    <mergeCell ref="AB270:AB275"/>
    <mergeCell ref="AK278:AK284"/>
    <mergeCell ref="AL284:AN284"/>
    <mergeCell ref="A81:A86"/>
    <mergeCell ref="B86:D86"/>
    <mergeCell ref="BL109:BL112"/>
    <mergeCell ref="BM112:BO112"/>
    <mergeCell ref="J133:J138"/>
    <mergeCell ref="K138:M138"/>
    <mergeCell ref="AK287:AK293"/>
    <mergeCell ref="AL293:AN293"/>
    <mergeCell ref="AK246:AK251"/>
    <mergeCell ref="AL251:AN251"/>
    <mergeCell ref="AK254:AK260"/>
    <mergeCell ref="AL260:AN260"/>
    <mergeCell ref="AK263:AK268"/>
    <mergeCell ref="AL268:AN268"/>
    <mergeCell ref="AK271:AK275"/>
    <mergeCell ref="AL275:AN275"/>
    <mergeCell ref="AB238:AB244"/>
    <mergeCell ref="AC244:AE244"/>
    <mergeCell ref="AB247:AB251"/>
    <mergeCell ref="AC251:AE251"/>
    <mergeCell ref="AB231:AB235"/>
    <mergeCell ref="AC235:AE235"/>
    <mergeCell ref="J126:J130"/>
    <mergeCell ref="K130:M130"/>
    <mergeCell ref="AK230:AK235"/>
    <mergeCell ref="AL235:AN235"/>
    <mergeCell ref="AK238:AK243"/>
    <mergeCell ref="AL243:AN243"/>
    <mergeCell ref="BC17:BC21"/>
    <mergeCell ref="J118:J123"/>
    <mergeCell ref="K123:M123"/>
    <mergeCell ref="AB207:AB212"/>
    <mergeCell ref="AC212:AE212"/>
    <mergeCell ref="AK223:AK227"/>
    <mergeCell ref="AL227:AN227"/>
    <mergeCell ref="A74:A78"/>
    <mergeCell ref="B78:D78"/>
    <mergeCell ref="AB215:AB220"/>
    <mergeCell ref="AC220:AE220"/>
    <mergeCell ref="AB223:AB228"/>
    <mergeCell ref="AC228:AE228"/>
    <mergeCell ref="AK215:AK220"/>
    <mergeCell ref="AL220:AN220"/>
    <mergeCell ref="BL103:BL106"/>
    <mergeCell ref="BM106:BO106"/>
    <mergeCell ref="J111:J115"/>
    <mergeCell ref="K115:M115"/>
    <mergeCell ref="S24:S28"/>
    <mergeCell ref="T28:V28"/>
    <mergeCell ref="AB199:AB204"/>
    <mergeCell ref="AC204:AE204"/>
    <mergeCell ref="AK200:AK205"/>
    <mergeCell ref="AL205:AN205"/>
    <mergeCell ref="AK208:AK212"/>
    <mergeCell ref="AL212:AN212"/>
    <mergeCell ref="AB192:AB196"/>
    <mergeCell ref="AC196:AE196"/>
    <mergeCell ref="BL97:BL100"/>
    <mergeCell ref="BM100:BO100"/>
    <mergeCell ref="BU16:BU19"/>
    <mergeCell ref="BU22:BU25"/>
    <mergeCell ref="BU28:BU31"/>
    <mergeCell ref="BU34:BU37"/>
    <mergeCell ref="BD21:BF21"/>
    <mergeCell ref="AK192:AK197"/>
    <mergeCell ref="AL197:AN197"/>
    <mergeCell ref="S17:S21"/>
    <mergeCell ref="T21:V21"/>
    <mergeCell ref="AB184:AB189"/>
    <mergeCell ref="AC189:AE189"/>
    <mergeCell ref="CD45:CD49"/>
    <mergeCell ref="CE49:CG49"/>
    <mergeCell ref="J104:J108"/>
    <mergeCell ref="K108:M108"/>
    <mergeCell ref="BV19:BX19"/>
    <mergeCell ref="BV25:BX25"/>
    <mergeCell ref="BV31:BX31"/>
    <mergeCell ref="BV37:BX37"/>
    <mergeCell ref="CD52:CD56"/>
    <mergeCell ref="CE56:CG56"/>
    <mergeCell ref="CD59:CD64"/>
    <mergeCell ref="CE64:CG64"/>
    <mergeCell ref="CD67:CD72"/>
    <mergeCell ref="CE72:CG72"/>
    <mergeCell ref="CD75:CD79"/>
    <mergeCell ref="CE79:CG79"/>
    <mergeCell ref="CD82:CD86"/>
    <mergeCell ref="CE86:CG86"/>
    <mergeCell ref="AK178:AK182"/>
    <mergeCell ref="AL182:AN182"/>
    <mergeCell ref="BL85:BL88"/>
    <mergeCell ref="BM88:BO88"/>
    <mergeCell ref="J95:J101"/>
    <mergeCell ref="K101:M101"/>
    <mergeCell ref="AB175:AB180"/>
    <mergeCell ref="AC180:AE180"/>
    <mergeCell ref="AK185:AK189"/>
    <mergeCell ref="AL189:AN189"/>
    <mergeCell ref="BL91:BL94"/>
    <mergeCell ref="BM94:BO94"/>
    <mergeCell ref="AK171:AK175"/>
    <mergeCell ref="AL175:AN175"/>
    <mergeCell ref="AB160:AB164"/>
    <mergeCell ref="AC164:AE164"/>
    <mergeCell ref="CD35:CD42"/>
    <mergeCell ref="CE42:CG42"/>
    <mergeCell ref="A52:A56"/>
    <mergeCell ref="B56:D56"/>
    <mergeCell ref="AB167:AB172"/>
    <mergeCell ref="AC172:AE172"/>
    <mergeCell ref="A59:A63"/>
    <mergeCell ref="B63:D63"/>
    <mergeCell ref="A66:A71"/>
    <mergeCell ref="B71:D71"/>
    <mergeCell ref="CD89:CD94"/>
    <mergeCell ref="CE94:CG94"/>
    <mergeCell ref="CD97:CD103"/>
    <mergeCell ref="CE103:CG103"/>
    <mergeCell ref="CD106:CD111"/>
    <mergeCell ref="CE111:CG111"/>
    <mergeCell ref="AK148:AK153"/>
    <mergeCell ref="AL153:AN153"/>
    <mergeCell ref="AK156:AK160"/>
    <mergeCell ref="AL160:AN160"/>
    <mergeCell ref="AB137:AB142"/>
    <mergeCell ref="AC142:AE142"/>
    <mergeCell ref="AK163:AK168"/>
    <mergeCell ref="AL168:AN168"/>
    <mergeCell ref="J88:J92"/>
    <mergeCell ref="K92:M92"/>
    <mergeCell ref="AB145:AB150"/>
    <mergeCell ref="AC150:AE150"/>
    <mergeCell ref="AB153:AB157"/>
    <mergeCell ref="AC157:AE157"/>
    <mergeCell ref="AB129:AB134"/>
    <mergeCell ref="AC134:AE134"/>
    <mergeCell ref="J73:J77"/>
    <mergeCell ref="K77:M77"/>
    <mergeCell ref="AK139:AK145"/>
    <mergeCell ref="AL145:AN145"/>
    <mergeCell ref="BL76:BL82"/>
    <mergeCell ref="BM82:BO82"/>
    <mergeCell ref="CD28:CD32"/>
    <mergeCell ref="J80:J85"/>
    <mergeCell ref="K85:M85"/>
    <mergeCell ref="CE25:CG25"/>
    <mergeCell ref="S10:S14"/>
    <mergeCell ref="T14:V14"/>
    <mergeCell ref="J66:J70"/>
    <mergeCell ref="K70:M70"/>
    <mergeCell ref="AK131:AK136"/>
    <mergeCell ref="AL136:AN136"/>
    <mergeCell ref="AB122:AB126"/>
    <mergeCell ref="AC126:AE126"/>
    <mergeCell ref="CE32:CG32"/>
    <mergeCell ref="BU10:BU13"/>
    <mergeCell ref="BV13:BX13"/>
    <mergeCell ref="A38:A42"/>
    <mergeCell ref="B42:D42"/>
    <mergeCell ref="BC9:BC14"/>
    <mergeCell ref="BD14:BF14"/>
    <mergeCell ref="AK124:AK128"/>
    <mergeCell ref="AL128:AN128"/>
    <mergeCell ref="BL69:BL73"/>
    <mergeCell ref="BM73:BO73"/>
    <mergeCell ref="CD20:CD25"/>
    <mergeCell ref="A45:A49"/>
    <mergeCell ref="B49:D49"/>
    <mergeCell ref="AB112:AB119"/>
    <mergeCell ref="AC119:AE119"/>
    <mergeCell ref="BL57:BL60"/>
    <mergeCell ref="BM60:BO60"/>
    <mergeCell ref="J59:J63"/>
    <mergeCell ref="K63:M63"/>
    <mergeCell ref="AK109:AK113"/>
    <mergeCell ref="AL113:AN113"/>
    <mergeCell ref="AK116:AK121"/>
    <mergeCell ref="AL121:AN121"/>
    <mergeCell ref="BL63:BL66"/>
    <mergeCell ref="BM66:BO66"/>
    <mergeCell ref="AC16:AE16"/>
    <mergeCell ref="AB1:AI1"/>
    <mergeCell ref="AK11:AK15"/>
    <mergeCell ref="AL15:AN15"/>
    <mergeCell ref="AK1:AR1"/>
    <mergeCell ref="K7:M7"/>
    <mergeCell ref="A1:H1"/>
    <mergeCell ref="J1:Q1"/>
    <mergeCell ref="A3:A7"/>
    <mergeCell ref="AB11:AB16"/>
    <mergeCell ref="S1:Z1"/>
    <mergeCell ref="B7:D7"/>
    <mergeCell ref="AL8:AN8"/>
    <mergeCell ref="AK3:AK7"/>
    <mergeCell ref="AB3:AB7"/>
    <mergeCell ref="AC7:AE7"/>
    <mergeCell ref="J3:J7"/>
    <mergeCell ref="BL1:BS1"/>
    <mergeCell ref="CD3:CD10"/>
    <mergeCell ref="CE10:CG10"/>
    <mergeCell ref="CD1:CK1"/>
    <mergeCell ref="BU1:CB1"/>
    <mergeCell ref="AU1:BA1"/>
    <mergeCell ref="A10:A14"/>
    <mergeCell ref="B14:D14"/>
    <mergeCell ref="BD6:BF6"/>
    <mergeCell ref="BC1:BJ1"/>
    <mergeCell ref="J10:J14"/>
    <mergeCell ref="K14:M14"/>
    <mergeCell ref="S3:S7"/>
    <mergeCell ref="T7:V7"/>
    <mergeCell ref="BC3:BC6"/>
    <mergeCell ref="CD13:CD17"/>
    <mergeCell ref="CE17:CG17"/>
    <mergeCell ref="J31:J35"/>
    <mergeCell ref="K35:M35"/>
    <mergeCell ref="AK55:AK60"/>
    <mergeCell ref="AL60:AN60"/>
    <mergeCell ref="AB59:AB63"/>
    <mergeCell ref="AC63:AE63"/>
    <mergeCell ref="BL33:BL36"/>
    <mergeCell ref="BM36:BO36"/>
    <mergeCell ref="AB51:AB56"/>
    <mergeCell ref="AC56:AE56"/>
    <mergeCell ref="AK48:AK52"/>
    <mergeCell ref="AL52:AN52"/>
    <mergeCell ref="BL27:BL30"/>
    <mergeCell ref="BM30:BO30"/>
    <mergeCell ref="AB43:AB48"/>
    <mergeCell ref="AC48:AE48"/>
    <mergeCell ref="AK41:AK45"/>
    <mergeCell ref="AL45:AN45"/>
    <mergeCell ref="J24:J28"/>
    <mergeCell ref="K28:M28"/>
    <mergeCell ref="J17:J21"/>
    <mergeCell ref="K21:M21"/>
    <mergeCell ref="BV6:BX6"/>
    <mergeCell ref="AK78:AK83"/>
    <mergeCell ref="AL83:AN83"/>
    <mergeCell ref="AB81:AB85"/>
    <mergeCell ref="AC85:AE85"/>
    <mergeCell ref="AK63:AK68"/>
    <mergeCell ref="AL68:AN68"/>
    <mergeCell ref="AB66:AB70"/>
    <mergeCell ref="AC70:AE70"/>
    <mergeCell ref="BL39:BL42"/>
    <mergeCell ref="BM42:BO42"/>
    <mergeCell ref="BL45:BL48"/>
    <mergeCell ref="BM48:BO48"/>
    <mergeCell ref="AK33:AK38"/>
    <mergeCell ref="AL38:AN38"/>
    <mergeCell ref="AB36:AB40"/>
    <mergeCell ref="AC40:AE40"/>
    <mergeCell ref="AB27:AB33"/>
    <mergeCell ref="AC33:AE33"/>
    <mergeCell ref="AK26:AK30"/>
    <mergeCell ref="AL30:AN30"/>
    <mergeCell ref="BL15:BL18"/>
    <mergeCell ref="BM18:BO18"/>
    <mergeCell ref="BL21:BL24"/>
    <mergeCell ref="A31:A35"/>
    <mergeCell ref="B35:D35"/>
    <mergeCell ref="AK86:AK91"/>
    <mergeCell ref="AL91:AN91"/>
    <mergeCell ref="AB73:AB78"/>
    <mergeCell ref="AC78:AE78"/>
    <mergeCell ref="AK71:AK75"/>
    <mergeCell ref="AL75:AN75"/>
    <mergeCell ref="BU3:BU6"/>
    <mergeCell ref="A17:A21"/>
    <mergeCell ref="B21:D21"/>
    <mergeCell ref="A24:A28"/>
    <mergeCell ref="B28:D28"/>
    <mergeCell ref="J38:J42"/>
    <mergeCell ref="K42:M42"/>
    <mergeCell ref="BM24:BO24"/>
    <mergeCell ref="AK18:AK23"/>
    <mergeCell ref="AL23:AN23"/>
    <mergeCell ref="AB19:AB24"/>
    <mergeCell ref="AC24:AE24"/>
    <mergeCell ref="BL9:BL12"/>
    <mergeCell ref="BM12:BO12"/>
    <mergeCell ref="BL3:BL6"/>
    <mergeCell ref="BM6:BO6"/>
    <mergeCell ref="AB104:AB109"/>
    <mergeCell ref="AC109:AE109"/>
    <mergeCell ref="AK94:AK98"/>
    <mergeCell ref="AL98:AN98"/>
    <mergeCell ref="AB95:AB101"/>
    <mergeCell ref="AC101:AE101"/>
    <mergeCell ref="BL51:BL54"/>
    <mergeCell ref="BM54:BO54"/>
    <mergeCell ref="J45:J49"/>
    <mergeCell ref="K49:M49"/>
    <mergeCell ref="AB88:AB92"/>
    <mergeCell ref="AC92:AE92"/>
    <mergeCell ref="J52:J56"/>
    <mergeCell ref="K56:M56"/>
    <mergeCell ref="AK101:AK106"/>
    <mergeCell ref="AL106:AN106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55"/>
  <sheetViews>
    <sheetView workbookViewId="0">
      <selection activeCell="A15" sqref="A15:H20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2" t="s">
        <v>503</v>
      </c>
      <c r="B1" s="43"/>
      <c r="C1" s="43"/>
      <c r="D1" s="43"/>
      <c r="E1" s="43"/>
      <c r="F1" s="43"/>
      <c r="G1" s="43"/>
      <c r="H1" s="44"/>
    </row>
    <row r="2" spans="1:8" x14ac:dyDescent="0.25">
      <c r="A2" s="1" t="s">
        <v>163</v>
      </c>
      <c r="B2" s="1" t="s">
        <v>12</v>
      </c>
      <c r="C2" s="1" t="s">
        <v>13</v>
      </c>
      <c r="D2" s="1" t="s">
        <v>164</v>
      </c>
      <c r="E2" s="1" t="s">
        <v>111</v>
      </c>
      <c r="F2" s="1"/>
      <c r="G2" s="1" t="s">
        <v>44</v>
      </c>
      <c r="H2" s="1" t="s">
        <v>226</v>
      </c>
    </row>
    <row r="3" spans="1:8" x14ac:dyDescent="0.25">
      <c r="A3" s="31" t="s">
        <v>504</v>
      </c>
      <c r="B3" s="1" t="s">
        <v>505</v>
      </c>
      <c r="C3" s="1">
        <v>110.33</v>
      </c>
      <c r="D3" s="1">
        <v>225</v>
      </c>
      <c r="E3" s="1"/>
      <c r="F3" s="1"/>
      <c r="G3" s="3">
        <f>C3*D3</f>
        <v>24824.25</v>
      </c>
      <c r="H3" s="1"/>
    </row>
    <row r="4" spans="1:8" x14ac:dyDescent="0.25">
      <c r="A4" s="31"/>
      <c r="B4" s="1"/>
      <c r="C4" s="1"/>
      <c r="D4" s="1"/>
      <c r="E4" s="1"/>
      <c r="F4" s="1"/>
      <c r="G4" s="1"/>
      <c r="H4" s="1"/>
    </row>
    <row r="5" spans="1:8" x14ac:dyDescent="0.25">
      <c r="A5" s="31"/>
      <c r="B5" s="1"/>
      <c r="C5" s="1"/>
      <c r="D5" s="1"/>
      <c r="E5" s="1"/>
      <c r="F5" s="1"/>
      <c r="G5" s="1"/>
      <c r="H5" s="1"/>
    </row>
    <row r="6" spans="1:8" x14ac:dyDescent="0.25">
      <c r="A6" s="31"/>
      <c r="B6" s="1"/>
      <c r="C6" s="1"/>
      <c r="D6" s="1"/>
      <c r="E6" s="4"/>
      <c r="F6" s="4"/>
      <c r="G6" s="4"/>
      <c r="H6" s="1"/>
    </row>
    <row r="7" spans="1:8" x14ac:dyDescent="0.25">
      <c r="A7" s="31"/>
      <c r="B7" s="32" t="s">
        <v>86</v>
      </c>
      <c r="C7" s="33"/>
      <c r="D7" s="34"/>
      <c r="E7" s="4"/>
      <c r="F7" s="4"/>
      <c r="G7" s="7">
        <f>SUM(G3:G6)</f>
        <v>24824.25</v>
      </c>
      <c r="H7" s="1"/>
    </row>
    <row r="8" spans="1:8" x14ac:dyDescent="0.25">
      <c r="A8" s="1" t="s">
        <v>76</v>
      </c>
      <c r="B8" s="1" t="s">
        <v>12</v>
      </c>
      <c r="C8" s="1" t="s">
        <v>77</v>
      </c>
      <c r="D8" s="1" t="s">
        <v>42</v>
      </c>
      <c r="E8" s="1" t="s">
        <v>111</v>
      </c>
      <c r="F8" s="1"/>
      <c r="G8" s="1" t="s">
        <v>30</v>
      </c>
      <c r="H8" s="1" t="s">
        <v>226</v>
      </c>
    </row>
    <row r="9" spans="1:8" x14ac:dyDescent="0.25">
      <c r="A9" s="31" t="s">
        <v>506</v>
      </c>
      <c r="B9" s="1" t="s">
        <v>507</v>
      </c>
      <c r="C9" s="1"/>
      <c r="D9" s="1">
        <v>174</v>
      </c>
      <c r="E9" s="1">
        <v>50</v>
      </c>
      <c r="F9" s="1" t="s">
        <v>83</v>
      </c>
      <c r="G9" s="1">
        <f>D9*E9</f>
        <v>8700</v>
      </c>
      <c r="H9" s="1"/>
    </row>
    <row r="10" spans="1:8" x14ac:dyDescent="0.25">
      <c r="A10" s="31"/>
      <c r="B10" s="1" t="s">
        <v>155</v>
      </c>
      <c r="C10" s="1"/>
      <c r="D10" s="1">
        <v>30.6</v>
      </c>
      <c r="E10" s="1">
        <v>8</v>
      </c>
      <c r="F10" s="1" t="s">
        <v>83</v>
      </c>
      <c r="G10" s="1">
        <f>D10*E10</f>
        <v>244.8</v>
      </c>
      <c r="H10" s="1"/>
    </row>
    <row r="11" spans="1:8" x14ac:dyDescent="0.25">
      <c r="A11" s="31"/>
      <c r="B11" s="1"/>
      <c r="C11" s="1"/>
      <c r="D11" s="1"/>
      <c r="E11" s="1"/>
      <c r="F11" s="1"/>
      <c r="G11" s="1"/>
      <c r="H11" s="1"/>
    </row>
    <row r="12" spans="1:8" x14ac:dyDescent="0.25">
      <c r="A12" s="31"/>
      <c r="B12" s="1"/>
      <c r="C12" s="1"/>
      <c r="D12" s="1"/>
      <c r="E12" s="1"/>
      <c r="F12" s="1"/>
      <c r="G12" s="1"/>
      <c r="H12" s="1"/>
    </row>
    <row r="13" spans="1:8" x14ac:dyDescent="0.25">
      <c r="A13" s="31"/>
      <c r="B13" s="1"/>
      <c r="C13" s="1"/>
      <c r="D13" s="1"/>
      <c r="E13" s="1"/>
      <c r="F13" s="1"/>
      <c r="G13" s="1"/>
      <c r="H13" s="1"/>
    </row>
    <row r="14" spans="1:8" x14ac:dyDescent="0.25">
      <c r="A14" s="31"/>
      <c r="B14" s="32" t="s">
        <v>86</v>
      </c>
      <c r="C14" s="33"/>
      <c r="D14" s="34"/>
      <c r="E14" s="4"/>
      <c r="F14" s="4"/>
      <c r="G14" s="14">
        <f>SUM(G9:G13)</f>
        <v>8944.7999999999993</v>
      </c>
      <c r="H14" s="1"/>
    </row>
    <row r="15" spans="1:8" x14ac:dyDescent="0.25">
      <c r="A15" s="1" t="s">
        <v>341</v>
      </c>
      <c r="B15" s="1" t="s">
        <v>12</v>
      </c>
      <c r="C15" s="1" t="s">
        <v>77</v>
      </c>
      <c r="D15" s="1" t="s">
        <v>42</v>
      </c>
      <c r="E15" s="1" t="s">
        <v>111</v>
      </c>
      <c r="F15" s="1"/>
      <c r="G15" s="1" t="s">
        <v>30</v>
      </c>
      <c r="H15" s="1" t="s">
        <v>508</v>
      </c>
    </row>
    <row r="16" spans="1:8" x14ac:dyDescent="0.25">
      <c r="A16" s="31" t="s">
        <v>509</v>
      </c>
      <c r="B16" s="1" t="s">
        <v>262</v>
      </c>
      <c r="C16" s="1"/>
      <c r="D16" s="1">
        <v>93</v>
      </c>
      <c r="E16" s="1">
        <v>40</v>
      </c>
      <c r="F16" s="1" t="s">
        <v>83</v>
      </c>
      <c r="G16" s="1">
        <f>D16*E16</f>
        <v>3720</v>
      </c>
      <c r="H16" s="1"/>
    </row>
    <row r="17" spans="1:8" x14ac:dyDescent="0.25">
      <c r="A17" s="31"/>
      <c r="B17" s="1"/>
      <c r="C17" s="1"/>
      <c r="D17" s="1"/>
      <c r="E17" s="1"/>
      <c r="F17" s="1"/>
      <c r="G17" s="1"/>
      <c r="H17" s="1"/>
    </row>
    <row r="18" spans="1:8" x14ac:dyDescent="0.25">
      <c r="A18" s="31"/>
      <c r="B18" s="1"/>
      <c r="C18" s="1"/>
      <c r="D18" s="1"/>
      <c r="E18" s="1"/>
      <c r="F18" s="1"/>
      <c r="G18" s="1"/>
      <c r="H18" s="1"/>
    </row>
    <row r="19" spans="1:8" x14ac:dyDescent="0.25">
      <c r="A19" s="31"/>
      <c r="B19" s="1"/>
      <c r="C19" s="1"/>
      <c r="D19" s="1"/>
      <c r="E19" s="4"/>
      <c r="F19" s="4"/>
      <c r="G19" s="4"/>
      <c r="H19" s="1"/>
    </row>
    <row r="20" spans="1:8" x14ac:dyDescent="0.25">
      <c r="A20" s="31"/>
      <c r="B20" s="32" t="s">
        <v>86</v>
      </c>
      <c r="C20" s="33"/>
      <c r="D20" s="34"/>
      <c r="E20" s="4"/>
      <c r="F20" s="4"/>
      <c r="G20" s="14">
        <f>SUM(G16:G19)</f>
        <v>3720</v>
      </c>
      <c r="H20" s="1"/>
    </row>
    <row r="21" spans="1:8" x14ac:dyDescent="0.25">
      <c r="A21" s="25" t="s">
        <v>510</v>
      </c>
      <c r="B21" s="1" t="s">
        <v>12</v>
      </c>
      <c r="C21" s="1" t="s">
        <v>77</v>
      </c>
      <c r="D21" s="1" t="s">
        <v>164</v>
      </c>
      <c r="E21" s="1" t="s">
        <v>29</v>
      </c>
      <c r="F21" s="1"/>
      <c r="G21" s="1" t="s">
        <v>30</v>
      </c>
      <c r="H21" s="1" t="s">
        <v>226</v>
      </c>
    </row>
    <row r="22" spans="1:8" x14ac:dyDescent="0.25">
      <c r="A22" s="31"/>
      <c r="B22" s="1" t="s">
        <v>511</v>
      </c>
      <c r="C22" s="1"/>
      <c r="D22" s="1">
        <v>225</v>
      </c>
      <c r="E22" s="1">
        <v>2</v>
      </c>
      <c r="F22" s="1" t="s">
        <v>117</v>
      </c>
      <c r="G22" s="1">
        <f>D22*E22</f>
        <v>450</v>
      </c>
      <c r="H22" s="1"/>
    </row>
    <row r="23" spans="1:8" x14ac:dyDescent="0.25">
      <c r="A23" s="31"/>
      <c r="B23" s="1" t="s">
        <v>301</v>
      </c>
      <c r="C23" s="1"/>
      <c r="D23" s="1">
        <v>291</v>
      </c>
      <c r="E23" s="1">
        <v>2</v>
      </c>
      <c r="F23" s="1" t="s">
        <v>129</v>
      </c>
      <c r="G23" s="1">
        <f t="shared" ref="G23:G27" si="0">D23*E23</f>
        <v>582</v>
      </c>
      <c r="H23" s="1"/>
    </row>
    <row r="24" spans="1:8" x14ac:dyDescent="0.25">
      <c r="A24" s="31"/>
      <c r="B24" s="1" t="s">
        <v>512</v>
      </c>
      <c r="C24" s="1"/>
      <c r="D24" s="1">
        <v>363</v>
      </c>
      <c r="E24" s="1">
        <v>1</v>
      </c>
      <c r="F24" s="1" t="s">
        <v>149</v>
      </c>
      <c r="G24" s="1">
        <f t="shared" si="0"/>
        <v>363</v>
      </c>
      <c r="H24" s="1"/>
    </row>
    <row r="25" spans="1:8" x14ac:dyDescent="0.25">
      <c r="A25" s="31"/>
      <c r="B25" s="1" t="s">
        <v>513</v>
      </c>
      <c r="C25" s="1"/>
      <c r="D25" s="1">
        <v>37</v>
      </c>
      <c r="E25" s="1">
        <v>20</v>
      </c>
      <c r="F25" s="1" t="s">
        <v>483</v>
      </c>
      <c r="G25" s="1">
        <f t="shared" si="0"/>
        <v>740</v>
      </c>
      <c r="H25" s="1"/>
    </row>
    <row r="26" spans="1:8" x14ac:dyDescent="0.25">
      <c r="A26" s="31"/>
      <c r="B26" s="1" t="s">
        <v>514</v>
      </c>
      <c r="C26" s="1"/>
      <c r="D26" s="1">
        <v>1188</v>
      </c>
      <c r="E26" s="1">
        <v>1</v>
      </c>
      <c r="F26" s="4" t="s">
        <v>117</v>
      </c>
      <c r="G26" s="1">
        <f t="shared" si="0"/>
        <v>1188</v>
      </c>
      <c r="H26" s="1"/>
    </row>
    <row r="27" spans="1:8" x14ac:dyDescent="0.25">
      <c r="A27" s="31"/>
      <c r="B27" s="1" t="s">
        <v>515</v>
      </c>
      <c r="C27" s="1"/>
      <c r="D27" s="1">
        <v>38.4</v>
      </c>
      <c r="E27" s="1">
        <v>20</v>
      </c>
      <c r="F27" s="4" t="s">
        <v>83</v>
      </c>
      <c r="G27" s="1">
        <f t="shared" si="0"/>
        <v>768</v>
      </c>
      <c r="H27" s="1"/>
    </row>
    <row r="28" spans="1:8" x14ac:dyDescent="0.25">
      <c r="A28" s="31"/>
      <c r="B28" s="32" t="s">
        <v>86</v>
      </c>
      <c r="C28" s="33"/>
      <c r="D28" s="34"/>
      <c r="E28" s="4"/>
      <c r="F28" s="4"/>
      <c r="G28" s="14">
        <f>SUM(G22:G27)</f>
        <v>4091</v>
      </c>
      <c r="H28" s="1"/>
    </row>
    <row r="29" spans="1:8" x14ac:dyDescent="0.25">
      <c r="A29" s="1" t="s">
        <v>318</v>
      </c>
      <c r="B29" s="1" t="s">
        <v>41</v>
      </c>
      <c r="C29" s="1" t="s">
        <v>77</v>
      </c>
      <c r="D29" s="1" t="s">
        <v>164</v>
      </c>
      <c r="E29" s="1" t="s">
        <v>111</v>
      </c>
      <c r="F29" s="1"/>
      <c r="G29" s="1" t="s">
        <v>44</v>
      </c>
      <c r="H29" s="1" t="s">
        <v>516</v>
      </c>
    </row>
    <row r="30" spans="1:8" x14ac:dyDescent="0.25">
      <c r="A30" s="36" t="s">
        <v>517</v>
      </c>
      <c r="B30" s="1" t="s">
        <v>518</v>
      </c>
      <c r="C30" s="1"/>
      <c r="D30" s="1">
        <v>150</v>
      </c>
      <c r="E30" s="1">
        <v>3</v>
      </c>
      <c r="F30" s="1" t="s">
        <v>324</v>
      </c>
      <c r="G30" s="1">
        <f>D30*E30</f>
        <v>450</v>
      </c>
      <c r="H30" s="1"/>
    </row>
    <row r="31" spans="1:8" x14ac:dyDescent="0.25">
      <c r="A31" s="37"/>
      <c r="B31" s="1" t="s">
        <v>519</v>
      </c>
      <c r="C31" s="1"/>
      <c r="D31" s="1">
        <v>16.32</v>
      </c>
      <c r="E31" s="1">
        <v>40</v>
      </c>
      <c r="F31" s="1" t="s">
        <v>83</v>
      </c>
      <c r="G31" s="1">
        <f t="shared" ref="G31:G34" si="1">D31*E31</f>
        <v>652.79999999999995</v>
      </c>
      <c r="H31" s="1"/>
    </row>
    <row r="32" spans="1:8" s="26" customFormat="1" x14ac:dyDescent="0.25">
      <c r="A32" s="37"/>
      <c r="B32" s="1" t="s">
        <v>520</v>
      </c>
      <c r="C32" s="1"/>
      <c r="D32" s="1">
        <v>105</v>
      </c>
      <c r="E32" s="1">
        <v>10</v>
      </c>
      <c r="F32" s="1" t="s">
        <v>83</v>
      </c>
      <c r="G32" s="1">
        <f t="shared" si="1"/>
        <v>1050</v>
      </c>
      <c r="H32" s="1"/>
    </row>
    <row r="33" spans="1:8" s="26" customFormat="1" x14ac:dyDescent="0.25">
      <c r="A33" s="37"/>
      <c r="B33" s="1" t="s">
        <v>521</v>
      </c>
      <c r="C33" s="1"/>
      <c r="D33" s="1"/>
      <c r="E33" s="1"/>
      <c r="F33" s="4"/>
      <c r="G33" s="1">
        <f t="shared" si="1"/>
        <v>0</v>
      </c>
      <c r="H33" s="1"/>
    </row>
    <row r="34" spans="1:8" x14ac:dyDescent="0.25">
      <c r="A34" s="37"/>
      <c r="B34" s="11" t="s">
        <v>522</v>
      </c>
      <c r="C34" s="8"/>
      <c r="D34" s="8">
        <v>105</v>
      </c>
      <c r="E34" s="4">
        <v>15</v>
      </c>
      <c r="F34" s="4" t="s">
        <v>67</v>
      </c>
      <c r="G34" s="1">
        <f t="shared" si="1"/>
        <v>1575</v>
      </c>
      <c r="H34" s="1"/>
    </row>
    <row r="35" spans="1:8" x14ac:dyDescent="0.25">
      <c r="A35" s="38"/>
      <c r="B35" s="32" t="s">
        <v>86</v>
      </c>
      <c r="C35" s="33"/>
      <c r="D35" s="34"/>
      <c r="E35" s="4"/>
      <c r="F35" s="4"/>
      <c r="G35" s="14">
        <f>SUM(G30:G34)</f>
        <v>3727.8</v>
      </c>
      <c r="H35" s="1"/>
    </row>
    <row r="36" spans="1:8" x14ac:dyDescent="0.25">
      <c r="A36" s="1" t="s">
        <v>523</v>
      </c>
      <c r="B36" s="1" t="s">
        <v>12</v>
      </c>
      <c r="C36" s="1" t="s">
        <v>524</v>
      </c>
      <c r="D36" s="1" t="s">
        <v>164</v>
      </c>
      <c r="E36" s="4" t="s">
        <v>225</v>
      </c>
      <c r="F36" s="4"/>
      <c r="G36" s="4" t="s">
        <v>525</v>
      </c>
      <c r="H36" s="1" t="s">
        <v>226</v>
      </c>
    </row>
    <row r="37" spans="1:8" x14ac:dyDescent="0.25">
      <c r="A37" s="36" t="s">
        <v>526</v>
      </c>
      <c r="B37" s="1" t="s">
        <v>527</v>
      </c>
      <c r="C37" s="1"/>
      <c r="D37" s="1">
        <v>120</v>
      </c>
      <c r="E37" s="1">
        <v>25</v>
      </c>
      <c r="F37" s="1" t="s">
        <v>483</v>
      </c>
      <c r="G37" s="1">
        <f>D37*E37</f>
        <v>3000</v>
      </c>
      <c r="H37" s="1"/>
    </row>
    <row r="38" spans="1:8" x14ac:dyDescent="0.25">
      <c r="A38" s="37"/>
      <c r="B38" s="1" t="s">
        <v>528</v>
      </c>
      <c r="C38" s="1"/>
      <c r="D38" s="1">
        <v>390</v>
      </c>
      <c r="E38" s="1">
        <v>1</v>
      </c>
      <c r="F38" s="1" t="s">
        <v>315</v>
      </c>
      <c r="G38" s="1">
        <f t="shared" ref="G38:G45" si="2">D38*E38</f>
        <v>390</v>
      </c>
      <c r="H38" s="1"/>
    </row>
    <row r="39" spans="1:8" x14ac:dyDescent="0.25">
      <c r="A39" s="37"/>
      <c r="B39" s="1" t="s">
        <v>529</v>
      </c>
      <c r="C39" s="1"/>
      <c r="D39" s="1">
        <v>80</v>
      </c>
      <c r="E39" s="1">
        <v>1</v>
      </c>
      <c r="F39" s="4" t="s">
        <v>149</v>
      </c>
      <c r="G39" s="1">
        <f t="shared" si="2"/>
        <v>80</v>
      </c>
      <c r="H39" s="1"/>
    </row>
    <row r="40" spans="1:8" x14ac:dyDescent="0.25">
      <c r="A40" s="37"/>
      <c r="B40" s="1" t="s">
        <v>530</v>
      </c>
      <c r="C40" s="1"/>
      <c r="D40" s="1">
        <v>120</v>
      </c>
      <c r="E40" s="1">
        <v>2</v>
      </c>
      <c r="F40" s="4" t="s">
        <v>315</v>
      </c>
      <c r="G40" s="1">
        <f t="shared" si="2"/>
        <v>240</v>
      </c>
      <c r="H40" s="1"/>
    </row>
    <row r="41" spans="1:8" x14ac:dyDescent="0.25">
      <c r="A41" s="37"/>
      <c r="B41" s="1" t="s">
        <v>531</v>
      </c>
      <c r="C41" s="1"/>
      <c r="D41" s="1">
        <v>170</v>
      </c>
      <c r="E41" s="1">
        <v>2</v>
      </c>
      <c r="F41" s="4" t="s">
        <v>532</v>
      </c>
      <c r="G41" s="1">
        <f t="shared" si="2"/>
        <v>340</v>
      </c>
      <c r="H41" s="1"/>
    </row>
    <row r="42" spans="1:8" x14ac:dyDescent="0.25">
      <c r="A42" s="38"/>
      <c r="B42" s="32" t="s">
        <v>27</v>
      </c>
      <c r="C42" s="33"/>
      <c r="D42" s="34"/>
      <c r="E42" s="1"/>
      <c r="F42" s="4"/>
      <c r="G42" s="17">
        <f>SUM(G37:G41)</f>
        <v>4050</v>
      </c>
      <c r="H42" s="1"/>
    </row>
    <row r="43" spans="1:8" x14ac:dyDescent="0.25">
      <c r="A43" s="31" t="s">
        <v>533</v>
      </c>
      <c r="B43" s="1" t="s">
        <v>534</v>
      </c>
      <c r="C43" s="1"/>
      <c r="D43" s="1">
        <v>18.899999999999999</v>
      </c>
      <c r="E43" s="1">
        <v>70</v>
      </c>
      <c r="F43" s="4" t="s">
        <v>83</v>
      </c>
      <c r="G43" s="1">
        <f t="shared" si="2"/>
        <v>1323</v>
      </c>
      <c r="H43" s="1"/>
    </row>
    <row r="44" spans="1:8" x14ac:dyDescent="0.25">
      <c r="A44" s="31"/>
      <c r="B44" s="1" t="s">
        <v>535</v>
      </c>
      <c r="C44" s="1"/>
      <c r="D44" s="1">
        <v>45.12</v>
      </c>
      <c r="E44" s="1">
        <v>90</v>
      </c>
      <c r="F44" s="4" t="s">
        <v>67</v>
      </c>
      <c r="G44" s="1">
        <f t="shared" si="2"/>
        <v>4060.7999999999997</v>
      </c>
      <c r="H44" s="1"/>
    </row>
    <row r="45" spans="1:8" x14ac:dyDescent="0.25">
      <c r="A45" s="31"/>
      <c r="B45" s="1" t="s">
        <v>536</v>
      </c>
      <c r="C45" s="1"/>
      <c r="D45" s="1">
        <v>43</v>
      </c>
      <c r="E45" s="1">
        <v>36</v>
      </c>
      <c r="F45" s="4" t="s">
        <v>483</v>
      </c>
      <c r="G45" s="4">
        <f t="shared" si="2"/>
        <v>1548</v>
      </c>
      <c r="H45" s="1"/>
    </row>
    <row r="46" spans="1:8" x14ac:dyDescent="0.25">
      <c r="A46" s="15"/>
      <c r="B46" s="32" t="s">
        <v>86</v>
      </c>
      <c r="C46" s="33"/>
      <c r="D46" s="34"/>
      <c r="E46" s="4"/>
      <c r="F46" s="4"/>
      <c r="G46" s="14">
        <f>SUM(G43:G45)</f>
        <v>6931.7999999999993</v>
      </c>
      <c r="H46" s="27"/>
    </row>
    <row r="47" spans="1:8" x14ac:dyDescent="0.25">
      <c r="A47" s="16" t="s">
        <v>537</v>
      </c>
      <c r="B47" s="1" t="s">
        <v>538</v>
      </c>
      <c r="C47" s="1" t="s">
        <v>77</v>
      </c>
      <c r="D47" s="1" t="s">
        <v>42</v>
      </c>
      <c r="E47" s="1" t="s">
        <v>111</v>
      </c>
      <c r="F47" s="1"/>
      <c r="G47" s="1" t="s">
        <v>525</v>
      </c>
      <c r="H47" s="1"/>
    </row>
    <row r="48" spans="1:8" x14ac:dyDescent="0.25">
      <c r="A48" s="31"/>
      <c r="B48" s="1" t="s">
        <v>539</v>
      </c>
      <c r="C48" s="1"/>
      <c r="D48" s="1">
        <v>185</v>
      </c>
      <c r="E48" s="1">
        <v>3</v>
      </c>
      <c r="F48" s="1" t="s">
        <v>306</v>
      </c>
      <c r="G48" s="1">
        <f>D48*E48</f>
        <v>555</v>
      </c>
      <c r="H48" s="1"/>
    </row>
    <row r="49" spans="1:8" x14ac:dyDescent="0.25">
      <c r="A49" s="31"/>
      <c r="B49" s="1" t="s">
        <v>540</v>
      </c>
      <c r="C49" s="1"/>
      <c r="D49" s="1">
        <v>170</v>
      </c>
      <c r="E49" s="1">
        <v>1</v>
      </c>
      <c r="F49" s="1" t="s">
        <v>126</v>
      </c>
      <c r="G49" s="1">
        <f t="shared" ref="G49:G53" si="3">D49*E49</f>
        <v>170</v>
      </c>
      <c r="H49" s="1"/>
    </row>
    <row r="50" spans="1:8" x14ac:dyDescent="0.25">
      <c r="A50" s="31"/>
      <c r="B50" s="1" t="s">
        <v>541</v>
      </c>
      <c r="C50" s="1"/>
      <c r="D50" s="1">
        <v>99</v>
      </c>
      <c r="E50" s="1">
        <v>3</v>
      </c>
      <c r="F50" s="1" t="s">
        <v>24</v>
      </c>
      <c r="G50" s="1">
        <f t="shared" si="3"/>
        <v>297</v>
      </c>
      <c r="H50" s="1"/>
    </row>
    <row r="51" spans="1:8" x14ac:dyDescent="0.25">
      <c r="A51" s="31"/>
      <c r="B51" s="1" t="s">
        <v>542</v>
      </c>
      <c r="C51" s="28"/>
      <c r="D51" s="1">
        <v>265</v>
      </c>
      <c r="E51" s="1">
        <v>1</v>
      </c>
      <c r="F51" s="1" t="s">
        <v>149</v>
      </c>
      <c r="G51" s="1">
        <f t="shared" si="3"/>
        <v>265</v>
      </c>
      <c r="H51" s="1"/>
    </row>
    <row r="52" spans="1:8" x14ac:dyDescent="0.25">
      <c r="A52" s="31"/>
      <c r="B52" s="1" t="s">
        <v>543</v>
      </c>
      <c r="C52" s="28"/>
      <c r="D52" s="1">
        <v>265</v>
      </c>
      <c r="E52" s="1">
        <v>1</v>
      </c>
      <c r="F52" s="4" t="s">
        <v>67</v>
      </c>
      <c r="G52" s="4">
        <f t="shared" si="3"/>
        <v>265</v>
      </c>
      <c r="H52" s="1"/>
    </row>
    <row r="53" spans="1:8" x14ac:dyDescent="0.25">
      <c r="A53" s="31"/>
      <c r="B53" s="1" t="s">
        <v>544</v>
      </c>
      <c r="C53" s="28"/>
      <c r="D53" s="1">
        <v>250</v>
      </c>
      <c r="E53" s="1">
        <v>1</v>
      </c>
      <c r="F53" s="4" t="s">
        <v>315</v>
      </c>
      <c r="G53" s="4">
        <f t="shared" si="3"/>
        <v>250</v>
      </c>
      <c r="H53" s="1"/>
    </row>
    <row r="54" spans="1:8" x14ac:dyDescent="0.25">
      <c r="A54" s="31"/>
      <c r="B54" s="32" t="s">
        <v>27</v>
      </c>
      <c r="C54" s="33"/>
      <c r="D54" s="34"/>
      <c r="E54" s="4"/>
      <c r="F54" s="4"/>
      <c r="G54" s="14">
        <f>SUM(G48:G53)</f>
        <v>1802</v>
      </c>
      <c r="H54" s="1"/>
    </row>
    <row r="55" spans="1:8" x14ac:dyDescent="0.25">
      <c r="A55" s="1"/>
      <c r="B55" s="39" t="s">
        <v>545</v>
      </c>
      <c r="C55" s="40"/>
      <c r="D55" s="41"/>
      <c r="E55" s="29"/>
      <c r="F55" s="29"/>
      <c r="G55" s="30">
        <f>G54+G46+G42+G35+G28+G14+G7+G20</f>
        <v>58091.649999999994</v>
      </c>
      <c r="H55" s="1"/>
    </row>
  </sheetData>
  <mergeCells count="18">
    <mergeCell ref="A16:A20"/>
    <mergeCell ref="B20:D20"/>
    <mergeCell ref="A1:H1"/>
    <mergeCell ref="A3:A7"/>
    <mergeCell ref="B7:D7"/>
    <mergeCell ref="A9:A14"/>
    <mergeCell ref="B14:D14"/>
    <mergeCell ref="A22:A28"/>
    <mergeCell ref="B28:D28"/>
    <mergeCell ref="A30:A35"/>
    <mergeCell ref="B35:D35"/>
    <mergeCell ref="A37:A42"/>
    <mergeCell ref="B42:D42"/>
    <mergeCell ref="A43:A45"/>
    <mergeCell ref="B46:D46"/>
    <mergeCell ref="A48:A54"/>
    <mergeCell ref="B54:D54"/>
    <mergeCell ref="B55:D55"/>
  </mergeCells>
  <phoneticPr fontId="1" type="noConversion"/>
  <pageMargins left="0.7" right="0.7" top="0.75" bottom="0.75" header="0.3" footer="0.3"/>
  <pageSetup paperSize="9"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F4B90-8187-46F4-8054-DA5F225A2C9A}">
  <sheetPr>
    <pageSetUpPr fitToPage="1"/>
  </sheetPr>
  <dimension ref="A1:H48"/>
  <sheetViews>
    <sheetView workbookViewId="0">
      <selection activeCell="D26" sqref="D26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2" t="s">
        <v>827</v>
      </c>
      <c r="B1" s="43"/>
      <c r="C1" s="43"/>
      <c r="D1" s="43"/>
      <c r="E1" s="43"/>
      <c r="F1" s="43"/>
      <c r="G1" s="43"/>
      <c r="H1" s="44"/>
    </row>
    <row r="2" spans="1:8" x14ac:dyDescent="0.25">
      <c r="A2" s="2" t="s">
        <v>74</v>
      </c>
      <c r="B2" s="2" t="s">
        <v>0</v>
      </c>
      <c r="C2" s="2" t="s">
        <v>1</v>
      </c>
      <c r="D2" s="2" t="s">
        <v>2</v>
      </c>
      <c r="E2" s="2" t="s">
        <v>3</v>
      </c>
      <c r="F2" s="2"/>
      <c r="G2" s="2" t="s">
        <v>4</v>
      </c>
      <c r="H2" s="2" t="s">
        <v>5</v>
      </c>
    </row>
    <row r="3" spans="1:8" x14ac:dyDescent="0.25">
      <c r="A3" s="47" t="s">
        <v>828</v>
      </c>
      <c r="B3" s="2" t="s">
        <v>829</v>
      </c>
      <c r="C3" s="2">
        <v>70</v>
      </c>
      <c r="D3" s="2">
        <v>300</v>
      </c>
      <c r="E3" s="2">
        <v>61.34</v>
      </c>
      <c r="F3" s="2" t="s">
        <v>9</v>
      </c>
      <c r="G3" s="3">
        <f>D3*E3</f>
        <v>18402</v>
      </c>
      <c r="H3" s="2"/>
    </row>
    <row r="4" spans="1:8" x14ac:dyDescent="0.25">
      <c r="A4" s="31"/>
      <c r="B4" s="2" t="s">
        <v>804</v>
      </c>
      <c r="C4" s="2">
        <v>15</v>
      </c>
      <c r="D4" s="2">
        <v>122.8</v>
      </c>
      <c r="E4" s="2">
        <v>3</v>
      </c>
      <c r="F4" s="2" t="s">
        <v>9</v>
      </c>
      <c r="G4" s="3">
        <f t="shared" ref="G4:G7" si="0">D4*E4</f>
        <v>368.4</v>
      </c>
      <c r="H4" s="2"/>
    </row>
    <row r="5" spans="1:8" x14ac:dyDescent="0.25">
      <c r="A5" s="31"/>
      <c r="B5" s="2" t="s">
        <v>830</v>
      </c>
      <c r="C5" s="2">
        <v>60</v>
      </c>
      <c r="D5" s="2">
        <v>144</v>
      </c>
      <c r="E5" s="2">
        <v>60</v>
      </c>
      <c r="F5" s="2" t="s">
        <v>708</v>
      </c>
      <c r="G5" s="3">
        <f t="shared" si="0"/>
        <v>8640</v>
      </c>
      <c r="H5" s="2"/>
    </row>
    <row r="6" spans="1:8" x14ac:dyDescent="0.25">
      <c r="A6" s="31"/>
      <c r="B6" s="2" t="s">
        <v>831</v>
      </c>
      <c r="C6" s="2">
        <v>2</v>
      </c>
      <c r="D6" s="2">
        <v>500</v>
      </c>
      <c r="E6" s="2">
        <v>2</v>
      </c>
      <c r="F6" s="2" t="s">
        <v>55</v>
      </c>
      <c r="G6" s="3">
        <f t="shared" si="0"/>
        <v>1000</v>
      </c>
      <c r="H6" s="2"/>
    </row>
    <row r="7" spans="1:8" x14ac:dyDescent="0.25">
      <c r="A7" s="31"/>
      <c r="B7" s="2" t="s">
        <v>832</v>
      </c>
      <c r="C7" s="2">
        <v>2</v>
      </c>
      <c r="D7" s="2">
        <v>210</v>
      </c>
      <c r="E7" s="2">
        <v>2</v>
      </c>
      <c r="F7" s="2" t="s">
        <v>144</v>
      </c>
      <c r="G7" s="3">
        <f t="shared" si="0"/>
        <v>420</v>
      </c>
      <c r="H7" s="2"/>
    </row>
    <row r="8" spans="1:8" x14ac:dyDescent="0.25">
      <c r="A8" s="31"/>
      <c r="B8" s="32" t="s">
        <v>10</v>
      </c>
      <c r="C8" s="33"/>
      <c r="D8" s="34"/>
      <c r="E8" s="6"/>
      <c r="F8" s="6"/>
      <c r="G8" s="7">
        <f>SUM(G3:G7)</f>
        <v>28830.400000000001</v>
      </c>
      <c r="H8" s="2"/>
    </row>
    <row r="9" spans="1:8" x14ac:dyDescent="0.25">
      <c r="A9" s="2" t="s">
        <v>11</v>
      </c>
      <c r="B9" s="2" t="s">
        <v>0</v>
      </c>
      <c r="C9" s="2" t="s">
        <v>1</v>
      </c>
      <c r="D9" s="2" t="s">
        <v>2</v>
      </c>
      <c r="E9" s="2" t="s">
        <v>3</v>
      </c>
      <c r="F9" s="2"/>
      <c r="G9" s="2" t="s">
        <v>4</v>
      </c>
      <c r="H9" s="2" t="s">
        <v>5</v>
      </c>
    </row>
    <row r="10" spans="1:8" x14ac:dyDescent="0.25">
      <c r="A10" s="47" t="s">
        <v>833</v>
      </c>
      <c r="B10" s="2" t="s">
        <v>834</v>
      </c>
      <c r="C10" s="2">
        <v>4</v>
      </c>
      <c r="D10" s="2">
        <v>40.799999999999997</v>
      </c>
      <c r="E10" s="2">
        <v>4</v>
      </c>
      <c r="F10" s="2" t="s">
        <v>708</v>
      </c>
      <c r="G10" s="2">
        <f>D10*E10</f>
        <v>163.19999999999999</v>
      </c>
      <c r="H10" s="2"/>
    </row>
    <row r="11" spans="1:8" x14ac:dyDescent="0.25">
      <c r="A11" s="31"/>
      <c r="B11" s="2" t="s">
        <v>835</v>
      </c>
      <c r="C11" s="2">
        <v>30</v>
      </c>
      <c r="D11" s="2">
        <v>156</v>
      </c>
      <c r="E11" s="2">
        <v>30</v>
      </c>
      <c r="F11" s="2" t="s">
        <v>708</v>
      </c>
      <c r="G11" s="2">
        <f>D11*E11</f>
        <v>4680</v>
      </c>
      <c r="H11" s="2"/>
    </row>
    <row r="12" spans="1:8" x14ac:dyDescent="0.25">
      <c r="A12" s="31"/>
      <c r="B12" s="2" t="s">
        <v>836</v>
      </c>
      <c r="C12" s="2">
        <v>83</v>
      </c>
      <c r="D12" s="2">
        <v>16</v>
      </c>
      <c r="E12" s="2">
        <v>83</v>
      </c>
      <c r="F12" s="2" t="s">
        <v>50</v>
      </c>
      <c r="G12" s="2">
        <f t="shared" ref="G12:G17" si="1">D12*E12</f>
        <v>1328</v>
      </c>
      <c r="H12" s="2"/>
    </row>
    <row r="13" spans="1:8" x14ac:dyDescent="0.25">
      <c r="A13" s="31"/>
      <c r="B13" s="2" t="s">
        <v>837</v>
      </c>
      <c r="C13" s="2">
        <v>15</v>
      </c>
      <c r="D13" s="2">
        <v>240</v>
      </c>
      <c r="E13" s="2">
        <v>15</v>
      </c>
      <c r="F13" s="2" t="s">
        <v>708</v>
      </c>
      <c r="G13" s="2">
        <f t="shared" si="1"/>
        <v>3600</v>
      </c>
      <c r="H13" s="2"/>
    </row>
    <row r="14" spans="1:8" x14ac:dyDescent="0.25">
      <c r="A14" s="31"/>
      <c r="B14" s="2" t="s">
        <v>838</v>
      </c>
      <c r="C14" s="2">
        <v>20</v>
      </c>
      <c r="D14" s="2">
        <v>174</v>
      </c>
      <c r="E14" s="2">
        <v>20</v>
      </c>
      <c r="F14" s="2" t="s">
        <v>708</v>
      </c>
      <c r="G14" s="2">
        <f t="shared" si="1"/>
        <v>3480</v>
      </c>
      <c r="H14" s="2"/>
    </row>
    <row r="15" spans="1:8" x14ac:dyDescent="0.25">
      <c r="A15" s="31"/>
      <c r="B15" s="2" t="s">
        <v>344</v>
      </c>
      <c r="C15" s="2">
        <v>8</v>
      </c>
      <c r="D15" s="2">
        <v>82.5</v>
      </c>
      <c r="E15" s="2">
        <v>8</v>
      </c>
      <c r="F15" s="2" t="s">
        <v>708</v>
      </c>
      <c r="G15" s="2">
        <f t="shared" si="1"/>
        <v>660</v>
      </c>
      <c r="H15" s="2"/>
    </row>
    <row r="16" spans="1:8" x14ac:dyDescent="0.25">
      <c r="A16" s="31"/>
      <c r="B16" s="2" t="s">
        <v>25</v>
      </c>
      <c r="C16" s="2">
        <v>10</v>
      </c>
      <c r="D16" s="2">
        <v>24.48</v>
      </c>
      <c r="E16" s="2">
        <v>10</v>
      </c>
      <c r="F16" s="2" t="s">
        <v>708</v>
      </c>
      <c r="G16" s="2">
        <f t="shared" si="1"/>
        <v>244.8</v>
      </c>
      <c r="H16" s="2"/>
    </row>
    <row r="17" spans="1:8" x14ac:dyDescent="0.25">
      <c r="A17" s="31"/>
      <c r="B17" s="2" t="s">
        <v>180</v>
      </c>
      <c r="C17" s="28"/>
      <c r="D17" s="2">
        <v>74.099999999999994</v>
      </c>
      <c r="E17" s="2">
        <v>1</v>
      </c>
      <c r="F17" s="2" t="s">
        <v>9</v>
      </c>
      <c r="G17" s="2">
        <f t="shared" si="1"/>
        <v>74.099999999999994</v>
      </c>
      <c r="H17" s="2"/>
    </row>
    <row r="18" spans="1:8" x14ac:dyDescent="0.25">
      <c r="A18" s="31"/>
      <c r="B18" s="32" t="s">
        <v>10</v>
      </c>
      <c r="C18" s="33"/>
      <c r="D18" s="34"/>
      <c r="E18" s="6"/>
      <c r="F18" s="6"/>
      <c r="G18" s="7">
        <f>SUM(G10:G17)</f>
        <v>14230.1</v>
      </c>
      <c r="H18" s="2"/>
    </row>
    <row r="19" spans="1:8" x14ac:dyDescent="0.25">
      <c r="A19" s="2" t="s">
        <v>839</v>
      </c>
      <c r="B19" s="2" t="s">
        <v>0</v>
      </c>
      <c r="C19" s="2" t="s">
        <v>1</v>
      </c>
      <c r="D19" s="2" t="s">
        <v>2</v>
      </c>
      <c r="E19" s="2" t="s">
        <v>3</v>
      </c>
      <c r="F19" s="2"/>
      <c r="G19" s="2" t="s">
        <v>4</v>
      </c>
      <c r="H19" s="2" t="s">
        <v>5</v>
      </c>
    </row>
    <row r="20" spans="1:8" x14ac:dyDescent="0.25">
      <c r="A20" s="31" t="s">
        <v>840</v>
      </c>
      <c r="B20" s="2" t="s">
        <v>519</v>
      </c>
      <c r="C20" s="2"/>
      <c r="D20" s="2">
        <v>9.18</v>
      </c>
      <c r="E20" s="2">
        <v>70</v>
      </c>
      <c r="F20" s="2" t="s">
        <v>9</v>
      </c>
      <c r="G20" s="2">
        <f>D20*E20</f>
        <v>642.6</v>
      </c>
      <c r="H20" s="2"/>
    </row>
    <row r="21" spans="1:8" x14ac:dyDescent="0.25">
      <c r="A21" s="31"/>
      <c r="B21" s="2" t="s">
        <v>264</v>
      </c>
      <c r="C21" s="2"/>
      <c r="D21" s="2">
        <v>45</v>
      </c>
      <c r="E21" s="2">
        <v>5</v>
      </c>
      <c r="F21" s="2" t="s">
        <v>708</v>
      </c>
      <c r="G21" s="2">
        <f t="shared" ref="G21:G22" si="2">D21*E21</f>
        <v>225</v>
      </c>
      <c r="H21" s="2"/>
    </row>
    <row r="22" spans="1:8" x14ac:dyDescent="0.25">
      <c r="A22" s="31"/>
      <c r="B22" s="2" t="s">
        <v>266</v>
      </c>
      <c r="C22" s="2"/>
      <c r="D22" s="2">
        <v>14.82</v>
      </c>
      <c r="E22" s="2">
        <v>3</v>
      </c>
      <c r="F22" s="2" t="s">
        <v>9</v>
      </c>
      <c r="G22" s="2">
        <f t="shared" si="2"/>
        <v>44.46</v>
      </c>
      <c r="H22" s="2"/>
    </row>
    <row r="23" spans="1:8" x14ac:dyDescent="0.25">
      <c r="A23" s="31"/>
      <c r="B23" s="32" t="s">
        <v>10</v>
      </c>
      <c r="C23" s="33"/>
      <c r="D23" s="34"/>
      <c r="E23" s="6"/>
      <c r="F23" s="6"/>
      <c r="G23" s="7">
        <f>SUM(G20:G22)</f>
        <v>912.06000000000006</v>
      </c>
      <c r="H23" s="2"/>
    </row>
    <row r="24" spans="1:8" x14ac:dyDescent="0.25">
      <c r="A24" s="25" t="s">
        <v>510</v>
      </c>
      <c r="B24" s="2" t="s">
        <v>0</v>
      </c>
      <c r="C24" s="2" t="s">
        <v>1</v>
      </c>
      <c r="D24" s="2" t="s">
        <v>2</v>
      </c>
      <c r="E24" s="2" t="s">
        <v>3</v>
      </c>
      <c r="F24" s="2"/>
      <c r="G24" s="2" t="s">
        <v>4</v>
      </c>
      <c r="H24" s="2" t="s">
        <v>5</v>
      </c>
    </row>
    <row r="25" spans="1:8" x14ac:dyDescent="0.25">
      <c r="A25" s="31"/>
      <c r="B25" s="2" t="s">
        <v>204</v>
      </c>
      <c r="C25" s="2">
        <v>20</v>
      </c>
      <c r="D25" s="2">
        <v>55</v>
      </c>
      <c r="E25" s="2">
        <v>20</v>
      </c>
      <c r="F25" s="2" t="s">
        <v>9</v>
      </c>
      <c r="G25" s="2">
        <f>D25*E25</f>
        <v>1100</v>
      </c>
      <c r="H25" s="2"/>
    </row>
    <row r="26" spans="1:8" x14ac:dyDescent="0.25">
      <c r="A26" s="31"/>
      <c r="B26" s="2" t="s">
        <v>841</v>
      </c>
      <c r="C26" s="2">
        <v>2</v>
      </c>
      <c r="D26" s="2">
        <v>29.38</v>
      </c>
      <c r="E26" s="2">
        <v>100</v>
      </c>
      <c r="F26" s="2" t="s">
        <v>9</v>
      </c>
      <c r="G26" s="2">
        <f t="shared" ref="G26:G32" si="3">D26*E26</f>
        <v>2938</v>
      </c>
      <c r="H26" s="2"/>
    </row>
    <row r="27" spans="1:8" x14ac:dyDescent="0.25">
      <c r="A27" s="31"/>
      <c r="B27" s="2" t="s">
        <v>207</v>
      </c>
      <c r="C27" s="2">
        <v>2</v>
      </c>
      <c r="D27" s="2">
        <v>1188</v>
      </c>
      <c r="E27" s="2">
        <v>2</v>
      </c>
      <c r="F27" s="2" t="s">
        <v>55</v>
      </c>
      <c r="G27" s="2">
        <f t="shared" si="3"/>
        <v>2376</v>
      </c>
      <c r="H27" s="2"/>
    </row>
    <row r="28" spans="1:8" x14ac:dyDescent="0.25">
      <c r="A28" s="31"/>
      <c r="B28" s="2" t="s">
        <v>45</v>
      </c>
      <c r="C28" s="2">
        <v>1</v>
      </c>
      <c r="D28" s="2">
        <v>60</v>
      </c>
      <c r="E28" s="2">
        <v>1</v>
      </c>
      <c r="F28" s="2" t="s">
        <v>46</v>
      </c>
      <c r="G28" s="2">
        <f t="shared" si="3"/>
        <v>60</v>
      </c>
      <c r="H28" s="2"/>
    </row>
    <row r="29" spans="1:8" x14ac:dyDescent="0.25">
      <c r="A29" s="31"/>
      <c r="B29" s="2" t="s">
        <v>842</v>
      </c>
      <c r="C29" s="2">
        <v>1</v>
      </c>
      <c r="D29" s="2">
        <v>162.6</v>
      </c>
      <c r="E29" s="2">
        <v>1</v>
      </c>
      <c r="F29" s="6" t="s">
        <v>50</v>
      </c>
      <c r="G29" s="2">
        <f t="shared" si="3"/>
        <v>162.6</v>
      </c>
      <c r="H29" s="2"/>
    </row>
    <row r="30" spans="1:8" x14ac:dyDescent="0.25">
      <c r="A30" s="31"/>
      <c r="B30" s="2" t="s">
        <v>673</v>
      </c>
      <c r="C30" s="2">
        <v>17</v>
      </c>
      <c r="D30" s="2">
        <v>93</v>
      </c>
      <c r="E30" s="2">
        <v>20</v>
      </c>
      <c r="F30" s="6" t="s">
        <v>708</v>
      </c>
      <c r="G30" s="2">
        <f t="shared" si="3"/>
        <v>1860</v>
      </c>
      <c r="H30" s="2"/>
    </row>
    <row r="31" spans="1:8" x14ac:dyDescent="0.25">
      <c r="A31" s="31"/>
      <c r="B31" s="2" t="s">
        <v>539</v>
      </c>
      <c r="C31" s="2">
        <v>2</v>
      </c>
      <c r="D31" s="2">
        <v>185</v>
      </c>
      <c r="E31" s="2">
        <v>2</v>
      </c>
      <c r="F31" s="6" t="s">
        <v>53</v>
      </c>
      <c r="G31" s="2">
        <f t="shared" si="3"/>
        <v>370</v>
      </c>
      <c r="H31" s="2"/>
    </row>
    <row r="32" spans="1:8" x14ac:dyDescent="0.25">
      <c r="A32" s="31"/>
      <c r="B32" s="2" t="s">
        <v>401</v>
      </c>
      <c r="C32" s="2"/>
      <c r="D32" s="2">
        <v>64.260000000000005</v>
      </c>
      <c r="E32" s="2">
        <v>0.25</v>
      </c>
      <c r="F32" s="2" t="s">
        <v>9</v>
      </c>
      <c r="G32" s="2">
        <f t="shared" si="3"/>
        <v>16.065000000000001</v>
      </c>
      <c r="H32" s="2"/>
    </row>
    <row r="33" spans="1:8" x14ac:dyDescent="0.25">
      <c r="A33" s="31"/>
      <c r="B33" s="32" t="s">
        <v>10</v>
      </c>
      <c r="C33" s="33"/>
      <c r="D33" s="34"/>
      <c r="E33" s="6"/>
      <c r="F33" s="6"/>
      <c r="G33" s="7">
        <f>SUM(G25:G32)</f>
        <v>8882.6650000000009</v>
      </c>
      <c r="H33" s="2"/>
    </row>
    <row r="34" spans="1:8" x14ac:dyDescent="0.25">
      <c r="A34" s="2" t="s">
        <v>101</v>
      </c>
      <c r="B34" s="2" t="s">
        <v>0</v>
      </c>
      <c r="C34" s="2" t="s">
        <v>1</v>
      </c>
      <c r="D34" s="2" t="s">
        <v>2</v>
      </c>
      <c r="E34" s="2" t="s">
        <v>3</v>
      </c>
      <c r="F34" s="2"/>
      <c r="G34" s="2" t="s">
        <v>4</v>
      </c>
      <c r="H34" s="2" t="s">
        <v>5</v>
      </c>
    </row>
    <row r="35" spans="1:8" x14ac:dyDescent="0.25">
      <c r="A35" s="31" t="s">
        <v>396</v>
      </c>
      <c r="B35" s="2" t="s">
        <v>397</v>
      </c>
      <c r="C35" s="2">
        <v>7</v>
      </c>
      <c r="D35" s="2">
        <v>215</v>
      </c>
      <c r="E35" s="2">
        <v>7</v>
      </c>
      <c r="F35" s="2" t="s">
        <v>53</v>
      </c>
      <c r="G35" s="2">
        <f>D35*E35</f>
        <v>1505</v>
      </c>
      <c r="H35" s="2"/>
    </row>
    <row r="36" spans="1:8" x14ac:dyDescent="0.25">
      <c r="A36" s="31"/>
      <c r="B36" s="2" t="s">
        <v>843</v>
      </c>
      <c r="C36" s="2">
        <v>20</v>
      </c>
      <c r="D36" s="2">
        <v>150</v>
      </c>
      <c r="E36" s="2">
        <v>20</v>
      </c>
      <c r="F36" s="2" t="s">
        <v>708</v>
      </c>
      <c r="G36" s="2">
        <f t="shared" ref="G36:G37" si="4">D36*E36</f>
        <v>3000</v>
      </c>
      <c r="H36" s="2"/>
    </row>
    <row r="37" spans="1:8" x14ac:dyDescent="0.25">
      <c r="A37" s="31"/>
      <c r="B37" s="2" t="s">
        <v>278</v>
      </c>
      <c r="C37" s="2">
        <v>20</v>
      </c>
      <c r="D37" s="2">
        <v>162</v>
      </c>
      <c r="E37" s="2">
        <v>20</v>
      </c>
      <c r="F37" s="2" t="s">
        <v>708</v>
      </c>
      <c r="G37" s="2">
        <f t="shared" si="4"/>
        <v>3240</v>
      </c>
      <c r="H37" s="2"/>
    </row>
    <row r="38" spans="1:8" x14ac:dyDescent="0.25">
      <c r="A38" s="31"/>
      <c r="B38" s="32"/>
      <c r="C38" s="33"/>
      <c r="D38" s="34"/>
      <c r="E38" s="6"/>
      <c r="F38" s="6"/>
      <c r="G38" s="14">
        <f>SUM(G35:G37)</f>
        <v>7745</v>
      </c>
      <c r="H38" s="2"/>
    </row>
    <row r="39" spans="1:8" x14ac:dyDescent="0.25">
      <c r="A39" s="2" t="s">
        <v>523</v>
      </c>
      <c r="B39" s="2" t="s">
        <v>0</v>
      </c>
      <c r="C39" s="2" t="s">
        <v>1</v>
      </c>
      <c r="D39" s="2" t="s">
        <v>2</v>
      </c>
      <c r="E39" s="6" t="s">
        <v>3</v>
      </c>
      <c r="F39" s="6"/>
      <c r="G39" s="6" t="s">
        <v>4</v>
      </c>
      <c r="H39" s="2" t="s">
        <v>5</v>
      </c>
    </row>
    <row r="40" spans="1:8" x14ac:dyDescent="0.25">
      <c r="A40" s="36"/>
      <c r="B40" s="2" t="s">
        <v>844</v>
      </c>
      <c r="C40" s="2"/>
      <c r="D40" s="2">
        <v>48</v>
      </c>
      <c r="E40" s="2">
        <v>100</v>
      </c>
      <c r="F40" s="2" t="s">
        <v>9</v>
      </c>
      <c r="G40" s="3">
        <f>D40*E40</f>
        <v>4800</v>
      </c>
      <c r="H40" s="2"/>
    </row>
    <row r="41" spans="1:8" x14ac:dyDescent="0.25">
      <c r="A41" s="37"/>
      <c r="B41" s="2"/>
      <c r="C41" s="2"/>
      <c r="D41" s="2"/>
      <c r="E41" s="2"/>
      <c r="F41" s="2"/>
      <c r="G41" s="52">
        <f>D41*E41</f>
        <v>0</v>
      </c>
      <c r="H41" s="2"/>
    </row>
    <row r="42" spans="1:8" x14ac:dyDescent="0.25">
      <c r="A42" s="38"/>
      <c r="B42" s="32" t="s">
        <v>10</v>
      </c>
      <c r="C42" s="33"/>
      <c r="D42" s="34"/>
      <c r="E42" s="6"/>
      <c r="F42" s="6"/>
      <c r="G42" s="7">
        <f>SUM(G40:G41)</f>
        <v>4800</v>
      </c>
      <c r="H42" s="27"/>
    </row>
    <row r="43" spans="1:8" x14ac:dyDescent="0.25">
      <c r="A43" s="16" t="s">
        <v>145</v>
      </c>
      <c r="B43" s="2" t="s">
        <v>0</v>
      </c>
      <c r="C43" s="2" t="s">
        <v>1</v>
      </c>
      <c r="D43" s="2" t="s">
        <v>2</v>
      </c>
      <c r="E43" s="2" t="s">
        <v>3</v>
      </c>
      <c r="F43" s="2"/>
      <c r="G43" s="2" t="s">
        <v>4</v>
      </c>
      <c r="H43" s="2"/>
    </row>
    <row r="44" spans="1:8" x14ac:dyDescent="0.25">
      <c r="A44" s="31"/>
      <c r="B44" s="2" t="s">
        <v>845</v>
      </c>
      <c r="C44" s="2"/>
      <c r="D44" s="2">
        <v>60</v>
      </c>
      <c r="E44" s="2">
        <v>20</v>
      </c>
      <c r="F44" s="2" t="s">
        <v>63</v>
      </c>
      <c r="G44" s="2">
        <f>D44*E44</f>
        <v>1200</v>
      </c>
      <c r="H44" s="2"/>
    </row>
    <row r="45" spans="1:8" x14ac:dyDescent="0.25">
      <c r="A45" s="31"/>
      <c r="B45" s="2" t="s">
        <v>846</v>
      </c>
      <c r="C45" s="2"/>
      <c r="D45" s="2">
        <v>40</v>
      </c>
      <c r="E45" s="2">
        <v>340</v>
      </c>
      <c r="F45" s="2" t="s">
        <v>63</v>
      </c>
      <c r="G45" s="2">
        <f>D45*E45</f>
        <v>13600</v>
      </c>
      <c r="H45" s="2"/>
    </row>
    <row r="46" spans="1:8" x14ac:dyDescent="0.25">
      <c r="A46" s="31"/>
      <c r="B46" s="2"/>
      <c r="C46" s="2"/>
      <c r="D46" s="2"/>
      <c r="E46" s="2"/>
      <c r="F46" s="2"/>
      <c r="G46" s="2"/>
      <c r="H46" s="2"/>
    </row>
    <row r="47" spans="1:8" x14ac:dyDescent="0.25">
      <c r="A47" s="31"/>
      <c r="B47" s="32" t="s">
        <v>10</v>
      </c>
      <c r="C47" s="33"/>
      <c r="D47" s="34"/>
      <c r="E47" s="6"/>
      <c r="F47" s="6"/>
      <c r="G47" s="14">
        <f>SUM(G44:G46)</f>
        <v>14800</v>
      </c>
      <c r="H47" s="2"/>
    </row>
    <row r="48" spans="1:8" x14ac:dyDescent="0.25">
      <c r="A48" s="2"/>
      <c r="B48" s="39" t="s">
        <v>545</v>
      </c>
      <c r="C48" s="40"/>
      <c r="D48" s="41"/>
      <c r="E48" s="29"/>
      <c r="F48" s="29"/>
      <c r="G48" s="30">
        <f>G47+G42+G38+G23+G18+G8+G33</f>
        <v>80200.225000000006</v>
      </c>
      <c r="H48" s="2"/>
    </row>
  </sheetData>
  <mergeCells count="16">
    <mergeCell ref="A44:A47"/>
    <mergeCell ref="B47:D47"/>
    <mergeCell ref="B48:D48"/>
    <mergeCell ref="A25:A33"/>
    <mergeCell ref="B33:D33"/>
    <mergeCell ref="A35:A38"/>
    <mergeCell ref="B38:D38"/>
    <mergeCell ref="A40:A42"/>
    <mergeCell ref="B42:D42"/>
    <mergeCell ref="A1:H1"/>
    <mergeCell ref="A3:A8"/>
    <mergeCell ref="B8:D8"/>
    <mergeCell ref="A10:A18"/>
    <mergeCell ref="B18:D18"/>
    <mergeCell ref="A20:A23"/>
    <mergeCell ref="B23:D23"/>
  </mergeCells>
  <phoneticPr fontId="1" type="noConversion"/>
  <pageMargins left="0.7" right="0.7" top="0.75" bottom="0.75" header="0.3" footer="0.3"/>
  <pageSetup paperSize="9" scale="96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1EAF8-F752-4C6B-A72E-18AD97B164B5}">
  <sheetPr>
    <pageSetUpPr fitToPage="1"/>
  </sheetPr>
  <dimension ref="A1:H59"/>
  <sheetViews>
    <sheetView workbookViewId="0">
      <selection activeCell="E29" sqref="E29"/>
    </sheetView>
  </sheetViews>
  <sheetFormatPr defaultRowHeight="16.5" x14ac:dyDescent="0.25"/>
  <cols>
    <col min="1" max="2" width="15.625" style="56" customWidth="1"/>
    <col min="3" max="4" width="9" style="56"/>
    <col min="5" max="5" width="8.625" style="56" customWidth="1"/>
    <col min="6" max="6" width="3.625" style="56" customWidth="1"/>
    <col min="7" max="8" width="13.625" style="56" customWidth="1"/>
    <col min="9" max="9" width="13.5" style="56" customWidth="1"/>
    <col min="10" max="16384" width="9" style="56"/>
  </cols>
  <sheetData>
    <row r="1" spans="1:8" x14ac:dyDescent="0.25">
      <c r="A1" s="42" t="s">
        <v>951</v>
      </c>
      <c r="B1" s="43"/>
      <c r="C1" s="43"/>
      <c r="D1" s="43"/>
      <c r="E1" s="43"/>
      <c r="F1" s="43"/>
      <c r="G1" s="43"/>
      <c r="H1" s="44"/>
    </row>
    <row r="2" spans="1:8" x14ac:dyDescent="0.25">
      <c r="A2" s="57" t="s">
        <v>74</v>
      </c>
      <c r="B2" s="57" t="s">
        <v>0</v>
      </c>
      <c r="C2" s="57" t="s">
        <v>1</v>
      </c>
      <c r="D2" s="57" t="s">
        <v>2</v>
      </c>
      <c r="E2" s="57" t="s">
        <v>3</v>
      </c>
      <c r="F2" s="57"/>
      <c r="G2" s="57" t="s">
        <v>4</v>
      </c>
      <c r="H2" s="57" t="s">
        <v>5</v>
      </c>
    </row>
    <row r="3" spans="1:8" x14ac:dyDescent="0.25">
      <c r="A3" s="31" t="s">
        <v>952</v>
      </c>
      <c r="B3" s="57" t="s">
        <v>953</v>
      </c>
      <c r="C3" s="57"/>
      <c r="D3" s="57">
        <v>300</v>
      </c>
      <c r="E3" s="57">
        <v>40</v>
      </c>
      <c r="F3" s="57" t="s">
        <v>63</v>
      </c>
      <c r="G3" s="58">
        <f>D3*E3</f>
        <v>12000</v>
      </c>
      <c r="H3" s="57"/>
    </row>
    <row r="4" spans="1:8" x14ac:dyDescent="0.25">
      <c r="A4" s="31"/>
      <c r="B4" s="57"/>
      <c r="C4" s="57"/>
      <c r="D4" s="57"/>
      <c r="E4" s="57"/>
      <c r="F4" s="57"/>
      <c r="G4" s="57"/>
      <c r="H4" s="57"/>
    </row>
    <row r="5" spans="1:8" x14ac:dyDescent="0.25">
      <c r="A5" s="31"/>
      <c r="B5" s="57"/>
      <c r="C5" s="57"/>
      <c r="D5" s="57"/>
      <c r="E5" s="57"/>
      <c r="F5" s="57"/>
      <c r="G5" s="57"/>
      <c r="H5" s="57"/>
    </row>
    <row r="6" spans="1:8" x14ac:dyDescent="0.25">
      <c r="A6" s="31"/>
      <c r="B6" s="57"/>
      <c r="C6" s="57"/>
      <c r="D6" s="57"/>
      <c r="E6" s="59"/>
      <c r="F6" s="59"/>
      <c r="G6" s="59"/>
      <c r="H6" s="57"/>
    </row>
    <row r="7" spans="1:8" x14ac:dyDescent="0.25">
      <c r="A7" s="31"/>
      <c r="B7" s="57"/>
      <c r="C7" s="57"/>
      <c r="D7" s="57"/>
      <c r="E7" s="59"/>
      <c r="F7" s="59"/>
      <c r="G7" s="59"/>
      <c r="H7" s="57"/>
    </row>
    <row r="8" spans="1:8" x14ac:dyDescent="0.25">
      <c r="A8" s="31"/>
      <c r="B8" s="57"/>
      <c r="C8" s="57"/>
      <c r="D8" s="57"/>
      <c r="E8" s="59"/>
      <c r="F8" s="59"/>
      <c r="G8" s="59"/>
      <c r="H8" s="57"/>
    </row>
    <row r="9" spans="1:8" x14ac:dyDescent="0.25">
      <c r="A9" s="31"/>
      <c r="B9" s="32" t="s">
        <v>10</v>
      </c>
      <c r="C9" s="33"/>
      <c r="D9" s="34"/>
      <c r="E9" s="59"/>
      <c r="F9" s="59"/>
      <c r="G9" s="65">
        <f>SUM(G3:G8)</f>
        <v>12000</v>
      </c>
      <c r="H9" s="57"/>
    </row>
    <row r="10" spans="1:8" x14ac:dyDescent="0.25">
      <c r="A10" s="57" t="s">
        <v>11</v>
      </c>
      <c r="B10" s="57" t="s">
        <v>0</v>
      </c>
      <c r="C10" s="57" t="s">
        <v>1</v>
      </c>
      <c r="D10" s="57" t="s">
        <v>2</v>
      </c>
      <c r="E10" s="57" t="s">
        <v>3</v>
      </c>
      <c r="F10" s="57"/>
      <c r="G10" s="57" t="s">
        <v>4</v>
      </c>
      <c r="H10" s="57" t="s">
        <v>5</v>
      </c>
    </row>
    <row r="11" spans="1:8" x14ac:dyDescent="0.25">
      <c r="A11" s="47" t="s">
        <v>954</v>
      </c>
      <c r="B11" s="57" t="s">
        <v>602</v>
      </c>
      <c r="C11" s="57"/>
      <c r="D11" s="57">
        <v>78</v>
      </c>
      <c r="E11" s="67">
        <v>120.65</v>
      </c>
      <c r="F11" s="57" t="s">
        <v>9</v>
      </c>
      <c r="G11" s="58">
        <f>D11*E11</f>
        <v>9410.7000000000007</v>
      </c>
      <c r="H11" s="57"/>
    </row>
    <row r="12" spans="1:8" x14ac:dyDescent="0.25">
      <c r="A12" s="31"/>
      <c r="B12" s="57" t="s">
        <v>955</v>
      </c>
      <c r="C12" s="28"/>
      <c r="D12" s="67">
        <v>82.8</v>
      </c>
      <c r="E12" s="67">
        <v>10</v>
      </c>
      <c r="F12" s="57" t="s">
        <v>9</v>
      </c>
      <c r="G12" s="58">
        <f>D12*E12</f>
        <v>828</v>
      </c>
      <c r="H12" s="57"/>
    </row>
    <row r="13" spans="1:8" x14ac:dyDescent="0.25">
      <c r="A13" s="31"/>
      <c r="B13" s="57" t="s">
        <v>956</v>
      </c>
      <c r="C13" s="57"/>
      <c r="D13" s="57"/>
      <c r="E13" s="57"/>
      <c r="F13" s="57"/>
      <c r="G13" s="57">
        <v>7860</v>
      </c>
      <c r="H13" s="57"/>
    </row>
    <row r="14" spans="1:8" x14ac:dyDescent="0.25">
      <c r="A14" s="31"/>
      <c r="B14" s="57" t="s">
        <v>957</v>
      </c>
      <c r="C14" s="57"/>
      <c r="D14" s="57">
        <v>55</v>
      </c>
      <c r="E14" s="57">
        <v>360</v>
      </c>
      <c r="F14" s="57" t="s">
        <v>770</v>
      </c>
      <c r="G14" s="57">
        <f t="shared" ref="G14" si="0">D14*E14</f>
        <v>19800</v>
      </c>
      <c r="H14" s="57"/>
    </row>
    <row r="15" spans="1:8" x14ac:dyDescent="0.25">
      <c r="A15" s="31"/>
      <c r="B15" s="57"/>
      <c r="C15" s="57"/>
      <c r="D15" s="57"/>
      <c r="E15" s="57"/>
      <c r="F15" s="57"/>
      <c r="G15" s="57"/>
      <c r="H15" s="57"/>
    </row>
    <row r="16" spans="1:8" x14ac:dyDescent="0.25">
      <c r="A16" s="31"/>
      <c r="B16" s="57"/>
      <c r="C16" s="57"/>
      <c r="D16" s="57"/>
      <c r="E16" s="57"/>
      <c r="F16" s="57"/>
      <c r="G16" s="57"/>
      <c r="H16" s="57"/>
    </row>
    <row r="17" spans="1:8" x14ac:dyDescent="0.25">
      <c r="A17" s="57" t="s">
        <v>90</v>
      </c>
      <c r="B17" s="32" t="s">
        <v>10</v>
      </c>
      <c r="C17" s="33"/>
      <c r="D17" s="34"/>
      <c r="E17" s="59"/>
      <c r="F17" s="59"/>
      <c r="G17" s="65">
        <f>SUM(G11:G16)</f>
        <v>37898.699999999997</v>
      </c>
      <c r="H17" s="57"/>
    </row>
    <row r="18" spans="1:8" x14ac:dyDescent="0.25">
      <c r="A18" s="31" t="s">
        <v>958</v>
      </c>
      <c r="B18" s="57" t="s">
        <v>0</v>
      </c>
      <c r="C18" s="57" t="s">
        <v>1</v>
      </c>
      <c r="D18" s="57" t="s">
        <v>2</v>
      </c>
      <c r="E18" s="57" t="s">
        <v>3</v>
      </c>
      <c r="F18" s="57"/>
      <c r="G18" s="57" t="s">
        <v>4</v>
      </c>
      <c r="H18" s="57" t="s">
        <v>5</v>
      </c>
    </row>
    <row r="19" spans="1:8" x14ac:dyDescent="0.25">
      <c r="A19" s="31"/>
      <c r="B19" s="57" t="s">
        <v>768</v>
      </c>
      <c r="C19" s="57"/>
      <c r="D19" s="57">
        <v>70</v>
      </c>
      <c r="E19" s="57">
        <v>40</v>
      </c>
      <c r="F19" s="57" t="s">
        <v>53</v>
      </c>
      <c r="G19" s="57">
        <f>D19*E19</f>
        <v>2800</v>
      </c>
      <c r="H19" s="57"/>
    </row>
    <row r="20" spans="1:8" x14ac:dyDescent="0.25">
      <c r="A20" s="31"/>
      <c r="B20" s="57" t="s">
        <v>959</v>
      </c>
      <c r="C20" s="57"/>
      <c r="D20" s="57">
        <v>290</v>
      </c>
      <c r="E20" s="57">
        <v>8</v>
      </c>
      <c r="F20" s="57" t="s">
        <v>144</v>
      </c>
      <c r="G20" s="57">
        <f t="shared" ref="G20:G22" si="1">D20*E20</f>
        <v>2320</v>
      </c>
      <c r="H20" s="57"/>
    </row>
    <row r="21" spans="1:8" x14ac:dyDescent="0.25">
      <c r="A21" s="31"/>
      <c r="B21" s="57" t="s">
        <v>720</v>
      </c>
      <c r="C21" s="57"/>
      <c r="D21" s="57">
        <v>220</v>
      </c>
      <c r="E21" s="57">
        <v>4</v>
      </c>
      <c r="F21" s="57" t="s">
        <v>144</v>
      </c>
      <c r="G21" s="57">
        <f t="shared" si="1"/>
        <v>880</v>
      </c>
      <c r="H21" s="57"/>
    </row>
    <row r="22" spans="1:8" x14ac:dyDescent="0.25">
      <c r="A22" s="31"/>
      <c r="B22" s="57" t="s">
        <v>612</v>
      </c>
      <c r="C22" s="57">
        <v>8</v>
      </c>
      <c r="D22" s="57">
        <v>144</v>
      </c>
      <c r="E22" s="57">
        <v>8</v>
      </c>
      <c r="F22" s="57" t="s">
        <v>708</v>
      </c>
      <c r="G22" s="57">
        <f t="shared" si="1"/>
        <v>1152</v>
      </c>
      <c r="H22" s="57"/>
    </row>
    <row r="23" spans="1:8" x14ac:dyDescent="0.25">
      <c r="A23" s="31"/>
      <c r="B23" s="57"/>
      <c r="C23" s="57"/>
      <c r="D23" s="57"/>
      <c r="E23" s="59"/>
      <c r="F23" s="59"/>
      <c r="G23" s="57"/>
      <c r="H23" s="57"/>
    </row>
    <row r="24" spans="1:8" x14ac:dyDescent="0.25">
      <c r="A24" s="60" t="s">
        <v>510</v>
      </c>
      <c r="B24" s="32" t="s">
        <v>10</v>
      </c>
      <c r="C24" s="33"/>
      <c r="D24" s="34"/>
      <c r="E24" s="59"/>
      <c r="F24" s="59"/>
      <c r="G24" s="66">
        <f>SUM(G19:G23)</f>
        <v>7152</v>
      </c>
      <c r="H24" s="57"/>
    </row>
    <row r="25" spans="1:8" x14ac:dyDescent="0.25">
      <c r="A25" s="31"/>
      <c r="B25" s="57" t="s">
        <v>0</v>
      </c>
      <c r="C25" s="57" t="s">
        <v>1</v>
      </c>
      <c r="D25" s="57" t="s">
        <v>2</v>
      </c>
      <c r="E25" s="57" t="s">
        <v>3</v>
      </c>
      <c r="F25" s="57"/>
      <c r="G25" s="57" t="s">
        <v>4</v>
      </c>
      <c r="H25" s="57" t="s">
        <v>5</v>
      </c>
    </row>
    <row r="26" spans="1:8" x14ac:dyDescent="0.25">
      <c r="A26" s="31"/>
      <c r="B26" s="57" t="s">
        <v>797</v>
      </c>
      <c r="C26" s="57"/>
      <c r="D26" s="57">
        <v>38</v>
      </c>
      <c r="E26" s="57">
        <v>3</v>
      </c>
      <c r="F26" s="57" t="s">
        <v>50</v>
      </c>
      <c r="G26" s="57">
        <f>D26*E26</f>
        <v>114</v>
      </c>
      <c r="H26" s="57" t="s">
        <v>960</v>
      </c>
    </row>
    <row r="27" spans="1:8" x14ac:dyDescent="0.25">
      <c r="A27" s="31"/>
      <c r="B27" s="57" t="s">
        <v>961</v>
      </c>
      <c r="C27" s="57" t="s">
        <v>774</v>
      </c>
      <c r="D27" s="57">
        <v>150</v>
      </c>
      <c r="E27" s="57">
        <v>2</v>
      </c>
      <c r="F27" s="57" t="s">
        <v>708</v>
      </c>
      <c r="G27" s="57">
        <f t="shared" ref="G27:G32" si="2">D27*E27</f>
        <v>300</v>
      </c>
      <c r="H27" s="57"/>
    </row>
    <row r="28" spans="1:8" x14ac:dyDescent="0.25">
      <c r="A28" s="31"/>
      <c r="B28" s="57" t="s">
        <v>612</v>
      </c>
      <c r="C28" s="57">
        <v>2</v>
      </c>
      <c r="D28" s="57">
        <v>144</v>
      </c>
      <c r="E28" s="57">
        <v>8</v>
      </c>
      <c r="F28" s="57" t="s">
        <v>708</v>
      </c>
      <c r="G28" s="57">
        <f t="shared" si="2"/>
        <v>1152</v>
      </c>
      <c r="H28" s="57"/>
    </row>
    <row r="29" spans="1:8" x14ac:dyDescent="0.25">
      <c r="A29" s="31"/>
      <c r="B29" s="57" t="s">
        <v>22</v>
      </c>
      <c r="C29" s="57"/>
      <c r="D29" s="57">
        <v>105</v>
      </c>
      <c r="E29" s="57">
        <v>10</v>
      </c>
      <c r="F29" s="57" t="s">
        <v>9</v>
      </c>
      <c r="G29" s="57">
        <f t="shared" si="2"/>
        <v>1050</v>
      </c>
      <c r="H29" s="57"/>
    </row>
    <row r="30" spans="1:8" x14ac:dyDescent="0.25">
      <c r="A30" s="31"/>
      <c r="B30" s="57" t="s">
        <v>613</v>
      </c>
      <c r="C30" s="57">
        <v>2</v>
      </c>
      <c r="D30" s="57">
        <v>180</v>
      </c>
      <c r="E30" s="57">
        <v>2</v>
      </c>
      <c r="F30" s="57" t="s">
        <v>708</v>
      </c>
      <c r="G30" s="57">
        <f t="shared" si="2"/>
        <v>360</v>
      </c>
      <c r="H30" s="57"/>
    </row>
    <row r="31" spans="1:8" x14ac:dyDescent="0.25">
      <c r="A31" s="31"/>
      <c r="B31" s="57" t="s">
        <v>790</v>
      </c>
      <c r="C31" s="57">
        <v>6</v>
      </c>
      <c r="D31" s="57">
        <v>26.1</v>
      </c>
      <c r="E31" s="57">
        <v>6</v>
      </c>
      <c r="F31" s="59" t="s">
        <v>708</v>
      </c>
      <c r="G31" s="59">
        <f t="shared" si="2"/>
        <v>156.60000000000002</v>
      </c>
      <c r="H31" s="57"/>
    </row>
    <row r="32" spans="1:8" x14ac:dyDescent="0.25">
      <c r="A32" s="31"/>
      <c r="B32" s="57" t="s">
        <v>962</v>
      </c>
      <c r="C32" s="57"/>
      <c r="D32" s="57">
        <v>42.3</v>
      </c>
      <c r="E32" s="57">
        <v>20</v>
      </c>
      <c r="F32" s="59" t="s">
        <v>9</v>
      </c>
      <c r="G32" s="59">
        <f t="shared" si="2"/>
        <v>846</v>
      </c>
      <c r="H32" s="57"/>
    </row>
    <row r="33" spans="1:8" x14ac:dyDescent="0.25">
      <c r="A33" s="57" t="s">
        <v>101</v>
      </c>
      <c r="B33" s="32" t="s">
        <v>10</v>
      </c>
      <c r="C33" s="33"/>
      <c r="D33" s="34"/>
      <c r="E33" s="59"/>
      <c r="F33" s="59"/>
      <c r="G33" s="65">
        <f>SUM(G26:G32)</f>
        <v>3978.6</v>
      </c>
      <c r="H33" s="57"/>
    </row>
    <row r="34" spans="1:8" x14ac:dyDescent="0.25">
      <c r="A34" s="36" t="s">
        <v>729</v>
      </c>
      <c r="B34" s="57" t="s">
        <v>0</v>
      </c>
      <c r="C34" s="57" t="s">
        <v>1</v>
      </c>
      <c r="D34" s="57" t="s">
        <v>2</v>
      </c>
      <c r="E34" s="57" t="s">
        <v>3</v>
      </c>
      <c r="F34" s="57"/>
      <c r="G34" s="57" t="s">
        <v>4</v>
      </c>
      <c r="H34" s="57" t="s">
        <v>5</v>
      </c>
    </row>
    <row r="35" spans="1:8" x14ac:dyDescent="0.25">
      <c r="A35" s="37"/>
      <c r="B35" s="57" t="s">
        <v>778</v>
      </c>
      <c r="C35" s="57">
        <v>25</v>
      </c>
      <c r="D35" s="57">
        <v>42.18</v>
      </c>
      <c r="E35" s="57">
        <v>25</v>
      </c>
      <c r="F35" s="57" t="s">
        <v>708</v>
      </c>
      <c r="G35" s="57">
        <f>D35*E35</f>
        <v>1054.5</v>
      </c>
      <c r="H35" s="57"/>
    </row>
    <row r="36" spans="1:8" x14ac:dyDescent="0.25">
      <c r="A36" s="37"/>
      <c r="B36" s="57" t="s">
        <v>963</v>
      </c>
      <c r="C36" s="57">
        <v>8</v>
      </c>
      <c r="D36" s="57">
        <v>26.22</v>
      </c>
      <c r="E36" s="57">
        <v>8</v>
      </c>
      <c r="F36" s="57" t="s">
        <v>708</v>
      </c>
      <c r="G36" s="57">
        <f t="shared" ref="G36:G40" si="3">D36*E36</f>
        <v>209.76</v>
      </c>
      <c r="H36" s="57"/>
    </row>
    <row r="37" spans="1:8" x14ac:dyDescent="0.25">
      <c r="A37" s="37"/>
      <c r="B37" s="57" t="s">
        <v>607</v>
      </c>
      <c r="C37" s="57"/>
      <c r="D37" s="57">
        <v>270</v>
      </c>
      <c r="E37" s="57">
        <v>4</v>
      </c>
      <c r="F37" s="57" t="s">
        <v>123</v>
      </c>
      <c r="G37" s="57">
        <f>D37*E37</f>
        <v>1080</v>
      </c>
      <c r="H37" s="57"/>
    </row>
    <row r="38" spans="1:8" x14ac:dyDescent="0.25">
      <c r="A38" s="37"/>
      <c r="B38" s="57" t="s">
        <v>496</v>
      </c>
      <c r="C38" s="57"/>
      <c r="D38" s="59">
        <v>100</v>
      </c>
      <c r="E38" s="59">
        <v>6</v>
      </c>
      <c r="F38" s="59" t="s">
        <v>123</v>
      </c>
      <c r="G38" s="57">
        <f>D38*E38</f>
        <v>600</v>
      </c>
      <c r="H38" s="57"/>
    </row>
    <row r="39" spans="1:8" x14ac:dyDescent="0.25">
      <c r="A39" s="37"/>
      <c r="B39" s="57" t="s">
        <v>964</v>
      </c>
      <c r="C39" s="57"/>
      <c r="D39" s="57">
        <v>160</v>
      </c>
      <c r="E39" s="57">
        <v>1</v>
      </c>
      <c r="F39" s="57" t="s">
        <v>144</v>
      </c>
      <c r="G39" s="57">
        <f>D39*E39</f>
        <v>160</v>
      </c>
      <c r="H39" s="57"/>
    </row>
    <row r="40" spans="1:8" x14ac:dyDescent="0.25">
      <c r="A40" s="37"/>
      <c r="B40" s="57" t="s">
        <v>25</v>
      </c>
      <c r="C40" s="57">
        <v>8</v>
      </c>
      <c r="D40" s="57">
        <v>25.5</v>
      </c>
      <c r="E40" s="57">
        <v>8</v>
      </c>
      <c r="F40" s="57" t="s">
        <v>708</v>
      </c>
      <c r="G40" s="57">
        <f t="shared" si="3"/>
        <v>204</v>
      </c>
      <c r="H40" s="57"/>
    </row>
    <row r="41" spans="1:8" x14ac:dyDescent="0.25">
      <c r="A41" s="38"/>
      <c r="B41" s="32" t="s">
        <v>10</v>
      </c>
      <c r="C41" s="33"/>
      <c r="D41" s="34"/>
      <c r="E41" s="59"/>
      <c r="F41" s="59"/>
      <c r="G41" s="65">
        <f>SUM(G35:G40)</f>
        <v>3308.26</v>
      </c>
      <c r="H41" s="57"/>
    </row>
    <row r="42" spans="1:8" x14ac:dyDescent="0.25">
      <c r="A42" s="57"/>
      <c r="B42" s="57" t="s">
        <v>0</v>
      </c>
      <c r="C42" s="57" t="s">
        <v>1</v>
      </c>
      <c r="D42" s="57" t="s">
        <v>2</v>
      </c>
      <c r="E42" s="59" t="s">
        <v>3</v>
      </c>
      <c r="F42" s="59"/>
      <c r="G42" s="59" t="s">
        <v>4</v>
      </c>
      <c r="H42" s="57" t="s">
        <v>5</v>
      </c>
    </row>
    <row r="43" spans="1:8" x14ac:dyDescent="0.25">
      <c r="A43" s="36" t="s">
        <v>965</v>
      </c>
      <c r="B43" s="57" t="s">
        <v>966</v>
      </c>
      <c r="C43" s="57"/>
      <c r="D43" s="57">
        <v>700</v>
      </c>
      <c r="E43" s="57">
        <v>5</v>
      </c>
      <c r="F43" s="57" t="s">
        <v>50</v>
      </c>
      <c r="G43" s="57">
        <f>D43*E43</f>
        <v>3500</v>
      </c>
      <c r="H43" s="57"/>
    </row>
    <row r="44" spans="1:8" x14ac:dyDescent="0.25">
      <c r="A44" s="37"/>
      <c r="B44" s="57" t="s">
        <v>966</v>
      </c>
      <c r="C44" s="57"/>
      <c r="D44" s="57">
        <v>130</v>
      </c>
      <c r="E44" s="57">
        <v>4</v>
      </c>
      <c r="F44" s="57" t="s">
        <v>50</v>
      </c>
      <c r="G44" s="57">
        <f t="shared" ref="G44:G45" si="4">D44*E44</f>
        <v>520</v>
      </c>
      <c r="H44" s="57"/>
    </row>
    <row r="45" spans="1:8" x14ac:dyDescent="0.25">
      <c r="A45" s="38"/>
      <c r="B45" s="57" t="s">
        <v>607</v>
      </c>
      <c r="C45" s="57"/>
      <c r="D45" s="57">
        <v>245</v>
      </c>
      <c r="E45" s="57">
        <v>7</v>
      </c>
      <c r="F45" s="57" t="s">
        <v>123</v>
      </c>
      <c r="G45" s="57">
        <f t="shared" si="4"/>
        <v>1715</v>
      </c>
      <c r="H45" s="57"/>
    </row>
    <row r="46" spans="1:8" x14ac:dyDescent="0.25">
      <c r="A46" s="71"/>
      <c r="B46" s="32" t="s">
        <v>10</v>
      </c>
      <c r="C46" s="33"/>
      <c r="D46" s="34"/>
      <c r="E46" s="59"/>
      <c r="F46" s="59"/>
      <c r="G46" s="65">
        <f>SUM(G43:G45)</f>
        <v>5735</v>
      </c>
      <c r="H46" s="61"/>
    </row>
    <row r="47" spans="1:8" x14ac:dyDescent="0.25">
      <c r="A47" s="62" t="s">
        <v>145</v>
      </c>
      <c r="B47" s="57" t="s">
        <v>0</v>
      </c>
      <c r="C47" s="57" t="s">
        <v>1</v>
      </c>
      <c r="D47" s="57" t="s">
        <v>2</v>
      </c>
      <c r="E47" s="57" t="s">
        <v>3</v>
      </c>
      <c r="F47" s="57"/>
      <c r="G47" s="57" t="s">
        <v>4</v>
      </c>
      <c r="H47" s="57"/>
    </row>
    <row r="48" spans="1:8" x14ac:dyDescent="0.25">
      <c r="A48" s="36"/>
      <c r="B48" s="57" t="s">
        <v>967</v>
      </c>
      <c r="C48" s="57"/>
      <c r="D48" s="57">
        <v>17</v>
      </c>
      <c r="E48" s="57">
        <v>660</v>
      </c>
      <c r="F48" s="57" t="s">
        <v>46</v>
      </c>
      <c r="G48" s="57">
        <f>D48*E48</f>
        <v>11220</v>
      </c>
      <c r="H48" s="57" t="s">
        <v>968</v>
      </c>
    </row>
    <row r="49" spans="1:8" x14ac:dyDescent="0.25">
      <c r="A49" s="37"/>
      <c r="B49" s="57" t="s">
        <v>969</v>
      </c>
      <c r="C49" s="57"/>
      <c r="D49" s="57">
        <v>132</v>
      </c>
      <c r="E49" s="57">
        <v>1.67</v>
      </c>
      <c r="F49" s="57" t="s">
        <v>9</v>
      </c>
      <c r="G49" s="57">
        <f t="shared" ref="G49:G54" si="5">D49*E49</f>
        <v>220.44</v>
      </c>
      <c r="H49" s="57"/>
    </row>
    <row r="50" spans="1:8" x14ac:dyDescent="0.25">
      <c r="A50" s="37"/>
      <c r="B50" s="57" t="s">
        <v>120</v>
      </c>
      <c r="C50" s="57"/>
      <c r="D50" s="57">
        <v>480</v>
      </c>
      <c r="E50" s="57">
        <v>2</v>
      </c>
      <c r="F50" s="57" t="s">
        <v>55</v>
      </c>
      <c r="G50" s="57">
        <f>D50*E50</f>
        <v>960</v>
      </c>
      <c r="H50" s="57"/>
    </row>
    <row r="51" spans="1:8" x14ac:dyDescent="0.25">
      <c r="A51" s="37"/>
      <c r="B51" s="57" t="s">
        <v>312</v>
      </c>
      <c r="C51" s="57"/>
      <c r="D51" s="57">
        <v>480</v>
      </c>
      <c r="E51" s="57">
        <v>2</v>
      </c>
      <c r="F51" s="57" t="s">
        <v>55</v>
      </c>
      <c r="G51" s="57">
        <f>D51*E51</f>
        <v>960</v>
      </c>
      <c r="H51" s="57"/>
    </row>
    <row r="52" spans="1:8" x14ac:dyDescent="0.25">
      <c r="A52" s="37"/>
      <c r="B52" s="57" t="s">
        <v>314</v>
      </c>
      <c r="C52" s="57"/>
      <c r="D52" s="57">
        <v>225</v>
      </c>
      <c r="E52" s="57">
        <v>2</v>
      </c>
      <c r="F52" s="57" t="s">
        <v>144</v>
      </c>
      <c r="G52" s="57">
        <f>D52*E52</f>
        <v>450</v>
      </c>
      <c r="H52" s="57"/>
    </row>
    <row r="53" spans="1:8" x14ac:dyDescent="0.25">
      <c r="A53" s="37"/>
      <c r="B53" s="57" t="s">
        <v>614</v>
      </c>
      <c r="C53" s="57"/>
      <c r="D53" s="57">
        <v>210</v>
      </c>
      <c r="E53" s="57">
        <v>1</v>
      </c>
      <c r="F53" s="57" t="s">
        <v>53</v>
      </c>
      <c r="G53" s="57">
        <f t="shared" si="5"/>
        <v>210</v>
      </c>
      <c r="H53" s="57"/>
    </row>
    <row r="54" spans="1:8" x14ac:dyDescent="0.25">
      <c r="A54" s="37"/>
      <c r="B54" s="57" t="s">
        <v>970</v>
      </c>
      <c r="C54" s="57"/>
      <c r="D54" s="57">
        <v>3.5</v>
      </c>
      <c r="E54" s="57">
        <v>100</v>
      </c>
      <c r="F54" s="57" t="s">
        <v>63</v>
      </c>
      <c r="G54" s="57">
        <f t="shared" si="5"/>
        <v>350</v>
      </c>
      <c r="H54" s="57"/>
    </row>
    <row r="55" spans="1:8" x14ac:dyDescent="0.25">
      <c r="A55" s="37"/>
      <c r="B55" s="28"/>
      <c r="C55" s="28"/>
      <c r="D55" s="28"/>
      <c r="E55" s="28"/>
      <c r="F55" s="28"/>
      <c r="G55" s="28"/>
      <c r="H55" s="57"/>
    </row>
    <row r="56" spans="1:8" x14ac:dyDescent="0.25">
      <c r="A56" s="37"/>
      <c r="B56" s="28"/>
      <c r="C56" s="28"/>
      <c r="D56" s="28"/>
      <c r="E56" s="28"/>
      <c r="F56" s="28"/>
      <c r="G56" s="28"/>
      <c r="H56" s="57"/>
    </row>
    <row r="57" spans="1:8" x14ac:dyDescent="0.25">
      <c r="A57" s="37"/>
      <c r="B57" s="28"/>
      <c r="C57" s="28"/>
      <c r="D57" s="28"/>
      <c r="E57" s="28"/>
      <c r="F57" s="28"/>
      <c r="G57" s="28"/>
      <c r="H57" s="57"/>
    </row>
    <row r="58" spans="1:8" x14ac:dyDescent="0.25">
      <c r="A58" s="37"/>
      <c r="B58" s="32" t="s">
        <v>10</v>
      </c>
      <c r="C58" s="33"/>
      <c r="D58" s="34"/>
      <c r="E58" s="59"/>
      <c r="F58" s="59"/>
      <c r="G58" s="65">
        <f>SUM(G48:G54)</f>
        <v>14370.44</v>
      </c>
      <c r="H58" s="57"/>
    </row>
    <row r="59" spans="1:8" x14ac:dyDescent="0.25">
      <c r="A59" s="38"/>
      <c r="B59" s="39" t="s">
        <v>545</v>
      </c>
      <c r="C59" s="40"/>
      <c r="D59" s="41"/>
      <c r="E59" s="63"/>
      <c r="F59" s="63"/>
      <c r="G59" s="64">
        <f>G58+G46+G41+G24+G17+G9+G33</f>
        <v>84443</v>
      </c>
      <c r="H59" s="57"/>
    </row>
  </sheetData>
  <mergeCells count="16">
    <mergeCell ref="B46:D46"/>
    <mergeCell ref="A48:A59"/>
    <mergeCell ref="B58:D58"/>
    <mergeCell ref="B59:D59"/>
    <mergeCell ref="B24:D24"/>
    <mergeCell ref="A25:A32"/>
    <mergeCell ref="B33:D33"/>
    <mergeCell ref="A34:A41"/>
    <mergeCell ref="B41:D41"/>
    <mergeCell ref="A43:A45"/>
    <mergeCell ref="A1:H1"/>
    <mergeCell ref="A3:A9"/>
    <mergeCell ref="B9:D9"/>
    <mergeCell ref="A11:A16"/>
    <mergeCell ref="B17:D17"/>
    <mergeCell ref="A18:A23"/>
  </mergeCells>
  <phoneticPr fontId="1" type="noConversion"/>
  <pageMargins left="0.7" right="0.7" top="0.75" bottom="0.75" header="0.3" footer="0.3"/>
  <pageSetup paperSize="9" scale="78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具名範圍</vt:lpstr>
      </vt:variant>
      <vt:variant>
        <vt:i4>3</vt:i4>
      </vt:variant>
    </vt:vector>
  </HeadingPairs>
  <TitlesOfParts>
    <vt:vector size="7" baseType="lpstr">
      <vt:lpstr>工作表1</vt:lpstr>
      <vt:lpstr>餐會春節</vt:lpstr>
      <vt:lpstr>端節餐會</vt:lpstr>
      <vt:lpstr>秋節餐會</vt:lpstr>
      <vt:lpstr>秋節餐會!Print_Area</vt:lpstr>
      <vt:lpstr>端節餐會!Print_Area</vt:lpstr>
      <vt:lpstr>餐會春節!Print_Area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peace</dc:creator>
  <cp:lastModifiedBy>ms01455</cp:lastModifiedBy>
  <dcterms:created xsi:type="dcterms:W3CDTF">2026-03-02T14:19:24Z</dcterms:created>
  <dcterms:modified xsi:type="dcterms:W3CDTF">2026-03-04T08:28:47Z</dcterms:modified>
</cp:coreProperties>
</file>